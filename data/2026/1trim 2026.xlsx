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8a10d02ff96ae/Documentos/Gestão/NPS/2026/"/>
    </mc:Choice>
  </mc:AlternateContent>
  <xr:revisionPtr revIDLastSave="101" documentId="13_ncr:1_{5BD0378C-D50B-4441-BE8D-235178530037}" xr6:coauthVersionLast="47" xr6:coauthVersionMax="47" xr10:uidLastSave="{F3951C0E-00FE-4C42-AB20-83A3E5EC8538}"/>
  <bookViews>
    <workbookView xWindow="-108" yWindow="-108" windowWidth="23256" windowHeight="12456" tabRatio="720" firstSheet="1" activeTab="5" xr2:uid="{A0771A2B-1508-4555-BBA2-34AA067BC7E2}"/>
  </bookViews>
  <sheets>
    <sheet name="Jan" sheetId="17" r:id="rId1"/>
    <sheet name="Notas Jan" sheetId="18" r:id="rId2"/>
    <sheet name="Nps Jan" sheetId="19" r:id="rId3"/>
    <sheet name="Fev" sheetId="20" r:id="rId4"/>
    <sheet name="Notas Fev" sheetId="21" r:id="rId5"/>
    <sheet name="Nps Fev" sheetId="22" r:id="rId6"/>
    <sheet name="Mar" sheetId="23" r:id="rId7"/>
    <sheet name="Notas Mar" sheetId="24" r:id="rId8"/>
    <sheet name="Nps Mar" sheetId="25" r:id="rId9"/>
    <sheet name="Notas Trim" sheetId="13" r:id="rId10"/>
    <sheet name="NPS Trim" sheetId="12" r:id="rId11"/>
  </sheets>
  <definedNames>
    <definedName name="_xlnm._FilterDatabase" localSheetId="3" hidden="1">Fev!$A$1:$L$3100</definedName>
    <definedName name="_xlnm._FilterDatabase" localSheetId="0" hidden="1">Jan!$A$1:$L$2529</definedName>
    <definedName name="_xlnm._FilterDatabase" localSheetId="6" hidden="1">Mar!$A$1:$L$2935</definedName>
    <definedName name="_xlnm._FilterDatabase" localSheetId="4" hidden="1">'Notas Fev'!$A$1:$E$1</definedName>
    <definedName name="_xlnm._FilterDatabase" localSheetId="1" hidden="1">'Notas Jan'!$A$1:$E$1</definedName>
    <definedName name="_xlnm._FilterDatabase" localSheetId="7" hidden="1">'Notas Mar'!$A$1:$E$1</definedName>
    <definedName name="_xlnm._FilterDatabase" localSheetId="9" hidden="1">'Notas Trim'!$A$1:$E$1</definedName>
    <definedName name="_xlnm._FilterDatabase" localSheetId="5" hidden="1">'Nps Fev'!$A$1:$G$6</definedName>
    <definedName name="_xlnm._FilterDatabase" localSheetId="2" hidden="1">'Nps Jan'!$A$1:$G$6</definedName>
    <definedName name="_xlnm._FilterDatabase" localSheetId="8" hidden="1">'Nps Mar'!$A$1:$G$6</definedName>
    <definedName name="_xlnm._FilterDatabase" localSheetId="10" hidden="1">'NPS Trim'!$A$1:$G$6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2" l="1"/>
  <c r="C6" i="19"/>
  <c r="C6" i="12"/>
  <c r="C5" i="12"/>
  <c r="C4" i="12"/>
  <c r="C3" i="12"/>
  <c r="C2" i="12"/>
  <c r="C6" i="25"/>
  <c r="C5" i="25"/>
  <c r="C4" i="25"/>
  <c r="C3" i="25"/>
  <c r="C2" i="25"/>
  <c r="C5" i="22"/>
  <c r="C4" i="22"/>
  <c r="C3" i="22"/>
  <c r="C2" i="22"/>
  <c r="C5" i="19"/>
  <c r="C4" i="19"/>
  <c r="C3" i="19"/>
  <c r="I3" i="19" s="1"/>
  <c r="C2" i="19"/>
  <c r="G16" i="12"/>
  <c r="G17" i="12"/>
  <c r="G18" i="12"/>
  <c r="G19" i="12"/>
  <c r="G15" i="12"/>
  <c r="F16" i="12"/>
  <c r="F17" i="12"/>
  <c r="F18" i="12"/>
  <c r="F19" i="12"/>
  <c r="F15" i="12"/>
  <c r="E16" i="12"/>
  <c r="E17" i="12"/>
  <c r="E18" i="12"/>
  <c r="E19" i="12"/>
  <c r="E15" i="12"/>
  <c r="D16" i="12"/>
  <c r="D17" i="12"/>
  <c r="D18" i="12"/>
  <c r="D19" i="12"/>
  <c r="D15" i="12"/>
  <c r="C16" i="12"/>
  <c r="C17" i="12"/>
  <c r="C18" i="12"/>
  <c r="C19" i="12"/>
  <c r="C15" i="12"/>
  <c r="B16" i="12"/>
  <c r="B17" i="12"/>
  <c r="B18" i="12"/>
  <c r="B19" i="12"/>
  <c r="B15" i="12"/>
  <c r="E2" i="25"/>
  <c r="G2" i="25" s="1"/>
  <c r="E6" i="25"/>
  <c r="E5" i="25"/>
  <c r="G5" i="25" s="1"/>
  <c r="E4" i="25"/>
  <c r="G4" i="25" s="1"/>
  <c r="E3" i="25"/>
  <c r="G3" i="25" s="1"/>
  <c r="E19" i="25"/>
  <c r="E18" i="25"/>
  <c r="E17" i="25"/>
  <c r="E16" i="25"/>
  <c r="E15" i="25"/>
  <c r="D19" i="25"/>
  <c r="D18" i="25"/>
  <c r="D17" i="25"/>
  <c r="D16" i="25"/>
  <c r="D15" i="25"/>
  <c r="C19" i="25"/>
  <c r="C18" i="25"/>
  <c r="C17" i="25"/>
  <c r="C16" i="25"/>
  <c r="C15" i="25"/>
  <c r="B19" i="25"/>
  <c r="B18" i="25"/>
  <c r="B17" i="25"/>
  <c r="B16" i="25"/>
  <c r="B15" i="25"/>
  <c r="E6" i="22"/>
  <c r="G6" i="22" s="1"/>
  <c r="E5" i="22"/>
  <c r="G5" i="22" s="1"/>
  <c r="E4" i="22"/>
  <c r="G4" i="22" s="1"/>
  <c r="E3" i="22"/>
  <c r="G3" i="22" s="1"/>
  <c r="E2" i="22"/>
  <c r="E19" i="22"/>
  <c r="E18" i="22"/>
  <c r="E17" i="22"/>
  <c r="E16" i="22"/>
  <c r="E15" i="22"/>
  <c r="D19" i="22"/>
  <c r="D18" i="22"/>
  <c r="D17" i="22"/>
  <c r="D16" i="22"/>
  <c r="D15" i="22"/>
  <c r="C19" i="22"/>
  <c r="C18" i="22"/>
  <c r="C17" i="22"/>
  <c r="C16" i="22"/>
  <c r="C15" i="22"/>
  <c r="B19" i="22"/>
  <c r="B18" i="22"/>
  <c r="B17" i="22"/>
  <c r="B16" i="22"/>
  <c r="B15" i="22"/>
  <c r="E6" i="19"/>
  <c r="G6" i="19" s="1"/>
  <c r="E5" i="19"/>
  <c r="G5" i="19" s="1"/>
  <c r="E4" i="19"/>
  <c r="G4" i="19" s="1"/>
  <c r="E3" i="19"/>
  <c r="G3" i="19" s="1"/>
  <c r="E2" i="19"/>
  <c r="E19" i="19"/>
  <c r="E18" i="19"/>
  <c r="E17" i="19"/>
  <c r="E16" i="19"/>
  <c r="E15" i="19"/>
  <c r="D19" i="19"/>
  <c r="D18" i="19"/>
  <c r="D17" i="19"/>
  <c r="D16" i="19"/>
  <c r="D15" i="19"/>
  <c r="C19" i="19"/>
  <c r="C18" i="19"/>
  <c r="C17" i="19"/>
  <c r="C16" i="19"/>
  <c r="C15" i="19"/>
  <c r="B19" i="19"/>
  <c r="B18" i="19"/>
  <c r="B17" i="19"/>
  <c r="B16" i="19"/>
  <c r="B15" i="19"/>
  <c r="B3" i="25" l="1"/>
  <c r="I5" i="25"/>
  <c r="B6" i="25"/>
  <c r="B4" i="25"/>
  <c r="B5" i="25"/>
  <c r="B2" i="25"/>
  <c r="E9" i="25"/>
  <c r="G9" i="25" s="1"/>
  <c r="G6" i="25"/>
  <c r="E9" i="22"/>
  <c r="G9" i="22" s="1"/>
  <c r="G2" i="22"/>
  <c r="B6" i="22"/>
  <c r="B4" i="22"/>
  <c r="I3" i="22"/>
  <c r="I5" i="22"/>
  <c r="B2" i="22"/>
  <c r="B3" i="22"/>
  <c r="B5" i="22"/>
  <c r="E9" i="19"/>
  <c r="G9" i="19" s="1"/>
  <c r="I5" i="19"/>
  <c r="B6" i="19"/>
  <c r="B5" i="19"/>
  <c r="B3" i="19"/>
  <c r="B2" i="19"/>
  <c r="B4" i="19"/>
  <c r="G2" i="19"/>
  <c r="E6" i="12"/>
  <c r="G6" i="12" s="1"/>
  <c r="E5" i="12"/>
  <c r="G5" i="12" s="1"/>
  <c r="E4" i="12"/>
  <c r="G4" i="12" s="1"/>
  <c r="E3" i="12"/>
  <c r="G3" i="12" s="1"/>
  <c r="E2" i="12"/>
  <c r="D6" i="25" l="1"/>
  <c r="D4" i="25"/>
  <c r="I4" i="25"/>
  <c r="D5" i="25"/>
  <c r="I6" i="25"/>
  <c r="I2" i="25"/>
  <c r="C9" i="25"/>
  <c r="B9" i="25"/>
  <c r="D2" i="25"/>
  <c r="I3" i="25"/>
  <c r="D3" i="25"/>
  <c r="D3" i="22"/>
  <c r="D4" i="22"/>
  <c r="I4" i="22"/>
  <c r="C9" i="22"/>
  <c r="I2" i="22"/>
  <c r="D2" i="22"/>
  <c r="B9" i="22"/>
  <c r="D5" i="22"/>
  <c r="I6" i="22"/>
  <c r="D6" i="22"/>
  <c r="I2" i="19"/>
  <c r="C9" i="19"/>
  <c r="D3" i="19"/>
  <c r="D5" i="19"/>
  <c r="B9" i="19"/>
  <c r="D6" i="19"/>
  <c r="D2" i="19"/>
  <c r="I6" i="19"/>
  <c r="D4" i="19"/>
  <c r="I4" i="19"/>
  <c r="J4" i="12"/>
  <c r="J3" i="12"/>
  <c r="J6" i="12"/>
  <c r="J5" i="12"/>
  <c r="E9" i="12"/>
  <c r="G9" i="12" s="1"/>
  <c r="B5" i="12"/>
  <c r="B6" i="12"/>
  <c r="B3" i="12"/>
  <c r="B2" i="12"/>
  <c r="B4" i="12"/>
  <c r="G2" i="12"/>
  <c r="J2" i="12" s="1"/>
  <c r="D9" i="25" l="1"/>
  <c r="D9" i="22"/>
  <c r="D9" i="19"/>
  <c r="D5" i="12"/>
  <c r="D3" i="12"/>
  <c r="B9" i="12"/>
  <c r="C9" i="12"/>
  <c r="D6" i="12"/>
  <c r="J9" i="12"/>
  <c r="D4" i="12"/>
  <c r="D2" i="12"/>
  <c r="D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tc={15285D58-5CF7-487B-A15C-2F69373C1023}</author>
  </authors>
  <commentList>
    <comment ref="F1" authorId="0" shapeId="0" xr:uid="{15285D58-5CF7-487B-A15C-2F69373C10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tc={D5D8FF36-B8D9-4E15-9BA1-F833C961D28C}</author>
  </authors>
  <commentList>
    <comment ref="F1" authorId="0" shapeId="0" xr:uid="{D5D8FF36-B8D9-4E15-9BA1-F833C961D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tc={FD9A6698-8DD3-48E4-A0E6-D993563D9CA4}</author>
  </authors>
  <commentList>
    <comment ref="F1" authorId="0" shapeId="0" xr:uid="{FD9A6698-8DD3-48E4-A0E6-D993563D9C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tc={ABB3DEC3-6C15-4FC5-A025-1349A878ACC4}</author>
  </authors>
  <commentList>
    <comment ref="F1" authorId="0" shapeId="0" xr:uid="{ABB3DEC3-6C15-4FC5-A025-1349A878AC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sharedStrings.xml><?xml version="1.0" encoding="utf-8"?>
<sst xmlns="http://schemas.openxmlformats.org/spreadsheetml/2006/main" count="44250" uniqueCount="9494">
  <si>
    <t>date</t>
  </si>
  <si>
    <t>src</t>
  </si>
  <si>
    <t>dst</t>
  </si>
  <si>
    <t>did</t>
  </si>
  <si>
    <t>duration</t>
  </si>
  <si>
    <t>talk</t>
  </si>
  <si>
    <t>status</t>
  </si>
  <si>
    <t>uniqueid</t>
  </si>
  <si>
    <t>direction</t>
  </si>
  <si>
    <t>coust_center</t>
  </si>
  <si>
    <t>queue_name</t>
  </si>
  <si>
    <t>nps</t>
  </si>
  <si>
    <t>ATENDENTE</t>
  </si>
  <si>
    <t>QTD ATENDIMENTOS</t>
  </si>
  <si>
    <t>QTD AVALIADOS</t>
  </si>
  <si>
    <t>PERCENTUAL AVALIAÇÃO</t>
  </si>
  <si>
    <t>TOTAL</t>
  </si>
  <si>
    <t>QSA</t>
  </si>
  <si>
    <t>QEA</t>
  </si>
  <si>
    <t>1002 - Luiz</t>
  </si>
  <si>
    <t>1005 - Dayane</t>
  </si>
  <si>
    <t>1004 - Lukas</t>
  </si>
  <si>
    <t>1001 - Gabriel</t>
  </si>
  <si>
    <t>MÉDIA NOTAS</t>
  </si>
  <si>
    <t>DESCONTOS AVALIAÇÕES</t>
  </si>
  <si>
    <t>MÉDIA NOTAS FINAL</t>
  </si>
  <si>
    <t>PONTUAÇÃO CAIXINHA</t>
  </si>
  <si>
    <t>QEA = QUANTIDADE DE ENTRADAS AVALIADAS</t>
  </si>
  <si>
    <t>QSA = QUANTIDADE DE SAIDAS AVALIADA</t>
  </si>
  <si>
    <t>TS - TOTAL DE SAIDAS</t>
  </si>
  <si>
    <t>TE - TOTAL DE ENTRADAS</t>
  </si>
  <si>
    <t>BONIFICAÇÃO</t>
  </si>
  <si>
    <t>1013 - Lucas</t>
  </si>
  <si>
    <t>TE WHATS</t>
  </si>
  <si>
    <t>TE FONE</t>
  </si>
  <si>
    <t>TS FONE</t>
  </si>
  <si>
    <t>WHATS AVALIADOS</t>
  </si>
  <si>
    <t>PSYSTEM_1002</t>
  </si>
  <si>
    <t>ANSWERED</t>
  </si>
  <si>
    <t>E</t>
  </si>
  <si>
    <t>SUPORTE - POWER SYSTEM</t>
  </si>
  <si>
    <t>PSYSTEM_SUPORTE</t>
  </si>
  <si>
    <t>PSYSTEM_1001</t>
  </si>
  <si>
    <t>PSYSTEM_1004</t>
  </si>
  <si>
    <t>PSYSTEM_1013</t>
  </si>
  <si>
    <t>PSYSTEM_1005</t>
  </si>
  <si>
    <t>S</t>
  </si>
  <si>
    <t>UNKNOWN</t>
  </si>
  <si>
    <t>PSYSTEM_1000</t>
  </si>
  <si>
    <t>PSYSTEM_1014</t>
  </si>
  <si>
    <t>PSYSTEM_COMERCIAL</t>
  </si>
  <si>
    <t>PSYSTEM_1006</t>
  </si>
  <si>
    <t>R</t>
  </si>
  <si>
    <t>Fri Jan 30 2026 17:48:36 GMT-0300 (Brasilia Standard Time)</t>
  </si>
  <si>
    <t>FlexPBX-1769806116.332400</t>
  </si>
  <si>
    <t>Fri Jan 30 2026 17:26:17 GMT-0300 (Brasilia Standard Time)</t>
  </si>
  <si>
    <t>FlexPBX-1769804777.332386</t>
  </si>
  <si>
    <t>Fri Jan 30 2026 17:26:02 GMT-0300 (Brasilia Standard Time)</t>
  </si>
  <si>
    <t>FlexPBX-1769804762.332378</t>
  </si>
  <si>
    <t>Fri Jan 30 2026 17:18:22 GMT-0300 (Brasilia Standard Time)</t>
  </si>
  <si>
    <t>FlexPBX-1769804302.332259</t>
  </si>
  <si>
    <t>Fri Jan 30 2026 17:12:18 GMT-0300 (Brasilia Standard Time)</t>
  </si>
  <si>
    <t>FlexPBX-1769803938.332251</t>
  </si>
  <si>
    <t>Fri Jan 30 2026 17:11:35 GMT-0300 (Brasilia Standard Time)</t>
  </si>
  <si>
    <t>FlexPBX-1769803895.332243</t>
  </si>
  <si>
    <t>Fri Jan 30 2026 17:02:53 GMT-0300 (Brasilia Standard Time)</t>
  </si>
  <si>
    <t>FlexPBX-1769803373.332094</t>
  </si>
  <si>
    <t>Fri Jan 30 2026 16:56:11 GMT-0300 (Brasilia Standard Time)</t>
  </si>
  <si>
    <t>FlexPBX-1769802971.332070</t>
  </si>
  <si>
    <t>Fri Jan 30 2026 16:45:34 GMT-0300 (Brasilia Standard Time)</t>
  </si>
  <si>
    <t>FlexPBX-1769802334.332040</t>
  </si>
  <si>
    <t>Fri Jan 30 2026 16:38:25 GMT-0300 (Brasilia Standard Time)</t>
  </si>
  <si>
    <t>FlexPBX-1769801905.331990</t>
  </si>
  <si>
    <t>Fri Jan 30 2026 16:20:30 GMT-0300 (Brasilia Standard Time)</t>
  </si>
  <si>
    <t>FlexPBX-1769800830.331958</t>
  </si>
  <si>
    <t>Fri Jan 30 2026 16:13:43 GMT-0300 (Brasilia Standard Time)</t>
  </si>
  <si>
    <t>FlexPBX-1769800423.331841</t>
  </si>
  <si>
    <t>Fri Jan 30 2026 16:08:05 GMT-0300 (Brasilia Standard Time)</t>
  </si>
  <si>
    <t>FlexPBX-1769800085.331833</t>
  </si>
  <si>
    <t>Fri Jan 30 2026 16:07:58 GMT-0300 (Brasilia Standard Time)</t>
  </si>
  <si>
    <t>FlexPBX-1769800078.331825</t>
  </si>
  <si>
    <t>Fri Jan 30 2026 16:03:36 GMT-0300 (Brasilia Standard Time)</t>
  </si>
  <si>
    <t>FlexPBX-1769799816.331749</t>
  </si>
  <si>
    <t>Fri Jan 30 2026 16:01:11 GMT-0300 (Brasilia Standard Time)</t>
  </si>
  <si>
    <t>FlexPBX-1769799671.331725</t>
  </si>
  <si>
    <t>Fri Jan 30 2026 15:49:07 GMT-0300 (Brasilia Standard Time)</t>
  </si>
  <si>
    <t>FlexPBX-1769798947.331637</t>
  </si>
  <si>
    <t>Fri Jan 30 2026 15:38:59 GMT-0300 (Brasilia Standard Time)</t>
  </si>
  <si>
    <t>FlexPBX-1769798339.331573</t>
  </si>
  <si>
    <t>Fri Jan 30 2026 15:30:22 GMT-0300 (Brasilia Standard Time)</t>
  </si>
  <si>
    <t>FlexPBX-1769797822.331549</t>
  </si>
  <si>
    <t>Fri Jan 30 2026 15:27:52 GMT-0300 (Brasilia Standard Time)</t>
  </si>
  <si>
    <t>FlexPBX-1769797672.331533</t>
  </si>
  <si>
    <t>Fri Jan 30 2026 15:23:21 GMT-0300 (Brasilia Standard Time)</t>
  </si>
  <si>
    <t>FlexPBX-1769797401.331462</t>
  </si>
  <si>
    <t>Fri Jan 30 2026 15:23:12 GMT-0300 (Brasilia Standard Time)</t>
  </si>
  <si>
    <t>FlexPBX-1769797392.331449</t>
  </si>
  <si>
    <t>Fri Jan 30 2026 15:21:21 GMT-0300 (Brasilia Standard Time)</t>
  </si>
  <si>
    <t>FlexPBX-1769797281.331379</t>
  </si>
  <si>
    <t>Fri Jan 30 2026 15:11:24 GMT-0300 (Brasilia Standard Time)</t>
  </si>
  <si>
    <t>FlexPBX-1769796684.331294</t>
  </si>
  <si>
    <t>Fri Jan 30 2026 15:09:06 GMT-0300 (Brasilia Standard Time)</t>
  </si>
  <si>
    <t>FlexPBX-1769796546.331270</t>
  </si>
  <si>
    <t>Fri Jan 30 2026 14:42:02 GMT-0300 (Brasilia Standard Time)</t>
  </si>
  <si>
    <t>FlexPBX-1769794922.331242</t>
  </si>
  <si>
    <t>Fri Jan 30 2026 14:41:37 GMT-0300 (Brasilia Standard Time)</t>
  </si>
  <si>
    <t>FlexPBX-1769794897.331228</t>
  </si>
  <si>
    <t>Fri Jan 30 2026 14:34:24 GMT-0300 (Brasilia Standard Time)</t>
  </si>
  <si>
    <t>FlexPBX-1769794464.331148</t>
  </si>
  <si>
    <t>Fri Jan 30 2026 14:17:39 GMT-0300 (Brasilia Standard Time)</t>
  </si>
  <si>
    <t>FlexPBX-1769793459.331066</t>
  </si>
  <si>
    <t>Fri Jan 30 2026 14:12:04 GMT-0300 (Brasilia Standard Time)</t>
  </si>
  <si>
    <t>FlexPBX-1769793124.331052</t>
  </si>
  <si>
    <t>Fri Jan 30 2026 14:05:10 GMT-0300 (Brasilia Standard Time)</t>
  </si>
  <si>
    <t>FlexPBX-1769792710.331024</t>
  </si>
  <si>
    <t>Fri Jan 30 2026 14:04:26 GMT-0300 (Brasilia Standard Time)</t>
  </si>
  <si>
    <t>FlexPBX-1769792666.331012</t>
  </si>
  <si>
    <t>Fri Jan 30 2026 14:03:01 GMT-0300 (Brasilia Standard Time)</t>
  </si>
  <si>
    <t>FlexPBX-1769792581.330998</t>
  </si>
  <si>
    <t>Fri Jan 30 2026 13:58:33 GMT-0300 (Brasilia Standard Time)</t>
  </si>
  <si>
    <t>FlexPBX-1769792313.330964</t>
  </si>
  <si>
    <t>Fri Jan 30 2026 13:56:38 GMT-0300 (Brasilia Standard Time)</t>
  </si>
  <si>
    <t>FlexPBX-1769792198.330948</t>
  </si>
  <si>
    <t>Fri Jan 30 2026 13:56:24 GMT-0300 (Brasilia Standard Time)</t>
  </si>
  <si>
    <t>FlexPBX-1769792184.330940</t>
  </si>
  <si>
    <t>Fri Jan 30 2026 13:56:12 GMT-0300 (Brasilia Standard Time)</t>
  </si>
  <si>
    <t>FlexPBX-1769792172.330932</t>
  </si>
  <si>
    <t>Fri Jan 30 2026 13:51:45 GMT-0300 (Brasilia Standard Time)</t>
  </si>
  <si>
    <t>FlexPBX-1769791905.330828</t>
  </si>
  <si>
    <t>Fri Jan 30 2026 13:44:42 GMT-0300 (Brasilia Standard Time)</t>
  </si>
  <si>
    <t>FlexPBX-1769791482.330732</t>
  </si>
  <si>
    <t>Fri Jan 30 2026 13:35:47 GMT-0300 (Brasilia Standard Time)</t>
  </si>
  <si>
    <t>FlexPBX-1769790947.330718</t>
  </si>
  <si>
    <t>Fri Jan 30 2026 13:30:49 GMT-0300 (Brasilia Standard Time)</t>
  </si>
  <si>
    <t>FlexPBX-1769790649.330710</t>
  </si>
  <si>
    <t>Fri Jan 30 2026 11:35:38 GMT-0300 (Brasilia Standard Time)</t>
  </si>
  <si>
    <t>FlexPBX-1769783738.330275</t>
  </si>
  <si>
    <t>Fri Jan 30 2026 11:28:50 GMT-0300 (Brasilia Standard Time)</t>
  </si>
  <si>
    <t>FlexPBX-1769783330.330222</t>
  </si>
  <si>
    <t>Fri Jan 30 2026 11:25:07 GMT-0300 (Brasilia Standard Time)</t>
  </si>
  <si>
    <t>FlexPBX-1769783107.330202</t>
  </si>
  <si>
    <t>Fri Jan 30 2026 11:23:17 GMT-0300 (Brasilia Standard Time)</t>
  </si>
  <si>
    <t>FlexPBX-1769782997.330176</t>
  </si>
  <si>
    <t>Fri Jan 30 2026 11:12:51 GMT-0300 (Brasilia Standard Time)</t>
  </si>
  <si>
    <t>FlexPBX-1769782371.330050</t>
  </si>
  <si>
    <t>Fri Jan 30 2026 11:10:05 GMT-0300 (Brasilia Standard Time)</t>
  </si>
  <si>
    <t>FlexPBX-1769782205.330036</t>
  </si>
  <si>
    <t>Fri Jan 30 2026 10:47:02 GMT-0300 (Brasilia Standard Time)</t>
  </si>
  <si>
    <t>FlexPBX-1769780822.329938</t>
  </si>
  <si>
    <t>Fri Jan 30 2026 10:26:00 GMT-0300 (Brasilia Standard Time)</t>
  </si>
  <si>
    <t>FlexPBX-1769779560.329886</t>
  </si>
  <si>
    <t>Fri Jan 30 2026 10:22:49 GMT-0300 (Brasilia Standard Time)</t>
  </si>
  <si>
    <t>FlexPBX-1769779369.329852</t>
  </si>
  <si>
    <t>Fri Jan 30 2026 10:18:17 GMT-0300 (Brasilia Standard Time)</t>
  </si>
  <si>
    <t>FlexPBX-1769779097.329838</t>
  </si>
  <si>
    <t>Fri Jan 30 2026 10:17:31 GMT-0300 (Brasilia Standard Time)</t>
  </si>
  <si>
    <t>FlexPBX-1769779051.329826</t>
  </si>
  <si>
    <t>Fri Jan 30 2026 10:15:09 GMT-0300 (Brasilia Standard Time)</t>
  </si>
  <si>
    <t>FlexPBX-1769778909.329729</t>
  </si>
  <si>
    <t>Fri Jan 30 2026 10:15:01 GMT-0300 (Brasilia Standard Time)</t>
  </si>
  <si>
    <t>FlexPBX-1769778901.329726</t>
  </si>
  <si>
    <t>Fri Jan 30 2026 10:08:31 GMT-0300 (Brasilia Standard Time)</t>
  </si>
  <si>
    <t>FlexPBX-1769778511.329655</t>
  </si>
  <si>
    <t>Fri Jan 30 2026 10:03:16 GMT-0300 (Brasilia Standard Time)</t>
  </si>
  <si>
    <t>FlexPBX-1769778196.329627</t>
  </si>
  <si>
    <t>Fri Jan 30 2026 09:57:35 GMT-0300 (Brasilia Standard Time)</t>
  </si>
  <si>
    <t>FlexPBX-1769777855.329589</t>
  </si>
  <si>
    <t>Fri Jan 30 2026 09:54:22 GMT-0300 (Brasilia Standard Time)</t>
  </si>
  <si>
    <t>FlexPBX-1769777662.329549</t>
  </si>
  <si>
    <t>Fri Jan 30 2026 09:50:40 GMT-0300 (Brasilia Standard Time)</t>
  </si>
  <si>
    <t>FlexPBX-1769777440.329500</t>
  </si>
  <si>
    <t>Fri Jan 30 2026 09:50:12 GMT-0300 (Brasilia Standard Time)</t>
  </si>
  <si>
    <t>FlexPBX-1769777412.329489</t>
  </si>
  <si>
    <t>Fri Jan 30 2026 09:49:24 GMT-0300 (Brasilia Standard Time)</t>
  </si>
  <si>
    <t>FlexPBX-1769777364.329463</t>
  </si>
  <si>
    <t>Fri Jan 30 2026 09:49:11 GMT-0300 (Brasilia Standard Time)</t>
  </si>
  <si>
    <t>FlexPBX-1769777351.329451</t>
  </si>
  <si>
    <t>Fri Jan 30 2026 09:48:46 GMT-0300 (Brasilia Standard Time)</t>
  </si>
  <si>
    <t>FlexPBX-1769777326.329441</t>
  </si>
  <si>
    <t>Fri Jan 30 2026 09:48:03 GMT-0300 (Brasilia Standard Time)</t>
  </si>
  <si>
    <t>FlexPBX-1769777283.329419</t>
  </si>
  <si>
    <t>Fri Jan 30 2026 09:48:02 GMT-0300 (Brasilia Standard Time)</t>
  </si>
  <si>
    <t>FlexPBX-1769777282.329415</t>
  </si>
  <si>
    <t>Fri Jan 30 2026 09:47:09 GMT-0300 (Brasilia Standard Time)</t>
  </si>
  <si>
    <t>FlexPBX-1769777229.329393</t>
  </si>
  <si>
    <t>Fri Jan 30 2026 09:41:39 GMT-0300 (Brasilia Standard Time)</t>
  </si>
  <si>
    <t>FlexPBX-1769776899.329363</t>
  </si>
  <si>
    <t>Fri Jan 30 2026 09:38:45 GMT-0300 (Brasilia Standard Time)</t>
  </si>
  <si>
    <t>FlexPBX-1769776725.329333</t>
  </si>
  <si>
    <t>Fri Jan 30 2026 09:36:59 GMT-0300 (Brasilia Standard Time)</t>
  </si>
  <si>
    <t>FlexPBX-1769776619.329325</t>
  </si>
  <si>
    <t>Fri Jan 30 2026 09:35:20 GMT-0300 (Brasilia Standard Time)</t>
  </si>
  <si>
    <t>FlexPBX-1769776520.329291</t>
  </si>
  <si>
    <t>Fri Jan 30 2026 09:27:32 GMT-0300 (Brasilia Standard Time)</t>
  </si>
  <si>
    <t>FlexPBX-1769776052.329221</t>
  </si>
  <si>
    <t>FlexPBX-1769776052.329219</t>
  </si>
  <si>
    <t>Fri Jan 30 2026 09:24:39 GMT-0300 (Brasilia Standard Time)</t>
  </si>
  <si>
    <t>FlexPBX-1769775879.329201</t>
  </si>
  <si>
    <t>Fri Jan 30 2026 09:17:53 GMT-0300 (Brasilia Standard Time)</t>
  </si>
  <si>
    <t>FlexPBX-1769775473.329135</t>
  </si>
  <si>
    <t>Fri Jan 30 2026 09:13:03 GMT-0300 (Brasilia Standard Time)</t>
  </si>
  <si>
    <t>FlexPBX-1769775183.329093</t>
  </si>
  <si>
    <t>Fri Jan 30 2026 09:12:21 GMT-0300 (Brasilia Standard Time)</t>
  </si>
  <si>
    <t>FlexPBX-1769775141.329078</t>
  </si>
  <si>
    <t>Fri Jan 30 2026 09:12:02 GMT-0300 (Brasilia Standard Time)</t>
  </si>
  <si>
    <t>FlexPBX-1769775122.329059</t>
  </si>
  <si>
    <t>Fri Jan 30 2026 09:05:57 GMT-0300 (Brasilia Standard Time)</t>
  </si>
  <si>
    <t>FlexPBX-1769774757.329051</t>
  </si>
  <si>
    <t>Fri Jan 30 2026 08:53:29 GMT-0300 (Brasilia Standard Time)</t>
  </si>
  <si>
    <t>FlexPBX-1769774009.329037</t>
  </si>
  <si>
    <t>Fri Jan 30 2026 08:49:29 GMT-0300 (Brasilia Standard Time)</t>
  </si>
  <si>
    <t>FlexPBX-1769773769.328945</t>
  </si>
  <si>
    <t>Fri Jan 30 2026 08:45:57 GMT-0300 (Brasilia Standard Time)</t>
  </si>
  <si>
    <t>FlexPBX-1769773557.328925</t>
  </si>
  <si>
    <t>Fri Jan 30 2026 08:41:10 GMT-0300 (Brasilia Standard Time)</t>
  </si>
  <si>
    <t>FlexPBX-1769773270.328917</t>
  </si>
  <si>
    <t>Fri Jan 30 2026 08:40:44 GMT-0300 (Brasilia Standard Time)</t>
  </si>
  <si>
    <t>FlexPBX-1769773244.328907</t>
  </si>
  <si>
    <t>Fri Jan 30 2026 08:40:10 GMT-0300 (Brasilia Standard Time)</t>
  </si>
  <si>
    <t>FlexPBX-1769773210.328895</t>
  </si>
  <si>
    <t>Fri Jan 30 2026 08:34:02 GMT-0300 (Brasilia Standard Time)</t>
  </si>
  <si>
    <t>FlexPBX-1769772842.328881</t>
  </si>
  <si>
    <t>Fri Jan 30 2026 08:31:27 GMT-0300 (Brasilia Standard Time)</t>
  </si>
  <si>
    <t>FlexPBX-1769772687.328865</t>
  </si>
  <si>
    <t>Fri Jan 30 2026 08:26:08 GMT-0300 (Brasilia Standard Time)</t>
  </si>
  <si>
    <t>FlexPBX-1769772368.328847</t>
  </si>
  <si>
    <t>Fri Jan 30 2026 08:25:30 GMT-0300 (Brasilia Standard Time)</t>
  </si>
  <si>
    <t>FlexPBX-1769772330.328839</t>
  </si>
  <si>
    <t>Fri Jan 30 2026 08:25:22 GMT-0300 (Brasilia Standard Time)</t>
  </si>
  <si>
    <t>FlexPBX-1769772322.328831</t>
  </si>
  <si>
    <t>Thu Jan 29 2026 17:49:40 GMT-0300 (Brasilia Standard Time)</t>
  </si>
  <si>
    <t>FlexPBX-1769719780.328811</t>
  </si>
  <si>
    <t>Thu Jan 29 2026 17:28:58 GMT-0300 (Brasilia Standard Time)</t>
  </si>
  <si>
    <t>FlexPBX-1769718538.328665</t>
  </si>
  <si>
    <t>Thu Jan 29 2026 17:23:56 GMT-0300 (Brasilia Standard Time)</t>
  </si>
  <si>
    <t>FlexPBX-1769718236.328633</t>
  </si>
  <si>
    <t>Thu Jan 29 2026 17:23:26 GMT-0300 (Brasilia Standard Time)</t>
  </si>
  <si>
    <t>FlexPBX-1769718206.328625</t>
  </si>
  <si>
    <t>Thu Jan 29 2026 17:12:55 GMT-0300 (Brasilia Standard Time)</t>
  </si>
  <si>
    <t>FlexPBX-1769717575.328546</t>
  </si>
  <si>
    <t>Thu Jan 29 2026 17:11:52 GMT-0300 (Brasilia Standard Time)</t>
  </si>
  <si>
    <t>FlexPBX-1769717512.328525</t>
  </si>
  <si>
    <t>Thu Jan 29 2026 17:06:26 GMT-0300 (Brasilia Standard Time)</t>
  </si>
  <si>
    <t>FlexPBX-1769717186.328425</t>
  </si>
  <si>
    <t>Thu Jan 29 2026 16:54:51 GMT-0300 (Brasilia Standard Time)</t>
  </si>
  <si>
    <t>FlexPBX-1769716491.328344</t>
  </si>
  <si>
    <t>Thu Jan 29 2026 16:47:05 GMT-0300 (Brasilia Standard Time)</t>
  </si>
  <si>
    <t>FlexPBX-1769716025.328286</t>
  </si>
  <si>
    <t>Thu Jan 29 2026 16:42:53 GMT-0300 (Brasilia Standard Time)</t>
  </si>
  <si>
    <t>FlexPBX-1769715773.328138</t>
  </si>
  <si>
    <t>Thu Jan 29 2026 16:25:02 GMT-0300 (Brasilia Standard Time)</t>
  </si>
  <si>
    <t>FlexPBX-1769714702.328086</t>
  </si>
  <si>
    <t>Thu Jan 29 2026 16:23:07 GMT-0300 (Brasilia Standard Time)</t>
  </si>
  <si>
    <t>FlexPBX-1769714587.327975</t>
  </si>
  <si>
    <t>Thu Jan 29 2026 16:23:03 GMT-0300 (Brasilia Standard Time)</t>
  </si>
  <si>
    <t>FlexPBX-1769714583.327972</t>
  </si>
  <si>
    <t>Thu Jan 29 2026 16:11:52 GMT-0300 (Brasilia Standard Time)</t>
  </si>
  <si>
    <t>FlexPBX-1769713912.327902</t>
  </si>
  <si>
    <t>Thu Jan 29 2026 16:08:56 GMT-0300 (Brasilia Standard Time)</t>
  </si>
  <si>
    <t>FlexPBX-1769713736.327886</t>
  </si>
  <si>
    <t>Thu Jan 29 2026 16:07:38 GMT-0300 (Brasilia Standard Time)</t>
  </si>
  <si>
    <t>FlexPBX-1769713658.327850</t>
  </si>
  <si>
    <t>Thu Jan 29 2026 15:54:21 GMT-0300 (Brasilia Standard Time)</t>
  </si>
  <si>
    <t>FlexPBX-1769712861.327768</t>
  </si>
  <si>
    <t>Thu Jan 29 2026 15:52:18 GMT-0300 (Brasilia Standard Time)</t>
  </si>
  <si>
    <t>FlexPBX-1769712738.327702</t>
  </si>
  <si>
    <t>Thu Jan 29 2026 15:50:56 GMT-0300 (Brasilia Standard Time)</t>
  </si>
  <si>
    <t>FlexPBX-1769712656.327650</t>
  </si>
  <si>
    <t>Thu Jan 29 2026 15:46:03 GMT-0300 (Brasilia Standard Time)</t>
  </si>
  <si>
    <t>FlexPBX-1769712363.327630</t>
  </si>
  <si>
    <t>Thu Jan 29 2026 15:44:54 GMT-0300 (Brasilia Standard Time)</t>
  </si>
  <si>
    <t>FlexPBX-1769712294.327588</t>
  </si>
  <si>
    <t>Thu Jan 29 2026 15:43:23 GMT-0300 (Brasilia Standard Time)</t>
  </si>
  <si>
    <t>FlexPBX-1769712203.327580</t>
  </si>
  <si>
    <t>Thu Jan 29 2026 15:32:59 GMT-0300 (Brasilia Standard Time)</t>
  </si>
  <si>
    <t>FlexPBX-1769711579.327550</t>
  </si>
  <si>
    <t>Thu Jan 29 2026 15:32:46 GMT-0300 (Brasilia Standard Time)</t>
  </si>
  <si>
    <t>FlexPBX-1769711566.327542</t>
  </si>
  <si>
    <t>Thu Jan 29 2026 15:30:56 GMT-0300 (Brasilia Standard Time)</t>
  </si>
  <si>
    <t>FlexPBX-1769711456.327477</t>
  </si>
  <si>
    <t>Thu Jan 29 2026 15:29:51 GMT-0300 (Brasilia Standard Time)</t>
  </si>
  <si>
    <t>FlexPBX-1769711391.327437</t>
  </si>
  <si>
    <t>Thu Jan 29 2026 15:17:56 GMT-0300 (Brasilia Standard Time)</t>
  </si>
  <si>
    <t>FlexPBX-1769710676.327323</t>
  </si>
  <si>
    <t>Thu Jan 29 2026 15:17:16 GMT-0300 (Brasilia Standard Time)</t>
  </si>
  <si>
    <t>FlexPBX-1769710636.327307</t>
  </si>
  <si>
    <t>Thu Jan 29 2026 15:14:00 GMT-0300 (Brasilia Standard Time)</t>
  </si>
  <si>
    <t>FlexPBX-1769710440.327293</t>
  </si>
  <si>
    <t>Thu Jan 29 2026 15:11:01 GMT-0300 (Brasilia Standard Time)</t>
  </si>
  <si>
    <t>FlexPBX-1769710261.327236</t>
  </si>
  <si>
    <t>Thu Jan 29 2026 15:10:32 GMT-0300 (Brasilia Standard Time)</t>
  </si>
  <si>
    <t>FlexPBX-1769710232.327225</t>
  </si>
  <si>
    <t>Thu Jan 29 2026 15:08:03 GMT-0300 (Brasilia Standard Time)</t>
  </si>
  <si>
    <t>FlexPBX-1769710083.327217</t>
  </si>
  <si>
    <t>Thu Jan 29 2026 14:49:16 GMT-0300 (Brasilia Standard Time)</t>
  </si>
  <si>
    <t>FlexPBX-1769708956.327192</t>
  </si>
  <si>
    <t>Thu Jan 29 2026 14:29:46 GMT-0300 (Brasilia Standard Time)</t>
  </si>
  <si>
    <t>FlexPBX-1769707786.327152</t>
  </si>
  <si>
    <t>Thu Jan 29 2026 14:27:59 GMT-0300 (Brasilia Standard Time)</t>
  </si>
  <si>
    <t>FlexPBX-1769707679.327140</t>
  </si>
  <si>
    <t>Thu Jan 29 2026 14:19:22 GMT-0300 (Brasilia Standard Time)</t>
  </si>
  <si>
    <t>FlexPBX-1769707162.327113</t>
  </si>
  <si>
    <t>Thu Jan 29 2026 14:17:44 GMT-0300 (Brasilia Standard Time)</t>
  </si>
  <si>
    <t>FlexPBX-1769707064.327064</t>
  </si>
  <si>
    <t>Thu Jan 29 2026 14:12:26 GMT-0300 (Brasilia Standard Time)</t>
  </si>
  <si>
    <t>FlexPBX-1769706746.327044</t>
  </si>
  <si>
    <t>Thu Jan 29 2026 14:11:53 GMT-0300 (Brasilia Standard Time)</t>
  </si>
  <si>
    <t>FlexPBX-1769706713.327036</t>
  </si>
  <si>
    <t>Thu Jan 29 2026 14:01:47 GMT-0300 (Brasilia Standard Time)</t>
  </si>
  <si>
    <t>FlexPBX-1769706107.326932</t>
  </si>
  <si>
    <t>Thu Jan 29 2026 13:58:52 GMT-0300 (Brasilia Standard Time)</t>
  </si>
  <si>
    <t>FlexPBX-1769705932.326890</t>
  </si>
  <si>
    <t>Thu Jan 29 2026 13:47:26 GMT-0300 (Brasilia Standard Time)</t>
  </si>
  <si>
    <t>FlexPBX-1769705246.326870</t>
  </si>
  <si>
    <t>Thu Jan 29 2026 13:44:36 GMT-0300 (Brasilia Standard Time)</t>
  </si>
  <si>
    <t>FlexPBX-1769705076.326846</t>
  </si>
  <si>
    <t>Thu Jan 29 2026 13:44:08 GMT-0300 (Brasilia Standard Time)</t>
  </si>
  <si>
    <t>FlexPBX-1769705048.326824</t>
  </si>
  <si>
    <t>Thu Jan 29 2026 13:43:56 GMT-0300 (Brasilia Standard Time)</t>
  </si>
  <si>
    <t>FlexPBX-1769705036.326821</t>
  </si>
  <si>
    <t>Thu Jan 29 2026 13:34:11 GMT-0300 (Brasilia Standard Time)</t>
  </si>
  <si>
    <t>FlexPBX-1769704451.326805</t>
  </si>
  <si>
    <t>Thu Jan 29 2026 13:32:29 GMT-0300 (Brasilia Standard Time)</t>
  </si>
  <si>
    <t>FlexPBX-1769704349.326746</t>
  </si>
  <si>
    <t>Thu Jan 29 2026 13:32:09 GMT-0300 (Brasilia Standard Time)</t>
  </si>
  <si>
    <t>FlexPBX-1769704329.326722</t>
  </si>
  <si>
    <t>Thu Jan 29 2026 13:30:43 GMT-0300 (Brasilia Standard Time)</t>
  </si>
  <si>
    <t>FlexPBX-1769704243.326661</t>
  </si>
  <si>
    <t>Thu Jan 29 2026 11:30:48 GMT-0300 (Brasilia Standard Time)</t>
  </si>
  <si>
    <t>FlexPBX-1769697048.326552</t>
  </si>
  <si>
    <t>Thu Jan 29 2026 11:30:14 GMT-0300 (Brasilia Standard Time)</t>
  </si>
  <si>
    <t>FlexPBX-1769697014.326544</t>
  </si>
  <si>
    <t>Thu Jan 29 2026 11:17:32 GMT-0300 (Brasilia Standard Time)</t>
  </si>
  <si>
    <t>FlexPBX-1769696252.326424</t>
  </si>
  <si>
    <t>Thu Jan 29 2026 11:13:03 GMT-0300 (Brasilia Standard Time)</t>
  </si>
  <si>
    <t>FlexPBX-1769695983.326360</t>
  </si>
  <si>
    <t>Thu Jan 29 2026 11:05:51 GMT-0300 (Brasilia Standard Time)</t>
  </si>
  <si>
    <t>FlexPBX-1769695551.326328</t>
  </si>
  <si>
    <t>Thu Jan 29 2026 10:52:11 GMT-0300 (Brasilia Standard Time)</t>
  </si>
  <si>
    <t>FlexPBX-1769694731.326270</t>
  </si>
  <si>
    <t>Thu Jan 29 2026 10:49:47 GMT-0300 (Brasilia Standard Time)</t>
  </si>
  <si>
    <t>FlexPBX-1769694587.326181</t>
  </si>
  <si>
    <t>Thu Jan 29 2026 10:48:00 GMT-0300 (Brasilia Standard Time)</t>
  </si>
  <si>
    <t>FlexPBX-1769694480.326114</t>
  </si>
  <si>
    <t>Thu Jan 29 2026 10:36:45 GMT-0300 (Brasilia Standard Time)</t>
  </si>
  <si>
    <t>FlexPBX-1769693805.326066</t>
  </si>
  <si>
    <t>Thu Jan 29 2026 10:27:51 GMT-0300 (Brasilia Standard Time)</t>
  </si>
  <si>
    <t>FlexPBX-1769693271.325985</t>
  </si>
  <si>
    <t>Thu Jan 29 2026 10:26:46 GMT-0300 (Brasilia Standard Time)</t>
  </si>
  <si>
    <t>FlexPBX-1769693206.325957</t>
  </si>
  <si>
    <t>Thu Jan 29 2026 10:16:25 GMT-0300 (Brasilia Standard Time)</t>
  </si>
  <si>
    <t>FlexPBX-1769692585.325904</t>
  </si>
  <si>
    <t>Thu Jan 29 2026 10:05:50 GMT-0300 (Brasilia Standard Time)</t>
  </si>
  <si>
    <t>FlexPBX-1769691950.325848</t>
  </si>
  <si>
    <t>Thu Jan 29 2026 10:00:48 GMT-0300 (Brasilia Standard Time)</t>
  </si>
  <si>
    <t>FlexPBX-1769691648.325814</t>
  </si>
  <si>
    <t>Thu Jan 29 2026 09:56:51 GMT-0300 (Brasilia Standard Time)</t>
  </si>
  <si>
    <t>FlexPBX-1769691411.325786</t>
  </si>
  <si>
    <t>Thu Jan 29 2026 09:45:46 GMT-0300 (Brasilia Standard Time)</t>
  </si>
  <si>
    <t>FlexPBX-1769690746.325738</t>
  </si>
  <si>
    <t>Thu Jan 29 2026 09:44:57 GMT-0300 (Brasilia Standard Time)</t>
  </si>
  <si>
    <t>FlexPBX-1769690697.325724</t>
  </si>
  <si>
    <t>Thu Jan 29 2026 09:44:24 GMT-0300 (Brasilia Standard Time)</t>
  </si>
  <si>
    <t>FlexPBX-1769690664.325706</t>
  </si>
  <si>
    <t>Thu Jan 29 2026 09:44:08 GMT-0300 (Brasilia Standard Time)</t>
  </si>
  <si>
    <t>FlexPBX-1769690648.325702</t>
  </si>
  <si>
    <t>Thu Jan 29 2026 09:43:51 GMT-0300 (Brasilia Standard Time)</t>
  </si>
  <si>
    <t>FlexPBX-1769690631.325690</t>
  </si>
  <si>
    <t>Thu Jan 29 2026 09:40:59 GMT-0300 (Brasilia Standard Time)</t>
  </si>
  <si>
    <t>FlexPBX-1769690459.325676</t>
  </si>
  <si>
    <t>Thu Jan 29 2026 09:35:39 GMT-0300 (Brasilia Standard Time)</t>
  </si>
  <si>
    <t>FlexPBX-1769690139.325618</t>
  </si>
  <si>
    <t>Thu Jan 29 2026 09:28:31 GMT-0300 (Brasilia Standard Time)</t>
  </si>
  <si>
    <t>FlexPBX-1769689711.325590</t>
  </si>
  <si>
    <t>Thu Jan 29 2026 09:27:10 GMT-0300 (Brasilia Standard Time)</t>
  </si>
  <si>
    <t>FlexPBX-1769689630.325582</t>
  </si>
  <si>
    <t>Thu Jan 29 2026 09:26:28 GMT-0300 (Brasilia Standard Time)</t>
  </si>
  <si>
    <t>FlexPBX-1769689588.325562</t>
  </si>
  <si>
    <t>Thu Jan 29 2026 09:26:15 GMT-0300 (Brasilia Standard Time)</t>
  </si>
  <si>
    <t>FlexPBX-1769689575.325554</t>
  </si>
  <si>
    <t>Thu Jan 29 2026 09:19:05 GMT-0300 (Brasilia Standard Time)</t>
  </si>
  <si>
    <t>FlexPBX-1769689145.325532</t>
  </si>
  <si>
    <t>Thu Jan 29 2026 09:18:52 GMT-0300 (Brasilia Standard Time)</t>
  </si>
  <si>
    <t>FlexPBX-1769689132.325524</t>
  </si>
  <si>
    <t>Thu Jan 29 2026 09:16:55 GMT-0300 (Brasilia Standard Time)</t>
  </si>
  <si>
    <t>FlexPBX-1769689015.325467</t>
  </si>
  <si>
    <t>Thu Jan 29 2026 09:16:10 GMT-0300 (Brasilia Standard Time)</t>
  </si>
  <si>
    <t>FlexPBX-1769688970.325438</t>
  </si>
  <si>
    <t>Thu Jan 29 2026 08:41:23 GMT-0300 (Brasilia Standard Time)</t>
  </si>
  <si>
    <t>FlexPBX-1769686883.325396</t>
  </si>
  <si>
    <t>Thu Jan 29 2026 08:36:00 GMT-0300 (Brasilia Standard Time)</t>
  </si>
  <si>
    <t>FlexPBX-1769686560.325382</t>
  </si>
  <si>
    <t>Thu Jan 29 2026 08:34:10 GMT-0300 (Brasilia Standard Time)</t>
  </si>
  <si>
    <t>FlexPBX-1769686450.325365</t>
  </si>
  <si>
    <t>Thu Jan 29 2026 08:33:33 GMT-0300 (Brasilia Standard Time)</t>
  </si>
  <si>
    <t>FlexPBX-1769686413.325358</t>
  </si>
  <si>
    <t>Thu Jan 29 2026 08:32:53 GMT-0300 (Brasilia Standard Time)</t>
  </si>
  <si>
    <t>FlexPBX-1769686373.325346</t>
  </si>
  <si>
    <t>Thu Jan 29 2026 08:17:19 GMT-0300 (Brasilia Standard Time)</t>
  </si>
  <si>
    <t>FlexPBX-1769685439.325329</t>
  </si>
  <si>
    <t>Wed Jan 28 2026 17:26:25 GMT-0300 (Brasilia Standard Time)</t>
  </si>
  <si>
    <t>FlexPBX-1769631985.325226</t>
  </si>
  <si>
    <t>Wed Jan 28 2026 17:08:05 GMT-0300 (Brasilia Standard Time)</t>
  </si>
  <si>
    <t>FlexPBX-1769630885.325121</t>
  </si>
  <si>
    <t>Wed Jan 28 2026 17:02:32 GMT-0300 (Brasilia Standard Time)</t>
  </si>
  <si>
    <t>FlexPBX-1769630552.325081</t>
  </si>
  <si>
    <t>Wed Jan 28 2026 16:51:38 GMT-0300 (Brasilia Standard Time)</t>
  </si>
  <si>
    <t>FlexPBX-1769629898.325027</t>
  </si>
  <si>
    <t>Wed Jan 28 2026 16:41:23 GMT-0300 (Brasilia Standard Time)</t>
  </si>
  <si>
    <t>FlexPBX-1769629283.325013</t>
  </si>
  <si>
    <t>Wed Jan 28 2026 16:32:15 GMT-0300 (Brasilia Standard Time)</t>
  </si>
  <si>
    <t>FlexPBX-1769628735.324945</t>
  </si>
  <si>
    <t>Wed Jan 28 2026 16:14:41 GMT-0300 (Brasilia Standard Time)</t>
  </si>
  <si>
    <t>FlexPBX-1769627681.324919</t>
  </si>
  <si>
    <t>Wed Jan 28 2026 16:10:44 GMT-0300 (Brasilia Standard Time)</t>
  </si>
  <si>
    <t>FlexPBX-1769627444.324877</t>
  </si>
  <si>
    <t>Wed Jan 28 2026 15:58:29 GMT-0300 (Brasilia Standard Time)</t>
  </si>
  <si>
    <t>FlexPBX-1769626709.324833</t>
  </si>
  <si>
    <t>Wed Jan 28 2026 15:46:25 GMT-0300 (Brasilia Standard Time)</t>
  </si>
  <si>
    <t>FlexPBX-1769625985.324789</t>
  </si>
  <si>
    <t>Wed Jan 28 2026 15:45:02 GMT-0300 (Brasilia Standard Time)</t>
  </si>
  <si>
    <t>FlexPBX-1769625902.324761</t>
  </si>
  <si>
    <t>Wed Jan 28 2026 15:19:48 GMT-0300 (Brasilia Standard Time)</t>
  </si>
  <si>
    <t>FlexPBX-1769624388.324662</t>
  </si>
  <si>
    <t>Wed Jan 28 2026 15:01:48 GMT-0300 (Brasilia Standard Time)</t>
  </si>
  <si>
    <t>FlexPBX-1769623308.324608</t>
  </si>
  <si>
    <t>Wed Jan 28 2026 15:01:17 GMT-0300 (Brasilia Standard Time)</t>
  </si>
  <si>
    <t>FlexPBX-1769623277.324578</t>
  </si>
  <si>
    <t>Wed Jan 28 2026 14:48:04 GMT-0300 (Brasilia Standard Time)</t>
  </si>
  <si>
    <t>FlexPBX-1769622484.324544</t>
  </si>
  <si>
    <t>Wed Jan 28 2026 14:42:36 GMT-0300 (Brasilia Standard Time)</t>
  </si>
  <si>
    <t>FlexPBX-1769622156.324528</t>
  </si>
  <si>
    <t>Wed Jan 28 2026 14:41:38 GMT-0300 (Brasilia Standard Time)</t>
  </si>
  <si>
    <t>FlexPBX-1769622098.324516</t>
  </si>
  <si>
    <t>Wed Jan 28 2026 14:37:34 GMT-0300 (Brasilia Standard Time)</t>
  </si>
  <si>
    <t>FlexPBX-1769621854.324454</t>
  </si>
  <si>
    <t>Wed Jan 28 2026 14:35:59 GMT-0300 (Brasilia Standard Time)</t>
  </si>
  <si>
    <t>FlexPBX-1769621759.324426</t>
  </si>
  <si>
    <t>Wed Jan 28 2026 14:35:43 GMT-0300 (Brasilia Standard Time)</t>
  </si>
  <si>
    <t>FlexPBX-1769621743.324418</t>
  </si>
  <si>
    <t>Wed Jan 28 2026 14:29:32 GMT-0300 (Brasilia Standard Time)</t>
  </si>
  <si>
    <t>FlexPBX-1769621372.324404</t>
  </si>
  <si>
    <t>Wed Jan 28 2026 14:11:42 GMT-0300 (Brasilia Standard Time)</t>
  </si>
  <si>
    <t>FlexPBX-1769620302.324364</t>
  </si>
  <si>
    <t>Wed Jan 28 2026 13:58:58 GMT-0300 (Brasilia Standard Time)</t>
  </si>
  <si>
    <t>FlexPBX-1769619538.324320</t>
  </si>
  <si>
    <t>Wed Jan 28 2026 13:50:09 GMT-0300 (Brasilia Standard Time)</t>
  </si>
  <si>
    <t>FlexPBX-1769619009.324281</t>
  </si>
  <si>
    <t>Wed Jan 28 2026 13:49:51 GMT-0300 (Brasilia Standard Time)</t>
  </si>
  <si>
    <t>FlexPBX-1769618991.324272</t>
  </si>
  <si>
    <t>Wed Jan 28 2026 13:47:51 GMT-0300 (Brasilia Standard Time)</t>
  </si>
  <si>
    <t>FlexPBX-1769618871.324236</t>
  </si>
  <si>
    <t>Wed Jan 28 2026 13:41:27 GMT-0300 (Brasilia Standard Time)</t>
  </si>
  <si>
    <t>FlexPBX-1769618487.324151</t>
  </si>
  <si>
    <t>Wed Jan 28 2026 13:40:59 GMT-0300 (Brasilia Standard Time)</t>
  </si>
  <si>
    <t>FlexPBX-1769618459.324140</t>
  </si>
  <si>
    <t>Wed Jan 28 2026 13:35:27 GMT-0300 (Brasilia Standard Time)</t>
  </si>
  <si>
    <t>FlexPBX-1769618127.324109</t>
  </si>
  <si>
    <t>Wed Jan 28 2026 13:33:07 GMT-0300 (Brasilia Standard Time)</t>
  </si>
  <si>
    <t>FlexPBX-1769617987.324082</t>
  </si>
  <si>
    <t>Wed Jan 28 2026 11:39:00 GMT-0300 (Brasilia Standard Time)</t>
  </si>
  <si>
    <t>FlexPBX-1769611140.323985</t>
  </si>
  <si>
    <t>Wed Jan 28 2026 11:21:19 GMT-0300 (Brasilia Standard Time)</t>
  </si>
  <si>
    <t>FlexPBX-1769610079.323935</t>
  </si>
  <si>
    <t>Wed Jan 28 2026 11:19:53 GMT-0300 (Brasilia Standard Time)</t>
  </si>
  <si>
    <t>FlexPBX-1769609993.323907</t>
  </si>
  <si>
    <t>Wed Jan 28 2026 11:03:47 GMT-0300 (Brasilia Standard Time)</t>
  </si>
  <si>
    <t>FlexPBX-1769609027.323849</t>
  </si>
  <si>
    <t>Wed Jan 28 2026 10:50:52 GMT-0300 (Brasilia Standard Time)</t>
  </si>
  <si>
    <t>FlexPBX-1769608252.323753</t>
  </si>
  <si>
    <t>Wed Jan 28 2026 10:30:36 GMT-0300 (Brasilia Standard Time)</t>
  </si>
  <si>
    <t>FlexPBX-1769607036.323713</t>
  </si>
  <si>
    <t>Wed Jan 28 2026 10:29:23 GMT-0300 (Brasilia Standard Time)</t>
  </si>
  <si>
    <t>FlexPBX-1769606963.323661</t>
  </si>
  <si>
    <t>Wed Jan 28 2026 10:11:57 GMT-0300 (Brasilia Standard Time)</t>
  </si>
  <si>
    <t>FlexPBX-1769605917.323641</t>
  </si>
  <si>
    <t>Wed Jan 28 2026 10:06:05 GMT-0300 (Brasilia Standard Time)</t>
  </si>
  <si>
    <t>FlexPBX-1769605565.323617</t>
  </si>
  <si>
    <t>Wed Jan 28 2026 09:54:46 GMT-0300 (Brasilia Standard Time)</t>
  </si>
  <si>
    <t>FlexPBX-1769604886.323559</t>
  </si>
  <si>
    <t>Wed Jan 28 2026 09:43:09 GMT-0300 (Brasilia Standard Time)</t>
  </si>
  <si>
    <t>FlexPBX-1769604189.323525</t>
  </si>
  <si>
    <t>Wed Jan 28 2026 09:39:24 GMT-0300 (Brasilia Standard Time)</t>
  </si>
  <si>
    <t>FlexPBX-1769603964.323511</t>
  </si>
  <si>
    <t>Wed Jan 28 2026 09:32:23 GMT-0300 (Brasilia Standard Time)</t>
  </si>
  <si>
    <t>FlexPBX-1769603543.323481</t>
  </si>
  <si>
    <t>Wed Jan 28 2026 09:29:46 GMT-0300 (Brasilia Standard Time)</t>
  </si>
  <si>
    <t>FlexPBX-1769603386.323426</t>
  </si>
  <si>
    <t>Wed Jan 28 2026 09:29:42 GMT-0300 (Brasilia Standard Time)</t>
  </si>
  <si>
    <t>FlexPBX-1769603382.323423</t>
  </si>
  <si>
    <t>Wed Jan 28 2026 09:25:05 GMT-0300 (Brasilia Standard Time)</t>
  </si>
  <si>
    <t>FlexPBX-1769603105.323393</t>
  </si>
  <si>
    <t>Wed Jan 28 2026 09:24:40 GMT-0300 (Brasilia Standard Time)</t>
  </si>
  <si>
    <t>FlexPBX-1769603080.323373</t>
  </si>
  <si>
    <t>Wed Jan 28 2026 09:16:58 GMT-0300 (Brasilia Standard Time)</t>
  </si>
  <si>
    <t>FlexPBX-1769602618.323347</t>
  </si>
  <si>
    <t>Wed Jan 28 2026 09:16:49 GMT-0300 (Brasilia Standard Time)</t>
  </si>
  <si>
    <t>FlexPBX-1769602609.323339</t>
  </si>
  <si>
    <t>Wed Jan 28 2026 09:16:41 GMT-0300 (Brasilia Standard Time)</t>
  </si>
  <si>
    <t>FlexPBX-1769602601.323331</t>
  </si>
  <si>
    <t>Wed Jan 28 2026 09:15:30 GMT-0300 (Brasilia Standard Time)</t>
  </si>
  <si>
    <t>FlexPBX-1769602530.323303</t>
  </si>
  <si>
    <t>Wed Jan 28 2026 09:03:56 GMT-0300 (Brasilia Standard Time)</t>
  </si>
  <si>
    <t>FlexPBX-1769601836.323251</t>
  </si>
  <si>
    <t>Wed Jan 28 2026 08:58:52 GMT-0300 (Brasilia Standard Time)</t>
  </si>
  <si>
    <t>FlexPBX-1769601532.323186</t>
  </si>
  <si>
    <t>Wed Jan 28 2026 08:58:37 GMT-0300 (Brasilia Standard Time)</t>
  </si>
  <si>
    <t>FlexPBX-1769601517.323183</t>
  </si>
  <si>
    <t>Wed Jan 28 2026 08:50:31 GMT-0300 (Brasilia Standard Time)</t>
  </si>
  <si>
    <t>FlexPBX-1769601031.323163</t>
  </si>
  <si>
    <t>Wed Jan 28 2026 08:46:42 GMT-0300 (Brasilia Standard Time)</t>
  </si>
  <si>
    <t>FlexPBX-1769600802.323106</t>
  </si>
  <si>
    <t>Wed Jan 28 2026 08:33:50 GMT-0300 (Brasilia Standard Time)</t>
  </si>
  <si>
    <t>FlexPBX-1769600030.323081</t>
  </si>
  <si>
    <t>Wed Jan 28 2026 08:22:25 GMT-0300 (Brasilia Standard Time)</t>
  </si>
  <si>
    <t>FlexPBX-1769599345.323073</t>
  </si>
  <si>
    <t>Wed Jan 28 2026 08:19:29 GMT-0300 (Brasilia Standard Time)</t>
  </si>
  <si>
    <t>FlexPBX-1769599169.323053</t>
  </si>
  <si>
    <t>Wed Jan 28 2026 08:19:21 GMT-0300 (Brasilia Standard Time)</t>
  </si>
  <si>
    <t>FlexPBX-1769599161.323045</t>
  </si>
  <si>
    <t>Wed Jan 28 2026 08:18:39 GMT-0300 (Brasilia Standard Time)</t>
  </si>
  <si>
    <t>FlexPBX-1769599119.323037</t>
  </si>
  <si>
    <t>Tue Jan 27 2026 17:31:24 GMT-0300 (Brasilia Standard Time)</t>
  </si>
  <si>
    <t>FlexPBX-1769545884.323010</t>
  </si>
  <si>
    <t>Tue Jan 27 2026 17:14:54 GMT-0300 (Brasilia Standard Time)</t>
  </si>
  <si>
    <t>FlexPBX-1769544894.322881</t>
  </si>
  <si>
    <t>Tue Jan 27 2026 16:54:48 GMT-0300 (Brasilia Standard Time)</t>
  </si>
  <si>
    <t>FlexPBX-1769543688.322857</t>
  </si>
  <si>
    <t>Tue Jan 27 2026 16:51:25 GMT-0300 (Brasilia Standard Time)</t>
  </si>
  <si>
    <t>FlexPBX-1769543485.322827</t>
  </si>
  <si>
    <t>Tue Jan 27 2026 16:46:18 GMT-0300 (Brasilia Standard Time)</t>
  </si>
  <si>
    <t>FlexPBX-1769543178.322793</t>
  </si>
  <si>
    <t>Tue Jan 27 2026 16:44:48 GMT-0300 (Brasilia Standard Time)</t>
  </si>
  <si>
    <t>FlexPBX-1769543088.322761</t>
  </si>
  <si>
    <t>Tue Jan 27 2026 16:39:21 GMT-0300 (Brasilia Standard Time)</t>
  </si>
  <si>
    <t>FlexPBX-1769542761.322700</t>
  </si>
  <si>
    <t>Tue Jan 27 2026 16:39:13 GMT-0300 (Brasilia Standard Time)</t>
  </si>
  <si>
    <t>FlexPBX-1769542753.322687</t>
  </si>
  <si>
    <t>Tue Jan 27 2026 16:38:51 GMT-0300 (Brasilia Standard Time)</t>
  </si>
  <si>
    <t>FlexPBX-1769542731.322666</t>
  </si>
  <si>
    <t>Tue Jan 27 2026 16:38:01 GMT-0300 (Brasilia Standard Time)</t>
  </si>
  <si>
    <t>FlexPBX-1769542681.322631</t>
  </si>
  <si>
    <t>Tue Jan 27 2026 16:18:10 GMT-0300 (Brasilia Standard Time)</t>
  </si>
  <si>
    <t>FlexPBX-1769541490.322586</t>
  </si>
  <si>
    <t>Tue Jan 27 2026 16:17:48 GMT-0300 (Brasilia Standard Time)</t>
  </si>
  <si>
    <t>FlexPBX-1769541468.322578</t>
  </si>
  <si>
    <t>Tue Jan 27 2026 16:16:58 GMT-0300 (Brasilia Standard Time)</t>
  </si>
  <si>
    <t>FlexPBX-1769541418.322558</t>
  </si>
  <si>
    <t>Tue Jan 27 2026 16:12:20 GMT-0300 (Brasilia Standard Time)</t>
  </si>
  <si>
    <t>FlexPBX-1769541140.322492</t>
  </si>
  <si>
    <t>Tue Jan 27 2026 15:54:11 GMT-0300 (Brasilia Standard Time)</t>
  </si>
  <si>
    <t>FlexPBX-1769540051.322381</t>
  </si>
  <si>
    <t>Tue Jan 27 2026 15:52:16 GMT-0300 (Brasilia Standard Time)</t>
  </si>
  <si>
    <t>FlexPBX-1769539936.322272</t>
  </si>
  <si>
    <t>Tue Jan 27 2026 15:29:46 GMT-0300 (Brasilia Standard Time)</t>
  </si>
  <si>
    <t>FlexPBX-1769538585.322209</t>
  </si>
  <si>
    <t>Tue Jan 27 2026 15:28:56 GMT-0300 (Brasilia Standard Time)</t>
  </si>
  <si>
    <t>FlexPBX-1769538536.322194</t>
  </si>
  <si>
    <t>Tue Jan 27 2026 15:28:01 GMT-0300 (Brasilia Standard Time)</t>
  </si>
  <si>
    <t>FlexPBX-1769538481.322157</t>
  </si>
  <si>
    <t>Tue Jan 27 2026 15:27:15 GMT-0300 (Brasilia Standard Time)</t>
  </si>
  <si>
    <t>FlexPBX-1769538435.322126</t>
  </si>
  <si>
    <t>Tue Jan 27 2026 15:09:56 GMT-0300 (Brasilia Standard Time)</t>
  </si>
  <si>
    <t>FlexPBX-1769537396.322061</t>
  </si>
  <si>
    <t>Tue Jan 27 2026 15:09:52 GMT-0300 (Brasilia Standard Time)</t>
  </si>
  <si>
    <t>FlexPBX-1769537392.322053</t>
  </si>
  <si>
    <t>Tue Jan 27 2026 15:09:43 GMT-0300 (Brasilia Standard Time)</t>
  </si>
  <si>
    <t>FlexPBX-1769537383.322045</t>
  </si>
  <si>
    <t>Tue Jan 27 2026 15:09:38 GMT-0300 (Brasilia Standard Time)</t>
  </si>
  <si>
    <t>FlexPBX-1769537378.322037</t>
  </si>
  <si>
    <t>Tue Jan 27 2026 15:09:20 GMT-0300 (Brasilia Standard Time)</t>
  </si>
  <si>
    <t>FlexPBX-1769537360.322029</t>
  </si>
  <si>
    <t>Tue Jan 27 2026 15:09:14 GMT-0300 (Brasilia Standard Time)</t>
  </si>
  <si>
    <t>FlexPBX-1769537354.322015</t>
  </si>
  <si>
    <t>Tue Jan 27 2026 15:09:04 GMT-0300 (Brasilia Standard Time)</t>
  </si>
  <si>
    <t>FlexPBX-1769537344.322007</t>
  </si>
  <si>
    <t>Tue Jan 27 2026 15:01:56 GMT-0300 (Brasilia Standard Time)</t>
  </si>
  <si>
    <t>FlexPBX-1769536916.321967</t>
  </si>
  <si>
    <t>Tue Jan 27 2026 15:00:28 GMT-0300 (Brasilia Standard Time)</t>
  </si>
  <si>
    <t>FlexPBX-1769536828.321959</t>
  </si>
  <si>
    <t>Tue Jan 27 2026 14:58:03 GMT-0300 (Brasilia Standard Time)</t>
  </si>
  <si>
    <t>FlexPBX-1769536683.321854</t>
  </si>
  <si>
    <t>Tue Jan 27 2026 14:45:24 GMT-0300 (Brasilia Standard Time)</t>
  </si>
  <si>
    <t>FlexPBX-1769535924.321812</t>
  </si>
  <si>
    <t>Tue Jan 27 2026 14:26:53 GMT-0300 (Brasilia Standard Time)</t>
  </si>
  <si>
    <t>FlexPBX-1769534813.321720</t>
  </si>
  <si>
    <t>Tue Jan 27 2026 14:12:52 GMT-0300 (Brasilia Standard Time)</t>
  </si>
  <si>
    <t>FlexPBX-1769533972.321649</t>
  </si>
  <si>
    <t>Tue Jan 27 2026 14:07:06 GMT-0300 (Brasilia Standard Time)</t>
  </si>
  <si>
    <t>FlexPBX-1769533626.321623</t>
  </si>
  <si>
    <t>Tue Jan 27 2026 14:02:06 GMT-0300 (Brasilia Standard Time)</t>
  </si>
  <si>
    <t>FlexPBX-1769533326.321577</t>
  </si>
  <si>
    <t>Tue Jan 27 2026 13:54:18 GMT-0300 (Brasilia Standard Time)</t>
  </si>
  <si>
    <t>FlexPBX-1769532858.321520</t>
  </si>
  <si>
    <t>Tue Jan 27 2026 13:47:00 GMT-0300 (Brasilia Standard Time)</t>
  </si>
  <si>
    <t>FlexPBX-1769532420.321451</t>
  </si>
  <si>
    <t>Tue Jan 27 2026 13:46:08 GMT-0300 (Brasilia Standard Time)</t>
  </si>
  <si>
    <t>FlexPBX-1769532368.321439</t>
  </si>
  <si>
    <t>Tue Jan 27 2026 13:43:44 GMT-0300 (Brasilia Standard Time)</t>
  </si>
  <si>
    <t>FlexPBX-1769532224.321411</t>
  </si>
  <si>
    <t>Tue Jan 27 2026 13:39:22 GMT-0300 (Brasilia Standard Time)</t>
  </si>
  <si>
    <t>FlexPBX-1769531962.321316</t>
  </si>
  <si>
    <t>Tue Jan 27 2026 13:38:44 GMT-0300 (Brasilia Standard Time)</t>
  </si>
  <si>
    <t>FlexPBX-1769531924.321289</t>
  </si>
  <si>
    <t>Tue Jan 27 2026 11:56:25 GMT-0300 (Brasilia Standard Time)</t>
  </si>
  <si>
    <t>FlexPBX-1769525785.321238</t>
  </si>
  <si>
    <t>Tue Jan 27 2026 11:38:29 GMT-0300 (Brasilia Standard Time)</t>
  </si>
  <si>
    <t>FlexPBX-1769524709.321216</t>
  </si>
  <si>
    <t>Tue Jan 27 2026 11:28:54 GMT-0300 (Brasilia Standard Time)</t>
  </si>
  <si>
    <t>FlexPBX-1769524134.321183</t>
  </si>
  <si>
    <t>Tue Jan 27 2026 11:27:51 GMT-0300 (Brasilia Standard Time)</t>
  </si>
  <si>
    <t>FlexPBX-1769524071.321144</t>
  </si>
  <si>
    <t>Tue Jan 27 2026 11:03:49 GMT-0300 (Brasilia Standard Time)</t>
  </si>
  <si>
    <t>FlexPBX-1769522629.321050</t>
  </si>
  <si>
    <t>Tue Jan 27 2026 10:42:50 GMT-0300 (Brasilia Standard Time)</t>
  </si>
  <si>
    <t>FlexPBX-1769521370.320919</t>
  </si>
  <si>
    <t>Tue Jan 27 2026 10:42:01 GMT-0300 (Brasilia Standard Time)</t>
  </si>
  <si>
    <t>FlexPBX-1769521321.320874</t>
  </si>
  <si>
    <t>Tue Jan 27 2026 10:41:10 GMT-0300 (Brasilia Standard Time)</t>
  </si>
  <si>
    <t>FlexPBX-1769521270.320853</t>
  </si>
  <si>
    <t>Tue Jan 27 2026 10:00:09 GMT-0300 (Brasilia Standard Time)</t>
  </si>
  <si>
    <t>FlexPBX-1769518809.320766</t>
  </si>
  <si>
    <t>Tue Jan 27 2026 09:53:00 GMT-0300 (Brasilia Standard Time)</t>
  </si>
  <si>
    <t>FlexPBX-1769518380.320656</t>
  </si>
  <si>
    <t>Tue Jan 27 2026 09:43:38 GMT-0300 (Brasilia Standard Time)</t>
  </si>
  <si>
    <t>FlexPBX-1769517818.320578</t>
  </si>
  <si>
    <t>Tue Jan 27 2026 09:33:00 GMT-0300 (Brasilia Standard Time)</t>
  </si>
  <si>
    <t>FlexPBX-1769517180.320514</t>
  </si>
  <si>
    <t>Tue Jan 27 2026 09:27:23 GMT-0300 (Brasilia Standard Time)</t>
  </si>
  <si>
    <t>FlexPBX-1769516843.320464</t>
  </si>
  <si>
    <t>Tue Jan 27 2026 09:23:53 GMT-0300 (Brasilia Standard Time)</t>
  </si>
  <si>
    <t>FlexPBX-1769516633.320429</t>
  </si>
  <si>
    <t>Tue Jan 27 2026 09:23:37 GMT-0300 (Brasilia Standard Time)</t>
  </si>
  <si>
    <t>FlexPBX-1769516617.320412</t>
  </si>
  <si>
    <t>FlexPBX-1769516617.320416</t>
  </si>
  <si>
    <t>Tue Jan 27 2026 09:23:31 GMT-0300 (Brasilia Standard Time)</t>
  </si>
  <si>
    <t>FlexPBX-1769516611.320404</t>
  </si>
  <si>
    <t>Tue Jan 27 2026 09:20:24 GMT-0300 (Brasilia Standard Time)</t>
  </si>
  <si>
    <t>FlexPBX-1769516424.320358</t>
  </si>
  <si>
    <t>Tue Jan 27 2026 09:19:29 GMT-0300 (Brasilia Standard Time)</t>
  </si>
  <si>
    <t>FlexPBX-1769516369.320340</t>
  </si>
  <si>
    <t>Tue Jan 27 2026 09:18:28 GMT-0300 (Brasilia Standard Time)</t>
  </si>
  <si>
    <t>FlexPBX-1769516308.320312</t>
  </si>
  <si>
    <t>Tue Jan 27 2026 09:18:16 GMT-0300 (Brasilia Standard Time)</t>
  </si>
  <si>
    <t>FlexPBX-1769516296.320294</t>
  </si>
  <si>
    <t>Tue Jan 27 2026 09:18:06 GMT-0300 (Brasilia Standard Time)</t>
  </si>
  <si>
    <t>FlexPBX-1769516286.320291</t>
  </si>
  <si>
    <t>Tue Jan 27 2026 09:16:38 GMT-0300 (Brasilia Standard Time)</t>
  </si>
  <si>
    <t>FlexPBX-1769516198.320246</t>
  </si>
  <si>
    <t>Tue Jan 27 2026 09:14:03 GMT-0300 (Brasilia Standard Time)</t>
  </si>
  <si>
    <t>FlexPBX-1769516043.320105</t>
  </si>
  <si>
    <t>Tue Jan 27 2026 09:14:00 GMT-0300 (Brasilia Standard Time)</t>
  </si>
  <si>
    <t>FlexPBX-1769516040.320102</t>
  </si>
  <si>
    <t>Tue Jan 27 2026 09:13:05 GMT-0300 (Brasilia Standard Time)</t>
  </si>
  <si>
    <t>FlexPBX-1769515985.320087</t>
  </si>
  <si>
    <t>Tue Jan 27 2026 09:09:47 GMT-0300 (Brasilia Standard Time)</t>
  </si>
  <si>
    <t>FlexPBX-1769515787.320034</t>
  </si>
  <si>
    <t>Tue Jan 27 2026 09:07:35 GMT-0300 (Brasilia Standard Time)</t>
  </si>
  <si>
    <t>FlexPBX-1769515655.319935</t>
  </si>
  <si>
    <t>Tue Jan 27 2026 08:56:34 GMT-0300 (Brasilia Standard Time)</t>
  </si>
  <si>
    <t>FlexPBX-1769514994.319893</t>
  </si>
  <si>
    <t>Tue Jan 27 2026 08:51:42 GMT-0300 (Brasilia Standard Time)</t>
  </si>
  <si>
    <t>FlexPBX-1769514702.319851</t>
  </si>
  <si>
    <t>Tue Jan 27 2026 08:48:21 GMT-0300 (Brasilia Standard Time)</t>
  </si>
  <si>
    <t>FlexPBX-1769514501.319837</t>
  </si>
  <si>
    <t>Tue Jan 27 2026 08:32:33 GMT-0300 (Brasilia Standard Time)</t>
  </si>
  <si>
    <t>FlexPBX-1769513553.319733</t>
  </si>
  <si>
    <t>Tue Jan 27 2026 08:31:34 GMT-0300 (Brasilia Standard Time)</t>
  </si>
  <si>
    <t>FlexPBX-1769513494.319725</t>
  </si>
  <si>
    <t>Tue Jan 27 2026 08:15:35 GMT-0300 (Brasilia Standard Time)</t>
  </si>
  <si>
    <t>FlexPBX-1769512535.319689</t>
  </si>
  <si>
    <t>Tue Jan 27 2026 08:14:15 GMT-0300 (Brasilia Standard Time)</t>
  </si>
  <si>
    <t>FlexPBX-1769512455.319681</t>
  </si>
  <si>
    <t>Tue Jan 27 2026 08:09:03 GMT-0300 (Brasilia Standard Time)</t>
  </si>
  <si>
    <t>FlexPBX-1769512143.319673</t>
  </si>
  <si>
    <t>Mon Jan 26 2026 17:44:23 GMT-0300 (Brasilia Standard Time)</t>
  </si>
  <si>
    <t>FlexPBX-1769460263.319646</t>
  </si>
  <si>
    <t>Mon Jan 26 2026 17:28:28 GMT-0300 (Brasilia Standard Time)</t>
  </si>
  <si>
    <t>FlexPBX-1769459308.319626</t>
  </si>
  <si>
    <t>Mon Jan 26 2026 17:14:02 GMT-0300 (Brasilia Standard Time)</t>
  </si>
  <si>
    <t>FlexPBX-1769458442.319538</t>
  </si>
  <si>
    <t>Mon Jan 26 2026 17:13:50 GMT-0300 (Brasilia Standard Time)</t>
  </si>
  <si>
    <t>FlexPBX-1769458430.319526</t>
  </si>
  <si>
    <t>Mon Jan 26 2026 17:08:19 GMT-0300 (Brasilia Standard Time)</t>
  </si>
  <si>
    <t>FlexPBX-1769458099.319449</t>
  </si>
  <si>
    <t>Mon Jan 26 2026 17:08:09 GMT-0300 (Brasilia Standard Time)</t>
  </si>
  <si>
    <t>FlexPBX-1769458089.319446</t>
  </si>
  <si>
    <t>Mon Jan 26 2026 17:06:24 GMT-0300 (Brasilia Standard Time)</t>
  </si>
  <si>
    <t>FlexPBX-1769457984.319407</t>
  </si>
  <si>
    <t>Mon Jan 26 2026 17:05:56 GMT-0300 (Brasilia Standard Time)</t>
  </si>
  <si>
    <t>FlexPBX-1769457956.319400</t>
  </si>
  <si>
    <t>Mon Jan 26 2026 17:03:46 GMT-0300 (Brasilia Standard Time)</t>
  </si>
  <si>
    <t>FlexPBX-1769457826.319382</t>
  </si>
  <si>
    <t>Mon Jan 26 2026 16:55:29 GMT-0300 (Brasilia Standard Time)</t>
  </si>
  <si>
    <t>FlexPBX-1769457329.319316</t>
  </si>
  <si>
    <t>Mon Jan 26 2026 16:48:45 GMT-0300 (Brasilia Standard Time)</t>
  </si>
  <si>
    <t>FlexPBX-1769456925.319272</t>
  </si>
  <si>
    <t>Mon Jan 26 2026 16:43:59 GMT-0300 (Brasilia Standard Time)</t>
  </si>
  <si>
    <t>FlexPBX-1769456639.319258</t>
  </si>
  <si>
    <t>Mon Jan 26 2026 16:34:53 GMT-0300 (Brasilia Standard Time)</t>
  </si>
  <si>
    <t>FlexPBX-1769456093.319192</t>
  </si>
  <si>
    <t>Mon Jan 26 2026 16:13:48 GMT-0300 (Brasilia Standard Time)</t>
  </si>
  <si>
    <t>FlexPBX-1769454828.319122</t>
  </si>
  <si>
    <t>Mon Jan 26 2026 16:07:04 GMT-0300 (Brasilia Standard Time)</t>
  </si>
  <si>
    <t>FlexPBX-1769454424.319060</t>
  </si>
  <si>
    <t>Mon Jan 26 2026 15:35:16 GMT-0300 (Brasilia Standard Time)</t>
  </si>
  <si>
    <t>FlexPBX-1769452516.318895</t>
  </si>
  <si>
    <t>Mon Jan 26 2026 15:27:04 GMT-0300 (Brasilia Standard Time)</t>
  </si>
  <si>
    <t>FlexPBX-1769452024.318789</t>
  </si>
  <si>
    <t>Mon Jan 26 2026 15:26:50 GMT-0300 (Brasilia Standard Time)</t>
  </si>
  <si>
    <t>FlexPBX-1769452010.318781</t>
  </si>
  <si>
    <t>Mon Jan 26 2026 15:22:54 GMT-0300 (Brasilia Standard Time)</t>
  </si>
  <si>
    <t>FlexPBX-1769451774.318745</t>
  </si>
  <si>
    <t>Mon Jan 26 2026 15:22:53 GMT-0300 (Brasilia Standard Time)</t>
  </si>
  <si>
    <t>FlexPBX-1769451773.318741</t>
  </si>
  <si>
    <t>Mon Jan 26 2026 15:22:20 GMT-0300 (Brasilia Standard Time)</t>
  </si>
  <si>
    <t>FlexPBX-1769451740.318713</t>
  </si>
  <si>
    <t>Mon Jan 26 2026 15:21:32 GMT-0300 (Brasilia Standard Time)</t>
  </si>
  <si>
    <t>FlexPBX-1769451692.318684</t>
  </si>
  <si>
    <t>Mon Jan 26 2026 15:21:01 GMT-0300 (Brasilia Standard Time)</t>
  </si>
  <si>
    <t>FlexPBX-1769451661.318642</t>
  </si>
  <si>
    <t>Mon Jan 26 2026 15:20:14 GMT-0300 (Brasilia Standard Time)</t>
  </si>
  <si>
    <t>FlexPBX-1769451614.318613</t>
  </si>
  <si>
    <t>Mon Jan 26 2026 15:18:09 GMT-0300 (Brasilia Standard Time)</t>
  </si>
  <si>
    <t>FlexPBX-1769451489.318571</t>
  </si>
  <si>
    <t>Mon Jan 26 2026 15:11:16 GMT-0300 (Brasilia Standard Time)</t>
  </si>
  <si>
    <t>FlexPBX-1769451076.318484</t>
  </si>
  <si>
    <t>Mon Jan 26 2026 15:10:48 GMT-0300 (Brasilia Standard Time)</t>
  </si>
  <si>
    <t>FlexPBX-1769451048.318468</t>
  </si>
  <si>
    <t>Mon Jan 26 2026 15:07:26 GMT-0300 (Brasilia Standard Time)</t>
  </si>
  <si>
    <t>FlexPBX-1769450846.318432</t>
  </si>
  <si>
    <t>Mon Jan 26 2026 14:44:58 GMT-0300 (Brasilia Standard Time)</t>
  </si>
  <si>
    <t>FlexPBX-1769449498.318393</t>
  </si>
  <si>
    <t>Mon Jan 26 2026 14:44:05 GMT-0300 (Brasilia Standard Time)</t>
  </si>
  <si>
    <t>FlexPBX-1769449445.318379</t>
  </si>
  <si>
    <t>Mon Jan 26 2026 14:41:48 GMT-0300 (Brasilia Standard Time)</t>
  </si>
  <si>
    <t>FlexPBX-1769449308.318361</t>
  </si>
  <si>
    <t>Mon Jan 26 2026 14:38:50 GMT-0300 (Brasilia Standard Time)</t>
  </si>
  <si>
    <t>FlexPBX-1769449130.318345</t>
  </si>
  <si>
    <t>Mon Jan 26 2026 14:34:09 GMT-0300 (Brasilia Standard Time)</t>
  </si>
  <si>
    <t>FlexPBX-1769448849.318277</t>
  </si>
  <si>
    <t>Mon Jan 26 2026 14:13:50 GMT-0300 (Brasilia Standard Time)</t>
  </si>
  <si>
    <t>FlexPBX-1769447630.318237</t>
  </si>
  <si>
    <t>Mon Jan 26 2026 14:12:19 GMT-0300 (Brasilia Standard Time)</t>
  </si>
  <si>
    <t>FlexPBX-1769447539.318229</t>
  </si>
  <si>
    <t>Mon Jan 26 2026 14:09:39 GMT-0300 (Brasilia Standard Time)</t>
  </si>
  <si>
    <t>FlexPBX-1769447379.318209</t>
  </si>
  <si>
    <t>Mon Jan 26 2026 13:47:51 GMT-0300 (Brasilia Standard Time)</t>
  </si>
  <si>
    <t>FlexPBX-1769446071.318181</t>
  </si>
  <si>
    <t>Mon Jan 26 2026 13:30:52 GMT-0300 (Brasilia Standard Time)</t>
  </si>
  <si>
    <t>FlexPBX-1769445052.318113</t>
  </si>
  <si>
    <t>Mon Jan 26 2026 11:50:40 GMT-0300 (Brasilia Standard Time)</t>
  </si>
  <si>
    <t>FlexPBX-1769439040.318034</t>
  </si>
  <si>
    <t>Mon Jan 26 2026 11:49:24 GMT-0300 (Brasilia Standard Time)</t>
  </si>
  <si>
    <t>FlexPBX-1769438964.317969</t>
  </si>
  <si>
    <t>Mon Jan 26 2026 11:43:00 GMT-0300 (Brasilia Standard Time)</t>
  </si>
  <si>
    <t>FlexPBX-1769438580.317949</t>
  </si>
  <si>
    <t>Mon Jan 26 2026 11:35:01 GMT-0300 (Brasilia Standard Time)</t>
  </si>
  <si>
    <t>FlexPBX-1769438101.317909</t>
  </si>
  <si>
    <t>Mon Jan 26 2026 11:29:49 GMT-0300 (Brasilia Standard Time)</t>
  </si>
  <si>
    <t>FlexPBX-1769437789.317875</t>
  </si>
  <si>
    <t>Mon Jan 26 2026 11:21:11 GMT-0300 (Brasilia Standard Time)</t>
  </si>
  <si>
    <t>FlexPBX-1769437271.317797</t>
  </si>
  <si>
    <t>Mon Jan 26 2026 11:15:38 GMT-0300 (Brasilia Standard Time)</t>
  </si>
  <si>
    <t>FlexPBX-1769436938.317781</t>
  </si>
  <si>
    <t>Mon Jan 26 2026 11:08:06 GMT-0300 (Brasilia Standard Time)</t>
  </si>
  <si>
    <t>FlexPBX-1769436486.317757</t>
  </si>
  <si>
    <t>Mon Jan 26 2026 11:06:57 GMT-0300 (Brasilia Standard Time)</t>
  </si>
  <si>
    <t>FlexPBX-1769436417.317729</t>
  </si>
  <si>
    <t>Mon Jan 26 2026 10:43:34 GMT-0300 (Brasilia Standard Time)</t>
  </si>
  <si>
    <t>FlexPBX-1769435014.317681</t>
  </si>
  <si>
    <t>Mon Jan 26 2026 10:42:07 GMT-0300 (Brasilia Standard Time)</t>
  </si>
  <si>
    <t>FlexPBX-1769434927.317661</t>
  </si>
  <si>
    <t>Mon Jan 26 2026 10:38:47 GMT-0300 (Brasilia Standard Time)</t>
  </si>
  <si>
    <t>FlexPBX-1769434727.317635</t>
  </si>
  <si>
    <t>Mon Jan 26 2026 10:37:10 GMT-0300 (Brasilia Standard Time)</t>
  </si>
  <si>
    <t>FlexPBX-1769434630.317567</t>
  </si>
  <si>
    <t>Mon Jan 26 2026 10:09:13 GMT-0300 (Brasilia Standard Time)</t>
  </si>
  <si>
    <t>FlexPBX-1769432953.317511</t>
  </si>
  <si>
    <t>Mon Jan 26 2026 10:01:07 GMT-0300 (Brasilia Standard Time)</t>
  </si>
  <si>
    <t>FlexPBX-1769432467.317456</t>
  </si>
  <si>
    <t>Mon Jan 26 2026 09:19:03 GMT-0300 (Brasilia Standard Time)</t>
  </si>
  <si>
    <t>FlexPBX-1769429943.317336</t>
  </si>
  <si>
    <t>Mon Jan 26 2026 09:10:34 GMT-0300 (Brasilia Standard Time)</t>
  </si>
  <si>
    <t>FlexPBX-1769429434.317284</t>
  </si>
  <si>
    <t>Mon Jan 26 2026 08:52:07 GMT-0300 (Brasilia Standard Time)</t>
  </si>
  <si>
    <t>FlexPBX-1769428327.317185</t>
  </si>
  <si>
    <t>Mon Jan 26 2026 08:51:43 GMT-0300 (Brasilia Standard Time)</t>
  </si>
  <si>
    <t>FlexPBX-1769428303.317182</t>
  </si>
  <si>
    <t>Mon Jan 26 2026 08:40:59 GMT-0300 (Brasilia Standard Time)</t>
  </si>
  <si>
    <t>FlexPBX-1769427659.317114</t>
  </si>
  <si>
    <t>Mon Jan 26 2026 08:37:50 GMT-0300 (Brasilia Standard Time)</t>
  </si>
  <si>
    <t>FlexPBX-1769427470.317043</t>
  </si>
  <si>
    <t>Fri Jan 23 2026 17:02:54 GMT-0300 (Brasilia Standard Time)</t>
  </si>
  <si>
    <t>FlexPBX-1769198574.316967</t>
  </si>
  <si>
    <t>Fri Jan 23 2026 16:59:15 GMT-0300 (Brasilia Standard Time)</t>
  </si>
  <si>
    <t>FlexPBX-1769198355.316953</t>
  </si>
  <si>
    <t>Fri Jan 23 2026 16:52:12 GMT-0300 (Brasilia Standard Time)</t>
  </si>
  <si>
    <t>FlexPBX-1769197932.316919</t>
  </si>
  <si>
    <t>Fri Jan 23 2026 16:48:38 GMT-0300 (Brasilia Standard Time)</t>
  </si>
  <si>
    <t>FlexPBX-1769197718.316873</t>
  </si>
  <si>
    <t>Fri Jan 23 2026 16:41:09 GMT-0300 (Brasilia Standard Time)</t>
  </si>
  <si>
    <t>FlexPBX-1769197269.316841</t>
  </si>
  <si>
    <t>Fri Jan 23 2026 16:39:57 GMT-0300 (Brasilia Standard Time)</t>
  </si>
  <si>
    <t>FlexPBX-1769197197.316821</t>
  </si>
  <si>
    <t>Fri Jan 23 2026 16:38:55 GMT-0300 (Brasilia Standard Time)</t>
  </si>
  <si>
    <t>FlexPBX-1769197135.316800</t>
  </si>
  <si>
    <t>Fri Jan 23 2026 16:38:49 GMT-0300 (Brasilia Standard Time)</t>
  </si>
  <si>
    <t>FlexPBX-1769197129.316797</t>
  </si>
  <si>
    <t>Fri Jan 23 2026 16:33:00 GMT-0300 (Brasilia Standard Time)</t>
  </si>
  <si>
    <t>FlexPBX-1769196780.316772</t>
  </si>
  <si>
    <t>Fri Jan 23 2026 16:20:27 GMT-0300 (Brasilia Standard Time)</t>
  </si>
  <si>
    <t>FlexPBX-1769196027.316744</t>
  </si>
  <si>
    <t>Fri Jan 23 2026 16:19:17 GMT-0300 (Brasilia Standard Time)</t>
  </si>
  <si>
    <t>FlexPBX-1769195957.316706</t>
  </si>
  <si>
    <t>Fri Jan 23 2026 16:06:53 GMT-0300 (Brasilia Standard Time)</t>
  </si>
  <si>
    <t>FlexPBX-1769195213.316645</t>
  </si>
  <si>
    <t>Fri Jan 23 2026 15:41:22 GMT-0300 (Brasilia Standard Time)</t>
  </si>
  <si>
    <t>FlexPBX-1769193682.316619</t>
  </si>
  <si>
    <t>Fri Jan 23 2026 15:36:50 GMT-0300 (Brasilia Standard Time)</t>
  </si>
  <si>
    <t>FlexPBX-1769193410.316561</t>
  </si>
  <si>
    <t>Fri Jan 23 2026 15:33:42 GMT-0300 (Brasilia Standard Time)</t>
  </si>
  <si>
    <t>FlexPBX-1769193222.316521</t>
  </si>
  <si>
    <t>Fri Jan 23 2026 15:33:36 GMT-0300 (Brasilia Standard Time)</t>
  </si>
  <si>
    <t>FlexPBX-1769193216.316517</t>
  </si>
  <si>
    <t>Fri Jan 23 2026 15:21:05 GMT-0300 (Brasilia Standard Time)</t>
  </si>
  <si>
    <t>FlexPBX-1769192465.316475</t>
  </si>
  <si>
    <t>Fri Jan 23 2026 14:43:45 GMT-0300 (Brasilia Standard Time)</t>
  </si>
  <si>
    <t>FlexPBX-1769190225.316423</t>
  </si>
  <si>
    <t>Fri Jan 23 2026 14:42:11 GMT-0300 (Brasilia Standard Time)</t>
  </si>
  <si>
    <t>FlexPBX-1769190131.316387</t>
  </si>
  <si>
    <t>Fri Jan 23 2026 14:05:49 GMT-0300 (Brasilia Standard Time)</t>
  </si>
  <si>
    <t>FlexPBX-1769187949.316331</t>
  </si>
  <si>
    <t>Fri Jan 23 2026 14:04:24 GMT-0300 (Brasilia Standard Time)</t>
  </si>
  <si>
    <t>FlexPBX-1769187864.316323</t>
  </si>
  <si>
    <t>Fri Jan 23 2026 14:04:04 GMT-0300 (Brasilia Standard Time)</t>
  </si>
  <si>
    <t>FlexPBX-1769187844.316315</t>
  </si>
  <si>
    <t>Fri Jan 23 2026 13:53:01 GMT-0300 (Brasilia Standard Time)</t>
  </si>
  <si>
    <t>FlexPBX-1769187181.316279</t>
  </si>
  <si>
    <t>Fri Jan 23 2026 13:50:28 GMT-0300 (Brasilia Standard Time)</t>
  </si>
  <si>
    <t>FlexPBX-1769187028.316245</t>
  </si>
  <si>
    <t>Fri Jan 23 2026 13:45:04 GMT-0300 (Brasilia Standard Time)</t>
  </si>
  <si>
    <t>FlexPBX-1769186704.316237</t>
  </si>
  <si>
    <t>Fri Jan 23 2026 13:43:56 GMT-0300 (Brasilia Standard Time)</t>
  </si>
  <si>
    <t>FlexPBX-1769186636.316204</t>
  </si>
  <si>
    <t>Fri Jan 23 2026 13:33:26 GMT-0300 (Brasilia Standard Time)</t>
  </si>
  <si>
    <t>FlexPBX-1769186006.316184</t>
  </si>
  <si>
    <t>Fri Jan 23 2026 11:33:48 GMT-0300 (Brasilia Standard Time)</t>
  </si>
  <si>
    <t>FlexPBX-1769178828.316124</t>
  </si>
  <si>
    <t>Fri Jan 23 2026 11:28:53 GMT-0300 (Brasilia Standard Time)</t>
  </si>
  <si>
    <t>FlexPBX-1769178533.316078</t>
  </si>
  <si>
    <t>Fri Jan 23 2026 11:23:57 GMT-0300 (Brasilia Standard Time)</t>
  </si>
  <si>
    <t>FlexPBX-1769178237.316056</t>
  </si>
  <si>
    <t>Fri Jan 23 2026 11:14:25 GMT-0300 (Brasilia Standard Time)</t>
  </si>
  <si>
    <t>FlexPBX-1769177665.316042</t>
  </si>
  <si>
    <t>Fri Jan 23 2026 11:14:18 GMT-0300 (Brasilia Standard Time)</t>
  </si>
  <si>
    <t>FlexPBX-1769177658.316034</t>
  </si>
  <si>
    <t>Fri Jan 23 2026 10:56:15 GMT-0300 (Brasilia Standard Time)</t>
  </si>
  <si>
    <t>FlexPBX-1769176575.316000</t>
  </si>
  <si>
    <t>Fri Jan 23 2026 10:51:04 GMT-0300 (Brasilia Standard Time)</t>
  </si>
  <si>
    <t>FlexPBX-1769176264.315974</t>
  </si>
  <si>
    <t>Fri Jan 23 2026 10:50:10 GMT-0300 (Brasilia Standard Time)</t>
  </si>
  <si>
    <t>FlexPBX-1769176210.315958</t>
  </si>
  <si>
    <t>Fri Jan 23 2026 10:48:52 GMT-0300 (Brasilia Standard Time)</t>
  </si>
  <si>
    <t>FlexPBX-1769176132.315922</t>
  </si>
  <si>
    <t>Fri Jan 23 2026 10:42:50 GMT-0300 (Brasilia Standard Time)</t>
  </si>
  <si>
    <t>FlexPBX-1769175770.315859</t>
  </si>
  <si>
    <t>Fri Jan 23 2026 10:34:13 GMT-0300 (Brasilia Standard Time)</t>
  </si>
  <si>
    <t>FlexPBX-1769175253.315833</t>
  </si>
  <si>
    <t>Fri Jan 23 2026 10:30:08 GMT-0300 (Brasilia Standard Time)</t>
  </si>
  <si>
    <t>FlexPBX-1769175008.315791</t>
  </si>
  <si>
    <t>Fri Jan 23 2026 10:29:00 GMT-0300 (Brasilia Standard Time)</t>
  </si>
  <si>
    <t>FlexPBX-1769174940.315763</t>
  </si>
  <si>
    <t>Fri Jan 23 2026 10:25:03 GMT-0300 (Brasilia Standard Time)</t>
  </si>
  <si>
    <t>FlexPBX-1769174703.315727</t>
  </si>
  <si>
    <t>Fri Jan 23 2026 10:03:25 GMT-0300 (Brasilia Standard Time)</t>
  </si>
  <si>
    <t>FlexPBX-1769173405.315661</t>
  </si>
  <si>
    <t>Fri Jan 23 2026 09:58:51 GMT-0300 (Brasilia Standard Time)</t>
  </si>
  <si>
    <t>FlexPBX-1769173131.315641</t>
  </si>
  <si>
    <t>Fri Jan 23 2026 09:58:19 GMT-0300 (Brasilia Standard Time)</t>
  </si>
  <si>
    <t>FlexPBX-1769173099.315633</t>
  </si>
  <si>
    <t>Fri Jan 23 2026 09:56:32 GMT-0300 (Brasilia Standard Time)</t>
  </si>
  <si>
    <t>FlexPBX-1769172992.315614</t>
  </si>
  <si>
    <t>Fri Jan 23 2026 09:49:25 GMT-0300 (Brasilia Standard Time)</t>
  </si>
  <si>
    <t>FlexPBX-1769172565.315556</t>
  </si>
  <si>
    <t>Fri Jan 23 2026 09:41:02 GMT-0300 (Brasilia Standard Time)</t>
  </si>
  <si>
    <t>FlexPBX-1769172062.315526</t>
  </si>
  <si>
    <t>Fri Jan 23 2026 09:33:34 GMT-0300 (Brasilia Standard Time)</t>
  </si>
  <si>
    <t>FlexPBX-1769171614.315502</t>
  </si>
  <si>
    <t>Fri Jan 23 2026 09:25:39 GMT-0300 (Brasilia Standard Time)</t>
  </si>
  <si>
    <t>FlexPBX-1769171139.315488</t>
  </si>
  <si>
    <t>Fri Jan 23 2026 09:15:59 GMT-0300 (Brasilia Standard Time)</t>
  </si>
  <si>
    <t>FlexPBX-1769170559.315456</t>
  </si>
  <si>
    <t>Fri Jan 23 2026 08:49:13 GMT-0300 (Brasilia Standard Time)</t>
  </si>
  <si>
    <t>FlexPBX-1769168953.315384</t>
  </si>
  <si>
    <t>Fri Jan 23 2026 08:31:23 GMT-0300 (Brasilia Standard Time)</t>
  </si>
  <si>
    <t>FlexPBX-1769167883.315356</t>
  </si>
  <si>
    <t>Thu Jan 22 2026 17:22:36 GMT-0300 (Brasilia Standard Time)</t>
  </si>
  <si>
    <t>FlexPBX-1769113356.315320</t>
  </si>
  <si>
    <t>Thu Jan 22 2026 17:22:19 GMT-0300 (Brasilia Standard Time)</t>
  </si>
  <si>
    <t>FlexPBX-1769113339.315312</t>
  </si>
  <si>
    <t>Thu Jan 22 2026 17:22:14 GMT-0300 (Brasilia Standard Time)</t>
  </si>
  <si>
    <t>FlexPBX-1769113334.315304</t>
  </si>
  <si>
    <t>Thu Jan 22 2026 17:22:07 GMT-0300 (Brasilia Standard Time)</t>
  </si>
  <si>
    <t>FlexPBX-1769113327.315296</t>
  </si>
  <si>
    <t>Thu Jan 22 2026 17:20:31 GMT-0300 (Brasilia Standard Time)</t>
  </si>
  <si>
    <t>FlexPBX-1769113231.315270</t>
  </si>
  <si>
    <t>Thu Jan 22 2026 17:03:46 GMT-0300 (Brasilia Standard Time)</t>
  </si>
  <si>
    <t>FlexPBX-1769112226.315244</t>
  </si>
  <si>
    <t>Thu Jan 22 2026 16:56:24 GMT-0300 (Brasilia Standard Time)</t>
  </si>
  <si>
    <t>FlexPBX-1769111784.315136</t>
  </si>
  <si>
    <t>FlexPBX-1769111784.315138</t>
  </si>
  <si>
    <t>Thu Jan 22 2026 16:55:44 GMT-0300 (Brasilia Standard Time)</t>
  </si>
  <si>
    <t>FlexPBX-1769111744.315132</t>
  </si>
  <si>
    <t>Thu Jan 22 2026 16:55:32 GMT-0300 (Brasilia Standard Time)</t>
  </si>
  <si>
    <t>FlexPBX-1769111732.315128</t>
  </si>
  <si>
    <t>Thu Jan 22 2026 16:46:09 GMT-0300 (Brasilia Standard Time)</t>
  </si>
  <si>
    <t>FlexPBX-1769111169.315086</t>
  </si>
  <si>
    <t>Thu Jan 22 2026 16:28:05 GMT-0300 (Brasilia Standard Time)</t>
  </si>
  <si>
    <t>FlexPBX-1769110085.315000</t>
  </si>
  <si>
    <t>Thu Jan 22 2026 16:10:10 GMT-0300 (Brasilia Standard Time)</t>
  </si>
  <si>
    <t>FlexPBX-1769109010.314897</t>
  </si>
  <si>
    <t>Thu Jan 22 2026 16:06:20 GMT-0300 (Brasilia Standard Time)</t>
  </si>
  <si>
    <t>FlexPBX-1769108780.314853</t>
  </si>
  <si>
    <t>Thu Jan 22 2026 15:54:49 GMT-0300 (Brasilia Standard Time)</t>
  </si>
  <si>
    <t>FlexPBX-1769108089.314809</t>
  </si>
  <si>
    <t>Thu Jan 22 2026 15:53:05 GMT-0300 (Brasilia Standard Time)</t>
  </si>
  <si>
    <t>FlexPBX-1769107985.314779</t>
  </si>
  <si>
    <t>Thu Jan 22 2026 15:50:03 GMT-0300 (Brasilia Standard Time)</t>
  </si>
  <si>
    <t>FlexPBX-1769107803.314757</t>
  </si>
  <si>
    <t>Thu Jan 22 2026 15:49:36 GMT-0300 (Brasilia Standard Time)</t>
  </si>
  <si>
    <t>FlexPBX-1769107776.314724</t>
  </si>
  <si>
    <t>Thu Jan 22 2026 15:48:40 GMT-0300 (Brasilia Standard Time)</t>
  </si>
  <si>
    <t>FlexPBX-1769107720.314676</t>
  </si>
  <si>
    <t>Thu Jan 22 2026 15:48:16 GMT-0300 (Brasilia Standard Time)</t>
  </si>
  <si>
    <t>FlexPBX-1769107696.314654</t>
  </si>
  <si>
    <t>Thu Jan 22 2026 15:47:11 GMT-0300 (Brasilia Standard Time)</t>
  </si>
  <si>
    <t>FlexPBX-1769107631.314619</t>
  </si>
  <si>
    <t>Thu Jan 22 2026 15:33:03 GMT-0300 (Brasilia Standard Time)</t>
  </si>
  <si>
    <t>FlexPBX-1769106783.314591</t>
  </si>
  <si>
    <t>Thu Jan 22 2026 15:24:19 GMT-0300 (Brasilia Standard Time)</t>
  </si>
  <si>
    <t>FlexPBX-1769106259.314569</t>
  </si>
  <si>
    <t>Thu Jan 22 2026 15:21:08 GMT-0300 (Brasilia Standard Time)</t>
  </si>
  <si>
    <t>FlexPBX-1769106068.314553</t>
  </si>
  <si>
    <t>Thu Jan 22 2026 15:18:54 GMT-0300 (Brasilia Standard Time)</t>
  </si>
  <si>
    <t>FlexPBX-1769105934.314545</t>
  </si>
  <si>
    <t>Thu Jan 22 2026 15:12:29 GMT-0300 (Brasilia Standard Time)</t>
  </si>
  <si>
    <t>FlexPBX-1769105549.314493</t>
  </si>
  <si>
    <t>Thu Jan 22 2026 14:52:52 GMT-0300 (Brasilia Standard Time)</t>
  </si>
  <si>
    <t>FlexPBX-1769104372.314457</t>
  </si>
  <si>
    <t>Thu Jan 22 2026 14:49:28 GMT-0300 (Brasilia Standard Time)</t>
  </si>
  <si>
    <t>FlexPBX-1769104168.314423</t>
  </si>
  <si>
    <t>Thu Jan 22 2026 14:42:40 GMT-0300 (Brasilia Standard Time)</t>
  </si>
  <si>
    <t>FlexPBX-1769103760.314365</t>
  </si>
  <si>
    <t>Thu Jan 22 2026 14:19:12 GMT-0300 (Brasilia Standard Time)</t>
  </si>
  <si>
    <t>FlexPBX-1769102352.314266</t>
  </si>
  <si>
    <t>Thu Jan 22 2026 14:19:01 GMT-0300 (Brasilia Standard Time)</t>
  </si>
  <si>
    <t>FlexPBX-1769102341.314253</t>
  </si>
  <si>
    <t>Thu Jan 22 2026 13:41:17 GMT-0300 (Brasilia Standard Time)</t>
  </si>
  <si>
    <t>FlexPBX-1769100077.314199</t>
  </si>
  <si>
    <t>Thu Jan 22 2026 13:36:17 GMT-0300 (Brasilia Standard Time)</t>
  </si>
  <si>
    <t>FlexPBX-1769099777.314163</t>
  </si>
  <si>
    <t>Thu Jan 22 2026 11:37:01 GMT-0300 (Brasilia Standard Time)</t>
  </si>
  <si>
    <t>FlexPBX-1769092621.314019</t>
  </si>
  <si>
    <t>Thu Jan 22 2026 11:18:22 GMT-0300 (Brasilia Standard Time)</t>
  </si>
  <si>
    <t>FlexPBX-1769091502.313965</t>
  </si>
  <si>
    <t>Thu Jan 22 2026 11:18:09 GMT-0300 (Brasilia Standard Time)</t>
  </si>
  <si>
    <t>FlexPBX-1769091489.313962</t>
  </si>
  <si>
    <t>Thu Jan 22 2026 11:17:19 GMT-0300 (Brasilia Standard Time)</t>
  </si>
  <si>
    <t>FlexPBX-1769091439.313946</t>
  </si>
  <si>
    <t>Thu Jan 22 2026 11:14:29 GMT-0300 (Brasilia Standard Time)</t>
  </si>
  <si>
    <t>FlexPBX-1769091269.313932</t>
  </si>
  <si>
    <t>Thu Jan 22 2026 11:10:31 GMT-0300 (Brasilia Standard Time)</t>
  </si>
  <si>
    <t>FlexPBX-1769091031.313910</t>
  </si>
  <si>
    <t>Thu Jan 22 2026 11:08:08 GMT-0300 (Brasilia Standard Time)</t>
  </si>
  <si>
    <t>FlexPBX-1769090888.313858</t>
  </si>
  <si>
    <t>Thu Jan 22 2026 10:53:20 GMT-0300 (Brasilia Standard Time)</t>
  </si>
  <si>
    <t>FlexPBX-1769090000.313777</t>
  </si>
  <si>
    <t>Thu Jan 22 2026 10:52:27 GMT-0300 (Brasilia Standard Time)</t>
  </si>
  <si>
    <t>FlexPBX-1769089947.313761</t>
  </si>
  <si>
    <t>Thu Jan 22 2026 10:47:41 GMT-0300 (Brasilia Standard Time)</t>
  </si>
  <si>
    <t>FlexPBX-1769089661.313725</t>
  </si>
  <si>
    <t>Thu Jan 22 2026 10:27:20 GMT-0300 (Brasilia Standard Time)</t>
  </si>
  <si>
    <t>FlexPBX-1769088440.313641</t>
  </si>
  <si>
    <t>Thu Jan 22 2026 10:24:37 GMT-0300 (Brasilia Standard Time)</t>
  </si>
  <si>
    <t>FlexPBX-1769088277.313589</t>
  </si>
  <si>
    <t>Thu Jan 22 2026 10:11:11 GMT-0300 (Brasilia Standard Time)</t>
  </si>
  <si>
    <t>FlexPBX-1769087471.313541</t>
  </si>
  <si>
    <t>Thu Jan 22 2026 10:10:34 GMT-0300 (Brasilia Standard Time)</t>
  </si>
  <si>
    <t>FlexPBX-1769087434.313518</t>
  </si>
  <si>
    <t>Thu Jan 22 2026 10:09:21 GMT-0300 (Brasilia Standard Time)</t>
  </si>
  <si>
    <t>FlexPBX-1769087361.313482</t>
  </si>
  <si>
    <t>Thu Jan 22 2026 09:55:26 GMT-0300 (Brasilia Standard Time)</t>
  </si>
  <si>
    <t>FlexPBX-1769086526.313391</t>
  </si>
  <si>
    <t>Thu Jan 22 2026 09:55:14 GMT-0300 (Brasilia Standard Time)</t>
  </si>
  <si>
    <t>FlexPBX-1769086514.313388</t>
  </si>
  <si>
    <t>Thu Jan 22 2026 09:51:50 GMT-0300 (Brasilia Standard Time)</t>
  </si>
  <si>
    <t>FlexPBX-1769086310.313304</t>
  </si>
  <si>
    <t>Thu Jan 22 2026 09:45:20 GMT-0300 (Brasilia Standard Time)</t>
  </si>
  <si>
    <t>FlexPBX-1769085920.313290</t>
  </si>
  <si>
    <t>Thu Jan 22 2026 09:24:37 GMT-0300 (Brasilia Standard Time)</t>
  </si>
  <si>
    <t>FlexPBX-1769084677.313219</t>
  </si>
  <si>
    <t>Thu Jan 22 2026 09:23:42 GMT-0300 (Brasilia Standard Time)</t>
  </si>
  <si>
    <t>FlexPBX-1769084622.313197</t>
  </si>
  <si>
    <t>Thu Jan 22 2026 09:20:49 GMT-0300 (Brasilia Standard Time)</t>
  </si>
  <si>
    <t>FlexPBX-1769084449.313135</t>
  </si>
  <si>
    <t>Thu Jan 22 2026 09:15:27 GMT-0300 (Brasilia Standard Time)</t>
  </si>
  <si>
    <t>FlexPBX-1769084127.313063</t>
  </si>
  <si>
    <t>Thu Jan 22 2026 08:55:37 GMT-0300 (Brasilia Standard Time)</t>
  </si>
  <si>
    <t>FlexPBX-1769082937.313033</t>
  </si>
  <si>
    <t>Thu Jan 22 2026 08:53:06 GMT-0300 (Brasilia Standard Time)</t>
  </si>
  <si>
    <t>FlexPBX-1769082786.313011</t>
  </si>
  <si>
    <t>Thu Jan 22 2026 08:50:54 GMT-0300 (Brasilia Standard Time)</t>
  </si>
  <si>
    <t>FlexPBX-1769082654.312981</t>
  </si>
  <si>
    <t>Thu Jan 22 2026 08:49:10 GMT-0300 (Brasilia Standard Time)</t>
  </si>
  <si>
    <t>FlexPBX-1769082550.312963</t>
  </si>
  <si>
    <t>Thu Jan 22 2026 08:46:33 GMT-0300 (Brasilia Standard Time)</t>
  </si>
  <si>
    <t>FlexPBX-1769082393.312955</t>
  </si>
  <si>
    <t>Thu Jan 22 2026 08:46:06 GMT-0300 (Brasilia Standard Time)</t>
  </si>
  <si>
    <t>FlexPBX-1769082366.312947</t>
  </si>
  <si>
    <t>Thu Jan 22 2026 08:45:28 GMT-0300 (Brasilia Standard Time)</t>
  </si>
  <si>
    <t>FlexPBX-1769082328.312929</t>
  </si>
  <si>
    <t>Thu Jan 22 2026 08:42:55 GMT-0300 (Brasilia Standard Time)</t>
  </si>
  <si>
    <t>FlexPBX-1769082175.312897</t>
  </si>
  <si>
    <t>Thu Jan 22 2026 08:40:56 GMT-0300 (Brasilia Standard Time)</t>
  </si>
  <si>
    <t>FlexPBX-1769082056.312877</t>
  </si>
  <si>
    <t>Wed Jan 21 2026 17:34:43 GMT-0300 (Brasilia Standard Time)</t>
  </si>
  <si>
    <t>FlexPBX-1769027683.312569</t>
  </si>
  <si>
    <t>Wed Jan 21 2026 17:29:29 GMT-0300 (Brasilia Standard Time)</t>
  </si>
  <si>
    <t>FlexPBX-1769027369.312519</t>
  </si>
  <si>
    <t>Wed Jan 21 2026 17:06:09 GMT-0300 (Brasilia Standard Time)</t>
  </si>
  <si>
    <t>FlexPBX-1769025969.312343</t>
  </si>
  <si>
    <t>Wed Jan 21 2026 16:27:54 GMT-0300 (Brasilia Standard Time)</t>
  </si>
  <si>
    <t>FlexPBX-1769023674.312210</t>
  </si>
  <si>
    <t>Wed Jan 21 2026 16:19:57 GMT-0300 (Brasilia Standard Time)</t>
  </si>
  <si>
    <t>FlexPBX-1769023197.312192</t>
  </si>
  <si>
    <t>Wed Jan 21 2026 16:08:27 GMT-0300 (Brasilia Standard Time)</t>
  </si>
  <si>
    <t>FlexPBX-1769022507.312057</t>
  </si>
  <si>
    <t>Wed Jan 21 2026 16:08:02 GMT-0300 (Brasilia Standard Time)</t>
  </si>
  <si>
    <t>FlexPBX-1769022482.312031</t>
  </si>
  <si>
    <t>Wed Jan 21 2026 16:06:57 GMT-0300 (Brasilia Standard Time)</t>
  </si>
  <si>
    <t>FlexPBX-1769022417.311998</t>
  </si>
  <si>
    <t>Wed Jan 21 2026 16:03:22 GMT-0300 (Brasilia Standard Time)</t>
  </si>
  <si>
    <t>FlexPBX-1769022202.311961</t>
  </si>
  <si>
    <t>Wed Jan 21 2026 15:47:00 GMT-0300 (Brasilia Standard Time)</t>
  </si>
  <si>
    <t>FlexPBX-1769021220.311863</t>
  </si>
  <si>
    <t>Wed Jan 21 2026 15:18:29 GMT-0300 (Brasilia Standard Time)</t>
  </si>
  <si>
    <t>FlexPBX-1769019509.311794</t>
  </si>
  <si>
    <t>Wed Jan 21 2026 15:07:42 GMT-0300 (Brasilia Standard Time)</t>
  </si>
  <si>
    <t>FlexPBX-1769018862.311762</t>
  </si>
  <si>
    <t>Wed Jan 21 2026 15:00:48 GMT-0300 (Brasilia Standard Time)</t>
  </si>
  <si>
    <t>FlexPBX-1769018448.311740</t>
  </si>
  <si>
    <t>Wed Jan 21 2026 14:59:46 GMT-0300 (Brasilia Standard Time)</t>
  </si>
  <si>
    <t>FlexPBX-1769018386.311718</t>
  </si>
  <si>
    <t>Wed Jan 21 2026 14:56:52 GMT-0300 (Brasilia Standard Time)</t>
  </si>
  <si>
    <t>FlexPBX-1769018212.311678</t>
  </si>
  <si>
    <t>Wed Jan 21 2026 14:45:47 GMT-0300 (Brasilia Standard Time)</t>
  </si>
  <si>
    <t>FlexPBX-1769017547.311632</t>
  </si>
  <si>
    <t>Wed Jan 21 2026 14:38:04 GMT-0300 (Brasilia Standard Time)</t>
  </si>
  <si>
    <t>FlexPBX-1769017084.311594</t>
  </si>
  <si>
    <t>Wed Jan 21 2026 14:28:10 GMT-0300 (Brasilia Standard Time)</t>
  </si>
  <si>
    <t>FlexPBX-1769016490.311558</t>
  </si>
  <si>
    <t>Wed Jan 21 2026 14:25:45 GMT-0300 (Brasilia Standard Time)</t>
  </si>
  <si>
    <t>FlexPBX-1769016345.311526</t>
  </si>
  <si>
    <t>Wed Jan 21 2026 14:14:45 GMT-0300 (Brasilia Standard Time)</t>
  </si>
  <si>
    <t>FlexPBX-1769015685.311485</t>
  </si>
  <si>
    <t>Wed Jan 21 2026 14:14:11 GMT-0300 (Brasilia Standard Time)</t>
  </si>
  <si>
    <t>FlexPBX-1769015651.311476</t>
  </si>
  <si>
    <t>Wed Jan 21 2026 14:08:05 GMT-0300 (Brasilia Standard Time)</t>
  </si>
  <si>
    <t>FlexPBX-1769015285.311412</t>
  </si>
  <si>
    <t>Wed Jan 21 2026 14:08:01 GMT-0300 (Brasilia Standard Time)</t>
  </si>
  <si>
    <t>FlexPBX-1769015281.311408</t>
  </si>
  <si>
    <t>Wed Jan 21 2026 14:07:48 GMT-0300 (Brasilia Standard Time)</t>
  </si>
  <si>
    <t>FlexPBX-1769015268.311400</t>
  </si>
  <si>
    <t>Wed Jan 21 2026 14:07:31 GMT-0300 (Brasilia Standard Time)</t>
  </si>
  <si>
    <t>FlexPBX-1769015251.311392</t>
  </si>
  <si>
    <t>Wed Jan 21 2026 14:01:47 GMT-0300 (Brasilia Standard Time)</t>
  </si>
  <si>
    <t>FlexPBX-1769014907.311346</t>
  </si>
  <si>
    <t>Wed Jan 21 2026 14:01:13 GMT-0300 (Brasilia Standard Time)</t>
  </si>
  <si>
    <t>FlexPBX-1769014873.311331</t>
  </si>
  <si>
    <t>Wed Jan 21 2026 13:59:32 GMT-0300 (Brasilia Standard Time)</t>
  </si>
  <si>
    <t>FlexPBX-1769014772.311303</t>
  </si>
  <si>
    <t>Wed Jan 21 2026 13:59:27 GMT-0300 (Brasilia Standard Time)</t>
  </si>
  <si>
    <t>FlexPBX-1769014767.311295</t>
  </si>
  <si>
    <t>Wed Jan 21 2026 13:59:19 GMT-0300 (Brasilia Standard Time)</t>
  </si>
  <si>
    <t>FlexPBX-1769014759.311287</t>
  </si>
  <si>
    <t>Wed Jan 21 2026 13:54:55 GMT-0300 (Brasilia Standard Time)</t>
  </si>
  <si>
    <t>FlexPBX-1769014495.311256</t>
  </si>
  <si>
    <t>Wed Jan 21 2026 13:54:45 GMT-0300 (Brasilia Standard Time)</t>
  </si>
  <si>
    <t>FlexPBX-1769014485.311253</t>
  </si>
  <si>
    <t>Wed Jan 21 2026 13:54:42 GMT-0300 (Brasilia Standard Time)</t>
  </si>
  <si>
    <t>FlexPBX-1769014482.311245</t>
  </si>
  <si>
    <t>Wed Jan 21 2026 13:49:14 GMT-0300 (Brasilia Standard Time)</t>
  </si>
  <si>
    <t>FlexPBX-1769014154.311223</t>
  </si>
  <si>
    <t>Wed Jan 21 2026 13:48:02 GMT-0300 (Brasilia Standard Time)</t>
  </si>
  <si>
    <t>FlexPBX-1769014082.311203</t>
  </si>
  <si>
    <t>Wed Jan 21 2026 13:46:06 GMT-0300 (Brasilia Standard Time)</t>
  </si>
  <si>
    <t>FlexPBX-1769013966.311195</t>
  </si>
  <si>
    <t>Wed Jan 21 2026 13:45:06 GMT-0300 (Brasilia Standard Time)</t>
  </si>
  <si>
    <t>FlexPBX-1769013906.311167</t>
  </si>
  <si>
    <t>Wed Jan 21 2026 13:36:22 GMT-0300 (Brasilia Standard Time)</t>
  </si>
  <si>
    <t>FlexPBX-1769013382.311115</t>
  </si>
  <si>
    <t>Wed Jan 21 2026 11:40:44 GMT-0300 (Brasilia Standard Time)</t>
  </si>
  <si>
    <t>FlexPBX-1769006444.311028</t>
  </si>
  <si>
    <t>Wed Jan 21 2026 11:37:17 GMT-0300 (Brasilia Standard Time)</t>
  </si>
  <si>
    <t>FlexPBX-1769006237.310959</t>
  </si>
  <si>
    <t>Wed Jan 21 2026 11:36:56 GMT-0300 (Brasilia Standard Time)</t>
  </si>
  <si>
    <t>FlexPBX-1769006216.310956</t>
  </si>
  <si>
    <t>Wed Jan 21 2026 11:34:41 GMT-0300 (Brasilia Standard Time)</t>
  </si>
  <si>
    <t>FlexPBX-1769006081.310906</t>
  </si>
  <si>
    <t>Wed Jan 21 2026 11:29:05 GMT-0300 (Brasilia Standard Time)</t>
  </si>
  <si>
    <t>FlexPBX-1769005745.310858</t>
  </si>
  <si>
    <t>Wed Jan 21 2026 11:25:17 GMT-0300 (Brasilia Standard Time)</t>
  </si>
  <si>
    <t>FlexPBX-1769005517.310810</t>
  </si>
  <si>
    <t>Wed Jan 21 2026 11:12:21 GMT-0300 (Brasilia Standard Time)</t>
  </si>
  <si>
    <t>FlexPBX-1769004741.310763</t>
  </si>
  <si>
    <t>Wed Jan 21 2026 11:06:43 GMT-0300 (Brasilia Standard Time)</t>
  </si>
  <si>
    <t>FlexPBX-1769004403.310741</t>
  </si>
  <si>
    <t>Wed Jan 21 2026 11:05:09 GMT-0300 (Brasilia Standard Time)</t>
  </si>
  <si>
    <t>FlexPBX-1769004309.310719</t>
  </si>
  <si>
    <t>Wed Jan 21 2026 11:02:51 GMT-0300 (Brasilia Standard Time)</t>
  </si>
  <si>
    <t>FlexPBX-1769004171.310685</t>
  </si>
  <si>
    <t>Wed Jan 21 2026 10:59:18 GMT-0300 (Brasilia Standard Time)</t>
  </si>
  <si>
    <t>FlexPBX-1769003958.310622</t>
  </si>
  <si>
    <t>Wed Jan 21 2026 10:58:41 GMT-0300 (Brasilia Standard Time)</t>
  </si>
  <si>
    <t>FlexPBX-1769003921.310615</t>
  </si>
  <si>
    <t>Wed Jan 21 2026 10:55:56 GMT-0300 (Brasilia Standard Time)</t>
  </si>
  <si>
    <t>FlexPBX-1769003756.310579</t>
  </si>
  <si>
    <t>Wed Jan 21 2026 10:55:43 GMT-0300 (Brasilia Standard Time)</t>
  </si>
  <si>
    <t>FlexPBX-1769003743.310575</t>
  </si>
  <si>
    <t>Wed Jan 21 2026 10:53:30 GMT-0300 (Brasilia Standard Time)</t>
  </si>
  <si>
    <t>FlexPBX-1769003610.310555</t>
  </si>
  <si>
    <t>Wed Jan 21 2026 10:49:30 GMT-0300 (Brasilia Standard Time)</t>
  </si>
  <si>
    <t>FlexPBX-1769003370.310523</t>
  </si>
  <si>
    <t>Wed Jan 21 2026 10:45:03 GMT-0300 (Brasilia Standard Time)</t>
  </si>
  <si>
    <t>FlexPBX-1769003103.310483</t>
  </si>
  <si>
    <t>Wed Jan 21 2026 10:06:33 GMT-0300 (Brasilia Standard Time)</t>
  </si>
  <si>
    <t>FlexPBX-1769000793.310409</t>
  </si>
  <si>
    <t>Wed Jan 21 2026 10:05:34 GMT-0300 (Brasilia Standard Time)</t>
  </si>
  <si>
    <t>FlexPBX-1769000734.310397</t>
  </si>
  <si>
    <t>Wed Jan 21 2026 10:01:45 GMT-0300 (Brasilia Standard Time)</t>
  </si>
  <si>
    <t>FlexPBX-1769000505.310357</t>
  </si>
  <si>
    <t>Wed Jan 21 2026 09:41:37 GMT-0300 (Brasilia Standard Time)</t>
  </si>
  <si>
    <t>FlexPBX-1768999297.310331</t>
  </si>
  <si>
    <t>Wed Jan 21 2026 09:35:51 GMT-0300 (Brasilia Standard Time)</t>
  </si>
  <si>
    <t>FlexPBX-1768998951.310299</t>
  </si>
  <si>
    <t>Wed Jan 21 2026 09:13:50 GMT-0300 (Brasilia Standard Time)</t>
  </si>
  <si>
    <t>FlexPBX-1768997630.310210</t>
  </si>
  <si>
    <t>Wed Jan 21 2026 09:12:37 GMT-0300 (Brasilia Standard Time)</t>
  </si>
  <si>
    <t>FlexPBX-1768997557.310188</t>
  </si>
  <si>
    <t>Wed Jan 21 2026 09:09:19 GMT-0300 (Brasilia Standard Time)</t>
  </si>
  <si>
    <t>FlexPBX-1768997359.310180</t>
  </si>
  <si>
    <t>Wed Jan 21 2026 09:02:35 GMT-0300 (Brasilia Standard Time)</t>
  </si>
  <si>
    <t>FlexPBX-1768996955.310100</t>
  </si>
  <si>
    <t>Wed Jan 21 2026 09:00:40 GMT-0300 (Brasilia Standard Time)</t>
  </si>
  <si>
    <t>FlexPBX-1768996840.310018</t>
  </si>
  <si>
    <t>Wed Jan 21 2026 09:00:36 GMT-0300 (Brasilia Standard Time)</t>
  </si>
  <si>
    <t>FlexPBX-1768996836.310015</t>
  </si>
  <si>
    <t>Wed Jan 21 2026 08:50:56 GMT-0300 (Brasilia Standard Time)</t>
  </si>
  <si>
    <t>FlexPBX-1768996256.309977</t>
  </si>
  <si>
    <t>Wed Jan 21 2026 08:50:32 GMT-0300 (Brasilia Standard Time)</t>
  </si>
  <si>
    <t>FlexPBX-1768996232.309969</t>
  </si>
  <si>
    <t>Wed Jan 21 2026 08:50:25 GMT-0300 (Brasilia Standard Time)</t>
  </si>
  <si>
    <t>FlexPBX-1768996225.309946</t>
  </si>
  <si>
    <t>Wed Jan 21 2026 08:50:17 GMT-0300 (Brasilia Standard Time)</t>
  </si>
  <si>
    <t>FlexPBX-1768996217.309928</t>
  </si>
  <si>
    <t>Wed Jan 21 2026 08:50:12 GMT-0300 (Brasilia Standard Time)</t>
  </si>
  <si>
    <t>FlexPBX-1768996212.309924</t>
  </si>
  <si>
    <t>Wed Jan 21 2026 08:49:49 GMT-0300 (Brasilia Standard Time)</t>
  </si>
  <si>
    <t>FlexPBX-1768996189.309902</t>
  </si>
  <si>
    <t>Wed Jan 21 2026 08:49:43 GMT-0300 (Brasilia Standard Time)</t>
  </si>
  <si>
    <t>FlexPBX-1768996183.309884</t>
  </si>
  <si>
    <t>Wed Jan 21 2026 08:48:36 GMT-0300 (Brasilia Standard Time)</t>
  </si>
  <si>
    <t>FlexPBX-1768996116.309857</t>
  </si>
  <si>
    <t>Wed Jan 21 2026 08:30:43 GMT-0300 (Brasilia Standard Time)</t>
  </si>
  <si>
    <t>FlexPBX-1768995043.309829</t>
  </si>
  <si>
    <t>Tue Jan 20 2026 17:16:16 GMT-0300 (Brasilia Standard Time)</t>
  </si>
  <si>
    <t>FlexPBX-1768940176.309726</t>
  </si>
  <si>
    <t>Tue Jan 20 2026 17:13:36 GMT-0300 (Brasilia Standard Time)</t>
  </si>
  <si>
    <t>FlexPBX-1768940016.309676</t>
  </si>
  <si>
    <t>Tue Jan 20 2026 17:11:04 GMT-0300 (Brasilia Standard Time)</t>
  </si>
  <si>
    <t>FlexPBX-1768939864.309612</t>
  </si>
  <si>
    <t>Tue Jan 20 2026 17:09:38 GMT-0300 (Brasilia Standard Time)</t>
  </si>
  <si>
    <t>FlexPBX-1768939778.309592</t>
  </si>
  <si>
    <t>Tue Jan 20 2026 16:31:44 GMT-0300 (Brasilia Standard Time)</t>
  </si>
  <si>
    <t>FlexPBX-1768937504.309504</t>
  </si>
  <si>
    <t>Tue Jan 20 2026 16:29:54 GMT-0300 (Brasilia Standard Time)</t>
  </si>
  <si>
    <t>FlexPBX-1768937394.309452</t>
  </si>
  <si>
    <t>Tue Jan 20 2026 16:24:30 GMT-0300 (Brasilia Standard Time)</t>
  </si>
  <si>
    <t>FlexPBX-1768937070.309444</t>
  </si>
  <si>
    <t>Tue Jan 20 2026 16:01:55 GMT-0300 (Brasilia Standard Time)</t>
  </si>
  <si>
    <t>FlexPBX-1768935715.309408</t>
  </si>
  <si>
    <t>Tue Jan 20 2026 15:50:25 GMT-0300 (Brasilia Standard Time)</t>
  </si>
  <si>
    <t>FlexPBX-1768935025.309380</t>
  </si>
  <si>
    <t>Tue Jan 20 2026 15:37:00 GMT-0300 (Brasilia Standard Time)</t>
  </si>
  <si>
    <t>FlexPBX-1768934220.309322</t>
  </si>
  <si>
    <t>Tue Jan 20 2026 15:30:27 GMT-0300 (Brasilia Standard Time)</t>
  </si>
  <si>
    <t>FlexPBX-1768933827.309295</t>
  </si>
  <si>
    <t>Tue Jan 20 2026 15:30:06 GMT-0300 (Brasilia Standard Time)</t>
  </si>
  <si>
    <t>FlexPBX-1768933806.309288</t>
  </si>
  <si>
    <t>Tue Jan 20 2026 15:13:54 GMT-0300 (Brasilia Standard Time)</t>
  </si>
  <si>
    <t>FlexPBX-1768932834.309214</t>
  </si>
  <si>
    <t>Tue Jan 20 2026 14:57:17 GMT-0300 (Brasilia Standard Time)</t>
  </si>
  <si>
    <t>FlexPBX-1768931837.309114</t>
  </si>
  <si>
    <t>Tue Jan 20 2026 14:54:20 GMT-0300 (Brasilia Standard Time)</t>
  </si>
  <si>
    <t>FlexPBX-1768931660.309080</t>
  </si>
  <si>
    <t>Tue Jan 20 2026 14:35:49 GMT-0300 (Brasilia Standard Time)</t>
  </si>
  <si>
    <t>FlexPBX-1768930549.309014</t>
  </si>
  <si>
    <t>Tue Jan 20 2026 14:17:24 GMT-0300 (Brasilia Standard Time)</t>
  </si>
  <si>
    <t>FlexPBX-1768929444.308982</t>
  </si>
  <si>
    <t>Tue Jan 20 2026 14:14:09 GMT-0300 (Brasilia Standard Time)</t>
  </si>
  <si>
    <t>FlexPBX-1768929249.308959</t>
  </si>
  <si>
    <t>Tue Jan 20 2026 14:09:17 GMT-0300 (Brasilia Standard Time)</t>
  </si>
  <si>
    <t>FlexPBX-1768928957.308913</t>
  </si>
  <si>
    <t>Tue Jan 20 2026 14:08:10 GMT-0300 (Brasilia Standard Time)</t>
  </si>
  <si>
    <t>FlexPBX-1768928890.308885</t>
  </si>
  <si>
    <t>Tue Jan 20 2026 14:04:05 GMT-0300 (Brasilia Standard Time)</t>
  </si>
  <si>
    <t>FlexPBX-1768928645.308849</t>
  </si>
  <si>
    <t>Tue Jan 20 2026 13:53:40 GMT-0300 (Brasilia Standard Time)</t>
  </si>
  <si>
    <t>FlexPBX-1768928020.308821</t>
  </si>
  <si>
    <t>Tue Jan 20 2026 13:39:24 GMT-0300 (Brasilia Standard Time)</t>
  </si>
  <si>
    <t>FlexPBX-1768927164.308801</t>
  </si>
  <si>
    <t>Tue Jan 20 2026 13:38:54 GMT-0300 (Brasilia Standard Time)</t>
  </si>
  <si>
    <t>FlexPBX-1768927134.308791</t>
  </si>
  <si>
    <t>Tue Jan 20 2026 13:37:45 GMT-0300 (Brasilia Standard Time)</t>
  </si>
  <si>
    <t>FlexPBX-1768927065.308755</t>
  </si>
  <si>
    <t>Tue Jan 20 2026 13:37:41 GMT-0300 (Brasilia Standard Time)</t>
  </si>
  <si>
    <t>FlexPBX-1768927061.308751</t>
  </si>
  <si>
    <t>Tue Jan 20 2026 13:35:41 GMT-0300 (Brasilia Standard Time)</t>
  </si>
  <si>
    <t>FlexPBX-1768926941.308705</t>
  </si>
  <si>
    <t>Tue Jan 20 2026 11:38:50 GMT-0300 (Brasilia Standard Time)</t>
  </si>
  <si>
    <t>FlexPBX-1768919930.308575</t>
  </si>
  <si>
    <t>Tue Jan 20 2026 11:20:40 GMT-0300 (Brasilia Standard Time)</t>
  </si>
  <si>
    <t>FlexPBX-1768918840.308541</t>
  </si>
  <si>
    <t>Tue Jan 20 2026 11:06:53 GMT-0300 (Brasilia Standard Time)</t>
  </si>
  <si>
    <t>FlexPBX-1768918013.308457</t>
  </si>
  <si>
    <t>Tue Jan 20 2026 10:50:30 GMT-0300 (Brasilia Standard Time)</t>
  </si>
  <si>
    <t>FlexPBX-1768917030.308419</t>
  </si>
  <si>
    <t>Tue Jan 20 2026 10:48:02 GMT-0300 (Brasilia Standard Time)</t>
  </si>
  <si>
    <t>FlexPBX-1768916882.308403</t>
  </si>
  <si>
    <t>Tue Jan 20 2026 10:37:16 GMT-0300 (Brasilia Standard Time)</t>
  </si>
  <si>
    <t>FlexPBX-1768916236.308325</t>
  </si>
  <si>
    <t>Tue Jan 20 2026 10:19:33 GMT-0300 (Brasilia Standard Time)</t>
  </si>
  <si>
    <t>FlexPBX-1768915173.308286</t>
  </si>
  <si>
    <t>Tue Jan 20 2026 10:11:55 GMT-0300 (Brasilia Standard Time)</t>
  </si>
  <si>
    <t>FlexPBX-1768914715.308248</t>
  </si>
  <si>
    <t>Tue Jan 20 2026 10:09:29 GMT-0300 (Brasilia Standard Time)</t>
  </si>
  <si>
    <t>FlexPBX-1768914569.308230</t>
  </si>
  <si>
    <t>Tue Jan 20 2026 10:07:14 GMT-0300 (Brasilia Standard Time)</t>
  </si>
  <si>
    <t>FlexPBX-1768914434.308216</t>
  </si>
  <si>
    <t>Tue Jan 20 2026 10:03:23 GMT-0300 (Brasilia Standard Time)</t>
  </si>
  <si>
    <t>FlexPBX-1768914203.308204</t>
  </si>
  <si>
    <t>Tue Jan 20 2026 09:56:23 GMT-0300 (Brasilia Standard Time)</t>
  </si>
  <si>
    <t>FlexPBX-1768913783.308182</t>
  </si>
  <si>
    <t>Tue Jan 20 2026 09:55:16 GMT-0300 (Brasilia Standard Time)</t>
  </si>
  <si>
    <t>FlexPBX-1768913716.308168</t>
  </si>
  <si>
    <t>Tue Jan 20 2026 09:55:00 GMT-0300 (Brasilia Standard Time)</t>
  </si>
  <si>
    <t>FlexPBX-1768913700.308160</t>
  </si>
  <si>
    <t>Tue Jan 20 2026 09:54:17 GMT-0300 (Brasilia Standard Time)</t>
  </si>
  <si>
    <t>FlexPBX-1768913657.308152</t>
  </si>
  <si>
    <t>Tue Jan 20 2026 09:52:39 GMT-0300 (Brasilia Standard Time)</t>
  </si>
  <si>
    <t>FlexPBX-1768913559.308134</t>
  </si>
  <si>
    <t>Tue Jan 20 2026 09:52:20 GMT-0300 (Brasilia Standard Time)</t>
  </si>
  <si>
    <t>FlexPBX-1768913540.308126</t>
  </si>
  <si>
    <t>Tue Jan 20 2026 09:49:46 GMT-0300 (Brasilia Standard Time)</t>
  </si>
  <si>
    <t>FlexPBX-1768913386.308112</t>
  </si>
  <si>
    <t>Tue Jan 20 2026 09:48:08 GMT-0300 (Brasilia Standard Time)</t>
  </si>
  <si>
    <t>FlexPBX-1768913288.308092</t>
  </si>
  <si>
    <t>Tue Jan 20 2026 09:45:16 GMT-0300 (Brasilia Standard Time)</t>
  </si>
  <si>
    <t>FlexPBX-1768913116.308084</t>
  </si>
  <si>
    <t>Tue Jan 20 2026 09:23:40 GMT-0300 (Brasilia Standard Time)</t>
  </si>
  <si>
    <t>FlexPBX-1768911820.307977</t>
  </si>
  <si>
    <t>Tue Jan 20 2026 09:23:35 GMT-0300 (Brasilia Standard Time)</t>
  </si>
  <si>
    <t>FlexPBX-1768911815.307969</t>
  </si>
  <si>
    <t>Tue Jan 20 2026 09:01:36 GMT-0300 (Brasilia Standard Time)</t>
  </si>
  <si>
    <t>FlexPBX-1768910496.307854</t>
  </si>
  <si>
    <t>Tue Jan 20 2026 08:54:29 GMT-0300 (Brasilia Standard Time)</t>
  </si>
  <si>
    <t>FlexPBX-1768910069.307822</t>
  </si>
  <si>
    <t>Tue Jan 20 2026 08:39:57 GMT-0300 (Brasilia Standard Time)</t>
  </si>
  <si>
    <t>FlexPBX-1768909197.307774</t>
  </si>
  <si>
    <t>Tue Jan 20 2026 08:37:15 GMT-0300 (Brasilia Standard Time)</t>
  </si>
  <si>
    <t>FlexPBX-1768909035.307756</t>
  </si>
  <si>
    <t>Tue Jan 20 2026 08:35:59 GMT-0300 (Brasilia Standard Time)</t>
  </si>
  <si>
    <t>FlexPBX-1768908959.307744</t>
  </si>
  <si>
    <t>Tue Jan 20 2026 08:32:48 GMT-0300 (Brasilia Standard Time)</t>
  </si>
  <si>
    <t>FlexPBX-1768908768.307728</t>
  </si>
  <si>
    <t>Tue Jan 20 2026 08:31:07 GMT-0300 (Brasilia Standard Time)</t>
  </si>
  <si>
    <t>FlexPBX-1768908667.307660</t>
  </si>
  <si>
    <t>Mon Jan 19 2026 17:29:51 GMT-0300 (Brasilia Standard Time)</t>
  </si>
  <si>
    <t>FlexPBX-1768854591.307581</t>
  </si>
  <si>
    <t>Mon Jan 19 2026 16:54:32 GMT-0300 (Brasilia Standard Time)</t>
  </si>
  <si>
    <t>FlexPBX-1768852472.307417</t>
  </si>
  <si>
    <t>Mon Jan 19 2026 16:52:40 GMT-0300 (Brasilia Standard Time)</t>
  </si>
  <si>
    <t>FlexPBX-1768852360.307401</t>
  </si>
  <si>
    <t>Mon Jan 19 2026 16:39:08 GMT-0300 (Brasilia Standard Time)</t>
  </si>
  <si>
    <t>FlexPBX-1768851548.307377</t>
  </si>
  <si>
    <t>Mon Jan 19 2026 16:34:36 GMT-0300 (Brasilia Standard Time)</t>
  </si>
  <si>
    <t>FlexPBX-1768851276.307349</t>
  </si>
  <si>
    <t>Mon Jan 19 2026 16:33:46 GMT-0300 (Brasilia Standard Time)</t>
  </si>
  <si>
    <t>FlexPBX-1768851226.307341</t>
  </si>
  <si>
    <t>Mon Jan 19 2026 16:21:56 GMT-0300 (Brasilia Standard Time)</t>
  </si>
  <si>
    <t>FlexPBX-1768850516.307294</t>
  </si>
  <si>
    <t>Mon Jan 19 2026 16:20:08 GMT-0300 (Brasilia Standard Time)</t>
  </si>
  <si>
    <t>FlexPBX-1768850408.307282</t>
  </si>
  <si>
    <t>Mon Jan 19 2026 15:56:10 GMT-0300 (Brasilia Standard Time)</t>
  </si>
  <si>
    <t>FlexPBX-1768848970.307186</t>
  </si>
  <si>
    <t>Mon Jan 19 2026 15:39:18 GMT-0300 (Brasilia Standard Time)</t>
  </si>
  <si>
    <t>FlexPBX-1768847958.307108</t>
  </si>
  <si>
    <t>Mon Jan 19 2026 15:25:36 GMT-0300 (Brasilia Standard Time)</t>
  </si>
  <si>
    <t>FlexPBX-1768847136.307046</t>
  </si>
  <si>
    <t>Mon Jan 19 2026 15:24:14 GMT-0300 (Brasilia Standard Time)</t>
  </si>
  <si>
    <t>FlexPBX-1768847054.307018</t>
  </si>
  <si>
    <t>Mon Jan 19 2026 15:02:24 GMT-0300 (Brasilia Standard Time)</t>
  </si>
  <si>
    <t>FlexPBX-1768845744.306949</t>
  </si>
  <si>
    <t>Mon Jan 19 2026 15:01:55 GMT-0300 (Brasilia Standard Time)</t>
  </si>
  <si>
    <t>FlexPBX-1768845715.306942</t>
  </si>
  <si>
    <t>Mon Jan 19 2026 14:59:53 GMT-0300 (Brasilia Standard Time)</t>
  </si>
  <si>
    <t>FlexPBX-1768845593.306934</t>
  </si>
  <si>
    <t>Mon Jan 19 2026 14:45:36 GMT-0300 (Brasilia Standard Time)</t>
  </si>
  <si>
    <t>FlexPBX-1768844736.306882</t>
  </si>
  <si>
    <t>Mon Jan 19 2026 14:44:59 GMT-0300 (Brasilia Standard Time)</t>
  </si>
  <si>
    <t>FlexPBX-1768844699.306874</t>
  </si>
  <si>
    <t>Mon Jan 19 2026 14:35:14 GMT-0300 (Brasilia Standard Time)</t>
  </si>
  <si>
    <t>FlexPBX-1768844114.306799</t>
  </si>
  <si>
    <t>Mon Jan 19 2026 14:35:03 GMT-0300 (Brasilia Standard Time)</t>
  </si>
  <si>
    <t>FlexPBX-1768844103.306788</t>
  </si>
  <si>
    <t>Mon Jan 19 2026 14:30:23 GMT-0300 (Brasilia Standard Time)</t>
  </si>
  <si>
    <t>FlexPBX-1768843823.306768</t>
  </si>
  <si>
    <t>Mon Jan 19 2026 14:03:09 GMT-0300 (Brasilia Standard Time)</t>
  </si>
  <si>
    <t>FlexPBX-1768842189.306728</t>
  </si>
  <si>
    <t>Mon Jan 19 2026 14:01:29 GMT-0300 (Brasilia Standard Time)</t>
  </si>
  <si>
    <t>FlexPBX-1768842089.306714</t>
  </si>
  <si>
    <t>Mon Jan 19 2026 13:59:48 GMT-0300 (Brasilia Standard Time)</t>
  </si>
  <si>
    <t>FlexPBX-1768841988.306694</t>
  </si>
  <si>
    <t>Mon Jan 19 2026 13:48:53 GMT-0300 (Brasilia Standard Time)</t>
  </si>
  <si>
    <t>FlexPBX-1768841333.306636</t>
  </si>
  <si>
    <t>Mon Jan 19 2026 13:48:32 GMT-0300 (Brasilia Standard Time)</t>
  </si>
  <si>
    <t>FlexPBX-1768841312.306619</t>
  </si>
  <si>
    <t>Mon Jan 19 2026 13:48:29 GMT-0300 (Brasilia Standard Time)</t>
  </si>
  <si>
    <t>FlexPBX-1768841309.306616</t>
  </si>
  <si>
    <t>Mon Jan 19 2026 13:35:09 GMT-0300 (Brasilia Standard Time)</t>
  </si>
  <si>
    <t>FlexPBX-1768840509.306586</t>
  </si>
  <si>
    <t>Mon Jan 19 2026 13:31:30 GMT-0300 (Brasilia Standard Time)</t>
  </si>
  <si>
    <t>FlexPBX-1768840290.306530</t>
  </si>
  <si>
    <t>Mon Jan 19 2026 11:36:13 GMT-0300 (Brasilia Standard Time)</t>
  </si>
  <si>
    <t>FlexPBX-1768833372.306369</t>
  </si>
  <si>
    <t>Mon Jan 19 2026 11:18:46 GMT-0300 (Brasilia Standard Time)</t>
  </si>
  <si>
    <t>FlexPBX-1768832326.306290</t>
  </si>
  <si>
    <t>Mon Jan 19 2026 11:00:57 GMT-0300 (Brasilia Standard Time)</t>
  </si>
  <si>
    <t>FlexPBX-1768831257.306262</t>
  </si>
  <si>
    <t>Mon Jan 19 2026 10:42:47 GMT-0300 (Brasilia Standard Time)</t>
  </si>
  <si>
    <t>FlexPBX-1768830167.306192</t>
  </si>
  <si>
    <t>Mon Jan 19 2026 10:37:50 GMT-0300 (Brasilia Standard Time)</t>
  </si>
  <si>
    <t>FlexPBX-1768829870.306156</t>
  </si>
  <si>
    <t>Mon Jan 19 2026 10:28:12 GMT-0300 (Brasilia Standard Time)</t>
  </si>
  <si>
    <t>FlexPBX-1768829292.306100</t>
  </si>
  <si>
    <t>Mon Jan 19 2026 10:23:28 GMT-0300 (Brasilia Standard Time)</t>
  </si>
  <si>
    <t>FlexPBX-1768829008.306074</t>
  </si>
  <si>
    <t>Mon Jan 19 2026 10:19:03 GMT-0300 (Brasilia Standard Time)</t>
  </si>
  <si>
    <t>FlexPBX-1768828743.306019</t>
  </si>
  <si>
    <t>Mon Jan 19 2026 10:18:42 GMT-0300 (Brasilia Standard Time)</t>
  </si>
  <si>
    <t>FlexPBX-1768828722.306001</t>
  </si>
  <si>
    <t>Mon Jan 19 2026 10:18:40 GMT-0300 (Brasilia Standard Time)</t>
  </si>
  <si>
    <t>FlexPBX-1768828720.305998</t>
  </si>
  <si>
    <t>Mon Jan 19 2026 10:18:37 GMT-0300 (Brasilia Standard Time)</t>
  </si>
  <si>
    <t>FlexPBX-1768828717.305994</t>
  </si>
  <si>
    <t>Mon Jan 19 2026 09:56:25 GMT-0300 (Brasilia Standard Time)</t>
  </si>
  <si>
    <t>FlexPBX-1768827385.305931</t>
  </si>
  <si>
    <t>Mon Jan 19 2026 09:44:24 GMT-0300 (Brasilia Standard Time)</t>
  </si>
  <si>
    <t>FlexPBX-1768826664.305857</t>
  </si>
  <si>
    <t>Mon Jan 19 2026 09:37:40 GMT-0300 (Brasilia Standard Time)</t>
  </si>
  <si>
    <t>FlexPBX-1768826260.305790</t>
  </si>
  <si>
    <t>Mon Jan 19 2026 09:36:14 GMT-0300 (Brasilia Standard Time)</t>
  </si>
  <si>
    <t>FlexPBX-1768826174.305758</t>
  </si>
  <si>
    <t>Mon Jan 19 2026 09:17:40 GMT-0300 (Brasilia Standard Time)</t>
  </si>
  <si>
    <t>FlexPBX-1768825060.305688</t>
  </si>
  <si>
    <t>Mon Jan 19 2026 09:15:31 GMT-0300 (Brasilia Standard Time)</t>
  </si>
  <si>
    <t>FlexPBX-1768824931.305672</t>
  </si>
  <si>
    <t>Mon Jan 19 2026 09:03:05 GMT-0300 (Brasilia Standard Time)</t>
  </si>
  <si>
    <t>FlexPBX-1768824185.305629</t>
  </si>
  <si>
    <t>Mon Jan 19 2026 09:02:33 GMT-0300 (Brasilia Standard Time)</t>
  </si>
  <si>
    <t>FlexPBX-1768824153.305595</t>
  </si>
  <si>
    <t>Mon Jan 19 2026 09:02:23 GMT-0300 (Brasilia Standard Time)</t>
  </si>
  <si>
    <t>FlexPBX-1768824143.305592</t>
  </si>
  <si>
    <t>Mon Jan 19 2026 09:01:45 GMT-0300 (Brasilia Standard Time)</t>
  </si>
  <si>
    <t>FlexPBX-1768824105.305572</t>
  </si>
  <si>
    <t>Mon Jan 19 2026 08:44:21 GMT-0300 (Brasilia Standard Time)</t>
  </si>
  <si>
    <t>FlexPBX-1768823061.305552</t>
  </si>
  <si>
    <t>Mon Jan 19 2026 08:44:16 GMT-0300 (Brasilia Standard Time)</t>
  </si>
  <si>
    <t>FlexPBX-1768823056.305544</t>
  </si>
  <si>
    <t>Mon Jan 19 2026 08:42:59 GMT-0300 (Brasilia Standard Time)</t>
  </si>
  <si>
    <t>FlexPBX-1768822979.305522</t>
  </si>
  <si>
    <t>Mon Jan 19 2026 08:35:02 GMT-0300 (Brasilia Standard Time)</t>
  </si>
  <si>
    <t>FlexPBX-1768822502.305504</t>
  </si>
  <si>
    <t>Mon Jan 19 2026 08:34:48 GMT-0300 (Brasilia Standard Time)</t>
  </si>
  <si>
    <t>FlexPBX-1768822488.305496</t>
  </si>
  <si>
    <t>Mon Jan 19 2026 08:34:18 GMT-0300 (Brasilia Standard Time)</t>
  </si>
  <si>
    <t>FlexPBX-1768822458.305482</t>
  </si>
  <si>
    <t>Mon Jan 19 2026 08:32:31 GMT-0300 (Brasilia Standard Time)</t>
  </si>
  <si>
    <t>FlexPBX-1768822351.305430</t>
  </si>
  <si>
    <t>Fri Jan 16 2026 17:42:50 GMT-0300 (Brasilia Standard Time)</t>
  </si>
  <si>
    <t>FlexPBX-1768596170.305336</t>
  </si>
  <si>
    <t>Fri Jan 16 2026 17:42:10 GMT-0300 (Brasilia Standard Time)</t>
  </si>
  <si>
    <t>FlexPBX-1768596130.305328</t>
  </si>
  <si>
    <t>Fri Jan 16 2026 17:33:53 GMT-0300 (Brasilia Standard Time)</t>
  </si>
  <si>
    <t>FlexPBX-1768595633.305306</t>
  </si>
  <si>
    <t>Fri Jan 16 2026 17:33:26 GMT-0300 (Brasilia Standard Time)</t>
  </si>
  <si>
    <t>FlexPBX-1768595606.305294</t>
  </si>
  <si>
    <t>Fri Jan 16 2026 17:30:42 GMT-0300 (Brasilia Standard Time)</t>
  </si>
  <si>
    <t>FlexPBX-1768595442.305286</t>
  </si>
  <si>
    <t>Fri Jan 16 2026 17:28:44 GMT-0300 (Brasilia Standard Time)</t>
  </si>
  <si>
    <t>FlexPBX-1768595324.305195</t>
  </si>
  <si>
    <t>Fri Jan 16 2026 17:28:43 GMT-0300 (Brasilia Standard Time)</t>
  </si>
  <si>
    <t>FlexPBX-1768595323.305191</t>
  </si>
  <si>
    <t>Fri Jan 16 2026 17:28:35 GMT-0300 (Brasilia Standard Time)</t>
  </si>
  <si>
    <t>FlexPBX-1768595315.305188</t>
  </si>
  <si>
    <t>Fri Jan 16 2026 17:28:27 GMT-0300 (Brasilia Standard Time)</t>
  </si>
  <si>
    <t>FlexPBX-1768595307.305180</t>
  </si>
  <si>
    <t>Fri Jan 16 2026 17:24:36 GMT-0300 (Brasilia Standard Time)</t>
  </si>
  <si>
    <t>FlexPBX-1768595076.305172</t>
  </si>
  <si>
    <t>Fri Jan 16 2026 17:24:31 GMT-0300 (Brasilia Standard Time)</t>
  </si>
  <si>
    <t>FlexPBX-1768595071.305164</t>
  </si>
  <si>
    <t>Fri Jan 16 2026 17:05:22 GMT-0300 (Brasilia Standard Time)</t>
  </si>
  <si>
    <t>FlexPBX-1768593922.305124</t>
  </si>
  <si>
    <t>Fri Jan 16 2026 17:04:52 GMT-0300 (Brasilia Standard Time)</t>
  </si>
  <si>
    <t>FlexPBX-1768593892.305110</t>
  </si>
  <si>
    <t>Fri Jan 16 2026 16:50:56 GMT-0300 (Brasilia Standard Time)</t>
  </si>
  <si>
    <t>FlexPBX-1768593056.305024</t>
  </si>
  <si>
    <t>Fri Jan 16 2026 16:49:22 GMT-0300 (Brasilia Standard Time)</t>
  </si>
  <si>
    <t>FlexPBX-1768592962.305012</t>
  </si>
  <si>
    <t>Fri Jan 16 2026 16:48:59 GMT-0300 (Brasilia Standard Time)</t>
  </si>
  <si>
    <t>FlexPBX-1768592939.305008</t>
  </si>
  <si>
    <t>Fri Jan 16 2026 16:45:19 GMT-0300 (Brasilia Standard Time)</t>
  </si>
  <si>
    <t>FlexPBX-1768592719.304988</t>
  </si>
  <si>
    <t>Fri Jan 16 2026 16:38:40 GMT-0300 (Brasilia Standard Time)</t>
  </si>
  <si>
    <t>FlexPBX-1768592320.304970</t>
  </si>
  <si>
    <t>Fri Jan 16 2026 16:37:47 GMT-0300 (Brasilia Standard Time)</t>
  </si>
  <si>
    <t>FlexPBX-1768592267.304942</t>
  </si>
  <si>
    <t>Fri Jan 16 2026 16:32:10 GMT-0300 (Brasilia Standard Time)</t>
  </si>
  <si>
    <t>FlexPBX-1768591930.304906</t>
  </si>
  <si>
    <t>Fri Jan 16 2026 16:24:37 GMT-0300 (Brasilia Standard Time)</t>
  </si>
  <si>
    <t>FlexPBX-1768591477.304858</t>
  </si>
  <si>
    <t>Fri Jan 16 2026 16:20:54 GMT-0300 (Brasilia Standard Time)</t>
  </si>
  <si>
    <t>FlexPBX-1768591254.304838</t>
  </si>
  <si>
    <t>Fri Jan 16 2026 16:05:12 GMT-0300 (Brasilia Standard Time)</t>
  </si>
  <si>
    <t>FlexPBX-1768590312.304782</t>
  </si>
  <si>
    <t>Fri Jan 16 2026 15:59:12 GMT-0300 (Brasilia Standard Time)</t>
  </si>
  <si>
    <t>FlexPBX-1768589952.304726</t>
  </si>
  <si>
    <t>Fri Jan 16 2026 15:55:22 GMT-0300 (Brasilia Standard Time)</t>
  </si>
  <si>
    <t>FlexPBX-1768589722.304692</t>
  </si>
  <si>
    <t>Fri Jan 16 2026 15:53:10 GMT-0300 (Brasilia Standard Time)</t>
  </si>
  <si>
    <t>FlexPBX-1768589590.304678</t>
  </si>
  <si>
    <t>Fri Jan 16 2026 15:42:48 GMT-0300 (Brasilia Standard Time)</t>
  </si>
  <si>
    <t>FlexPBX-1768588968.304579</t>
  </si>
  <si>
    <t>Fri Jan 16 2026 15:41:32 GMT-0300 (Brasilia Standard Time)</t>
  </si>
  <si>
    <t>FlexPBX-1768588891.304551</t>
  </si>
  <si>
    <t>Fri Jan 16 2026 15:39:05 GMT-0300 (Brasilia Standard Time)</t>
  </si>
  <si>
    <t>FlexPBX-1768588745.304543</t>
  </si>
  <si>
    <t>Fri Jan 16 2026 15:33:35 GMT-0300 (Brasilia Standard Time)</t>
  </si>
  <si>
    <t>FlexPBX-1768588415.304523</t>
  </si>
  <si>
    <t>Fri Jan 16 2026 15:32:08 GMT-0300 (Brasilia Standard Time)</t>
  </si>
  <si>
    <t>FlexPBX-1768588328.304453</t>
  </si>
  <si>
    <t>Fri Jan 16 2026 15:30:14 GMT-0300 (Brasilia Standard Time)</t>
  </si>
  <si>
    <t>FlexPBX-1768588214.304417</t>
  </si>
  <si>
    <t>Fri Jan 16 2026 15:24:15 GMT-0300 (Brasilia Standard Time)</t>
  </si>
  <si>
    <t>FlexPBX-1768587855.304397</t>
  </si>
  <si>
    <t>Fri Jan 16 2026 15:24:00 GMT-0300 (Brasilia Standard Time)</t>
  </si>
  <si>
    <t>FlexPBX-1768587840.304389</t>
  </si>
  <si>
    <t>Fri Jan 16 2026 15:23:14 GMT-0300 (Brasilia Standard Time)</t>
  </si>
  <si>
    <t>FlexPBX-1768587794.304381</t>
  </si>
  <si>
    <t>Fri Jan 16 2026 15:21:37 GMT-0300 (Brasilia Standard Time)</t>
  </si>
  <si>
    <t>FlexPBX-1768587697.304313</t>
  </si>
  <si>
    <t>Fri Jan 16 2026 15:15:47 GMT-0300 (Brasilia Standard Time)</t>
  </si>
  <si>
    <t>FlexPBX-1768587347.304235</t>
  </si>
  <si>
    <t>Fri Jan 16 2026 14:59:39 GMT-0300 (Brasilia Standard Time)</t>
  </si>
  <si>
    <t>FlexPBX-1768586379.304110</t>
  </si>
  <si>
    <t>Fri Jan 16 2026 14:59:15 GMT-0300 (Brasilia Standard Time)</t>
  </si>
  <si>
    <t>FlexPBX-1768586355.304105</t>
  </si>
  <si>
    <t>Fri Jan 16 2026 14:55:52 GMT-0300 (Brasilia Standard Time)</t>
  </si>
  <si>
    <t>FlexPBX-1768586152.303986</t>
  </si>
  <si>
    <t>Fri Jan 16 2026 14:53:05 GMT-0300 (Brasilia Standard Time)</t>
  </si>
  <si>
    <t>FlexPBX-1768585985.303958</t>
  </si>
  <si>
    <t>Fri Jan 16 2026 14:49:17 GMT-0300 (Brasilia Standard Time)</t>
  </si>
  <si>
    <t>FlexPBX-1768585757.303938</t>
  </si>
  <si>
    <t>Fri Jan 16 2026 14:44:55 GMT-0300 (Brasilia Standard Time)</t>
  </si>
  <si>
    <t>FlexPBX-1768585495.303890</t>
  </si>
  <si>
    <t>Fri Jan 16 2026 14:44:16 GMT-0300 (Brasilia Standard Time)</t>
  </si>
  <si>
    <t>FlexPBX-1768585456.303854</t>
  </si>
  <si>
    <t>Fri Jan 16 2026 14:44:03 GMT-0300 (Brasilia Standard Time)</t>
  </si>
  <si>
    <t>FlexPBX-1768585443.303845</t>
  </si>
  <si>
    <t>Fri Jan 16 2026 14:43:54 GMT-0300 (Brasilia Standard Time)</t>
  </si>
  <si>
    <t>FlexPBX-1768585434.303842</t>
  </si>
  <si>
    <t>Fri Jan 16 2026 14:40:30 GMT-0300 (Brasilia Standard Time)</t>
  </si>
  <si>
    <t>FlexPBX-1768585230.303822</t>
  </si>
  <si>
    <t>Fri Jan 16 2026 14:35:43 GMT-0300 (Brasilia Standard Time)</t>
  </si>
  <si>
    <t>FlexPBX-1768584943.303790</t>
  </si>
  <si>
    <t>Fri Jan 16 2026 14:28:56 GMT-0300 (Brasilia Standard Time)</t>
  </si>
  <si>
    <t>FlexPBX-1768584535.303700</t>
  </si>
  <si>
    <t>Fri Jan 16 2026 14:24:34 GMT-0300 (Brasilia Standard Time)</t>
  </si>
  <si>
    <t>FlexPBX-1768584274.303669</t>
  </si>
  <si>
    <t>Fri Jan 16 2026 14:22:14 GMT-0300 (Brasilia Standard Time)</t>
  </si>
  <si>
    <t>FlexPBX-1768584134.303657</t>
  </si>
  <si>
    <t>Fri Jan 16 2026 14:16:37 GMT-0300 (Brasilia Standard Time)</t>
  </si>
  <si>
    <t>FlexPBX-1768583797.303643</t>
  </si>
  <si>
    <t>Fri Jan 16 2026 14:15:20 GMT-0300 (Brasilia Standard Time)</t>
  </si>
  <si>
    <t>FlexPBX-1768583720.303631</t>
  </si>
  <si>
    <t>Fri Jan 16 2026 14:09:12 GMT-0300 (Brasilia Standard Time)</t>
  </si>
  <si>
    <t>FlexPBX-1768583352.303570</t>
  </si>
  <si>
    <t>Fri Jan 16 2026 14:07:46 GMT-0300 (Brasilia Standard Time)</t>
  </si>
  <si>
    <t>FlexPBX-1768583266.303562</t>
  </si>
  <si>
    <t>Fri Jan 16 2026 14:07:39 GMT-0300 (Brasilia Standard Time)</t>
  </si>
  <si>
    <t>FlexPBX-1768583259.303554</t>
  </si>
  <si>
    <t>Fri Jan 16 2026 13:59:40 GMT-0300 (Brasilia Standard Time)</t>
  </si>
  <si>
    <t>FlexPBX-1768582780.303532</t>
  </si>
  <si>
    <t>Fri Jan 16 2026 13:41:47 GMT-0300 (Brasilia Standard Time)</t>
  </si>
  <si>
    <t>FlexPBX-1768581707.303459</t>
  </si>
  <si>
    <t>Fri Jan 16 2026 13:41:40 GMT-0300 (Brasilia Standard Time)</t>
  </si>
  <si>
    <t>FlexPBX-1768581700.303456</t>
  </si>
  <si>
    <t>Fri Jan 16 2026 13:39:12 GMT-0300 (Brasilia Standard Time)</t>
  </si>
  <si>
    <t>FlexPBX-1768581552.303416</t>
  </si>
  <si>
    <t>Fri Jan 16 2026 13:32:01 GMT-0300 (Brasilia Standard Time)</t>
  </si>
  <si>
    <t>FlexPBX-1768581121.303348</t>
  </si>
  <si>
    <t>Fri Jan 16 2026 11:56:22 GMT-0300 (Brasilia Standard Time)</t>
  </si>
  <si>
    <t>FlexPBX-1768575382.303243</t>
  </si>
  <si>
    <t>Fri Jan 16 2026 11:45:08 GMT-0300 (Brasilia Standard Time)</t>
  </si>
  <si>
    <t>FlexPBX-1768574708.303216</t>
  </si>
  <si>
    <t>Fri Jan 16 2026 11:43:54 GMT-0300 (Brasilia Standard Time)</t>
  </si>
  <si>
    <t>FlexPBX-1768574634.303208</t>
  </si>
  <si>
    <t>Fri Jan 16 2026 11:11:29 GMT-0300 (Brasilia Standard Time)</t>
  </si>
  <si>
    <t>FlexPBX-1768572689.303121</t>
  </si>
  <si>
    <t>Fri Jan 16 2026 11:08:38 GMT-0300 (Brasilia Standard Time)</t>
  </si>
  <si>
    <t>FlexPBX-1768572518.303101</t>
  </si>
  <si>
    <t>Fri Jan 16 2026 10:52:49 GMT-0300 (Brasilia Standard Time)</t>
  </si>
  <si>
    <t>FlexPBX-1768571569.303064</t>
  </si>
  <si>
    <t>Fri Jan 16 2026 10:50:43 GMT-0300 (Brasilia Standard Time)</t>
  </si>
  <si>
    <t>FlexPBX-1768571443.303012</t>
  </si>
  <si>
    <t>Fri Jan 16 2026 10:47:36 GMT-0300 (Brasilia Standard Time)</t>
  </si>
  <si>
    <t>FlexPBX-1768571256.302996</t>
  </si>
  <si>
    <t>Fri Jan 16 2026 10:47:16 GMT-0300 (Brasilia Standard Time)</t>
  </si>
  <si>
    <t>FlexPBX-1768571236.302988</t>
  </si>
  <si>
    <t>Fri Jan 16 2026 10:33:25 GMT-0300 (Brasilia Standard Time)</t>
  </si>
  <si>
    <t>FlexPBX-1768570405.302954</t>
  </si>
  <si>
    <t>Fri Jan 16 2026 10:32:05 GMT-0300 (Brasilia Standard Time)</t>
  </si>
  <si>
    <t>FlexPBX-1768570325.302929</t>
  </si>
  <si>
    <t>Fri Jan 16 2026 10:32:00 GMT-0300 (Brasilia Standard Time)</t>
  </si>
  <si>
    <t>FlexPBX-1768570320.302920</t>
  </si>
  <si>
    <t>FlexPBX-1768570320.302918</t>
  </si>
  <si>
    <t>Fri Jan 16 2026 10:31:49 GMT-0300 (Brasilia Standard Time)</t>
  </si>
  <si>
    <t>FlexPBX-1768570309.302910</t>
  </si>
  <si>
    <t>Fri Jan 16 2026 10:10:35 GMT-0300 (Brasilia Standard Time)</t>
  </si>
  <si>
    <t>FlexPBX-1768569035.302857</t>
  </si>
  <si>
    <t>Fri Jan 16 2026 10:01:56 GMT-0300 (Brasilia Standard Time)</t>
  </si>
  <si>
    <t>FlexPBX-1768568516.302790</t>
  </si>
  <si>
    <t>Fri Jan 16 2026 09:58:42 GMT-0300 (Brasilia Standard Time)</t>
  </si>
  <si>
    <t>FlexPBX-1768568322.302750</t>
  </si>
  <si>
    <t>Fri Jan 16 2026 09:56:37 GMT-0300 (Brasilia Standard Time)</t>
  </si>
  <si>
    <t>FlexPBX-1768568197.302733</t>
  </si>
  <si>
    <t>Fri Jan 16 2026 09:51:35 GMT-0300 (Brasilia Standard Time)</t>
  </si>
  <si>
    <t>FlexPBX-1768567895.302691</t>
  </si>
  <si>
    <t>Fri Jan 16 2026 09:43:14 GMT-0300 (Brasilia Standard Time)</t>
  </si>
  <si>
    <t>FlexPBX-1768567394.302654</t>
  </si>
  <si>
    <t>Fri Jan 16 2026 09:40:06 GMT-0300 (Brasilia Standard Time)</t>
  </si>
  <si>
    <t>FlexPBX-1768567206.302628</t>
  </si>
  <si>
    <t>Fri Jan 16 2026 09:29:16 GMT-0300 (Brasilia Standard Time)</t>
  </si>
  <si>
    <t>FlexPBX-1768566556.302502</t>
  </si>
  <si>
    <t>Fri Jan 16 2026 09:21:53 GMT-0300 (Brasilia Standard Time)</t>
  </si>
  <si>
    <t>FlexPBX-1768566113.302451</t>
  </si>
  <si>
    <t>Fri Jan 16 2026 09:12:16 GMT-0300 (Brasilia Standard Time)</t>
  </si>
  <si>
    <t>FlexPBX-1768565535.302413</t>
  </si>
  <si>
    <t>Fri Jan 16 2026 09:06:52 GMT-0300 (Brasilia Standard Time)</t>
  </si>
  <si>
    <t>FlexPBX-1768565212.302385</t>
  </si>
  <si>
    <t>Fri Jan 16 2026 09:06:46 GMT-0300 (Brasilia Standard Time)</t>
  </si>
  <si>
    <t>FlexPBX-1768565206.302381</t>
  </si>
  <si>
    <t>Fri Jan 16 2026 09:06:41 GMT-0300 (Brasilia Standard Time)</t>
  </si>
  <si>
    <t>FlexPBX-1768565201.302373</t>
  </si>
  <si>
    <t>Fri Jan 16 2026 09:04:45 GMT-0300 (Brasilia Standard Time)</t>
  </si>
  <si>
    <t>FlexPBX-1768565085.302326</t>
  </si>
  <si>
    <t>Fri Jan 16 2026 09:04:20 GMT-0300 (Brasilia Standard Time)</t>
  </si>
  <si>
    <t>FlexPBX-1768565060.302321</t>
  </si>
  <si>
    <t>Fri Jan 16 2026 09:03:48 GMT-0300 (Brasilia Standard Time)</t>
  </si>
  <si>
    <t>FlexPBX-1768565028.302313</t>
  </si>
  <si>
    <t>Fri Jan 16 2026 09:03:13 GMT-0300 (Brasilia Standard Time)</t>
  </si>
  <si>
    <t>FlexPBX-1768564993.302305</t>
  </si>
  <si>
    <t>Fri Jan 16 2026 09:00:30 GMT-0300 (Brasilia Standard Time)</t>
  </si>
  <si>
    <t>FlexPBX-1768564830.302198</t>
  </si>
  <si>
    <t>Fri Jan 16 2026 08:59:53 GMT-0300 (Brasilia Standard Time)</t>
  </si>
  <si>
    <t>FlexPBX-1768564793.302187</t>
  </si>
  <si>
    <t>Fri Jan 16 2026 08:55:56 GMT-0300 (Brasilia Standard Time)</t>
  </si>
  <si>
    <t>FlexPBX-1768564556.302142</t>
  </si>
  <si>
    <t>Fri Jan 16 2026 08:49:18 GMT-0300 (Brasilia Standard Time)</t>
  </si>
  <si>
    <t>FlexPBX-1768564158.302074</t>
  </si>
  <si>
    <t>Fri Jan 16 2026 08:45:36 GMT-0300 (Brasilia Standard Time)</t>
  </si>
  <si>
    <t>FlexPBX-1768563936.302066</t>
  </si>
  <si>
    <t>Fri Jan 16 2026 08:37:17 GMT-0300 (Brasilia Standard Time)</t>
  </si>
  <si>
    <t>FlexPBX-1768563437.302034</t>
  </si>
  <si>
    <t>Fri Jan 16 2026 08:30:23 GMT-0300 (Brasilia Standard Time)</t>
  </si>
  <si>
    <t>FlexPBX-1768563023.301958</t>
  </si>
  <si>
    <t>Fri Jan 16 2026 08:26:16 GMT-0300 (Brasilia Standard Time)</t>
  </si>
  <si>
    <t>FlexPBX-1768562776.301945</t>
  </si>
  <si>
    <t>Fri Jan 16 2026 08:20:41 GMT-0300 (Brasilia Standard Time)</t>
  </si>
  <si>
    <t>FlexPBX-1768562441.301931</t>
  </si>
  <si>
    <t>Thu Jan 15 2026 17:54:57 GMT-0300 (Brasilia Standard Time)</t>
  </si>
  <si>
    <t>FlexPBX-1768510497.301854</t>
  </si>
  <si>
    <t>Thu Jan 15 2026 17:37:29 GMT-0300 (Brasilia Standard Time)</t>
  </si>
  <si>
    <t>FlexPBX-1768509449.301777</t>
  </si>
  <si>
    <t>Thu Jan 15 2026 17:37:15 GMT-0300 (Brasilia Standard Time)</t>
  </si>
  <si>
    <t>FlexPBX-1768509435.301766</t>
  </si>
  <si>
    <t>Thu Jan 15 2026 17:36:18 GMT-0300 (Brasilia Standard Time)</t>
  </si>
  <si>
    <t>FlexPBX-1768509378.301723</t>
  </si>
  <si>
    <t>Thu Jan 15 2026 17:30:18 GMT-0300 (Brasilia Standard Time)</t>
  </si>
  <si>
    <t>FlexPBX-1768509018.301689</t>
  </si>
  <si>
    <t>Thu Jan 15 2026 17:19:18 GMT-0300 (Brasilia Standard Time)</t>
  </si>
  <si>
    <t>FlexPBX-1768508358.301625</t>
  </si>
  <si>
    <t>Thu Jan 15 2026 17:06:08 GMT-0300 (Brasilia Standard Time)</t>
  </si>
  <si>
    <t>FlexPBX-1768507568.301486</t>
  </si>
  <si>
    <t>Thu Jan 15 2026 17:05:36 GMT-0300 (Brasilia Standard Time)</t>
  </si>
  <si>
    <t>FlexPBX-1768507536.301469</t>
  </si>
  <si>
    <t>Thu Jan 15 2026 17:04:57 GMT-0300 (Brasilia Standard Time)</t>
  </si>
  <si>
    <t>FlexPBX-1768507497.301453</t>
  </si>
  <si>
    <t>Thu Jan 15 2026 17:00:11 GMT-0300 (Brasilia Standard Time)</t>
  </si>
  <si>
    <t>FlexPBX-1768507211.301404</t>
  </si>
  <si>
    <t>Thu Jan 15 2026 16:55:53 GMT-0300 (Brasilia Standard Time)</t>
  </si>
  <si>
    <t>FlexPBX-1768506953.301314</t>
  </si>
  <si>
    <t>Thu Jan 15 2026 16:55:38 GMT-0300 (Brasilia Standard Time)</t>
  </si>
  <si>
    <t>FlexPBX-1768506938.301306</t>
  </si>
  <si>
    <t>Thu Jan 15 2026 16:54:16 GMT-0300 (Brasilia Standard Time)</t>
  </si>
  <si>
    <t>FlexPBX-1768506856.301298</t>
  </si>
  <si>
    <t>Thu Jan 15 2026 16:48:13 GMT-0300 (Brasilia Standard Time)</t>
  </si>
  <si>
    <t>FlexPBX-1768506493.301251</t>
  </si>
  <si>
    <t>Thu Jan 15 2026 16:48:01 GMT-0300 (Brasilia Standard Time)</t>
  </si>
  <si>
    <t>FlexPBX-1768506481.301235</t>
  </si>
  <si>
    <t>Thu Jan 15 2026 16:47:06 GMT-0300 (Brasilia Standard Time)</t>
  </si>
  <si>
    <t>FlexPBX-1768506426.301187</t>
  </si>
  <si>
    <t>Thu Jan 15 2026 16:46:59 GMT-0300 (Brasilia Standard Time)</t>
  </si>
  <si>
    <t>FlexPBX-1768506419.301184</t>
  </si>
  <si>
    <t>Thu Jan 15 2026 16:36:15 GMT-0300 (Brasilia Standard Time)</t>
  </si>
  <si>
    <t>FlexPBX-1768505775.301170</t>
  </si>
  <si>
    <t>Thu Jan 15 2026 16:16:11 GMT-0300 (Brasilia Standard Time)</t>
  </si>
  <si>
    <t>FlexPBX-1768504571.301100</t>
  </si>
  <si>
    <t>Thu Jan 15 2026 16:15:06 GMT-0300 (Brasilia Standard Time)</t>
  </si>
  <si>
    <t>FlexPBX-1768504506.301072</t>
  </si>
  <si>
    <t>Thu Jan 15 2026 16:07:47 GMT-0300 (Brasilia Standard Time)</t>
  </si>
  <si>
    <t>FlexPBX-1768504067.301052</t>
  </si>
  <si>
    <t>Thu Jan 15 2026 15:45:54 GMT-0300 (Brasilia Standard Time)</t>
  </si>
  <si>
    <t>FlexPBX-1768502754.300927</t>
  </si>
  <si>
    <t>Thu Jan 15 2026 15:45:34 GMT-0300 (Brasilia Standard Time)</t>
  </si>
  <si>
    <t>FlexPBX-1768502734.300915</t>
  </si>
  <si>
    <t>Thu Jan 15 2026 15:44:41 GMT-0300 (Brasilia Standard Time)</t>
  </si>
  <si>
    <t>FlexPBX-1768502681.300899</t>
  </si>
  <si>
    <t>Thu Jan 15 2026 15:43:23 GMT-0300 (Brasilia Standard Time)</t>
  </si>
  <si>
    <t>FlexPBX-1768502603.300883</t>
  </si>
  <si>
    <t>Thu Jan 15 2026 15:38:19 GMT-0300 (Brasilia Standard Time)</t>
  </si>
  <si>
    <t>FlexPBX-1768502298.300846</t>
  </si>
  <si>
    <t>Thu Jan 15 2026 15:30:53 GMT-0300 (Brasilia Standard Time)</t>
  </si>
  <si>
    <t>FlexPBX-1768501853.300768</t>
  </si>
  <si>
    <t>Thu Jan 15 2026 15:28:56 GMT-0300 (Brasilia Standard Time)</t>
  </si>
  <si>
    <t>FlexPBX-1768501736.300737</t>
  </si>
  <si>
    <t>Thu Jan 15 2026 15:27:22 GMT-0300 (Brasilia Standard Time)</t>
  </si>
  <si>
    <t>FlexPBX-1768501642.300694</t>
  </si>
  <si>
    <t>Thu Jan 15 2026 15:24:21 GMT-0300 (Brasilia Standard Time)</t>
  </si>
  <si>
    <t>FlexPBX-1768501461.300674</t>
  </si>
  <si>
    <t>Thu Jan 15 2026 15:17:40 GMT-0300 (Brasilia Standard Time)</t>
  </si>
  <si>
    <t>FlexPBX-1768501060.300662</t>
  </si>
  <si>
    <t>Thu Jan 15 2026 15:10:24 GMT-0300 (Brasilia Standard Time)</t>
  </si>
  <si>
    <t>FlexPBX-1768500624.300630</t>
  </si>
  <si>
    <t>Thu Jan 15 2026 15:09:21 GMT-0300 (Brasilia Standard Time)</t>
  </si>
  <si>
    <t>FlexPBX-1768500561.300618</t>
  </si>
  <si>
    <t>Thu Jan 15 2026 15:05:23 GMT-0300 (Brasilia Standard Time)</t>
  </si>
  <si>
    <t>FlexPBX-1768500323.300561</t>
  </si>
  <si>
    <t>Thu Jan 15 2026 15:04:56 GMT-0300 (Brasilia Standard Time)</t>
  </si>
  <si>
    <t>FlexPBX-1768500296.300552</t>
  </si>
  <si>
    <t>Thu Jan 15 2026 15:01:11 GMT-0300 (Brasilia Standard Time)</t>
  </si>
  <si>
    <t>FlexPBX-1768500071.300520</t>
  </si>
  <si>
    <t>Thu Jan 15 2026 15:00:27 GMT-0300 (Brasilia Standard Time)</t>
  </si>
  <si>
    <t>FlexPBX-1768500027.300494</t>
  </si>
  <si>
    <t>Thu Jan 15 2026 14:59:56 GMT-0300 (Brasilia Standard Time)</t>
  </si>
  <si>
    <t>FlexPBX-1768499996.300475</t>
  </si>
  <si>
    <t>Thu Jan 15 2026 14:59:23 GMT-0300 (Brasilia Standard Time)</t>
  </si>
  <si>
    <t>FlexPBX-1768499963.300433</t>
  </si>
  <si>
    <t>Thu Jan 15 2026 14:40:44 GMT-0300 (Brasilia Standard Time)</t>
  </si>
  <si>
    <t>FlexPBX-1768498844.300380</t>
  </si>
  <si>
    <t>Thu Jan 15 2026 14:22:15 GMT-0300 (Brasilia Standard Time)</t>
  </si>
  <si>
    <t>FlexPBX-1768497735.300314</t>
  </si>
  <si>
    <t>Thu Jan 15 2026 14:12:49 GMT-0300 (Brasilia Standard Time)</t>
  </si>
  <si>
    <t>FlexPBX-1768497169.300243</t>
  </si>
  <si>
    <t>Thu Jan 15 2026 14:12:00 GMT-0300 (Brasilia Standard Time)</t>
  </si>
  <si>
    <t>FlexPBX-1768497120.300209</t>
  </si>
  <si>
    <t>Thu Jan 15 2026 14:10:55 GMT-0300 (Brasilia Standard Time)</t>
  </si>
  <si>
    <t>FlexPBX-1768497055.300176</t>
  </si>
  <si>
    <t>Thu Jan 15 2026 14:05:30 GMT-0300 (Brasilia Standard Time)</t>
  </si>
  <si>
    <t>FlexPBX-1768496730.300140</t>
  </si>
  <si>
    <t>Thu Jan 15 2026 11:46:25 GMT-0300 (Brasilia Standard Time)</t>
  </si>
  <si>
    <t>FlexPBX-1768488385.300063</t>
  </si>
  <si>
    <t>Thu Jan 15 2026 11:43:35 GMT-0300 (Brasilia Standard Time)</t>
  </si>
  <si>
    <t>FlexPBX-1768488215.300033</t>
  </si>
  <si>
    <t>Thu Jan 15 2026 11:43:29 GMT-0300 (Brasilia Standard Time)</t>
  </si>
  <si>
    <t>FlexPBX-1768488209.300025</t>
  </si>
  <si>
    <t>Thu Jan 15 2026 11:37:06 GMT-0300 (Brasilia Standard Time)</t>
  </si>
  <si>
    <t>FlexPBX-1768487826.300017</t>
  </si>
  <si>
    <t>Thu Jan 15 2026 11:04:19 GMT-0300 (Brasilia Standard Time)</t>
  </si>
  <si>
    <t>FlexPBX-1768485859.299885</t>
  </si>
  <si>
    <t>Thu Jan 15 2026 11:02:29 GMT-0300 (Brasilia Standard Time)</t>
  </si>
  <si>
    <t>FlexPBX-1768485749.299873</t>
  </si>
  <si>
    <t>Thu Jan 15 2026 11:01:13 GMT-0300 (Brasilia Standard Time)</t>
  </si>
  <si>
    <t>FlexPBX-1768485673.299833</t>
  </si>
  <si>
    <t>Thu Jan 15 2026 10:56:13 GMT-0300 (Brasilia Standard Time)</t>
  </si>
  <si>
    <t>FlexPBX-1768485373.299819</t>
  </si>
  <si>
    <t>Thu Jan 15 2026 10:55:56 GMT-0300 (Brasilia Standard Time)</t>
  </si>
  <si>
    <t>FlexPBX-1768485356.299811</t>
  </si>
  <si>
    <t>Thu Jan 15 2026 10:44:09 GMT-0300 (Brasilia Standard Time)</t>
  </si>
  <si>
    <t>FlexPBX-1768484649.299699</t>
  </si>
  <si>
    <t>Thu Jan 15 2026 10:38:30 GMT-0300 (Brasilia Standard Time)</t>
  </si>
  <si>
    <t>FlexPBX-1768484310.299641</t>
  </si>
  <si>
    <t>Thu Jan 15 2026 10:29:46 GMT-0300 (Brasilia Standard Time)</t>
  </si>
  <si>
    <t>FlexPBX-1768483786.299543</t>
  </si>
  <si>
    <t>Thu Jan 15 2026 10:17:16 GMT-0300 (Brasilia Standard Time)</t>
  </si>
  <si>
    <t>FlexPBX-1768483036.299513</t>
  </si>
  <si>
    <t>Thu Jan 15 2026 10:13:45 GMT-0300 (Brasilia Standard Time)</t>
  </si>
  <si>
    <t>FlexPBX-1768482825.299479</t>
  </si>
  <si>
    <t>Thu Jan 15 2026 10:11:09 GMT-0300 (Brasilia Standard Time)</t>
  </si>
  <si>
    <t>FlexPBX-1768482669.299448</t>
  </si>
  <si>
    <t>Thu Jan 15 2026 10:08:34 GMT-0300 (Brasilia Standard Time)</t>
  </si>
  <si>
    <t>FlexPBX-1768482514.299425</t>
  </si>
  <si>
    <t>Thu Jan 15 2026 10:05:27 GMT-0300 (Brasilia Standard Time)</t>
  </si>
  <si>
    <t>FlexPBX-1768482327.299405</t>
  </si>
  <si>
    <t>Thu Jan 15 2026 10:01:49 GMT-0300 (Brasilia Standard Time)</t>
  </si>
  <si>
    <t>FlexPBX-1768482109.299391</t>
  </si>
  <si>
    <t>Thu Jan 15 2026 09:59:29 GMT-0300 (Brasilia Standard Time)</t>
  </si>
  <si>
    <t>FlexPBX-1768481969.299357</t>
  </si>
  <si>
    <t>Thu Jan 15 2026 09:31:36 GMT-0300 (Brasilia Standard Time)</t>
  </si>
  <si>
    <t>FlexPBX-1768480296.299294</t>
  </si>
  <si>
    <t>Thu Jan 15 2026 09:21:07 GMT-0300 (Brasilia Standard Time)</t>
  </si>
  <si>
    <t>FlexPBX-1768479667.299225</t>
  </si>
  <si>
    <t>Thu Jan 15 2026 09:17:24 GMT-0300 (Brasilia Standard Time)</t>
  </si>
  <si>
    <t>FlexPBX-1768479444.299217</t>
  </si>
  <si>
    <t>Thu Jan 15 2026 09:15:23 GMT-0300 (Brasilia Standard Time)</t>
  </si>
  <si>
    <t>FlexPBX-1768479323.299209</t>
  </si>
  <si>
    <t>Thu Jan 15 2026 09:07:34 GMT-0300 (Brasilia Standard Time)</t>
  </si>
  <si>
    <t>FlexPBX-1768478854.299183</t>
  </si>
  <si>
    <t>Thu Jan 15 2026 09:01:54 GMT-0300 (Brasilia Standard Time)</t>
  </si>
  <si>
    <t>FlexPBX-1768478514.299145</t>
  </si>
  <si>
    <t>Thu Jan 15 2026 09:00:32 GMT-0300 (Brasilia Standard Time)</t>
  </si>
  <si>
    <t>FlexPBX-1768478432.299131</t>
  </si>
  <si>
    <t>Thu Jan 15 2026 08:49:20 GMT-0300 (Brasilia Standard Time)</t>
  </si>
  <si>
    <t>FlexPBX-1768477760.299078</t>
  </si>
  <si>
    <t>Thu Jan 15 2026 08:32:28 GMT-0300 (Brasilia Standard Time)</t>
  </si>
  <si>
    <t>FlexPBX-1768476748.299023</t>
  </si>
  <si>
    <t>Thu Jan 15 2026 08:31:49 GMT-0300 (Brasilia Standard Time)</t>
  </si>
  <si>
    <t>FlexPBX-1768476709.299016</t>
  </si>
  <si>
    <t>Thu Jan 15 2026 08:25:14 GMT-0300 (Brasilia Standard Time)</t>
  </si>
  <si>
    <t>FlexPBX-1768476314.298998</t>
  </si>
  <si>
    <t>Thu Jan 15 2026 08:10:49 GMT-0300 (Brasilia Standard Time)</t>
  </si>
  <si>
    <t>FlexPBX-1768475449.298943</t>
  </si>
  <si>
    <t>Wed Jan 14 2026 17:56:19 GMT-0300 (Brasilia Standard Time)</t>
  </si>
  <si>
    <t>FlexPBX-1768424179.298853</t>
  </si>
  <si>
    <t>Wed Jan 14 2026 17:35:25 GMT-0300 (Brasilia Standard Time)</t>
  </si>
  <si>
    <t>FlexPBX-1768422925.298795</t>
  </si>
  <si>
    <t>Wed Jan 14 2026 17:26:35 GMT-0300 (Brasilia Standard Time)</t>
  </si>
  <si>
    <t>FlexPBX-1768422395.298753</t>
  </si>
  <si>
    <t>Wed Jan 14 2026 17:23:16 GMT-0300 (Brasilia Standard Time)</t>
  </si>
  <si>
    <t>FlexPBX-1768422196.298701</t>
  </si>
  <si>
    <t>Wed Jan 14 2026 17:18:32 GMT-0300 (Brasilia Standard Time)</t>
  </si>
  <si>
    <t>FlexPBX-1768421912.298611</t>
  </si>
  <si>
    <t>Wed Jan 14 2026 17:10:27 GMT-0300 (Brasilia Standard Time)</t>
  </si>
  <si>
    <t>FlexPBX-1768421427.298583</t>
  </si>
  <si>
    <t>Wed Jan 14 2026 17:09:41 GMT-0300 (Brasilia Standard Time)</t>
  </si>
  <si>
    <t>FlexPBX-1768421381.298575</t>
  </si>
  <si>
    <t>Wed Jan 14 2026 16:58:28 GMT-0300 (Brasilia Standard Time)</t>
  </si>
  <si>
    <t>FlexPBX-1768420708.298507</t>
  </si>
  <si>
    <t>Wed Jan 14 2026 16:57:53 GMT-0300 (Brasilia Standard Time)</t>
  </si>
  <si>
    <t>FlexPBX-1768420673.298495</t>
  </si>
  <si>
    <t>Wed Jan 14 2026 16:45:18 GMT-0300 (Brasilia Standard Time)</t>
  </si>
  <si>
    <t>FlexPBX-1768419918.298454</t>
  </si>
  <si>
    <t>Wed Jan 14 2026 16:35:29 GMT-0300 (Brasilia Standard Time)</t>
  </si>
  <si>
    <t>FlexPBX-1768419329.298422</t>
  </si>
  <si>
    <t>Wed Jan 14 2026 16:33:33 GMT-0300 (Brasilia Standard Time)</t>
  </si>
  <si>
    <t>FlexPBX-1768419213.298386</t>
  </si>
  <si>
    <t>Wed Jan 14 2026 16:33:22 GMT-0300 (Brasilia Standard Time)</t>
  </si>
  <si>
    <t>FlexPBX-1768419202.298373</t>
  </si>
  <si>
    <t>Wed Jan 14 2026 16:33:15 GMT-0300 (Brasilia Standard Time)</t>
  </si>
  <si>
    <t>FlexPBX-1768419195.298352</t>
  </si>
  <si>
    <t>Wed Jan 14 2026 16:29:10 GMT-0300 (Brasilia Standard Time)</t>
  </si>
  <si>
    <t>FlexPBX-1768418950.298271</t>
  </si>
  <si>
    <t>Wed Jan 14 2026 16:28:13 GMT-0300 (Brasilia Standard Time)</t>
  </si>
  <si>
    <t>FlexPBX-1768418893.298249</t>
  </si>
  <si>
    <t>Wed Jan 14 2026 16:25:18 GMT-0300 (Brasilia Standard Time)</t>
  </si>
  <si>
    <t>FlexPBX-1768418718.298169</t>
  </si>
  <si>
    <t>Wed Jan 14 2026 16:24:54 GMT-0300 (Brasilia Standard Time)</t>
  </si>
  <si>
    <t>FlexPBX-1768418694.298165</t>
  </si>
  <si>
    <t>Wed Jan 14 2026 16:15:34 GMT-0300 (Brasilia Standard Time)</t>
  </si>
  <si>
    <t>FlexPBX-1768418134.298131</t>
  </si>
  <si>
    <t>Wed Jan 14 2026 15:56:25 GMT-0300 (Brasilia Standard Time)</t>
  </si>
  <si>
    <t>FlexPBX-1768416985.298036</t>
  </si>
  <si>
    <t>Wed Jan 14 2026 15:44:59 GMT-0300 (Brasilia Standard Time)</t>
  </si>
  <si>
    <t>FlexPBX-1768416299.297978</t>
  </si>
  <si>
    <t>Wed Jan 14 2026 15:42:23 GMT-0300 (Brasilia Standard Time)</t>
  </si>
  <si>
    <t>FlexPBX-1768416143.297940</t>
  </si>
  <si>
    <t>Wed Jan 14 2026 15:38:31 GMT-0300 (Brasilia Standard Time)</t>
  </si>
  <si>
    <t>FlexPBX-1768415911.297886</t>
  </si>
  <si>
    <t>FlexPBX-1768415911.297889</t>
  </si>
  <si>
    <t>Wed Jan 14 2026 15:38:26 GMT-0300 (Brasilia Standard Time)</t>
  </si>
  <si>
    <t>FlexPBX-1768415906.297878</t>
  </si>
  <si>
    <t>Wed Jan 14 2026 15:38:22 GMT-0300 (Brasilia Standard Time)</t>
  </si>
  <si>
    <t>FlexPBX-1768415902.297870</t>
  </si>
  <si>
    <t>Wed Jan 14 2026 15:38:16 GMT-0300 (Brasilia Standard Time)</t>
  </si>
  <si>
    <t>FlexPBX-1768415896.297862</t>
  </si>
  <si>
    <t>Wed Jan 14 2026 15:35:41 GMT-0300 (Brasilia Standard Time)</t>
  </si>
  <si>
    <t>FlexPBX-1768415741.297808</t>
  </si>
  <si>
    <t>Wed Jan 14 2026 15:35:28 GMT-0300 (Brasilia Standard Time)</t>
  </si>
  <si>
    <t>FlexPBX-1768415728.297798</t>
  </si>
  <si>
    <t>Wed Jan 14 2026 15:35:12 GMT-0300 (Brasilia Standard Time)</t>
  </si>
  <si>
    <t>FlexPBX-1768415712.297791</t>
  </si>
  <si>
    <t>Wed Jan 14 2026 15:35:07 GMT-0300 (Brasilia Standard Time)</t>
  </si>
  <si>
    <t>FlexPBX-1768415707.297788</t>
  </si>
  <si>
    <t>Wed Jan 14 2026 15:34:03 GMT-0300 (Brasilia Standard Time)</t>
  </si>
  <si>
    <t>FlexPBX-1768415643.297752</t>
  </si>
  <si>
    <t>Wed Jan 14 2026 15:26:29 GMT-0300 (Brasilia Standard Time)</t>
  </si>
  <si>
    <t>FlexPBX-1768415189.297676</t>
  </si>
  <si>
    <t>Wed Jan 14 2026 15:21:18 GMT-0300 (Brasilia Standard Time)</t>
  </si>
  <si>
    <t>FlexPBX-1768414878.297640</t>
  </si>
  <si>
    <t>Wed Jan 14 2026 15:15:17 GMT-0300 (Brasilia Standard Time)</t>
  </si>
  <si>
    <t>FlexPBX-1768414517.297624</t>
  </si>
  <si>
    <t>Wed Jan 14 2026 15:15:01 GMT-0300 (Brasilia Standard Time)</t>
  </si>
  <si>
    <t>FlexPBX-1768414501.297616</t>
  </si>
  <si>
    <t>Wed Jan 14 2026 15:14:54 GMT-0300 (Brasilia Standard Time)</t>
  </si>
  <si>
    <t>FlexPBX-1768414494.297608</t>
  </si>
  <si>
    <t>Wed Jan 14 2026 15:08:05 GMT-0300 (Brasilia Standard Time)</t>
  </si>
  <si>
    <t>FlexPBX-1768414085.297570</t>
  </si>
  <si>
    <t>Wed Jan 14 2026 15:04:44 GMT-0300 (Brasilia Standard Time)</t>
  </si>
  <si>
    <t>FlexPBX-1768413884.297518</t>
  </si>
  <si>
    <t>Wed Jan 14 2026 14:58:18 GMT-0300 (Brasilia Standard Time)</t>
  </si>
  <si>
    <t>FlexPBX-1768413498.297482</t>
  </si>
  <si>
    <t>Wed Jan 14 2026 14:56:36 GMT-0300 (Brasilia Standard Time)</t>
  </si>
  <si>
    <t>FlexPBX-1768413396.297438</t>
  </si>
  <si>
    <t>Wed Jan 14 2026 14:56:08 GMT-0300 (Brasilia Standard Time)</t>
  </si>
  <si>
    <t>FlexPBX-1768413368.297400</t>
  </si>
  <si>
    <t>Wed Jan 14 2026 14:55:55 GMT-0300 (Brasilia Standard Time)</t>
  </si>
  <si>
    <t>FlexPBX-1768413355.297379</t>
  </si>
  <si>
    <t>Wed Jan 14 2026 14:55:25 GMT-0300 (Brasilia Standard Time)</t>
  </si>
  <si>
    <t>FlexPBX-1768413325.297366</t>
  </si>
  <si>
    <t>Wed Jan 14 2026 14:31:36 GMT-0300 (Brasilia Standard Time)</t>
  </si>
  <si>
    <t>FlexPBX-1768411896.297334</t>
  </si>
  <si>
    <t>Wed Jan 14 2026 14:26:04 GMT-0300 (Brasilia Standard Time)</t>
  </si>
  <si>
    <t>FlexPBX-1768411564.297252</t>
  </si>
  <si>
    <t>Wed Jan 14 2026 14:18:47 GMT-0300 (Brasilia Standard Time)</t>
  </si>
  <si>
    <t>FlexPBX-1768411127.297158</t>
  </si>
  <si>
    <t>Wed Jan 14 2026 14:17:21 GMT-0300 (Brasilia Standard Time)</t>
  </si>
  <si>
    <t>FlexPBX-1768411041.297113</t>
  </si>
  <si>
    <t>Wed Jan 14 2026 14:17:10 GMT-0300 (Brasilia Standard Time)</t>
  </si>
  <si>
    <t>FlexPBX-1768411030.297110</t>
  </si>
  <si>
    <t>Wed Jan 14 2026 14:12:00 GMT-0300 (Brasilia Standard Time)</t>
  </si>
  <si>
    <t>FlexPBX-1768410720.297090</t>
  </si>
  <si>
    <t>Wed Jan 14 2026 14:11:26 GMT-0300 (Brasilia Standard Time)</t>
  </si>
  <si>
    <t>FlexPBX-1768410686.297074</t>
  </si>
  <si>
    <t>Wed Jan 14 2026 14:04:46 GMT-0300 (Brasilia Standard Time)</t>
  </si>
  <si>
    <t>FlexPBX-1768410286.297052</t>
  </si>
  <si>
    <t>Wed Jan 14 2026 14:04:02 GMT-0300 (Brasilia Standard Time)</t>
  </si>
  <si>
    <t>FlexPBX-1768410242.297013</t>
  </si>
  <si>
    <t>Wed Jan 14 2026 14:02:38 GMT-0300 (Brasilia Standard Time)</t>
  </si>
  <si>
    <t>FlexPBX-1768410158.296958</t>
  </si>
  <si>
    <t>Wed Jan 14 2026 13:57:29 GMT-0300 (Brasilia Standard Time)</t>
  </si>
  <si>
    <t>FlexPBX-1768409849.296906</t>
  </si>
  <si>
    <t>Wed Jan 14 2026 13:56:23 GMT-0300 (Brasilia Standard Time)</t>
  </si>
  <si>
    <t>FlexPBX-1768409783.296898</t>
  </si>
  <si>
    <t>Wed Jan 14 2026 13:53:16 GMT-0300 (Brasilia Standard Time)</t>
  </si>
  <si>
    <t>FlexPBX-1768409596.296890</t>
  </si>
  <si>
    <t>Wed Jan 14 2026 13:52:43 GMT-0300 (Brasilia Standard Time)</t>
  </si>
  <si>
    <t>FlexPBX-1768409563.296864</t>
  </si>
  <si>
    <t>Wed Jan 14 2026 13:51:12 GMT-0300 (Brasilia Standard Time)</t>
  </si>
  <si>
    <t>FlexPBX-1768409472.296856</t>
  </si>
  <si>
    <t>Wed Jan 14 2026 13:49:22 GMT-0300 (Brasilia Standard Time)</t>
  </si>
  <si>
    <t>FlexPBX-1768409362.296842</t>
  </si>
  <si>
    <t>Wed Jan 14 2026 13:47:36 GMT-0300 (Brasilia Standard Time)</t>
  </si>
  <si>
    <t>FlexPBX-1768409256.296793</t>
  </si>
  <si>
    <t>Wed Jan 14 2026 13:45:53 GMT-0300 (Brasilia Standard Time)</t>
  </si>
  <si>
    <t>FlexPBX-1768409153.296707</t>
  </si>
  <si>
    <t>Wed Jan 14 2026 13:45:40 GMT-0300 (Brasilia Standard Time)</t>
  </si>
  <si>
    <t>FlexPBX-1768409140.296704</t>
  </si>
  <si>
    <t>Wed Jan 14 2026 13:39:51 GMT-0300 (Brasilia Standard Time)</t>
  </si>
  <si>
    <t>FlexPBX-1768408791.296686</t>
  </si>
  <si>
    <t>Wed Jan 14 2026 13:38:01 GMT-0300 (Brasilia Standard Time)</t>
  </si>
  <si>
    <t>FlexPBX-1768408681.296622</t>
  </si>
  <si>
    <t>Wed Jan 14 2026 11:49:43 GMT-0300 (Brasilia Standard Time)</t>
  </si>
  <si>
    <t>FlexPBX-1768402183.296520</t>
  </si>
  <si>
    <t>Wed Jan 14 2026 11:49:35 GMT-0300 (Brasilia Standard Time)</t>
  </si>
  <si>
    <t>FlexPBX-1768402175.296506</t>
  </si>
  <si>
    <t>Wed Jan 14 2026 11:37:29 GMT-0300 (Brasilia Standard Time)</t>
  </si>
  <si>
    <t>FlexPBX-1768401449.296399</t>
  </si>
  <si>
    <t>Wed Jan 14 2026 11:29:34 GMT-0300 (Brasilia Standard Time)</t>
  </si>
  <si>
    <t>FlexPBX-1768400974.296386</t>
  </si>
  <si>
    <t>Wed Jan 14 2026 11:27:59 GMT-0300 (Brasilia Standard Time)</t>
  </si>
  <si>
    <t>FlexPBX-1768400879.296353</t>
  </si>
  <si>
    <t>Wed Jan 14 2026 11:27:57 GMT-0300 (Brasilia Standard Time)</t>
  </si>
  <si>
    <t>FlexPBX-1768400877.296347</t>
  </si>
  <si>
    <t>Wed Jan 14 2026 11:27:42 GMT-0300 (Brasilia Standard Time)</t>
  </si>
  <si>
    <t>FlexPBX-1768400862.296323</t>
  </si>
  <si>
    <t>Wed Jan 14 2026 11:27:21 GMT-0300 (Brasilia Standard Time)</t>
  </si>
  <si>
    <t>FlexPBX-1768400841.296305</t>
  </si>
  <si>
    <t>Wed Jan 14 2026 11:27:15 GMT-0300 (Brasilia Standard Time)</t>
  </si>
  <si>
    <t>FlexPBX-1768400835.296295</t>
  </si>
  <si>
    <t>Wed Jan 14 2026 11:26:20 GMT-0300 (Brasilia Standard Time)</t>
  </si>
  <si>
    <t>FlexPBX-1768400780.296249</t>
  </si>
  <si>
    <t>Wed Jan 14 2026 11:25:22 GMT-0300 (Brasilia Standard Time)</t>
  </si>
  <si>
    <t>FlexPBX-1768400722.296205</t>
  </si>
  <si>
    <t>Wed Jan 14 2026 11:24:45 GMT-0300 (Brasilia Standard Time)</t>
  </si>
  <si>
    <t>FlexPBX-1768400685.296192</t>
  </si>
  <si>
    <t>Wed Jan 14 2026 11:21:38 GMT-0300 (Brasilia Standard Time)</t>
  </si>
  <si>
    <t>FlexPBX-1768400498.296134</t>
  </si>
  <si>
    <t>Wed Jan 14 2026 11:09:08 GMT-0300 (Brasilia Standard Time)</t>
  </si>
  <si>
    <t>FlexPBX-1768399748.296076</t>
  </si>
  <si>
    <t>Wed Jan 14 2026 11:00:11 GMT-0300 (Brasilia Standard Time)</t>
  </si>
  <si>
    <t>FlexPBX-1768399211.295996</t>
  </si>
  <si>
    <t>Wed Jan 14 2026 11:00:00 GMT-0300 (Brasilia Standard Time)</t>
  </si>
  <si>
    <t>FlexPBX-1768399200.295982</t>
  </si>
  <si>
    <t>Wed Jan 14 2026 10:58:30 GMT-0300 (Brasilia Standard Time)</t>
  </si>
  <si>
    <t>FlexPBX-1768399110.295936</t>
  </si>
  <si>
    <t>Wed Jan 14 2026 10:58:23 GMT-0300 (Brasilia Standard Time)</t>
  </si>
  <si>
    <t>FlexPBX-1768399103.295933</t>
  </si>
  <si>
    <t>Wed Jan 14 2026 10:55:23 GMT-0300 (Brasilia Standard Time)</t>
  </si>
  <si>
    <t>FlexPBX-1768398923.295919</t>
  </si>
  <si>
    <t>Wed Jan 14 2026 10:52:59 GMT-0300 (Brasilia Standard Time)</t>
  </si>
  <si>
    <t>FlexPBX-1768398779.295890</t>
  </si>
  <si>
    <t>Wed Jan 14 2026 10:49:40 GMT-0300 (Brasilia Standard Time)</t>
  </si>
  <si>
    <t>FlexPBX-1768398580.295838</t>
  </si>
  <si>
    <t>Wed Jan 14 2026 10:43:05 GMT-0300 (Brasilia Standard Time)</t>
  </si>
  <si>
    <t>FlexPBX-1768398185.295792</t>
  </si>
  <si>
    <t>Wed Jan 14 2026 10:42:51 GMT-0300 (Brasilia Standard Time)</t>
  </si>
  <si>
    <t>FlexPBX-1768398171.295784</t>
  </si>
  <si>
    <t>Wed Jan 14 2026 10:37:28 GMT-0300 (Brasilia Standard Time)</t>
  </si>
  <si>
    <t>FlexPBX-1768397848.295760</t>
  </si>
  <si>
    <t>Wed Jan 14 2026 10:28:47 GMT-0300 (Brasilia Standard Time)</t>
  </si>
  <si>
    <t>FlexPBX-1768397327.295726</t>
  </si>
  <si>
    <t>Wed Jan 14 2026 10:27:00 GMT-0300 (Brasilia Standard Time)</t>
  </si>
  <si>
    <t>FlexPBX-1768397220.295714</t>
  </si>
  <si>
    <t>Wed Jan 14 2026 10:25:30 GMT-0300 (Brasilia Standard Time)</t>
  </si>
  <si>
    <t>FlexPBX-1768397130.295666</t>
  </si>
  <si>
    <t>Wed Jan 14 2026 10:23:00 GMT-0300 (Brasilia Standard Time)</t>
  </si>
  <si>
    <t>FlexPBX-1768396980.295560</t>
  </si>
  <si>
    <t>Wed Jan 14 2026 10:22:22 GMT-0300 (Brasilia Standard Time)</t>
  </si>
  <si>
    <t>FlexPBX-1768396942.295519</t>
  </si>
  <si>
    <t>Wed Jan 14 2026 10:21:11 GMT-0300 (Brasilia Standard Time)</t>
  </si>
  <si>
    <t>FlexPBX-1768396871.295462</t>
  </si>
  <si>
    <t>Wed Jan 14 2026 10:06:56 GMT-0300 (Brasilia Standard Time)</t>
  </si>
  <si>
    <t>FlexPBX-1768396016.295365</t>
  </si>
  <si>
    <t>Wed Jan 14 2026 10:05:06 GMT-0300 (Brasilia Standard Time)</t>
  </si>
  <si>
    <t>FlexPBX-1768395906.295337</t>
  </si>
  <si>
    <t>Wed Jan 14 2026 09:57:43 GMT-0300 (Brasilia Standard Time)</t>
  </si>
  <si>
    <t>FlexPBX-1768395463.295271</t>
  </si>
  <si>
    <t>Wed Jan 14 2026 09:54:02 GMT-0300 (Brasilia Standard Time)</t>
  </si>
  <si>
    <t>FlexPBX-1768395242.295208</t>
  </si>
  <si>
    <t>Wed Jan 14 2026 09:53:46 GMT-0300 (Brasilia Standard Time)</t>
  </si>
  <si>
    <t>FlexPBX-1768395226.295201</t>
  </si>
  <si>
    <t>Wed Jan 14 2026 09:49:50 GMT-0300 (Brasilia Standard Time)</t>
  </si>
  <si>
    <t>FlexPBX-1768394990.295181</t>
  </si>
  <si>
    <t>Wed Jan 14 2026 09:46:02 GMT-0300 (Brasilia Standard Time)</t>
  </si>
  <si>
    <t>FlexPBX-1768394762.295156</t>
  </si>
  <si>
    <t>Wed Jan 14 2026 09:45:56 GMT-0300 (Brasilia Standard Time)</t>
  </si>
  <si>
    <t>FlexPBX-1768394756.295140</t>
  </si>
  <si>
    <t>Wed Jan 14 2026 09:45:47 GMT-0300 (Brasilia Standard Time)</t>
  </si>
  <si>
    <t>FlexPBX-1768394747.295125</t>
  </si>
  <si>
    <t>Wed Jan 14 2026 09:45:43 GMT-0300 (Brasilia Standard Time)</t>
  </si>
  <si>
    <t>FlexPBX-1768394743.295117</t>
  </si>
  <si>
    <t>Wed Jan 14 2026 09:45:35 GMT-0300 (Brasilia Standard Time)</t>
  </si>
  <si>
    <t>FlexPBX-1768394735.295099</t>
  </si>
  <si>
    <t>Wed Jan 14 2026 09:45:22 GMT-0300 (Brasilia Standard Time)</t>
  </si>
  <si>
    <t>FlexPBX-1768394722.295081</t>
  </si>
  <si>
    <t>Wed Jan 14 2026 09:44:45 GMT-0300 (Brasilia Standard Time)</t>
  </si>
  <si>
    <t>FlexPBX-1768394685.295050</t>
  </si>
  <si>
    <t>Wed Jan 14 2026 09:44:22 GMT-0300 (Brasilia Standard Time)</t>
  </si>
  <si>
    <t>FlexPBX-1768394662.295041</t>
  </si>
  <si>
    <t>Wed Jan 14 2026 09:36:14 GMT-0300 (Brasilia Standard Time)</t>
  </si>
  <si>
    <t>FlexPBX-1768394174.295027</t>
  </si>
  <si>
    <t>Wed Jan 14 2026 09:35:27 GMT-0300 (Brasilia Standard Time)</t>
  </si>
  <si>
    <t>FlexPBX-1768394127.295003</t>
  </si>
  <si>
    <t>Wed Jan 14 2026 09:35:19 GMT-0300 (Brasilia Standard Time)</t>
  </si>
  <si>
    <t>FlexPBX-1768394119.294993</t>
  </si>
  <si>
    <t>Wed Jan 14 2026 09:35:12 GMT-0300 (Brasilia Standard Time)</t>
  </si>
  <si>
    <t>FlexPBX-1768394112.294985</t>
  </si>
  <si>
    <t>Wed Jan 14 2026 09:34:02 GMT-0300 (Brasilia Standard Time)</t>
  </si>
  <si>
    <t>FlexPBX-1768394042.294971</t>
  </si>
  <si>
    <t>Wed Jan 14 2026 09:33:54 GMT-0300 (Brasilia Standard Time)</t>
  </si>
  <si>
    <t>FlexPBX-1768394034.294963</t>
  </si>
  <si>
    <t>Wed Jan 14 2026 09:31:46 GMT-0300 (Brasilia Standard Time)</t>
  </si>
  <si>
    <t>FlexPBX-1768393906.294899</t>
  </si>
  <si>
    <t>Wed Jan 14 2026 09:29:56 GMT-0300 (Brasilia Standard Time)</t>
  </si>
  <si>
    <t>FlexPBX-1768393796.294858</t>
  </si>
  <si>
    <t>Wed Jan 14 2026 09:28:12 GMT-0300 (Brasilia Standard Time)</t>
  </si>
  <si>
    <t>FlexPBX-1768393692.294822</t>
  </si>
  <si>
    <t>Wed Jan 14 2026 09:22:30 GMT-0300 (Brasilia Standard Time)</t>
  </si>
  <si>
    <t>FlexPBX-1768393350.294783</t>
  </si>
  <si>
    <t>Wed Jan 14 2026 09:22:12 GMT-0300 (Brasilia Standard Time)</t>
  </si>
  <si>
    <t>FlexPBX-1768393332.294780</t>
  </si>
  <si>
    <t>Wed Jan 14 2026 09:17:43 GMT-0300 (Brasilia Standard Time)</t>
  </si>
  <si>
    <t>FlexPBX-1768393063.294727</t>
  </si>
  <si>
    <t>Wed Jan 14 2026 09:16:15 GMT-0300 (Brasilia Standard Time)</t>
  </si>
  <si>
    <t>FlexPBX-1768392975.294688</t>
  </si>
  <si>
    <t>Wed Jan 14 2026 09:13:35 GMT-0300 (Brasilia Standard Time)</t>
  </si>
  <si>
    <t>FlexPBX-1768392815.294680</t>
  </si>
  <si>
    <t>Wed Jan 14 2026 09:12:14 GMT-0300 (Brasilia Standard Time)</t>
  </si>
  <si>
    <t>FlexPBX-1768392734.294610</t>
  </si>
  <si>
    <t>Wed Jan 14 2026 09:11:00 GMT-0300 (Brasilia Standard Time)</t>
  </si>
  <si>
    <t>FlexPBX-1768392660.294592</t>
  </si>
  <si>
    <t>Wed Jan 14 2026 09:10:59 GMT-0300 (Brasilia Standard Time)</t>
  </si>
  <si>
    <t>FlexPBX-1768392659.294588</t>
  </si>
  <si>
    <t>Wed Jan 14 2026 08:48:17 GMT-0300 (Brasilia Standard Time)</t>
  </si>
  <si>
    <t>FlexPBX-1768391297.294568</t>
  </si>
  <si>
    <t>Wed Jan 14 2026 08:36:45 GMT-0300 (Brasilia Standard Time)</t>
  </si>
  <si>
    <t>FlexPBX-1768390605.294540</t>
  </si>
  <si>
    <t>Wed Jan 14 2026 08:35:17 GMT-0300 (Brasilia Standard Time)</t>
  </si>
  <si>
    <t>FlexPBX-1768390517.294516</t>
  </si>
  <si>
    <t>Tue Jan 13 2026 17:33:08 GMT-0300 (Brasilia Standard Time)</t>
  </si>
  <si>
    <t>FlexPBX-1768336388.294370</t>
  </si>
  <si>
    <t>Tue Jan 13 2026 17:27:35 GMT-0300 (Brasilia Standard Time)</t>
  </si>
  <si>
    <t>FlexPBX-1768336055.294266</t>
  </si>
  <si>
    <t>Tue Jan 13 2026 17:18:31 GMT-0300 (Brasilia Standard Time)</t>
  </si>
  <si>
    <t>FlexPBX-1768335511.294258</t>
  </si>
  <si>
    <t>Tue Jan 13 2026 17:17:20 GMT-0300 (Brasilia Standard Time)</t>
  </si>
  <si>
    <t>FlexPBX-1768335440.294250</t>
  </si>
  <si>
    <t>Tue Jan 13 2026 16:43:32 GMT-0300 (Brasilia Standard Time)</t>
  </si>
  <si>
    <t>FlexPBX-1768333412.294219</t>
  </si>
  <si>
    <t>Tue Jan 13 2026 16:39:57 GMT-0300 (Brasilia Standard Time)</t>
  </si>
  <si>
    <t>FlexPBX-1768333197.294116</t>
  </si>
  <si>
    <t>Tue Jan 13 2026 16:39:32 GMT-0300 (Brasilia Standard Time)</t>
  </si>
  <si>
    <t>FlexPBX-1768333172.294084</t>
  </si>
  <si>
    <t>Tue Jan 13 2026 16:38:49 GMT-0300 (Brasilia Standard Time)</t>
  </si>
  <si>
    <t>FlexPBX-1768333129.294051</t>
  </si>
  <si>
    <t>Tue Jan 13 2026 16:29:56 GMT-0300 (Brasilia Standard Time)</t>
  </si>
  <si>
    <t>FlexPBX-1768332596.294033</t>
  </si>
  <si>
    <t>Tue Jan 13 2026 16:20:09 GMT-0300 (Brasilia Standard Time)</t>
  </si>
  <si>
    <t>FlexPBX-1768332009.293951</t>
  </si>
  <si>
    <t>Tue Jan 13 2026 16:19:25 GMT-0300 (Brasilia Standard Time)</t>
  </si>
  <si>
    <t>FlexPBX-1768331965.293933</t>
  </si>
  <si>
    <t>Tue Jan 13 2026 16:17:08 GMT-0300 (Brasilia Standard Time)</t>
  </si>
  <si>
    <t>FlexPBX-1768331828.293878</t>
  </si>
  <si>
    <t>Tue Jan 13 2026 16:15:27 GMT-0300 (Brasilia Standard Time)</t>
  </si>
  <si>
    <t>FlexPBX-1768331727.293846</t>
  </si>
  <si>
    <t>Tue Jan 13 2026 16:05:14 GMT-0300 (Brasilia Standard Time)</t>
  </si>
  <si>
    <t>FlexPBX-1768331114.293739</t>
  </si>
  <si>
    <t>Tue Jan 13 2026 16:05:09 GMT-0300 (Brasilia Standard Time)</t>
  </si>
  <si>
    <t>FlexPBX-1768331109.293731</t>
  </si>
  <si>
    <t>Tue Jan 13 2026 16:04:25 GMT-0300 (Brasilia Standard Time)</t>
  </si>
  <si>
    <t>FlexPBX-1768331065.293696</t>
  </si>
  <si>
    <t>Tue Jan 13 2026 15:51:09 GMT-0300 (Brasilia Standard Time)</t>
  </si>
  <si>
    <t>FlexPBX-1768330269.293642</t>
  </si>
  <si>
    <t>Tue Jan 13 2026 15:41:15 GMT-0300 (Brasilia Standard Time)</t>
  </si>
  <si>
    <t>FlexPBX-1768329675.293572</t>
  </si>
  <si>
    <t>Tue Jan 13 2026 15:27:21 GMT-0300 (Brasilia Standard Time)</t>
  </si>
  <si>
    <t>FlexPBX-1768328841.293472</t>
  </si>
  <si>
    <t>Tue Jan 13 2026 15:26:23 GMT-0300 (Brasilia Standard Time)</t>
  </si>
  <si>
    <t>FlexPBX-1768328783.293441</t>
  </si>
  <si>
    <t>Tue Jan 13 2026 15:25:55 GMT-0300 (Brasilia Standard Time)</t>
  </si>
  <si>
    <t>FlexPBX-1768328755.293432</t>
  </si>
  <si>
    <t>Tue Jan 13 2026 15:22:15 GMT-0300 (Brasilia Standard Time)</t>
  </si>
  <si>
    <t>FlexPBX-1768328535.293352</t>
  </si>
  <si>
    <t>Tue Jan 13 2026 15:16:09 GMT-0300 (Brasilia Standard Time)</t>
  </si>
  <si>
    <t>FlexPBX-1768328169.293298</t>
  </si>
  <si>
    <t>Tue Jan 13 2026 15:10:34 GMT-0300 (Brasilia Standard Time)</t>
  </si>
  <si>
    <t>FlexPBX-1768327834.293160</t>
  </si>
  <si>
    <t>Tue Jan 13 2026 15:03:10 GMT-0300 (Brasilia Standard Time)</t>
  </si>
  <si>
    <t>FlexPBX-1768327390.293043</t>
  </si>
  <si>
    <t>Tue Jan 13 2026 15:03:07 GMT-0300 (Brasilia Standard Time)</t>
  </si>
  <si>
    <t>FlexPBX-1768327387.293040</t>
  </si>
  <si>
    <t>Tue Jan 13 2026 14:46:01 GMT-0300 (Brasilia Standard Time)</t>
  </si>
  <si>
    <t>FlexPBX-1768326361.292872</t>
  </si>
  <si>
    <t>Tue Jan 13 2026 14:45:49 GMT-0300 (Brasilia Standard Time)</t>
  </si>
  <si>
    <t>FlexPBX-1768326349.292863</t>
  </si>
  <si>
    <t>Tue Jan 13 2026 14:42:56 GMT-0300 (Brasilia Standard Time)</t>
  </si>
  <si>
    <t>FlexPBX-1768326176.292827</t>
  </si>
  <si>
    <t>Tue Jan 13 2026 14:36:54 GMT-0300 (Brasilia Standard Time)</t>
  </si>
  <si>
    <t>FlexPBX-1768325814.292793</t>
  </si>
  <si>
    <t>Tue Jan 13 2026 14:32:39 GMT-0300 (Brasilia Standard Time)</t>
  </si>
  <si>
    <t>FlexPBX-1768325559.292772</t>
  </si>
  <si>
    <t>Tue Jan 13 2026 14:27:27 GMT-0300 (Brasilia Standard Time)</t>
  </si>
  <si>
    <t>FlexPBX-1768325247.292682</t>
  </si>
  <si>
    <t>Tue Jan 13 2026 14:03:22 GMT-0300 (Brasilia Standard Time)</t>
  </si>
  <si>
    <t>FlexPBX-1768323802.292629</t>
  </si>
  <si>
    <t>Tue Jan 13 2026 14:03:18 GMT-0300 (Brasilia Standard Time)</t>
  </si>
  <si>
    <t>FlexPBX-1768323798.292617</t>
  </si>
  <si>
    <t>Tue Jan 13 2026 14:02:44 GMT-0300 (Brasilia Standard Time)</t>
  </si>
  <si>
    <t>FlexPBX-1768323764.292597</t>
  </si>
  <si>
    <t>Tue Jan 13 2026 14:01:22 GMT-0300 (Brasilia Standard Time)</t>
  </si>
  <si>
    <t>FlexPBX-1768323682.292550</t>
  </si>
  <si>
    <t>Tue Jan 13 2026 13:59:17 GMT-0300 (Brasilia Standard Time)</t>
  </si>
  <si>
    <t>FlexPBX-1768323557.292542</t>
  </si>
  <si>
    <t>Tue Jan 13 2026 13:59:10 GMT-0300 (Brasilia Standard Time)</t>
  </si>
  <si>
    <t>FlexPBX-1768323550.292534</t>
  </si>
  <si>
    <t>Tue Jan 13 2026 13:58:26 GMT-0300 (Brasilia Standard Time)</t>
  </si>
  <si>
    <t>FlexPBX-1768323506.292490</t>
  </si>
  <si>
    <t>Tue Jan 13 2026 13:54:51 GMT-0300 (Brasilia Standard Time)</t>
  </si>
  <si>
    <t>FlexPBX-1768323291.292476</t>
  </si>
  <si>
    <t>Tue Jan 13 2026 13:51:52 GMT-0300 (Brasilia Standard Time)</t>
  </si>
  <si>
    <t>FlexPBX-1768323112.292456</t>
  </si>
  <si>
    <t>Tue Jan 13 2026 13:51:36 GMT-0300 (Brasilia Standard Time)</t>
  </si>
  <si>
    <t>FlexPBX-1768323096.292444</t>
  </si>
  <si>
    <t>Tue Jan 13 2026 13:51:33 GMT-0300 (Brasilia Standard Time)</t>
  </si>
  <si>
    <t>FlexPBX-1768323093.292440</t>
  </si>
  <si>
    <t>Tue Jan 13 2026 13:44:24 GMT-0300 (Brasilia Standard Time)</t>
  </si>
  <si>
    <t>FlexPBX-1768322664.292402</t>
  </si>
  <si>
    <t>Tue Jan 13 2026 13:43:37 GMT-0300 (Brasilia Standard Time)</t>
  </si>
  <si>
    <t>FlexPBX-1768322617.292372</t>
  </si>
  <si>
    <t>Tue Jan 13 2026 13:43:18 GMT-0300 (Brasilia Standard Time)</t>
  </si>
  <si>
    <t>FlexPBX-1768322598.292359</t>
  </si>
  <si>
    <t>Tue Jan 13 2026 13:42:15 GMT-0300 (Brasilia Standard Time)</t>
  </si>
  <si>
    <t>FlexPBX-1768322534.292345</t>
  </si>
  <si>
    <t>Tue Jan 13 2026 13:42:04 GMT-0300 (Brasilia Standard Time)</t>
  </si>
  <si>
    <t>FlexPBX-1768322524.292337</t>
  </si>
  <si>
    <t>Tue Jan 13 2026 13:40:29 GMT-0300 (Brasilia Standard Time)</t>
  </si>
  <si>
    <t>FlexPBX-1768322429.292279</t>
  </si>
  <si>
    <t>Tue Jan 13 2026 13:40:24 GMT-0300 (Brasilia Standard Time)</t>
  </si>
  <si>
    <t>FlexPBX-1768322424.292271</t>
  </si>
  <si>
    <t>Tue Jan 13 2026 13:39:25 GMT-0300 (Brasilia Standard Time)</t>
  </si>
  <si>
    <t>FlexPBX-1768322365.292251</t>
  </si>
  <si>
    <t>Tue Jan 13 2026 13:35:20 GMT-0300 (Brasilia Standard Time)</t>
  </si>
  <si>
    <t>FlexPBX-1768322120.292231</t>
  </si>
  <si>
    <t>Tue Jan 13 2026 13:35:14 GMT-0300 (Brasilia Standard Time)</t>
  </si>
  <si>
    <t>FlexPBX-1768322114.292223</t>
  </si>
  <si>
    <t>Tue Jan 13 2026 13:34:25 GMT-0300 (Brasilia Standard Time)</t>
  </si>
  <si>
    <t>FlexPBX-1768322065.292167</t>
  </si>
  <si>
    <t>Tue Jan 13 2026 13:33:56 GMT-0300 (Brasilia Standard Time)</t>
  </si>
  <si>
    <t>FlexPBX-1768322036.292146</t>
  </si>
  <si>
    <t>Tue Jan 13 2026 13:33:51 GMT-0300 (Brasilia Standard Time)</t>
  </si>
  <si>
    <t>FlexPBX-1768322031.292143</t>
  </si>
  <si>
    <t>Tue Jan 13 2026 13:32:52 GMT-0300 (Brasilia Standard Time)</t>
  </si>
  <si>
    <t>FlexPBX-1768321972.292102</t>
  </si>
  <si>
    <t>Tue Jan 13 2026 13:32:20 GMT-0300 (Brasilia Standard Time)</t>
  </si>
  <si>
    <t>FlexPBX-1768321940.292055</t>
  </si>
  <si>
    <t>Tue Jan 13 2026 13:29:36 GMT-0300 (Brasilia Standard Time)</t>
  </si>
  <si>
    <t>FlexPBX-1768321776.291973</t>
  </si>
  <si>
    <t>Tue Jan 13 2026 13:29:28 GMT-0300 (Brasilia Standard Time)</t>
  </si>
  <si>
    <t>FlexPBX-1768321768.291965</t>
  </si>
  <si>
    <t>Tue Jan 13 2026 13:26:43 GMT-0300 (Brasilia Standard Time)</t>
  </si>
  <si>
    <t>FlexPBX-1768321603.291954</t>
  </si>
  <si>
    <t>Tue Jan 13 2026 13:26:36 GMT-0300 (Brasilia Standard Time)</t>
  </si>
  <si>
    <t>FlexPBX-1768321596.291946</t>
  </si>
  <si>
    <t>Tue Jan 13 2026 11:45:57 GMT-0300 (Brasilia Standard Time)</t>
  </si>
  <si>
    <t>FlexPBX-1768315557.291787</t>
  </si>
  <si>
    <t>Tue Jan 13 2026 11:36:14 GMT-0300 (Brasilia Standard Time)</t>
  </si>
  <si>
    <t>FlexPBX-1768314974.291680</t>
  </si>
  <si>
    <t>Tue Jan 13 2026 11:36:06 GMT-0300 (Brasilia Standard Time)</t>
  </si>
  <si>
    <t>FlexPBX-1768314966.291677</t>
  </si>
  <si>
    <t>Tue Jan 13 2026 11:24:12 GMT-0300 (Brasilia Standard Time)</t>
  </si>
  <si>
    <t>FlexPBX-1768314252.291663</t>
  </si>
  <si>
    <t>Tue Jan 13 2026 11:18:07 GMT-0300 (Brasilia Standard Time)</t>
  </si>
  <si>
    <t>FlexPBX-1768313887.291589</t>
  </si>
  <si>
    <t>Tue Jan 13 2026 11:08:36 GMT-0300 (Brasilia Standard Time)</t>
  </si>
  <si>
    <t>FlexPBX-1768313316.291472</t>
  </si>
  <si>
    <t>Tue Jan 13 2026 11:08:09 GMT-0300 (Brasilia Standard Time)</t>
  </si>
  <si>
    <t>FlexPBX-1768313289.291451</t>
  </si>
  <si>
    <t>Tue Jan 13 2026 10:58:23 GMT-0300 (Brasilia Standard Time)</t>
  </si>
  <si>
    <t>FlexPBX-1768312703.291443</t>
  </si>
  <si>
    <t>Tue Jan 13 2026 10:56:18 GMT-0300 (Brasilia Standard Time)</t>
  </si>
  <si>
    <t>FlexPBX-1768312578.291324</t>
  </si>
  <si>
    <t>Tue Jan 13 2026 10:55:40 GMT-0300 (Brasilia Standard Time)</t>
  </si>
  <si>
    <t>FlexPBX-1768312540.291299</t>
  </si>
  <si>
    <t>Tue Jan 13 2026 10:55:27 GMT-0300 (Brasilia Standard Time)</t>
  </si>
  <si>
    <t>FlexPBX-1768312527.291295</t>
  </si>
  <si>
    <t>Tue Jan 13 2026 10:55:23 GMT-0300 (Brasilia Standard Time)</t>
  </si>
  <si>
    <t>FlexPBX-1768312523.291287</t>
  </si>
  <si>
    <t>Tue Jan 13 2026 10:46:14 GMT-0300 (Brasilia Standard Time)</t>
  </si>
  <si>
    <t>FlexPBX-1768311974.291159</t>
  </si>
  <si>
    <t>Tue Jan 13 2026 10:44:23 GMT-0300 (Brasilia Standard Time)</t>
  </si>
  <si>
    <t>FlexPBX-1768311863.291101</t>
  </si>
  <si>
    <t>Tue Jan 13 2026 10:31:51 GMT-0300 (Brasilia Standard Time)</t>
  </si>
  <si>
    <t>FlexPBX-1768311111.290950</t>
  </si>
  <si>
    <t>Tue Jan 13 2026 10:30:54 GMT-0300 (Brasilia Standard Time)</t>
  </si>
  <si>
    <t>FlexPBX-1768311054.290911</t>
  </si>
  <si>
    <t>Tue Jan 13 2026 10:28:04 GMT-0300 (Brasilia Standard Time)</t>
  </si>
  <si>
    <t>FlexPBX-1768310884.290889</t>
  </si>
  <si>
    <t>Tue Jan 13 2026 10:26:12 GMT-0300 (Brasilia Standard Time)</t>
  </si>
  <si>
    <t>FlexPBX-1768310772.290811</t>
  </si>
  <si>
    <t>Tue Jan 13 2026 10:20:17 GMT-0300 (Brasilia Standard Time)</t>
  </si>
  <si>
    <t>FlexPBX-1768310417.290747</t>
  </si>
  <si>
    <t>Tue Jan 13 2026 10:11:23 GMT-0300 (Brasilia Standard Time)</t>
  </si>
  <si>
    <t>FlexPBX-1768309883.290659</t>
  </si>
  <si>
    <t>Tue Jan 13 2026 09:56:32 GMT-0300 (Brasilia Standard Time)</t>
  </si>
  <si>
    <t>FlexPBX-1768308992.290605</t>
  </si>
  <si>
    <t>Tue Jan 13 2026 09:53:00 GMT-0300 (Brasilia Standard Time)</t>
  </si>
  <si>
    <t>FlexPBX-1768308780.290584</t>
  </si>
  <si>
    <t>Tue Jan 13 2026 09:40:40 GMT-0300 (Brasilia Standard Time)</t>
  </si>
  <si>
    <t>FlexPBX-1768308040.290506</t>
  </si>
  <si>
    <t>Tue Jan 13 2026 09:23:06 GMT-0300 (Brasilia Standard Time)</t>
  </si>
  <si>
    <t>FlexPBX-1768306986.290444</t>
  </si>
  <si>
    <t>Tue Jan 13 2026 09:08:45 GMT-0300 (Brasilia Standard Time)</t>
  </si>
  <si>
    <t>FlexPBX-1768306125.290386</t>
  </si>
  <si>
    <t>Tue Jan 13 2026 09:03:30 GMT-0300 (Brasilia Standard Time)</t>
  </si>
  <si>
    <t>FlexPBX-1768305810.290356</t>
  </si>
  <si>
    <t>Tue Jan 13 2026 08:59:56 GMT-0300 (Brasilia Standard Time)</t>
  </si>
  <si>
    <t>FlexPBX-1768305596.290297</t>
  </si>
  <si>
    <t>Tue Jan 13 2026 08:58:49 GMT-0300 (Brasilia Standard Time)</t>
  </si>
  <si>
    <t>FlexPBX-1768305529.290264</t>
  </si>
  <si>
    <t>Tue Jan 13 2026 08:51:37 GMT-0300 (Brasilia Standard Time)</t>
  </si>
  <si>
    <t>FlexPBX-1768305097.290244</t>
  </si>
  <si>
    <t>Tue Jan 13 2026 08:50:56 GMT-0300 (Brasilia Standard Time)</t>
  </si>
  <si>
    <t>FlexPBX-1768305056.290232</t>
  </si>
  <si>
    <t>Tue Jan 13 2026 08:40:54 GMT-0300 (Brasilia Standard Time)</t>
  </si>
  <si>
    <t>FlexPBX-1768304454.290209</t>
  </si>
  <si>
    <t>Tue Jan 13 2026 08:36:25 GMT-0300 (Brasilia Standard Time)</t>
  </si>
  <si>
    <t>FlexPBX-1768304185.290185</t>
  </si>
  <si>
    <t>Tue Jan 13 2026 08:35:16 GMT-0300 (Brasilia Standard Time)</t>
  </si>
  <si>
    <t>FlexPBX-1768304116.290169</t>
  </si>
  <si>
    <t>Tue Jan 13 2026 08:33:27 GMT-0300 (Brasilia Standard Time)</t>
  </si>
  <si>
    <t>FlexPBX-1768304007.290149</t>
  </si>
  <si>
    <t>Tue Jan 13 2026 08:30:27 GMT-0300 (Brasilia Standard Time)</t>
  </si>
  <si>
    <t>FlexPBX-1768303827.290097</t>
  </si>
  <si>
    <t>Mon Jan 12 2026 17:28:25 GMT-0300 (Brasilia Standard Time)</t>
  </si>
  <si>
    <t>FlexPBX-1768249705.289943</t>
  </si>
  <si>
    <t>Mon Jan 12 2026 17:13:57 GMT-0300 (Brasilia Standard Time)</t>
  </si>
  <si>
    <t>FlexPBX-1768248837.289743</t>
  </si>
  <si>
    <t>Mon Jan 12 2026 17:05:33 GMT-0300 (Brasilia Standard Time)</t>
  </si>
  <si>
    <t>FlexPBX-1768248333.289693</t>
  </si>
  <si>
    <t>Mon Jan 12 2026 17:04:38 GMT-0300 (Brasilia Standard Time)</t>
  </si>
  <si>
    <t>FlexPBX-1768248278.289685</t>
  </si>
  <si>
    <t>Mon Jan 12 2026 17:03:47 GMT-0300 (Brasilia Standard Time)</t>
  </si>
  <si>
    <t>FlexPBX-1768248227.289671</t>
  </si>
  <si>
    <t>Mon Jan 12 2026 17:02:50 GMT-0300 (Brasilia Standard Time)</t>
  </si>
  <si>
    <t>FlexPBX-1768248170.289657</t>
  </si>
  <si>
    <t>Mon Jan 12 2026 16:55:59 GMT-0300 (Brasilia Standard Time)</t>
  </si>
  <si>
    <t>FlexPBX-1768247759.289610</t>
  </si>
  <si>
    <t>Mon Jan 12 2026 16:40:22 GMT-0300 (Brasilia Standard Time)</t>
  </si>
  <si>
    <t>FlexPBX-1768246822.289533</t>
  </si>
  <si>
    <t>Mon Jan 12 2026 16:38:04 GMT-0300 (Brasilia Standard Time)</t>
  </si>
  <si>
    <t>FlexPBX-1768246684.289511</t>
  </si>
  <si>
    <t>Mon Jan 12 2026 16:30:57 GMT-0300 (Brasilia Standard Time)</t>
  </si>
  <si>
    <t>FlexPBX-1768246257.289449</t>
  </si>
  <si>
    <t>Mon Jan 12 2026 16:30:30 GMT-0300 (Brasilia Standard Time)</t>
  </si>
  <si>
    <t>FlexPBX-1768246230.289425</t>
  </si>
  <si>
    <t>Mon Jan 12 2026 16:23:41 GMT-0300 (Brasilia Standard Time)</t>
  </si>
  <si>
    <t>FlexPBX-1768245821.289373</t>
  </si>
  <si>
    <t>Mon Jan 12 2026 16:22:57 GMT-0300 (Brasilia Standard Time)</t>
  </si>
  <si>
    <t>FlexPBX-1768245777.289349</t>
  </si>
  <si>
    <t>Mon Jan 12 2026 16:15:53 GMT-0300 (Brasilia Standard Time)</t>
  </si>
  <si>
    <t>FlexPBX-1768245353.289251</t>
  </si>
  <si>
    <t>Mon Jan 12 2026 16:06:14 GMT-0300 (Brasilia Standard Time)</t>
  </si>
  <si>
    <t>FlexPBX-1768244774.289161</t>
  </si>
  <si>
    <t>Mon Jan 12 2026 15:47:01 GMT-0300 (Brasilia Standard Time)</t>
  </si>
  <si>
    <t>FlexPBX-1768243621.289106</t>
  </si>
  <si>
    <t>Mon Jan 12 2026 15:36:00 GMT-0300 (Brasilia Standard Time)</t>
  </si>
  <si>
    <t>FlexPBX-1768242959.289074</t>
  </si>
  <si>
    <t>Mon Jan 12 2026 15:29:08 GMT-0300 (Brasilia Standard Time)</t>
  </si>
  <si>
    <t>FlexPBX-1768242548.289032</t>
  </si>
  <si>
    <t>Mon Jan 12 2026 15:15:41 GMT-0300 (Brasilia Standard Time)</t>
  </si>
  <si>
    <t>FlexPBX-1768241741.288960</t>
  </si>
  <si>
    <t>Mon Jan 12 2026 15:04:34 GMT-0300 (Brasilia Standard Time)</t>
  </si>
  <si>
    <t>FlexPBX-1768241074.288918</t>
  </si>
  <si>
    <t>Mon Jan 12 2026 15:04:12 GMT-0300 (Brasilia Standard Time)</t>
  </si>
  <si>
    <t>FlexPBX-1768241052.288894</t>
  </si>
  <si>
    <t>Mon Jan 12 2026 15:02:03 GMT-0300 (Brasilia Standard Time)</t>
  </si>
  <si>
    <t>FlexPBX-1768240923.288864</t>
  </si>
  <si>
    <t>Mon Jan 12 2026 14:50:57 GMT-0300 (Brasilia Standard Time)</t>
  </si>
  <si>
    <t>FlexPBX-1768240257.288763</t>
  </si>
  <si>
    <t>Mon Jan 12 2026 14:50:34 GMT-0300 (Brasilia Standard Time)</t>
  </si>
  <si>
    <t>FlexPBX-1768240234.288753</t>
  </si>
  <si>
    <t>Mon Jan 12 2026 14:46:04 GMT-0300 (Brasilia Standard Time)</t>
  </si>
  <si>
    <t>FlexPBX-1768239964.288731</t>
  </si>
  <si>
    <t>Mon Jan 12 2026 14:41:34 GMT-0300 (Brasilia Standard Time)</t>
  </si>
  <si>
    <t>FlexPBX-1768239694.288615</t>
  </si>
  <si>
    <t>Mon Jan 12 2026 14:16:32 GMT-0300 (Brasilia Standard Time)</t>
  </si>
  <si>
    <t>FlexPBX-1768238192.288523</t>
  </si>
  <si>
    <t>Mon Jan 12 2026 14:15:56 GMT-0300 (Brasilia Standard Time)</t>
  </si>
  <si>
    <t>FlexPBX-1768238156.288489</t>
  </si>
  <si>
    <t>Mon Jan 12 2026 14:15:16 GMT-0300 (Brasilia Standard Time)</t>
  </si>
  <si>
    <t>FlexPBX-1768238116.288470</t>
  </si>
  <si>
    <t>Mon Jan 12 2026 14:05:28 GMT-0300 (Brasilia Standard Time)</t>
  </si>
  <si>
    <t>FlexPBX-1768237528.288424</t>
  </si>
  <si>
    <t>Mon Jan 12 2026 14:03:54 GMT-0300 (Brasilia Standard Time)</t>
  </si>
  <si>
    <t>FlexPBX-1768237434.288403</t>
  </si>
  <si>
    <t>Mon Jan 12 2026 14:03:49 GMT-0300 (Brasilia Standard Time)</t>
  </si>
  <si>
    <t>FlexPBX-1768237429.288400</t>
  </si>
  <si>
    <t>Mon Jan 12 2026 13:56:28 GMT-0300 (Brasilia Standard Time)</t>
  </si>
  <si>
    <t>FlexPBX-1768236988.288335</t>
  </si>
  <si>
    <t>Mon Jan 12 2026 13:56:16 GMT-0300 (Brasilia Standard Time)</t>
  </si>
  <si>
    <t>FlexPBX-1768236976.288326</t>
  </si>
  <si>
    <t>Mon Jan 12 2026 13:55:35 GMT-0300 (Brasilia Standard Time)</t>
  </si>
  <si>
    <t>FlexPBX-1768236935.288301</t>
  </si>
  <si>
    <t>Mon Jan 12 2026 13:54:48 GMT-0300 (Brasilia Standard Time)</t>
  </si>
  <si>
    <t>FlexPBX-1768236888.288286</t>
  </si>
  <si>
    <t>Mon Jan 12 2026 13:53:25 GMT-0300 (Brasilia Standard Time)</t>
  </si>
  <si>
    <t>FlexPBX-1768236805.288258</t>
  </si>
  <si>
    <t>Mon Jan 12 2026 13:51:15 GMT-0300 (Brasilia Standard Time)</t>
  </si>
  <si>
    <t>FlexPBX-1768236675.288236</t>
  </si>
  <si>
    <t>Mon Jan 12 2026 13:50:13 GMT-0300 (Brasilia Standard Time)</t>
  </si>
  <si>
    <t>FlexPBX-1768236613.288196</t>
  </si>
  <si>
    <t>Mon Jan 12 2026 13:46:38 GMT-0300 (Brasilia Standard Time)</t>
  </si>
  <si>
    <t>FlexPBX-1768236398.288144</t>
  </si>
  <si>
    <t>Mon Jan 12 2026 13:44:39 GMT-0300 (Brasilia Standard Time)</t>
  </si>
  <si>
    <t>FlexPBX-1768236279.288051</t>
  </si>
  <si>
    <t>Mon Jan 12 2026 13:44:29 GMT-0300 (Brasilia Standard Time)</t>
  </si>
  <si>
    <t>FlexPBX-1768236269.288046</t>
  </si>
  <si>
    <t>Mon Jan 12 2026 13:39:29 GMT-0300 (Brasilia Standard Time)</t>
  </si>
  <si>
    <t>FlexPBX-1768235969.288020</t>
  </si>
  <si>
    <t>Mon Jan 12 2026 13:39:08 GMT-0300 (Brasilia Standard Time)</t>
  </si>
  <si>
    <t>FlexPBX-1768235948.288012</t>
  </si>
  <si>
    <t>Mon Jan 12 2026 13:37:41 GMT-0300 (Brasilia Standard Time)</t>
  </si>
  <si>
    <t>FlexPBX-1768235861.287968</t>
  </si>
  <si>
    <t>Mon Jan 12 2026 11:59:19 GMT-0300 (Brasilia Standard Time)</t>
  </si>
  <si>
    <t>FlexPBX-1768229959.287799</t>
  </si>
  <si>
    <t>Mon Jan 12 2026 11:47:10 GMT-0300 (Brasilia Standard Time)</t>
  </si>
  <si>
    <t>FlexPBX-1768229230.287785</t>
  </si>
  <si>
    <t>Mon Jan 12 2026 11:46:46 GMT-0300 (Brasilia Standard Time)</t>
  </si>
  <si>
    <t>FlexPBX-1768229206.287777</t>
  </si>
  <si>
    <t>Mon Jan 12 2026 11:26:26 GMT-0300 (Brasilia Standard Time)</t>
  </si>
  <si>
    <t>FlexPBX-1768227986.287666</t>
  </si>
  <si>
    <t>Mon Jan 12 2026 11:25:53 GMT-0300 (Brasilia Standard Time)</t>
  </si>
  <si>
    <t>FlexPBX-1768227953.287641</t>
  </si>
  <si>
    <t>Mon Jan 12 2026 11:12:52 GMT-0300 (Brasilia Standard Time)</t>
  </si>
  <si>
    <t>FlexPBX-1768227172.287582</t>
  </si>
  <si>
    <t>Mon Jan 12 2026 11:12:19 GMT-0300 (Brasilia Standard Time)</t>
  </si>
  <si>
    <t>FlexPBX-1768227139.287567</t>
  </si>
  <si>
    <t>Mon Jan 12 2026 11:02:35 GMT-0300 (Brasilia Standard Time)</t>
  </si>
  <si>
    <t>FlexPBX-1768226555.287547</t>
  </si>
  <si>
    <t>Mon Jan 12 2026 11:01:29 GMT-0300 (Brasilia Standard Time)</t>
  </si>
  <si>
    <t>FlexPBX-1768226489.287507</t>
  </si>
  <si>
    <t>Mon Jan 12 2026 10:57:41 GMT-0300 (Brasilia Standard Time)</t>
  </si>
  <si>
    <t>FlexPBX-1768226261.287459</t>
  </si>
  <si>
    <t>Mon Jan 12 2026 10:55:35 GMT-0300 (Brasilia Standard Time)</t>
  </si>
  <si>
    <t>FlexPBX-1768226135.287402</t>
  </si>
  <si>
    <t>Mon Jan 12 2026 10:55:26 GMT-0300 (Brasilia Standard Time)</t>
  </si>
  <si>
    <t>FlexPBX-1768226126.287399</t>
  </si>
  <si>
    <t>Mon Jan 12 2026 10:37:01 GMT-0300 (Brasilia Standard Time)</t>
  </si>
  <si>
    <t>FlexPBX-1768225021.287347</t>
  </si>
  <si>
    <t>Mon Jan 12 2026 10:29:51 GMT-0300 (Brasilia Standard Time)</t>
  </si>
  <si>
    <t>FlexPBX-1768224591.287270</t>
  </si>
  <si>
    <t>Mon Jan 12 2026 10:26:09 GMT-0300 (Brasilia Standard Time)</t>
  </si>
  <si>
    <t>FlexPBX-1768224369.287246</t>
  </si>
  <si>
    <t>Mon Jan 12 2026 10:20:08 GMT-0300 (Brasilia Standard Time)</t>
  </si>
  <si>
    <t>FlexPBX-1768224008.287186</t>
  </si>
  <si>
    <t>Mon Jan 12 2026 09:52:41 GMT-0300 (Brasilia Standard Time)</t>
  </si>
  <si>
    <t>FlexPBX-1768222361.287108</t>
  </si>
  <si>
    <t>Mon Jan 12 2026 09:28:01 GMT-0300 (Brasilia Standard Time)</t>
  </si>
  <si>
    <t>FlexPBX-1768220881.287058</t>
  </si>
  <si>
    <t>Mon Jan 12 2026 09:26:09 GMT-0300 (Brasilia Standard Time)</t>
  </si>
  <si>
    <t>FlexPBX-1768220769.287010</t>
  </si>
  <si>
    <t>Mon Jan 12 2026 09:25:02 GMT-0300 (Brasilia Standard Time)</t>
  </si>
  <si>
    <t>FlexPBX-1768220702.286990</t>
  </si>
  <si>
    <t>Mon Jan 12 2026 09:23:57 GMT-0300 (Brasilia Standard Time)</t>
  </si>
  <si>
    <t>FlexPBX-1768220637.286966</t>
  </si>
  <si>
    <t>Mon Jan 12 2026 09:22:27 GMT-0300 (Brasilia Standard Time)</t>
  </si>
  <si>
    <t>FlexPBX-1768220547.286952</t>
  </si>
  <si>
    <t>Mon Jan 12 2026 09:21:13 GMT-0300 (Brasilia Standard Time)</t>
  </si>
  <si>
    <t>FlexPBX-1768220473.286938</t>
  </si>
  <si>
    <t>Mon Jan 12 2026 09:18:45 GMT-0300 (Brasilia Standard Time)</t>
  </si>
  <si>
    <t>FlexPBX-1768220325.286930</t>
  </si>
  <si>
    <t>Mon Jan 12 2026 09:18:40 GMT-0300 (Brasilia Standard Time)</t>
  </si>
  <si>
    <t>FlexPBX-1768220320.286922</t>
  </si>
  <si>
    <t>Mon Jan 12 2026 09:11:22 GMT-0300 (Brasilia Standard Time)</t>
  </si>
  <si>
    <t>FlexPBX-1768219882.286896</t>
  </si>
  <si>
    <t>Mon Jan 12 2026 09:10:55 GMT-0300 (Brasilia Standard Time)</t>
  </si>
  <si>
    <t>FlexPBX-1768219855.286872</t>
  </si>
  <si>
    <t>Mon Jan 12 2026 09:10:35 GMT-0300 (Brasilia Standard Time)</t>
  </si>
  <si>
    <t>FlexPBX-1768219835.286864</t>
  </si>
  <si>
    <t>Mon Jan 12 2026 09:09:49 GMT-0300 (Brasilia Standard Time)</t>
  </si>
  <si>
    <t>FlexPBX-1768219789.286850</t>
  </si>
  <si>
    <t>Mon Jan 12 2026 08:54:47 GMT-0300 (Brasilia Standard Time)</t>
  </si>
  <si>
    <t>FlexPBX-1768218887.286818</t>
  </si>
  <si>
    <t>Mon Jan 12 2026 08:49:44 GMT-0300 (Brasilia Standard Time)</t>
  </si>
  <si>
    <t>FlexPBX-1768218584.286775</t>
  </si>
  <si>
    <t>Mon Jan 12 2026 08:48:18 GMT-0300 (Brasilia Standard Time)</t>
  </si>
  <si>
    <t>FlexPBX-1768218498.286744</t>
  </si>
  <si>
    <t>Mon Jan 12 2026 08:46:20 GMT-0300 (Brasilia Standard Time)</t>
  </si>
  <si>
    <t>FlexPBX-1768218380.286687</t>
  </si>
  <si>
    <t>Mon Jan 12 2026 08:46:16 GMT-0300 (Brasilia Standard Time)</t>
  </si>
  <si>
    <t>FlexPBX-1768218376.286684</t>
  </si>
  <si>
    <t>Mon Jan 12 2026 08:36:57 GMT-0300 (Brasilia Standard Time)</t>
  </si>
  <si>
    <t>FlexPBX-1768217817.286605</t>
  </si>
  <si>
    <t>Mon Jan 12 2026 08:34:18 GMT-0300 (Brasilia Standard Time)</t>
  </si>
  <si>
    <t>FlexPBX-1768217658.286582</t>
  </si>
  <si>
    <t>Mon Jan 12 2026 08:31:32 GMT-0300 (Brasilia Standard Time)</t>
  </si>
  <si>
    <t>FlexPBX-1768217492.286537</t>
  </si>
  <si>
    <t>Mon Jan 12 2026 08:31:31 GMT-0300 (Brasilia Standard Time)</t>
  </si>
  <si>
    <t>FlexPBX-1768217491.286534</t>
  </si>
  <si>
    <t>Mon Jan 12 2026 08:21:05 GMT-0300 (Brasilia Standard Time)</t>
  </si>
  <si>
    <t>FlexPBX-1768216865.286485</t>
  </si>
  <si>
    <t>Mon Jan 12 2026 08:19:49 GMT-0300 (Brasilia Standard Time)</t>
  </si>
  <si>
    <t>FlexPBX-1768216789.286471</t>
  </si>
  <si>
    <t>Mon Jan 12 2026 08:10:37 GMT-0300 (Brasilia Standard Time)</t>
  </si>
  <si>
    <t>FlexPBX-1768216237.286458</t>
  </si>
  <si>
    <t>Mon Jan 12 2026 08:10:34 GMT-0300 (Brasilia Standard Time)</t>
  </si>
  <si>
    <t>FlexPBX-1768216234.286450</t>
  </si>
  <si>
    <t>Fri Jan 09 2026 17:45:57 GMT-0300 (Brasilia Standard Time)</t>
  </si>
  <si>
    <t>FlexPBX-1767991557.286247</t>
  </si>
  <si>
    <t>Fri Jan 09 2026 17:16:35 GMT-0300 (Brasilia Standard Time)</t>
  </si>
  <si>
    <t>FlexPBX-1767989795.286127</t>
  </si>
  <si>
    <t>Fri Jan 09 2026 17:11:38 GMT-0300 (Brasilia Standard Time)</t>
  </si>
  <si>
    <t>FlexPBX-1767989498.286074</t>
  </si>
  <si>
    <t>Fri Jan 09 2026 17:11:05 GMT-0300 (Brasilia Standard Time)</t>
  </si>
  <si>
    <t>FlexPBX-1767989465.286053</t>
  </si>
  <si>
    <t>Fri Jan 09 2026 17:10:45 GMT-0300 (Brasilia Standard Time)</t>
  </si>
  <si>
    <t>FlexPBX-1767989445.286028</t>
  </si>
  <si>
    <t>Fri Jan 09 2026 17:09:11 GMT-0300 (Brasilia Standard Time)</t>
  </si>
  <si>
    <t>FlexPBX-1767989351.285971</t>
  </si>
  <si>
    <t>Fri Jan 09 2026 17:04:23 GMT-0300 (Brasilia Standard Time)</t>
  </si>
  <si>
    <t>FlexPBX-1767989063.285917</t>
  </si>
  <si>
    <t>Fri Jan 09 2026 17:01:40 GMT-0300 (Brasilia Standard Time)</t>
  </si>
  <si>
    <t>FlexPBX-1767988900.285893</t>
  </si>
  <si>
    <t>Fri Jan 09 2026 16:50:25 GMT-0300 (Brasilia Standard Time)</t>
  </si>
  <si>
    <t>FlexPBX-1767988225.285835</t>
  </si>
  <si>
    <t>Fri Jan 09 2026 16:33:32 GMT-0300 (Brasilia Standard Time)</t>
  </si>
  <si>
    <t>FlexPBX-1767987212.285783</t>
  </si>
  <si>
    <t>Fri Jan 09 2026 16:29:09 GMT-0300 (Brasilia Standard Time)</t>
  </si>
  <si>
    <t>FlexPBX-1767986949.285765</t>
  </si>
  <si>
    <t>Fri Jan 09 2026 16:28:02 GMT-0300 (Brasilia Standard Time)</t>
  </si>
  <si>
    <t>FlexPBX-1767986882.285749</t>
  </si>
  <si>
    <t>Fri Jan 09 2026 16:22:04 GMT-0300 (Brasilia Standard Time)</t>
  </si>
  <si>
    <t>FlexPBX-1767986524.285723</t>
  </si>
  <si>
    <t>Fri Jan 09 2026 16:21:53 GMT-0300 (Brasilia Standard Time)</t>
  </si>
  <si>
    <t>FlexPBX-1767986513.285715</t>
  </si>
  <si>
    <t>Fri Jan 09 2026 16:20:20 GMT-0300 (Brasilia Standard Time)</t>
  </si>
  <si>
    <t>FlexPBX-1767986420.285666</t>
  </si>
  <si>
    <t>Fri Jan 09 2026 16:19:40 GMT-0300 (Brasilia Standard Time)</t>
  </si>
  <si>
    <t>FlexPBX-1767986380.285633</t>
  </si>
  <si>
    <t>Fri Jan 09 2026 16:18:58 GMT-0300 (Brasilia Standard Time)</t>
  </si>
  <si>
    <t>FlexPBX-1767986338.285615</t>
  </si>
  <si>
    <t>Fri Jan 09 2026 16:17:38 GMT-0300 (Brasilia Standard Time)</t>
  </si>
  <si>
    <t>FlexPBX-1767986258.285551</t>
  </si>
  <si>
    <t>Fri Jan 09 2026 15:42:38 GMT-0300 (Brasilia Standard Time)</t>
  </si>
  <si>
    <t>FlexPBX-1767984158.285488</t>
  </si>
  <si>
    <t>Fri Jan 09 2026 15:26:19 GMT-0300 (Brasilia Standard Time)</t>
  </si>
  <si>
    <t>FlexPBX-1767983179.285414</t>
  </si>
  <si>
    <t>Fri Jan 09 2026 15:08:58 GMT-0300 (Brasilia Standard Time)</t>
  </si>
  <si>
    <t>FlexPBX-1767982138.285390</t>
  </si>
  <si>
    <t>Fri Jan 09 2026 15:01:43 GMT-0300 (Brasilia Standard Time)</t>
  </si>
  <si>
    <t>FlexPBX-1767981703.285340</t>
  </si>
  <si>
    <t>Fri Jan 09 2026 14:51:53 GMT-0300 (Brasilia Standard Time)</t>
  </si>
  <si>
    <t>FlexPBX-1767981113.285289</t>
  </si>
  <si>
    <t>Fri Jan 09 2026 14:49:54 GMT-0300 (Brasilia Standard Time)</t>
  </si>
  <si>
    <t>FlexPBX-1767980994.285225</t>
  </si>
  <si>
    <t>Fri Jan 09 2026 14:26:10 GMT-0300 (Brasilia Standard Time)</t>
  </si>
  <si>
    <t>FlexPBX-1767979570.285060</t>
  </si>
  <si>
    <t>Fri Jan 09 2026 14:10:30 GMT-0300 (Brasilia Standard Time)</t>
  </si>
  <si>
    <t>FlexPBX-1767978630.284954</t>
  </si>
  <si>
    <t>Fri Jan 09 2026 14:10:28 GMT-0300 (Brasilia Standard Time)</t>
  </si>
  <si>
    <t>FlexPBX-1767978628.284951</t>
  </si>
  <si>
    <t>Fri Jan 09 2026 14:10:23 GMT-0300 (Brasilia Standard Time)</t>
  </si>
  <si>
    <t>FlexPBX-1767978623.284948</t>
  </si>
  <si>
    <t>Fri Jan 09 2026 14:05:44 GMT-0300 (Brasilia Standard Time)</t>
  </si>
  <si>
    <t>FlexPBX-1767978344.284928</t>
  </si>
  <si>
    <t>Fri Jan 09 2026 14:05:36 GMT-0300 (Brasilia Standard Time)</t>
  </si>
  <si>
    <t>FlexPBX-1767978336.284920</t>
  </si>
  <si>
    <t>Fri Jan 09 2026 14:05:01 GMT-0300 (Brasilia Standard Time)</t>
  </si>
  <si>
    <t>FlexPBX-1767978301.284883</t>
  </si>
  <si>
    <t>Fri Jan 09 2026 14:04:34 GMT-0300 (Brasilia Standard Time)</t>
  </si>
  <si>
    <t>FlexPBX-1767978274.284866</t>
  </si>
  <si>
    <t>Fri Jan 09 2026 14:03:30 GMT-0300 (Brasilia Standard Time)</t>
  </si>
  <si>
    <t>FlexPBX-1767978210.284858</t>
  </si>
  <si>
    <t>Fri Jan 09 2026 13:38:53 GMT-0300 (Brasilia Standard Time)</t>
  </si>
  <si>
    <t>FlexPBX-1767976733.284820</t>
  </si>
  <si>
    <t>Fri Jan 09 2026 13:37:56 GMT-0300 (Brasilia Standard Time)</t>
  </si>
  <si>
    <t>FlexPBX-1767976676.284806</t>
  </si>
  <si>
    <t>Fri Jan 09 2026 13:34:52 GMT-0300 (Brasilia Standard Time)</t>
  </si>
  <si>
    <t>FlexPBX-1767976492.284792</t>
  </si>
  <si>
    <t>Fri Jan 09 2026 13:32:47 GMT-0300 (Brasilia Standard Time)</t>
  </si>
  <si>
    <t>FlexPBX-1767976367.284778</t>
  </si>
  <si>
    <t>Fri Jan 09 2026 13:32:41 GMT-0300 (Brasilia Standard Time)</t>
  </si>
  <si>
    <t>FlexPBX-1767976361.284770</t>
  </si>
  <si>
    <t>Fri Jan 09 2026 13:30:57 GMT-0300 (Brasilia Standard Time)</t>
  </si>
  <si>
    <t>FlexPBX-1767976257.284706</t>
  </si>
  <si>
    <t>Fri Jan 09 2026 11:55:00 GMT-0300 (Brasilia Standard Time)</t>
  </si>
  <si>
    <t>FlexPBX-1767970500.284550</t>
  </si>
  <si>
    <t>Fri Jan 09 2026 11:50:45 GMT-0300 (Brasilia Standard Time)</t>
  </si>
  <si>
    <t>FlexPBX-1767970245.284536</t>
  </si>
  <si>
    <t>Fri Jan 09 2026 11:23:34 GMT-0300 (Brasilia Standard Time)</t>
  </si>
  <si>
    <t>FlexPBX-1767968614.284451</t>
  </si>
  <si>
    <t>Fri Jan 09 2026 11:22:13 GMT-0300 (Brasilia Standard Time)</t>
  </si>
  <si>
    <t>FlexPBX-1767968533.284398</t>
  </si>
  <si>
    <t>Fri Jan 09 2026 11:16:19 GMT-0300 (Brasilia Standard Time)</t>
  </si>
  <si>
    <t>FlexPBX-1767968179.284308</t>
  </si>
  <si>
    <t>Fri Jan 09 2026 11:13:43 GMT-0300 (Brasilia Standard Time)</t>
  </si>
  <si>
    <t>FlexPBX-1767968023.284238</t>
  </si>
  <si>
    <t>Fri Jan 09 2026 11:01:35 GMT-0300 (Brasilia Standard Time)</t>
  </si>
  <si>
    <t>FlexPBX-1767967295.284210</t>
  </si>
  <si>
    <t>Fri Jan 09 2026 11:01:06 GMT-0300 (Brasilia Standard Time)</t>
  </si>
  <si>
    <t>FlexPBX-1767967266.284196</t>
  </si>
  <si>
    <t>Fri Jan 09 2026 11:00:39 GMT-0300 (Brasilia Standard Time)</t>
  </si>
  <si>
    <t>FlexPBX-1767967239.284182</t>
  </si>
  <si>
    <t>Fri Jan 09 2026 11:00:09 GMT-0300 (Brasilia Standard Time)</t>
  </si>
  <si>
    <t>FlexPBX-1767967209.284164</t>
  </si>
  <si>
    <t>Fri Jan 09 2026 11:00:08 GMT-0300 (Brasilia Standard Time)</t>
  </si>
  <si>
    <t>FlexPBX-1767967208.284160</t>
  </si>
  <si>
    <t>Fri Jan 09 2026 10:59:57 GMT-0300 (Brasilia Standard Time)</t>
  </si>
  <si>
    <t>FlexPBX-1767967197.284152</t>
  </si>
  <si>
    <t>Fri Jan 09 2026 10:59:33 GMT-0300 (Brasilia Standard Time)</t>
  </si>
  <si>
    <t>FlexPBX-1767967173.284144</t>
  </si>
  <si>
    <t>Fri Jan 09 2026 10:49:11 GMT-0300 (Brasilia Standard Time)</t>
  </si>
  <si>
    <t>FlexPBX-1767966551.283980</t>
  </si>
  <si>
    <t>Fri Jan 09 2026 10:45:58 GMT-0300 (Brasilia Standard Time)</t>
  </si>
  <si>
    <t>FlexPBX-1767966358.283918</t>
  </si>
  <si>
    <t>Fri Jan 09 2026 10:42:34 GMT-0300 (Brasilia Standard Time)</t>
  </si>
  <si>
    <t>FlexPBX-1767966154.283827</t>
  </si>
  <si>
    <t>Fri Jan 09 2026 10:34:36 GMT-0300 (Brasilia Standard Time)</t>
  </si>
  <si>
    <t>FlexPBX-1767965676.283745</t>
  </si>
  <si>
    <t>Fri Jan 09 2026 10:34:32 GMT-0300 (Brasilia Standard Time)</t>
  </si>
  <si>
    <t>FlexPBX-1767965672.283742</t>
  </si>
  <si>
    <t>Fri Jan 09 2026 10:34:03 GMT-0300 (Brasilia Standard Time)</t>
  </si>
  <si>
    <t>FlexPBX-1767965643.283703</t>
  </si>
  <si>
    <t>Fri Jan 09 2026 10:33:27 GMT-0300 (Brasilia Standard Time)</t>
  </si>
  <si>
    <t>FlexPBX-1767965607.283670</t>
  </si>
  <si>
    <t>Fri Jan 09 2026 10:32:21 GMT-0300 (Brasilia Standard Time)</t>
  </si>
  <si>
    <t>FlexPBX-1767965541.283643</t>
  </si>
  <si>
    <t>Fri Jan 09 2026 10:25:43 GMT-0300 (Brasilia Standard Time)</t>
  </si>
  <si>
    <t>FlexPBX-1767965143.283571</t>
  </si>
  <si>
    <t>Fri Jan 09 2026 10:23:50 GMT-0300 (Brasilia Standard Time)</t>
  </si>
  <si>
    <t>FlexPBX-1767965030.283476</t>
  </si>
  <si>
    <t>Fri Jan 09 2026 10:23:18 GMT-0300 (Brasilia Standard Time)</t>
  </si>
  <si>
    <t>FlexPBX-1767964998.283463</t>
  </si>
  <si>
    <t>Fri Jan 09 2026 10:04:23 GMT-0300 (Brasilia Standard Time)</t>
  </si>
  <si>
    <t>FlexPBX-1767963863.283370</t>
  </si>
  <si>
    <t>Fri Jan 09 2026 09:58:56 GMT-0300 (Brasilia Standard Time)</t>
  </si>
  <si>
    <t>FlexPBX-1767963536.283348</t>
  </si>
  <si>
    <t>Fri Jan 09 2026 09:56:53 GMT-0300 (Brasilia Standard Time)</t>
  </si>
  <si>
    <t>FlexPBX-1767963413.283328</t>
  </si>
  <si>
    <t>Fri Jan 09 2026 09:45:53 GMT-0300 (Brasilia Standard Time)</t>
  </si>
  <si>
    <t>FlexPBX-1767962753.283264</t>
  </si>
  <si>
    <t>Fri Jan 09 2026 09:39:54 GMT-0300 (Brasilia Standard Time)</t>
  </si>
  <si>
    <t>FlexPBX-1767962394.283244</t>
  </si>
  <si>
    <t>Fri Jan 09 2026 09:34:34 GMT-0300 (Brasilia Standard Time)</t>
  </si>
  <si>
    <t>FlexPBX-1767962074.283194</t>
  </si>
  <si>
    <t>Fri Jan 09 2026 09:31:43 GMT-0300 (Brasilia Standard Time)</t>
  </si>
  <si>
    <t>FlexPBX-1767961903.283158</t>
  </si>
  <si>
    <t>Fri Jan 09 2026 09:13:29 GMT-0300 (Brasilia Standard Time)</t>
  </si>
  <si>
    <t>FlexPBX-1767960809.283028</t>
  </si>
  <si>
    <t>Fri Jan 09 2026 09:13:24 GMT-0300 (Brasilia Standard Time)</t>
  </si>
  <si>
    <t>FlexPBX-1767960804.283024</t>
  </si>
  <si>
    <t>Fri Jan 09 2026 09:12:39 GMT-0300 (Brasilia Standard Time)</t>
  </si>
  <si>
    <t>FlexPBX-1767960759.282954</t>
  </si>
  <si>
    <t>Fri Jan 09 2026 09:06:45 GMT-0300 (Brasilia Standard Time)</t>
  </si>
  <si>
    <t>FlexPBX-1767960405.282926</t>
  </si>
  <si>
    <t>Fri Jan 09 2026 08:41:50 GMT-0300 (Brasilia Standard Time)</t>
  </si>
  <si>
    <t>FlexPBX-1767958910.282858</t>
  </si>
  <si>
    <t>Fri Jan 09 2026 08:40:15 GMT-0300 (Brasilia Standard Time)</t>
  </si>
  <si>
    <t>FlexPBX-1767958815.282830</t>
  </si>
  <si>
    <t>Fri Jan 09 2026 08:32:45 GMT-0300 (Brasilia Standard Time)</t>
  </si>
  <si>
    <t>FlexPBX-1767958365.282786</t>
  </si>
  <si>
    <t>Fri Jan 09 2026 08:30:33 GMT-0300 (Brasilia Standard Time)</t>
  </si>
  <si>
    <t>FlexPBX-1767958233.282746</t>
  </si>
  <si>
    <t>Fri Jan 09 2026 08:25:02 GMT-0300 (Brasilia Standard Time)</t>
  </si>
  <si>
    <t>FlexPBX-1767957902.282718</t>
  </si>
  <si>
    <t>Fri Jan 09 2026 08:16:27 GMT-0300 (Brasilia Standard Time)</t>
  </si>
  <si>
    <t>FlexPBX-1767957387.282704</t>
  </si>
  <si>
    <t>Fri Jan 09 2026 08:16:21 GMT-0300 (Brasilia Standard Time)</t>
  </si>
  <si>
    <t>FlexPBX-1767957381.282694</t>
  </si>
  <si>
    <t>Fri Jan 09 2026 08:15:27 GMT-0300 (Brasilia Standard Time)</t>
  </si>
  <si>
    <t>FlexPBX-1767957327.282682</t>
  </si>
  <si>
    <t>Fri Jan 09 2026 08:14:17 GMT-0300 (Brasilia Standard Time)</t>
  </si>
  <si>
    <t>FlexPBX-1767957257.282668</t>
  </si>
  <si>
    <t>Fri Jan 09 2026 08:14:00 GMT-0300 (Brasilia Standard Time)</t>
  </si>
  <si>
    <t>FlexPBX-1767957240.282660</t>
  </si>
  <si>
    <t>Thu Jan 08 2026 17:41:46 GMT-0300 (Brasilia Standard Time)</t>
  </si>
  <si>
    <t>FlexPBX-1767904906.282550</t>
  </si>
  <si>
    <t>Thu Jan 08 2026 17:32:41 GMT-0300 (Brasilia Standard Time)</t>
  </si>
  <si>
    <t>FlexPBX-1767904361.282438</t>
  </si>
  <si>
    <t>Thu Jan 08 2026 17:15:04 GMT-0300 (Brasilia Standard Time)</t>
  </si>
  <si>
    <t>FlexPBX-1767903304.282227</t>
  </si>
  <si>
    <t>Thu Jan 08 2026 17:14:50 GMT-0300 (Brasilia Standard Time)</t>
  </si>
  <si>
    <t>FlexPBX-1767903290.282218</t>
  </si>
  <si>
    <t>Thu Jan 08 2026 17:06:43 GMT-0300 (Brasilia Standard Time)</t>
  </si>
  <si>
    <t>FlexPBX-1767902803.282029</t>
  </si>
  <si>
    <t>Thu Jan 08 2026 17:06:34 GMT-0300 (Brasilia Standard Time)</t>
  </si>
  <si>
    <t>FlexPBX-1767902794.282021</t>
  </si>
  <si>
    <t>Thu Jan 08 2026 16:59:14 GMT-0300 (Brasilia Standard Time)</t>
  </si>
  <si>
    <t>FlexPBX-1767902354.282007</t>
  </si>
  <si>
    <t>Thu Jan 08 2026 16:58:59 GMT-0300 (Brasilia Standard Time)</t>
  </si>
  <si>
    <t>FlexPBX-1767902339.281993</t>
  </si>
  <si>
    <t>Thu Jan 08 2026 16:55:28 GMT-0300 (Brasilia Standard Time)</t>
  </si>
  <si>
    <t>FlexPBX-1767902128.281985</t>
  </si>
  <si>
    <t>Thu Jan 08 2026 16:55:15 GMT-0300 (Brasilia Standard Time)</t>
  </si>
  <si>
    <t>FlexPBX-1767902115.281977</t>
  </si>
  <si>
    <t>Thu Jan 08 2026 16:41:13 GMT-0300 (Brasilia Standard Time)</t>
  </si>
  <si>
    <t>FlexPBX-1767901273.281937</t>
  </si>
  <si>
    <t>Thu Jan 08 2026 16:36:21 GMT-0300 (Brasilia Standard Time)</t>
  </si>
  <si>
    <t>FlexPBX-1767900981.281909</t>
  </si>
  <si>
    <t>Thu Jan 08 2026 16:36:18 GMT-0300 (Brasilia Standard Time)</t>
  </si>
  <si>
    <t>FlexPBX-1767900978.281901</t>
  </si>
  <si>
    <t>Thu Jan 08 2026 16:36:09 GMT-0300 (Brasilia Standard Time)</t>
  </si>
  <si>
    <t>FlexPBX-1767900969.281893</t>
  </si>
  <si>
    <t>Thu Jan 08 2026 16:34:59 GMT-0300 (Brasilia Standard Time)</t>
  </si>
  <si>
    <t>FlexPBX-1767900899.281885</t>
  </si>
  <si>
    <t>Thu Jan 08 2026 16:23:55 GMT-0300 (Brasilia Standard Time)</t>
  </si>
  <si>
    <t>FlexPBX-1767900235.281831</t>
  </si>
  <si>
    <t>Thu Jan 08 2026 16:22:32 GMT-0300 (Brasilia Standard Time)</t>
  </si>
  <si>
    <t>FlexPBX-1767900152.281797</t>
  </si>
  <si>
    <t>Thu Jan 08 2026 16:18:37 GMT-0300 (Brasilia Standard Time)</t>
  </si>
  <si>
    <t>FlexPBX-1767899917.281723</t>
  </si>
  <si>
    <t>Thu Jan 08 2026 16:16:20 GMT-0300 (Brasilia Standard Time)</t>
  </si>
  <si>
    <t>FlexPBX-1767899780.281695</t>
  </si>
  <si>
    <t>Thu Jan 08 2026 16:08:11 GMT-0300 (Brasilia Standard Time)</t>
  </si>
  <si>
    <t>FlexPBX-1767899291.281611</t>
  </si>
  <si>
    <t>Thu Jan 08 2026 16:06:07 GMT-0300 (Brasilia Standard Time)</t>
  </si>
  <si>
    <t>FlexPBX-1767899167.281590</t>
  </si>
  <si>
    <t>Thu Jan 08 2026 16:04:57 GMT-0300 (Brasilia Standard Time)</t>
  </si>
  <si>
    <t>FlexPBX-1767899097.281553</t>
  </si>
  <si>
    <t>Thu Jan 08 2026 16:04:43 GMT-0300 (Brasilia Standard Time)</t>
  </si>
  <si>
    <t>FlexPBX-1767899083.281546</t>
  </si>
  <si>
    <t>Thu Jan 08 2026 16:04:30 GMT-0300 (Brasilia Standard Time)</t>
  </si>
  <si>
    <t>FlexPBX-1767899070.281543</t>
  </si>
  <si>
    <t>Thu Jan 08 2026 16:03:31 GMT-0300 (Brasilia Standard Time)</t>
  </si>
  <si>
    <t>FlexPBX-1767899011.281498</t>
  </si>
  <si>
    <t>Thu Jan 08 2026 16:03:29 GMT-0300 (Brasilia Standard Time)</t>
  </si>
  <si>
    <t>FlexPBX-1767899009.281495</t>
  </si>
  <si>
    <t>Thu Jan 08 2026 16:03:10 GMT-0300 (Brasilia Standard Time)</t>
  </si>
  <si>
    <t>FlexPBX-1767898990.281487</t>
  </si>
  <si>
    <t>Thu Jan 08 2026 15:55:35 GMT-0300 (Brasilia Standard Time)</t>
  </si>
  <si>
    <t>FlexPBX-1767898535.281455</t>
  </si>
  <si>
    <t>Thu Jan 08 2026 15:51:56 GMT-0300 (Brasilia Standard Time)</t>
  </si>
  <si>
    <t>FlexPBX-1767898316.281378</t>
  </si>
  <si>
    <t>Thu Jan 08 2026 15:50:35 GMT-0300 (Brasilia Standard Time)</t>
  </si>
  <si>
    <t>FlexPBX-1767898235.281345</t>
  </si>
  <si>
    <t>Thu Jan 08 2026 15:49:25 GMT-0300 (Brasilia Standard Time)</t>
  </si>
  <si>
    <t>FlexPBX-1767898165.281337</t>
  </si>
  <si>
    <t>Thu Jan 08 2026 15:49:20 GMT-0300 (Brasilia Standard Time)</t>
  </si>
  <si>
    <t>FlexPBX-1767898160.281329</t>
  </si>
  <si>
    <t>Thu Jan 08 2026 15:47:33 GMT-0300 (Brasilia Standard Time)</t>
  </si>
  <si>
    <t>FlexPBX-1767898053.281245</t>
  </si>
  <si>
    <t>Thu Jan 08 2026 15:43:52 GMT-0300 (Brasilia Standard Time)</t>
  </si>
  <si>
    <t>FlexPBX-1767897832.281077</t>
  </si>
  <si>
    <t>Thu Jan 08 2026 15:37:19 GMT-0300 (Brasilia Standard Time)</t>
  </si>
  <si>
    <t>FlexPBX-1767897439.281057</t>
  </si>
  <si>
    <t>Thu Jan 08 2026 15:32:17 GMT-0300 (Brasilia Standard Time)</t>
  </si>
  <si>
    <t>FlexPBX-1767897137.281000</t>
  </si>
  <si>
    <t>Thu Jan 08 2026 15:31:21 GMT-0300 (Brasilia Standard Time)</t>
  </si>
  <si>
    <t>FlexPBX-1767897081.280951</t>
  </si>
  <si>
    <t>Thu Jan 08 2026 15:29:30 GMT-0300 (Brasilia Standard Time)</t>
  </si>
  <si>
    <t>FlexPBX-1767896970.280931</t>
  </si>
  <si>
    <t>Thu Jan 08 2026 15:28:01 GMT-0300 (Brasilia Standard Time)</t>
  </si>
  <si>
    <t>FlexPBX-1767896881.280882</t>
  </si>
  <si>
    <t>Thu Jan 08 2026 15:27:57 GMT-0300 (Brasilia Standard Time)</t>
  </si>
  <si>
    <t>FlexPBX-1767896877.280874</t>
  </si>
  <si>
    <t>Thu Jan 08 2026 15:27:51 GMT-0300 (Brasilia Standard Time)</t>
  </si>
  <si>
    <t>FlexPBX-1767896871.280866</t>
  </si>
  <si>
    <t>Thu Jan 08 2026 15:27:16 GMT-0300 (Brasilia Standard Time)</t>
  </si>
  <si>
    <t>FlexPBX-1767896836.280855</t>
  </si>
  <si>
    <t>Thu Jan 08 2026 15:26:44 GMT-0300 (Brasilia Standard Time)</t>
  </si>
  <si>
    <t>FlexPBX-1767896804.280841</t>
  </si>
  <si>
    <t>Thu Jan 08 2026 15:26:40 GMT-0300 (Brasilia Standard Time)</t>
  </si>
  <si>
    <t>FlexPBX-1767896800.280833</t>
  </si>
  <si>
    <t>Thu Jan 08 2026 15:22:31 GMT-0300 (Brasilia Standard Time)</t>
  </si>
  <si>
    <t>FlexPBX-1767896551.280811</t>
  </si>
  <si>
    <t>Thu Jan 08 2026 15:18:16 GMT-0300 (Brasilia Standard Time)</t>
  </si>
  <si>
    <t>FlexPBX-1767896296.280791</t>
  </si>
  <si>
    <t>Thu Jan 08 2026 15:13:17 GMT-0300 (Brasilia Standard Time)</t>
  </si>
  <si>
    <t>FlexPBX-1767895997.280761</t>
  </si>
  <si>
    <t>Thu Jan 08 2026 15:11:26 GMT-0300 (Brasilia Standard Time)</t>
  </si>
  <si>
    <t>FlexPBX-1767895886.280749</t>
  </si>
  <si>
    <t>Thu Jan 08 2026 15:11:12 GMT-0300 (Brasilia Standard Time)</t>
  </si>
  <si>
    <t>FlexPBX-1767895872.280724</t>
  </si>
  <si>
    <t>Thu Jan 08 2026 15:11:00 GMT-0300 (Brasilia Standard Time)</t>
  </si>
  <si>
    <t>FlexPBX-1767895860.280712</t>
  </si>
  <si>
    <t>Thu Jan 08 2026 15:10:49 GMT-0300 (Brasilia Standard Time)</t>
  </si>
  <si>
    <t>FlexPBX-1767895849.280692</t>
  </si>
  <si>
    <t>Thu Jan 08 2026 15:10:39 GMT-0300 (Brasilia Standard Time)</t>
  </si>
  <si>
    <t>FlexPBX-1767895839.280678</t>
  </si>
  <si>
    <t>Thu Jan 08 2026 15:09:19 GMT-0300 (Brasilia Standard Time)</t>
  </si>
  <si>
    <t>FlexPBX-1767895759.280617</t>
  </si>
  <si>
    <t>Thu Jan 08 2026 15:04:08 GMT-0300 (Brasilia Standard Time)</t>
  </si>
  <si>
    <t>FlexPBX-1767895448.280559</t>
  </si>
  <si>
    <t>Thu Jan 08 2026 15:00:35 GMT-0300 (Brasilia Standard Time)</t>
  </si>
  <si>
    <t>FlexPBX-1767895235.280508</t>
  </si>
  <si>
    <t>Thu Jan 08 2026 14:59:04 GMT-0300 (Brasilia Standard Time)</t>
  </si>
  <si>
    <t>FlexPBX-1767895144.280460</t>
  </si>
  <si>
    <t>Thu Jan 08 2026 14:59:02 GMT-0300 (Brasilia Standard Time)</t>
  </si>
  <si>
    <t>FlexPBX-1767895142.280457</t>
  </si>
  <si>
    <t>Thu Jan 08 2026 14:56:01 GMT-0300 (Brasilia Standard Time)</t>
  </si>
  <si>
    <t>FlexPBX-1767894961.280417</t>
  </si>
  <si>
    <t>Thu Jan 08 2026 14:43:53 GMT-0300 (Brasilia Standard Time)</t>
  </si>
  <si>
    <t>FlexPBX-1767894233.280346</t>
  </si>
  <si>
    <t>Thu Jan 08 2026 14:41:56 GMT-0300 (Brasilia Standard Time)</t>
  </si>
  <si>
    <t>FlexPBX-1767894116.280330</t>
  </si>
  <si>
    <t>Thu Jan 08 2026 14:39:56 GMT-0300 (Brasilia Standard Time)</t>
  </si>
  <si>
    <t>FlexPBX-1767893996.280246</t>
  </si>
  <si>
    <t>Thu Jan 08 2026 14:36:23 GMT-0300 (Brasilia Standard Time)</t>
  </si>
  <si>
    <t>FlexPBX-1767893783.280222</t>
  </si>
  <si>
    <t>Thu Jan 08 2026 14:18:17 GMT-0300 (Brasilia Standard Time)</t>
  </si>
  <si>
    <t>FlexPBX-1767892697.280168</t>
  </si>
  <si>
    <t>Thu Jan 08 2026 14:14:38 GMT-0300 (Brasilia Standard Time)</t>
  </si>
  <si>
    <t>FlexPBX-1767892478.280146</t>
  </si>
  <si>
    <t>Thu Jan 08 2026 14:11:03 GMT-0300 (Brasilia Standard Time)</t>
  </si>
  <si>
    <t>FlexPBX-1767892263.280044</t>
  </si>
  <si>
    <t>Thu Jan 08 2026 14:00:28 GMT-0300 (Brasilia Standard Time)</t>
  </si>
  <si>
    <t>FlexPBX-1767891628.279923</t>
  </si>
  <si>
    <t>Thu Jan 08 2026 13:59:53 GMT-0300 (Brasilia Standard Time)</t>
  </si>
  <si>
    <t>FlexPBX-1767891593.279907</t>
  </si>
  <si>
    <t>Thu Jan 08 2026 13:57:56 GMT-0300 (Brasilia Standard Time)</t>
  </si>
  <si>
    <t>FlexPBX-1767891476.279867</t>
  </si>
  <si>
    <t>Thu Jan 08 2026 13:54:57 GMT-0300 (Brasilia Standard Time)</t>
  </si>
  <si>
    <t>FlexPBX-1767891297.279859</t>
  </si>
  <si>
    <t>Thu Jan 08 2026 13:50:57 GMT-0300 (Brasilia Standard Time)</t>
  </si>
  <si>
    <t>FlexPBX-1767891057.279835</t>
  </si>
  <si>
    <t>Thu Jan 08 2026 13:48:35 GMT-0300 (Brasilia Standard Time)</t>
  </si>
  <si>
    <t>FlexPBX-1767890915.279827</t>
  </si>
  <si>
    <t>Thu Jan 08 2026 11:43:54 GMT-0300 (Brasilia Standard Time)</t>
  </si>
  <si>
    <t>FlexPBX-1767883434.279637</t>
  </si>
  <si>
    <t>Thu Jan 08 2026 11:40:17 GMT-0300 (Brasilia Standard Time)</t>
  </si>
  <si>
    <t>FlexPBX-1767883217.279573</t>
  </si>
  <si>
    <t>Thu Jan 08 2026 11:30:42 GMT-0300 (Brasilia Standard Time)</t>
  </si>
  <si>
    <t>FlexPBX-1767882642.279492</t>
  </si>
  <si>
    <t>Thu Jan 08 2026 11:30:22 GMT-0300 (Brasilia Standard Time)</t>
  </si>
  <si>
    <t>FlexPBX-1767882622.279489</t>
  </si>
  <si>
    <t>Thu Jan 08 2026 11:23:50 GMT-0300 (Brasilia Standard Time)</t>
  </si>
  <si>
    <t>FlexPBX-1767882230.279481</t>
  </si>
  <si>
    <t>Thu Jan 08 2026 11:23:44 GMT-0300 (Brasilia Standard Time)</t>
  </si>
  <si>
    <t>FlexPBX-1767882224.279462</t>
  </si>
  <si>
    <t>Thu Jan 08 2026 11:23:36 GMT-0300 (Brasilia Standard Time)</t>
  </si>
  <si>
    <t>FlexPBX-1767882216.279446</t>
  </si>
  <si>
    <t>Thu Jan 08 2026 11:23:24 GMT-0300 (Brasilia Standard Time)</t>
  </si>
  <si>
    <t>FlexPBX-1767882204.279443</t>
  </si>
  <si>
    <t>Thu Jan 08 2026 11:21:06 GMT-0300 (Brasilia Standard Time)</t>
  </si>
  <si>
    <t>FlexPBX-1767882066.279391</t>
  </si>
  <si>
    <t>FlexPBX-1767882066.279393</t>
  </si>
  <si>
    <t>Thu Jan 08 2026 11:16:17 GMT-0300 (Brasilia Standard Time)</t>
  </si>
  <si>
    <t>FlexPBX-1767881777.279381</t>
  </si>
  <si>
    <t>Thu Jan 08 2026 11:16:07 GMT-0300 (Brasilia Standard Time)</t>
  </si>
  <si>
    <t>FlexPBX-1767881767.279369</t>
  </si>
  <si>
    <t>Thu Jan 08 2026 11:16:00 GMT-0300 (Brasilia Standard Time)</t>
  </si>
  <si>
    <t>FlexPBX-1767881760.279361</t>
  </si>
  <si>
    <t>Thu Jan 08 2026 10:59:13 GMT-0300 (Brasilia Standard Time)</t>
  </si>
  <si>
    <t>FlexPBX-1767880753.279297</t>
  </si>
  <si>
    <t>Thu Jan 08 2026 10:49:57 GMT-0300 (Brasilia Standard Time)</t>
  </si>
  <si>
    <t>FlexPBX-1767880197.279174</t>
  </si>
  <si>
    <t>Thu Jan 08 2026 10:49:38 GMT-0300 (Brasilia Standard Time)</t>
  </si>
  <si>
    <t>FlexPBX-1767880178.279171</t>
  </si>
  <si>
    <t>Thu Jan 08 2026 10:47:45 GMT-0300 (Brasilia Standard Time)</t>
  </si>
  <si>
    <t>FlexPBX-1767880065.279086</t>
  </si>
  <si>
    <t>Thu Jan 08 2026 10:47:34 GMT-0300 (Brasilia Standard Time)</t>
  </si>
  <si>
    <t>FlexPBX-1767880054.279083</t>
  </si>
  <si>
    <t>Thu Jan 08 2026 10:27:58 GMT-0300 (Brasilia Standard Time)</t>
  </si>
  <si>
    <t>FlexPBX-1767878878.279043</t>
  </si>
  <si>
    <t>Thu Jan 08 2026 10:25:44 GMT-0300 (Brasilia Standard Time)</t>
  </si>
  <si>
    <t>FlexPBX-1767878744.279013</t>
  </si>
  <si>
    <t>Thu Jan 08 2026 10:23:56 GMT-0300 (Brasilia Standard Time)</t>
  </si>
  <si>
    <t>FlexPBX-1767878636.278999</t>
  </si>
  <si>
    <t>Thu Jan 08 2026 10:22:46 GMT-0300 (Brasilia Standard Time)</t>
  </si>
  <si>
    <t>FlexPBX-1767878566.278967</t>
  </si>
  <si>
    <t>Thu Jan 08 2026 10:21:01 GMT-0300 (Brasilia Standard Time)</t>
  </si>
  <si>
    <t>FlexPBX-1767878461.278942</t>
  </si>
  <si>
    <t>Thu Jan 08 2026 10:20:25 GMT-0300 (Brasilia Standard Time)</t>
  </si>
  <si>
    <t>FlexPBX-1767878425.278921</t>
  </si>
  <si>
    <t>Thu Jan 08 2026 10:14:33 GMT-0300 (Brasilia Standard Time)</t>
  </si>
  <si>
    <t>FlexPBX-1767878073.278868</t>
  </si>
  <si>
    <t>Thu Jan 08 2026 10:12:52 GMT-0300 (Brasilia Standard Time)</t>
  </si>
  <si>
    <t>FlexPBX-1767877972.278769</t>
  </si>
  <si>
    <t>Thu Jan 08 2026 09:56:25 GMT-0300 (Brasilia Standard Time)</t>
  </si>
  <si>
    <t>FlexPBX-1767876985.278716</t>
  </si>
  <si>
    <t>Thu Jan 08 2026 09:56:21 GMT-0300 (Brasilia Standard Time)</t>
  </si>
  <si>
    <t>FlexPBX-1767876981.278713</t>
  </si>
  <si>
    <t>Thu Jan 08 2026 09:51:59 GMT-0300 (Brasilia Standard Time)</t>
  </si>
  <si>
    <t>FlexPBX-1767876719.278691</t>
  </si>
  <si>
    <t>Thu Jan 08 2026 09:50:43 GMT-0300 (Brasilia Standard Time)</t>
  </si>
  <si>
    <t>FlexPBX-1767876643.278675</t>
  </si>
  <si>
    <t>Thu Jan 08 2026 09:50:08 GMT-0300 (Brasilia Standard Time)</t>
  </si>
  <si>
    <t>FlexPBX-1767876608.278663</t>
  </si>
  <si>
    <t>Thu Jan 08 2026 09:48:25 GMT-0300 (Brasilia Standard Time)</t>
  </si>
  <si>
    <t>FlexPBX-1767876505.278627</t>
  </si>
  <si>
    <t>Thu Jan 08 2026 09:47:51 GMT-0300 (Brasilia Standard Time)</t>
  </si>
  <si>
    <t>FlexPBX-1767876471.278601</t>
  </si>
  <si>
    <t>Thu Jan 08 2026 09:38:47 GMT-0300 (Brasilia Standard Time)</t>
  </si>
  <si>
    <t>FlexPBX-1767875927.278517</t>
  </si>
  <si>
    <t>Thu Jan 08 2026 09:29:23 GMT-0300 (Brasilia Standard Time)</t>
  </si>
  <si>
    <t>FlexPBX-1767875363.278462</t>
  </si>
  <si>
    <t>Thu Jan 08 2026 09:26:41 GMT-0300 (Brasilia Standard Time)</t>
  </si>
  <si>
    <t>FlexPBX-1767875201.278438</t>
  </si>
  <si>
    <t>Thu Jan 08 2026 09:14:05 GMT-0300 (Brasilia Standard Time)</t>
  </si>
  <si>
    <t>FlexPBX-1767874445.278406</t>
  </si>
  <si>
    <t>Thu Jan 08 2026 09:08:40 GMT-0300 (Brasilia Standard Time)</t>
  </si>
  <si>
    <t>FlexPBX-1767874120.278378</t>
  </si>
  <si>
    <t>Thu Jan 08 2026 09:02:44 GMT-0300 (Brasilia Standard Time)</t>
  </si>
  <si>
    <t>FlexPBX-1767873764.278352</t>
  </si>
  <si>
    <t>Thu Jan 08 2026 09:01:49 GMT-0300 (Brasilia Standard Time)</t>
  </si>
  <si>
    <t>FlexPBX-1767873709.278336</t>
  </si>
  <si>
    <t>Thu Jan 08 2026 09:00:42 GMT-0300 (Brasilia Standard Time)</t>
  </si>
  <si>
    <t>FlexPBX-1767873642.278316</t>
  </si>
  <si>
    <t>Thu Jan 08 2026 08:53:15 GMT-0300 (Brasilia Standard Time)</t>
  </si>
  <si>
    <t>FlexPBX-1767873195.278261</t>
  </si>
  <si>
    <t>Thu Jan 08 2026 08:52:38 GMT-0300 (Brasilia Standard Time)</t>
  </si>
  <si>
    <t>FlexPBX-1767873158.278234</t>
  </si>
  <si>
    <t>Thu Jan 08 2026 08:46:18 GMT-0300 (Brasilia Standard Time)</t>
  </si>
  <si>
    <t>FlexPBX-1767872778.278200</t>
  </si>
  <si>
    <t>Thu Jan 08 2026 08:39:24 GMT-0300 (Brasilia Standard Time)</t>
  </si>
  <si>
    <t>FlexPBX-1767872364.278148</t>
  </si>
  <si>
    <t>Thu Jan 08 2026 08:32:40 GMT-0300 (Brasilia Standard Time)</t>
  </si>
  <si>
    <t>FlexPBX-1767871960.278123</t>
  </si>
  <si>
    <t>Thu Jan 08 2026 08:30:47 GMT-0300 (Brasilia Standard Time)</t>
  </si>
  <si>
    <t>FlexPBX-1767871847.278107</t>
  </si>
  <si>
    <t>Thu Jan 08 2026 08:29:55 GMT-0300 (Brasilia Standard Time)</t>
  </si>
  <si>
    <t>FlexPBX-1767871795.278095</t>
  </si>
  <si>
    <t>Thu Jan 08 2026 08:22:19 GMT-0300 (Brasilia Standard Time)</t>
  </si>
  <si>
    <t>FlexPBX-1767871339.278068</t>
  </si>
  <si>
    <t>Thu Jan 08 2026 08:19:28 GMT-0300 (Brasilia Standard Time)</t>
  </si>
  <si>
    <t>FlexPBX-1767871168.278054</t>
  </si>
  <si>
    <t>Thu Jan 08 2026 08:12:26 GMT-0300 (Brasilia Standard Time)</t>
  </si>
  <si>
    <t>FlexPBX-1767870746.278040</t>
  </si>
  <si>
    <t>Thu Jan 08 2026 08:10:09 GMT-0300 (Brasilia Standard Time)</t>
  </si>
  <si>
    <t>FlexPBX-1767870609.278032</t>
  </si>
  <si>
    <t>Wed Jan 07 2026 17:39:05 GMT-0300 (Brasilia Standard Time)</t>
  </si>
  <si>
    <t>FlexPBX-1767818345.277889</t>
  </si>
  <si>
    <t>Wed Jan 07 2026 17:38:54 GMT-0300 (Brasilia Standard Time)</t>
  </si>
  <si>
    <t>FlexPBX-1767818334.277882</t>
  </si>
  <si>
    <t>Wed Jan 07 2026 17:28:06 GMT-0300 (Brasilia Standard Time)</t>
  </si>
  <si>
    <t>FlexPBX-1767817686.277858</t>
  </si>
  <si>
    <t>Wed Jan 07 2026 17:24:59 GMT-0300 (Brasilia Standard Time)</t>
  </si>
  <si>
    <t>FlexPBX-1767817499.277807</t>
  </si>
  <si>
    <t>Wed Jan 07 2026 17:07:15 GMT-0300 (Brasilia Standard Time)</t>
  </si>
  <si>
    <t>FlexPBX-1767816435.277708</t>
  </si>
  <si>
    <t>Wed Jan 07 2026 17:02:19 GMT-0300 (Brasilia Standard Time)</t>
  </si>
  <si>
    <t>FlexPBX-1767816138.277705</t>
  </si>
  <si>
    <t>Wed Jan 07 2026 17:01:47 GMT-0300 (Brasilia Standard Time)</t>
  </si>
  <si>
    <t>FlexPBX-1767816107.277697</t>
  </si>
  <si>
    <t>Wed Jan 07 2026 17:00:21 GMT-0300 (Brasilia Standard Time)</t>
  </si>
  <si>
    <t>FlexPBX-1767816021.277679</t>
  </si>
  <si>
    <t>Wed Jan 07 2026 16:58:01 GMT-0300 (Brasilia Standard Time)</t>
  </si>
  <si>
    <t>FlexPBX-1767815881.277659</t>
  </si>
  <si>
    <t>Wed Jan 07 2026 16:56:16 GMT-0300 (Brasilia Standard Time)</t>
  </si>
  <si>
    <t>FlexPBX-1767815776.277619</t>
  </si>
  <si>
    <t>Wed Jan 07 2026 16:46:02 GMT-0300 (Brasilia Standard Time)</t>
  </si>
  <si>
    <t>FlexPBX-1767815162.277499</t>
  </si>
  <si>
    <t>Wed Jan 07 2026 16:39:48 GMT-0300 (Brasilia Standard Time)</t>
  </si>
  <si>
    <t>FlexPBX-1767814788.277477</t>
  </si>
  <si>
    <t>Wed Jan 07 2026 16:35:50 GMT-0300 (Brasilia Standard Time)</t>
  </si>
  <si>
    <t>FlexPBX-1767814550.277441</t>
  </si>
  <si>
    <t>Wed Jan 07 2026 16:29:47 GMT-0300 (Brasilia Standard Time)</t>
  </si>
  <si>
    <t>FlexPBX-1767814187.277332</t>
  </si>
  <si>
    <t>Wed Jan 07 2026 16:25:23 GMT-0300 (Brasilia Standard Time)</t>
  </si>
  <si>
    <t>FlexPBX-1767813923.277252</t>
  </si>
  <si>
    <t>Wed Jan 07 2026 16:19:51 GMT-0300 (Brasilia Standard Time)</t>
  </si>
  <si>
    <t>FlexPBX-1767813591.277233</t>
  </si>
  <si>
    <t>Wed Jan 07 2026 16:04:44 GMT-0300 (Brasilia Standard Time)</t>
  </si>
  <si>
    <t>FlexPBX-1767812684.277143</t>
  </si>
  <si>
    <t>Wed Jan 07 2026 16:02:09 GMT-0300 (Brasilia Standard Time)</t>
  </si>
  <si>
    <t>FlexPBX-1767812529.277101</t>
  </si>
  <si>
    <t>Wed Jan 07 2026 15:40:15 GMT-0300 (Brasilia Standard Time)</t>
  </si>
  <si>
    <t>FlexPBX-1767811215.276978</t>
  </si>
  <si>
    <t>Wed Jan 07 2026 15:39:42 GMT-0300 (Brasilia Standard Time)</t>
  </si>
  <si>
    <t>FlexPBX-1767811182.276963</t>
  </si>
  <si>
    <t>Wed Jan 07 2026 15:33:52 GMT-0300 (Brasilia Standard Time)</t>
  </si>
  <si>
    <t>FlexPBX-1767810832.276879</t>
  </si>
  <si>
    <t>Wed Jan 07 2026 15:33:19 GMT-0300 (Brasilia Standard Time)</t>
  </si>
  <si>
    <t>FlexPBX-1767810799.276852</t>
  </si>
  <si>
    <t>Wed Jan 07 2026 15:32:50 GMT-0300 (Brasilia Standard Time)</t>
  </si>
  <si>
    <t>FlexPBX-1767810770.276840</t>
  </si>
  <si>
    <t>Wed Jan 07 2026 15:32:33 GMT-0300 (Brasilia Standard Time)</t>
  </si>
  <si>
    <t>FlexPBX-1767810753.276823</t>
  </si>
  <si>
    <t>Wed Jan 07 2026 15:18:11 GMT-0300 (Brasilia Standard Time)</t>
  </si>
  <si>
    <t>FlexPBX-1767809891.276771</t>
  </si>
  <si>
    <t>Wed Jan 07 2026 15:11:36 GMT-0300 (Brasilia Standard Time)</t>
  </si>
  <si>
    <t>FlexPBX-1767809496.276751</t>
  </si>
  <si>
    <t>Wed Jan 07 2026 15:10:07 GMT-0300 (Brasilia Standard Time)</t>
  </si>
  <si>
    <t>FlexPBX-1767809407.276743</t>
  </si>
  <si>
    <t>Wed Jan 07 2026 15:05:25 GMT-0300 (Brasilia Standard Time)</t>
  </si>
  <si>
    <t>FlexPBX-1767809125.276735</t>
  </si>
  <si>
    <t>Wed Jan 07 2026 15:02:36 GMT-0300 (Brasilia Standard Time)</t>
  </si>
  <si>
    <t>FlexPBX-1767808956.276605</t>
  </si>
  <si>
    <t>Wed Jan 07 2026 14:53:31 GMT-0300 (Brasilia Standard Time)</t>
  </si>
  <si>
    <t>FlexPBX-1767808411.276568</t>
  </si>
  <si>
    <t>Wed Jan 07 2026 14:40:37 GMT-0300 (Brasilia Standard Time)</t>
  </si>
  <si>
    <t>FlexPBX-1767807637.276526</t>
  </si>
  <si>
    <t>Wed Jan 07 2026 14:40:28 GMT-0300 (Brasilia Standard Time)</t>
  </si>
  <si>
    <t>FlexPBX-1767807628.276518</t>
  </si>
  <si>
    <t>Wed Jan 07 2026 14:37:35 GMT-0300 (Brasilia Standard Time)</t>
  </si>
  <si>
    <t>FlexPBX-1767807455.276437</t>
  </si>
  <si>
    <t>Wed Jan 07 2026 14:36:23 GMT-0300 (Brasilia Standard Time)</t>
  </si>
  <si>
    <t>FlexPBX-1767807383.276386</t>
  </si>
  <si>
    <t>Wed Jan 07 2026 14:27:02 GMT-0300 (Brasilia Standard Time)</t>
  </si>
  <si>
    <t>FlexPBX-1767806822.276223</t>
  </si>
  <si>
    <t>Wed Jan 07 2026 14:26:43 GMT-0300 (Brasilia Standard Time)</t>
  </si>
  <si>
    <t>FlexPBX-1767806803.276211</t>
  </si>
  <si>
    <t>Wed Jan 07 2026 14:25:02 GMT-0300 (Brasilia Standard Time)</t>
  </si>
  <si>
    <t>FlexPBX-1767806702.276191</t>
  </si>
  <si>
    <t>Wed Jan 07 2026 14:23:57 GMT-0300 (Brasilia Standard Time)</t>
  </si>
  <si>
    <t>FlexPBX-1767806637.276183</t>
  </si>
  <si>
    <t>Wed Jan 07 2026 14:21:14 GMT-0300 (Brasilia Standard Time)</t>
  </si>
  <si>
    <t>FlexPBX-1767806474.276155</t>
  </si>
  <si>
    <t>Wed Jan 07 2026 14:15:51 GMT-0300 (Brasilia Standard Time)</t>
  </si>
  <si>
    <t>FlexPBX-1767806151.276147</t>
  </si>
  <si>
    <t>Wed Jan 07 2026 14:07:33 GMT-0300 (Brasilia Standard Time)</t>
  </si>
  <si>
    <t>FlexPBX-1767805653.276078</t>
  </si>
  <si>
    <t>Wed Jan 07 2026 13:39:52 GMT-0300 (Brasilia Standard Time)</t>
  </si>
  <si>
    <t>FlexPBX-1767803992.276000</t>
  </si>
  <si>
    <t>Wed Jan 07 2026 13:39:44 GMT-0300 (Brasilia Standard Time)</t>
  </si>
  <si>
    <t>FlexPBX-1767803984.275997</t>
  </si>
  <si>
    <t>Wed Jan 07 2026 13:37:08 GMT-0300 (Brasilia Standard Time)</t>
  </si>
  <si>
    <t>FlexPBX-1767803828.275961</t>
  </si>
  <si>
    <t>Wed Jan 07 2026 13:30:37 GMT-0300 (Brasilia Standard Time)</t>
  </si>
  <si>
    <t>FlexPBX-1767803437.275917</t>
  </si>
  <si>
    <t>Wed Jan 07 2026 11:43:50 GMT-0300 (Brasilia Standard Time)</t>
  </si>
  <si>
    <t>FlexPBX-1767797030.275831</t>
  </si>
  <si>
    <t>Wed Jan 07 2026 11:39:28 GMT-0300 (Brasilia Standard Time)</t>
  </si>
  <si>
    <t>FlexPBX-1767796768.275785</t>
  </si>
  <si>
    <t>Wed Jan 07 2026 11:28:42 GMT-0300 (Brasilia Standard Time)</t>
  </si>
  <si>
    <t>FlexPBX-1767796122.275723</t>
  </si>
  <si>
    <t>Wed Jan 07 2026 11:27:44 GMT-0300 (Brasilia Standard Time)</t>
  </si>
  <si>
    <t>FlexPBX-1767796064.275715</t>
  </si>
  <si>
    <t>Wed Jan 07 2026 11:27:00 GMT-0300 (Brasilia Standard Time)</t>
  </si>
  <si>
    <t>FlexPBX-1767796020.275707</t>
  </si>
  <si>
    <t>Wed Jan 07 2026 11:09:19 GMT-0300 (Brasilia Standard Time)</t>
  </si>
  <si>
    <t>FlexPBX-1767794959.275594</t>
  </si>
  <si>
    <t>Wed Jan 07 2026 11:09:12 GMT-0300 (Brasilia Standard Time)</t>
  </si>
  <si>
    <t>FlexPBX-1767794952.275591</t>
  </si>
  <si>
    <t>Wed Jan 07 2026 11:00:26 GMT-0300 (Brasilia Standard Time)</t>
  </si>
  <si>
    <t>FlexPBX-1767794426.275523</t>
  </si>
  <si>
    <t>Wed Jan 07 2026 10:56:19 GMT-0300 (Brasilia Standard Time)</t>
  </si>
  <si>
    <t>FlexPBX-1767794179.275505</t>
  </si>
  <si>
    <t>Wed Jan 07 2026 10:52:51 GMT-0300 (Brasilia Standard Time)</t>
  </si>
  <si>
    <t>FlexPBX-1767793971.275489</t>
  </si>
  <si>
    <t>Wed Jan 07 2026 10:46:27 GMT-0300 (Brasilia Standard Time)</t>
  </si>
  <si>
    <t>FlexPBX-1767793587.275445</t>
  </si>
  <si>
    <t>Wed Jan 07 2026 10:41:46 GMT-0300 (Brasilia Standard Time)</t>
  </si>
  <si>
    <t>FlexPBX-1767793306.275386</t>
  </si>
  <si>
    <t>Wed Jan 07 2026 10:39:50 GMT-0300 (Brasilia Standard Time)</t>
  </si>
  <si>
    <t>FlexPBX-1767793190.275342</t>
  </si>
  <si>
    <t>Wed Jan 07 2026 10:23:36 GMT-0300 (Brasilia Standard Time)</t>
  </si>
  <si>
    <t>FlexPBX-1767792216.275301</t>
  </si>
  <si>
    <t>Wed Jan 07 2026 10:21:00 GMT-0300 (Brasilia Standard Time)</t>
  </si>
  <si>
    <t>FlexPBX-1767792060.275199</t>
  </si>
  <si>
    <t>Wed Jan 07 2026 10:16:41 GMT-0300 (Brasilia Standard Time)</t>
  </si>
  <si>
    <t>FlexPBX-1767791801.275179</t>
  </si>
  <si>
    <t>Wed Jan 07 2026 10:14:46 GMT-0300 (Brasilia Standard Time)</t>
  </si>
  <si>
    <t>FlexPBX-1767791686.275150</t>
  </si>
  <si>
    <t>Wed Jan 07 2026 10:14:08 GMT-0300 (Brasilia Standard Time)</t>
  </si>
  <si>
    <t>FlexPBX-1767791648.275115</t>
  </si>
  <si>
    <t>Wed Jan 07 2026 10:02:20 GMT-0300 (Brasilia Standard Time)</t>
  </si>
  <si>
    <t>FlexPBX-1767790940.275060</t>
  </si>
  <si>
    <t>Wed Jan 07 2026 09:50:23 GMT-0300 (Brasilia Standard Time)</t>
  </si>
  <si>
    <t>FlexPBX-1767790223.274922</t>
  </si>
  <si>
    <t>Wed Jan 07 2026 09:43:44 GMT-0300 (Brasilia Standard Time)</t>
  </si>
  <si>
    <t>FlexPBX-1767789824.274890</t>
  </si>
  <si>
    <t>Wed Jan 07 2026 09:40:21 GMT-0300 (Brasilia Standard Time)</t>
  </si>
  <si>
    <t>FlexPBX-1767789621.274882</t>
  </si>
  <si>
    <t>Wed Jan 07 2026 09:40:17 GMT-0300 (Brasilia Standard Time)</t>
  </si>
  <si>
    <t>FlexPBX-1767789617.274874</t>
  </si>
  <si>
    <t>Wed Jan 07 2026 09:34:15 GMT-0300 (Brasilia Standard Time)</t>
  </si>
  <si>
    <t>FlexPBX-1767789255.274816</t>
  </si>
  <si>
    <t>Wed Jan 07 2026 09:33:22 GMT-0300 (Brasilia Standard Time)</t>
  </si>
  <si>
    <t>FlexPBX-1767789202.274808</t>
  </si>
  <si>
    <t>Wed Jan 07 2026 09:28:53 GMT-0300 (Brasilia Standard Time)</t>
  </si>
  <si>
    <t>FlexPBX-1767788933.274708</t>
  </si>
  <si>
    <t>Wed Jan 07 2026 09:19:40 GMT-0300 (Brasilia Standard Time)</t>
  </si>
  <si>
    <t>FlexPBX-1767788380.274682</t>
  </si>
  <si>
    <t>Wed Jan 07 2026 09:14:23 GMT-0300 (Brasilia Standard Time)</t>
  </si>
  <si>
    <t>FlexPBX-1767788063.274568</t>
  </si>
  <si>
    <t>Wed Jan 07 2026 09:06:38 GMT-0300 (Brasilia Standard Time)</t>
  </si>
  <si>
    <t>FlexPBX-1767787598.274536</t>
  </si>
  <si>
    <t>Wed Jan 07 2026 08:57:38 GMT-0300 (Brasilia Standard Time)</t>
  </si>
  <si>
    <t>FlexPBX-1767787058.274484</t>
  </si>
  <si>
    <t>Wed Jan 07 2026 08:54:41 GMT-0300 (Brasilia Standard Time)</t>
  </si>
  <si>
    <t>FlexPBX-1767786881.274430</t>
  </si>
  <si>
    <t>Wed Jan 07 2026 08:53:01 GMT-0300 (Brasilia Standard Time)</t>
  </si>
  <si>
    <t>FlexPBX-1767786781.274410</t>
  </si>
  <si>
    <t>Wed Jan 07 2026 08:52:40 GMT-0300 (Brasilia Standard Time)</t>
  </si>
  <si>
    <t>FlexPBX-1767786760.274396</t>
  </si>
  <si>
    <t>Wed Jan 07 2026 08:52:36 GMT-0300 (Brasilia Standard Time)</t>
  </si>
  <si>
    <t>FlexPBX-1767786756.274388</t>
  </si>
  <si>
    <t>Wed Jan 07 2026 08:47:22 GMT-0300 (Brasilia Standard Time)</t>
  </si>
  <si>
    <t>FlexPBX-1767786442.274338</t>
  </si>
  <si>
    <t>Wed Jan 07 2026 08:42:37 GMT-0300 (Brasilia Standard Time)</t>
  </si>
  <si>
    <t>FlexPBX-1767786157.274286</t>
  </si>
  <si>
    <t>Wed Jan 07 2026 08:42:00 GMT-0300 (Brasilia Standard Time)</t>
  </si>
  <si>
    <t>FlexPBX-1767786120.274272</t>
  </si>
  <si>
    <t>Wed Jan 07 2026 08:41:36 GMT-0300 (Brasilia Standard Time)</t>
  </si>
  <si>
    <t>FlexPBX-1767786096.274256</t>
  </si>
  <si>
    <t>Wed Jan 07 2026 08:41:25 GMT-0300 (Brasilia Standard Time)</t>
  </si>
  <si>
    <t>FlexPBX-1767786085.274244</t>
  </si>
  <si>
    <t>Wed Jan 07 2026 08:41:13 GMT-0300 (Brasilia Standard Time)</t>
  </si>
  <si>
    <t>FlexPBX-1767786073.274234</t>
  </si>
  <si>
    <t>Wed Jan 07 2026 08:40:52 GMT-0300 (Brasilia Standard Time)</t>
  </si>
  <si>
    <t>FlexPBX-1767786052.274226</t>
  </si>
  <si>
    <t>Wed Jan 07 2026 08:35:24 GMT-0300 (Brasilia Standard Time)</t>
  </si>
  <si>
    <t>FlexPBX-1767785724.274176</t>
  </si>
  <si>
    <t>Wed Jan 07 2026 08:32:48 GMT-0300 (Brasilia Standard Time)</t>
  </si>
  <si>
    <t>FlexPBX-1767785568.274128</t>
  </si>
  <si>
    <t>Wed Jan 07 2026 08:32:43 GMT-0300 (Brasilia Standard Time)</t>
  </si>
  <si>
    <t>FlexPBX-1767785563.274120</t>
  </si>
  <si>
    <t>Wed Jan 07 2026 08:30:21 GMT-0300 (Brasilia Standard Time)</t>
  </si>
  <si>
    <t>FlexPBX-1767785421.274060</t>
  </si>
  <si>
    <t>Wed Jan 07 2026 08:28:51 GMT-0300 (Brasilia Standard Time)</t>
  </si>
  <si>
    <t>FlexPBX-1767785331.274025</t>
  </si>
  <si>
    <t>Wed Jan 07 2026 08:26:08 GMT-0300 (Brasilia Standard Time)</t>
  </si>
  <si>
    <t>FlexPBX-1767785168.273990</t>
  </si>
  <si>
    <t>Tue Jan 06 2026 17:50:04 GMT-0300 (Brasilia Standard Time)</t>
  </si>
  <si>
    <t>FlexPBX-1767732604.273863</t>
  </si>
  <si>
    <t>Tue Jan 06 2026 17:41:27 GMT-0300 (Brasilia Standard Time)</t>
  </si>
  <si>
    <t>FlexPBX-1767732087.273839</t>
  </si>
  <si>
    <t>Tue Jan 06 2026 17:35:10 GMT-0300 (Brasilia Standard Time)</t>
  </si>
  <si>
    <t>FlexPBX-1767731710.273819</t>
  </si>
  <si>
    <t>Tue Jan 06 2026 17:33:27 GMT-0300 (Brasilia Standard Time)</t>
  </si>
  <si>
    <t>FlexPBX-1767731607.273811</t>
  </si>
  <si>
    <t>Tue Jan 06 2026 17:33:19 GMT-0300 (Brasilia Standard Time)</t>
  </si>
  <si>
    <t>FlexPBX-1767731599.273803</t>
  </si>
  <si>
    <t>Tue Jan 06 2026 17:18:58 GMT-0300 (Brasilia Standard Time)</t>
  </si>
  <si>
    <t>FlexPBX-1767730738.273747</t>
  </si>
  <si>
    <t>Tue Jan 06 2026 17:16:36 GMT-0300 (Brasilia Standard Time)</t>
  </si>
  <si>
    <t>FlexPBX-1767730596.273733</t>
  </si>
  <si>
    <t>Tue Jan 06 2026 17:15:47 GMT-0300 (Brasilia Standard Time)</t>
  </si>
  <si>
    <t>FlexPBX-1767730547.273725</t>
  </si>
  <si>
    <t>Tue Jan 06 2026 17:14:27 GMT-0300 (Brasilia Standard Time)</t>
  </si>
  <si>
    <t>FlexPBX-1767730467.273711</t>
  </si>
  <si>
    <t>Tue Jan 06 2026 17:11:10 GMT-0300 (Brasilia Standard Time)</t>
  </si>
  <si>
    <t>FlexPBX-1767730270.273692</t>
  </si>
  <si>
    <t>Tue Jan 06 2026 17:05:52 GMT-0300 (Brasilia Standard Time)</t>
  </si>
  <si>
    <t>FlexPBX-1767729952.273678</t>
  </si>
  <si>
    <t>Tue Jan 06 2026 16:55:24 GMT-0300 (Brasilia Standard Time)</t>
  </si>
  <si>
    <t>FlexPBX-1767729324.273620</t>
  </si>
  <si>
    <t>Tue Jan 06 2026 16:46:18 GMT-0300 (Brasilia Standard Time)</t>
  </si>
  <si>
    <t>FlexPBX-1767728778.273573</t>
  </si>
  <si>
    <t>Tue Jan 06 2026 16:43:30 GMT-0300 (Brasilia Standard Time)</t>
  </si>
  <si>
    <t>FlexPBX-1767728610.273463</t>
  </si>
  <si>
    <t>Tue Jan 06 2026 16:39:39 GMT-0300 (Brasilia Standard Time)</t>
  </si>
  <si>
    <t>FlexPBX-1767728379.273399</t>
  </si>
  <si>
    <t>Tue Jan 06 2026 16:33:03 GMT-0300 (Brasilia Standard Time)</t>
  </si>
  <si>
    <t>FlexPBX-1767727983.273306</t>
  </si>
  <si>
    <t>Tue Jan 06 2026 16:32:55 GMT-0300 (Brasilia Standard Time)</t>
  </si>
  <si>
    <t>FlexPBX-1767727975.273296</t>
  </si>
  <si>
    <t>Tue Jan 06 2026 16:32:11 GMT-0300 (Brasilia Standard Time)</t>
  </si>
  <si>
    <t>FlexPBX-1767727931.273248</t>
  </si>
  <si>
    <t>Tue Jan 06 2026 16:30:36 GMT-0300 (Brasilia Standard Time)</t>
  </si>
  <si>
    <t>FlexPBX-1767727836.273181</t>
  </si>
  <si>
    <t>Tue Jan 06 2026 16:26:36 GMT-0300 (Brasilia Standard Time)</t>
  </si>
  <si>
    <t>FlexPBX-1767727596.273129</t>
  </si>
  <si>
    <t>Tue Jan 06 2026 16:26:20 GMT-0300 (Brasilia Standard Time)</t>
  </si>
  <si>
    <t>FlexPBX-1767727580.273121</t>
  </si>
  <si>
    <t>Tue Jan 06 2026 16:25:27 GMT-0300 (Brasilia Standard Time)</t>
  </si>
  <si>
    <t>FlexPBX-1767727527.273101</t>
  </si>
  <si>
    <t>Tue Jan 06 2026 16:18:02 GMT-0300 (Brasilia Standard Time)</t>
  </si>
  <si>
    <t>FlexPBX-1767727082.273043</t>
  </si>
  <si>
    <t>Tue Jan 06 2026 16:13:20 GMT-0300 (Brasilia Standard Time)</t>
  </si>
  <si>
    <t>FlexPBX-1767726800.272991</t>
  </si>
  <si>
    <t>Tue Jan 06 2026 16:07:04 GMT-0300 (Brasilia Standard Time)</t>
  </si>
  <si>
    <t>FlexPBX-1767726424.272977</t>
  </si>
  <si>
    <t>Tue Jan 06 2026 16:06:59 GMT-0300 (Brasilia Standard Time)</t>
  </si>
  <si>
    <t>FlexPBX-1767726419.272969</t>
  </si>
  <si>
    <t>Tue Jan 06 2026 16:04:09 GMT-0300 (Brasilia Standard Time)</t>
  </si>
  <si>
    <t>FlexPBX-1767726249.272953</t>
  </si>
  <si>
    <t>Tue Jan 06 2026 16:02:27 GMT-0300 (Brasilia Standard Time)</t>
  </si>
  <si>
    <t>FlexPBX-1767726147.272931</t>
  </si>
  <si>
    <t>Tue Jan 06 2026 16:00:40 GMT-0300 (Brasilia Standard Time)</t>
  </si>
  <si>
    <t>FlexPBX-1767726040.272851</t>
  </si>
  <si>
    <t>Tue Jan 06 2026 15:59:34 GMT-0300 (Brasilia Standard Time)</t>
  </si>
  <si>
    <t>FlexPBX-1767725974.272823</t>
  </si>
  <si>
    <t>Tue Jan 06 2026 15:55:54 GMT-0300 (Brasilia Standard Time)</t>
  </si>
  <si>
    <t>FlexPBX-1767725754.272749</t>
  </si>
  <si>
    <t>Tue Jan 06 2026 15:52:11 GMT-0300 (Brasilia Standard Time)</t>
  </si>
  <si>
    <t>FlexPBX-1767725531.272608</t>
  </si>
  <si>
    <t>Tue Jan 06 2026 15:50:40 GMT-0300 (Brasilia Standard Time)</t>
  </si>
  <si>
    <t>FlexPBX-1767725440.272541</t>
  </si>
  <si>
    <t>Tue Jan 06 2026 15:48:21 GMT-0300 (Brasilia Standard Time)</t>
  </si>
  <si>
    <t>FlexPBX-1767725301.272471</t>
  </si>
  <si>
    <t>Tue Jan 06 2026 15:34:26 GMT-0300 (Brasilia Standard Time)</t>
  </si>
  <si>
    <t>FlexPBX-1767724466.272401</t>
  </si>
  <si>
    <t>Tue Jan 06 2026 15:21:27 GMT-0300 (Brasilia Standard Time)</t>
  </si>
  <si>
    <t>FlexPBX-1767723687.272343</t>
  </si>
  <si>
    <t>Tue Jan 06 2026 15:18:42 GMT-0300 (Brasilia Standard Time)</t>
  </si>
  <si>
    <t>FlexPBX-1767723522.272303</t>
  </si>
  <si>
    <t>Tue Jan 06 2026 15:16:54 GMT-0300 (Brasilia Standard Time)</t>
  </si>
  <si>
    <t>FlexPBX-1767723414.272251</t>
  </si>
  <si>
    <t>Tue Jan 06 2026 15:15:44 GMT-0300 (Brasilia Standard Time)</t>
  </si>
  <si>
    <t>NÃƒO IDENTIFICADO</t>
  </si>
  <si>
    <t>FlexPBX-1767723344.272207</t>
  </si>
  <si>
    <t>Tue Jan 06 2026 15:13:24 GMT-0300 (Brasilia Standard Time)</t>
  </si>
  <si>
    <t>FlexPBX-1767723204.272169</t>
  </si>
  <si>
    <t>Tue Jan 06 2026 15:12:34 GMT-0300 (Brasilia Standard Time)</t>
  </si>
  <si>
    <t>FlexPBX-1767723154.272125</t>
  </si>
  <si>
    <t>Tue Jan 06 2026 14:49:48 GMT-0300 (Brasilia Standard Time)</t>
  </si>
  <si>
    <t>FlexPBX-1767721788.272022</t>
  </si>
  <si>
    <t>Tue Jan 06 2026 14:44:58 GMT-0300 (Brasilia Standard Time)</t>
  </si>
  <si>
    <t>FlexPBX-1767721498.271959</t>
  </si>
  <si>
    <t>Tue Jan 06 2026 14:44:25 GMT-0300 (Brasilia Standard Time)</t>
  </si>
  <si>
    <t>FlexPBX-1767721465.271943</t>
  </si>
  <si>
    <t>Tue Jan 06 2026 14:42:35 GMT-0300 (Brasilia Standard Time)</t>
  </si>
  <si>
    <t>FlexPBX-1767721355.271908</t>
  </si>
  <si>
    <t>Tue Jan 06 2026 14:39:57 GMT-0300 (Brasilia Standard Time)</t>
  </si>
  <si>
    <t>FlexPBX-1767721197.271880</t>
  </si>
  <si>
    <t>Tue Jan 06 2026 14:38:40 GMT-0300 (Brasilia Standard Time)</t>
  </si>
  <si>
    <t>FlexPBX-1767721120.271812</t>
  </si>
  <si>
    <t>Tue Jan 06 2026 14:27:52 GMT-0300 (Brasilia Standard Time)</t>
  </si>
  <si>
    <t>FlexPBX-1767720472.271697</t>
  </si>
  <si>
    <t>Tue Jan 06 2026 14:24:51 GMT-0300 (Brasilia Standard Time)</t>
  </si>
  <si>
    <t>FlexPBX-1767720291.271629</t>
  </si>
  <si>
    <t>Tue Jan 06 2026 14:15:08 GMT-0300 (Brasilia Standard Time)</t>
  </si>
  <si>
    <t>FlexPBX-1767719708.271565</t>
  </si>
  <si>
    <t>Tue Jan 06 2026 14:06:10 GMT-0300 (Brasilia Standard Time)</t>
  </si>
  <si>
    <t>FlexPBX-1767719170.271531</t>
  </si>
  <si>
    <t>Tue Jan 06 2026 14:02:58 GMT-0300 (Brasilia Standard Time)</t>
  </si>
  <si>
    <t>FlexPBX-1767718978.271523</t>
  </si>
  <si>
    <t>Tue Jan 06 2026 14:02:49 GMT-0300 (Brasilia Standard Time)</t>
  </si>
  <si>
    <t>FlexPBX-1767718969.271515</t>
  </si>
  <si>
    <t>Tue Jan 06 2026 13:57:57 GMT-0300 (Brasilia Standard Time)</t>
  </si>
  <si>
    <t>FlexPBX-1767718677.271461</t>
  </si>
  <si>
    <t>Tue Jan 06 2026 13:51:33 GMT-0300 (Brasilia Standard Time)</t>
  </si>
  <si>
    <t>FlexPBX-1767718293.271379</t>
  </si>
  <si>
    <t>Tue Jan 06 2026 13:46:39 GMT-0300 (Brasilia Standard Time)</t>
  </si>
  <si>
    <t>FlexPBX-1767717999.271337</t>
  </si>
  <si>
    <t>Tue Jan 06 2026 13:43:57 GMT-0300 (Brasilia Standard Time)</t>
  </si>
  <si>
    <t>FlexPBX-1767717837.271301</t>
  </si>
  <si>
    <t>Tue Jan 06 2026 13:42:37 GMT-0300 (Brasilia Standard Time)</t>
  </si>
  <si>
    <t>FlexPBX-1767717757.271269</t>
  </si>
  <si>
    <t>Tue Jan 06 2026 13:42:15 GMT-0300 (Brasilia Standard Time)</t>
  </si>
  <si>
    <t>FlexPBX-1767717735.271241</t>
  </si>
  <si>
    <t>Tue Jan 06 2026 13:41:11 GMT-0300 (Brasilia Standard Time)</t>
  </si>
  <si>
    <t>FlexPBX-1767717671.271214</t>
  </si>
  <si>
    <t>Tue Jan 06 2026 13:39:17 GMT-0300 (Brasilia Standard Time)</t>
  </si>
  <si>
    <t>FlexPBX-1767717557.271206</t>
  </si>
  <si>
    <t>Tue Jan 06 2026 13:34:38 GMT-0300 (Brasilia Standard Time)</t>
  </si>
  <si>
    <t>FlexPBX-1767717278.271198</t>
  </si>
  <si>
    <t>Tue Jan 06 2026 11:49:26 GMT-0300 (Brasilia Standard Time)</t>
  </si>
  <si>
    <t>FlexPBX-1767710966.271095</t>
  </si>
  <si>
    <t>Tue Jan 06 2026 11:37:03 GMT-0300 (Brasilia Standard Time)</t>
  </si>
  <si>
    <t>FlexPBX-1767710223.271025</t>
  </si>
  <si>
    <t>Tue Jan 06 2026 11:11:01 GMT-0300 (Brasilia Standard Time)</t>
  </si>
  <si>
    <t>FlexPBX-1767708661.270900</t>
  </si>
  <si>
    <t>Tue Jan 06 2026 11:06:16 GMT-0300 (Brasilia Standard Time)</t>
  </si>
  <si>
    <t>FlexPBX-1767708376.270796</t>
  </si>
  <si>
    <t>Tue Jan 06 2026 10:52:55 GMT-0300 (Brasilia Standard Time)</t>
  </si>
  <si>
    <t>FlexPBX-1767707575.270742</t>
  </si>
  <si>
    <t>Tue Jan 06 2026 10:50:38 GMT-0300 (Brasilia Standard Time)</t>
  </si>
  <si>
    <t>FlexPBX-1767707438.270710</t>
  </si>
  <si>
    <t>Tue Jan 06 2026 10:49:03 GMT-0300 (Brasilia Standard Time)</t>
  </si>
  <si>
    <t>FlexPBX-1767707343.270638</t>
  </si>
  <si>
    <t>Tue Jan 06 2026 10:27:55 GMT-0300 (Brasilia Standard Time)</t>
  </si>
  <si>
    <t>FlexPBX-1767706075.270495</t>
  </si>
  <si>
    <t>Tue Jan 06 2026 10:24:46 GMT-0300 (Brasilia Standard Time)</t>
  </si>
  <si>
    <t>FlexPBX-1767705886.270461</t>
  </si>
  <si>
    <t>Tue Jan 06 2026 10:24:41 GMT-0300 (Brasilia Standard Time)</t>
  </si>
  <si>
    <t>FlexPBX-1767705881.270453</t>
  </si>
  <si>
    <t>Tue Jan 06 2026 10:23:48 GMT-0300 (Brasilia Standard Time)</t>
  </si>
  <si>
    <t>FlexPBX-1767705828.270429</t>
  </si>
  <si>
    <t>Tue Jan 06 2026 10:23:42 GMT-0300 (Brasilia Standard Time)</t>
  </si>
  <si>
    <t>FlexPBX-1767705822.270421</t>
  </si>
  <si>
    <t>Tue Jan 06 2026 10:22:50 GMT-0300 (Brasilia Standard Time)</t>
  </si>
  <si>
    <t>FlexPBX-1767705770.270413</t>
  </si>
  <si>
    <t>Tue Jan 06 2026 10:22:44 GMT-0300 (Brasilia Standard Time)</t>
  </si>
  <si>
    <t>FlexPBX-1767705764.270405</t>
  </si>
  <si>
    <t>Tue Jan 06 2026 10:19:24 GMT-0300 (Brasilia Standard Time)</t>
  </si>
  <si>
    <t>FlexPBX-1767705564.270365</t>
  </si>
  <si>
    <t>Tue Jan 06 2026 10:16:29 GMT-0300 (Brasilia Standard Time)</t>
  </si>
  <si>
    <t>FlexPBX-1767705389.270331</t>
  </si>
  <si>
    <t>Tue Jan 06 2026 10:15:42 GMT-0300 (Brasilia Standard Time)</t>
  </si>
  <si>
    <t>FlexPBX-1767705342.270303</t>
  </si>
  <si>
    <t>Tue Jan 06 2026 10:14:15 GMT-0300 (Brasilia Standard Time)</t>
  </si>
  <si>
    <t>FlexPBX-1767705255.270283</t>
  </si>
  <si>
    <t>Tue Jan 06 2026 10:05:59 GMT-0300 (Brasilia Standard Time)</t>
  </si>
  <si>
    <t>FlexPBX-1767704759.270245</t>
  </si>
  <si>
    <t>Tue Jan 06 2026 10:02:38 GMT-0300 (Brasilia Standard Time)</t>
  </si>
  <si>
    <t>FlexPBX-1767704558.270188</t>
  </si>
  <si>
    <t>Tue Jan 06 2026 10:00:17 GMT-0300 (Brasilia Standard Time)</t>
  </si>
  <si>
    <t>FlexPBX-1767704417.270147</t>
  </si>
  <si>
    <t>Tue Jan 06 2026 09:59:38 GMT-0300 (Brasilia Standard Time)</t>
  </si>
  <si>
    <t>FlexPBX-1767704378.270135</t>
  </si>
  <si>
    <t>Tue Jan 06 2026 09:57:08 GMT-0300 (Brasilia Standard Time)</t>
  </si>
  <si>
    <t>FlexPBX-1767704228.270102</t>
  </si>
  <si>
    <t>Tue Jan 06 2026 09:56:18 GMT-0300 (Brasilia Standard Time)</t>
  </si>
  <si>
    <t>FlexPBX-1767704178.270073</t>
  </si>
  <si>
    <t>Tue Jan 06 2026 09:54:35 GMT-0300 (Brasilia Standard Time)</t>
  </si>
  <si>
    <t>FlexPBX-1767704075.270051</t>
  </si>
  <si>
    <t>Tue Jan 06 2026 09:51:38 GMT-0300 (Brasilia Standard Time)</t>
  </si>
  <si>
    <t>FlexPBX-1767703898.270007</t>
  </si>
  <si>
    <t>Tue Jan 06 2026 09:46:58 GMT-0300 (Brasilia Standard Time)</t>
  </si>
  <si>
    <t>FlexPBX-1767703618.269947</t>
  </si>
  <si>
    <t>Tue Jan 06 2026 09:44:51 GMT-0300 (Brasilia Standard Time)</t>
  </si>
  <si>
    <t>FlexPBX-1767703491.269925</t>
  </si>
  <si>
    <t>Tue Jan 06 2026 09:43:59 GMT-0300 (Brasilia Standard Time)</t>
  </si>
  <si>
    <t>FlexPBX-1767703439.269889</t>
  </si>
  <si>
    <t>Tue Jan 06 2026 09:42:15 GMT-0300 (Brasilia Standard Time)</t>
  </si>
  <si>
    <t>FlexPBX-1767703335.269865</t>
  </si>
  <si>
    <t>Tue Jan 06 2026 09:30:05 GMT-0300 (Brasilia Standard Time)</t>
  </si>
  <si>
    <t>FlexPBX-1767702605.269845</t>
  </si>
  <si>
    <t>Tue Jan 06 2026 09:28:07 GMT-0300 (Brasilia Standard Time)</t>
  </si>
  <si>
    <t>FlexPBX-1767702487.269819</t>
  </si>
  <si>
    <t>Tue Jan 06 2026 09:23:20 GMT-0300 (Brasilia Standard Time)</t>
  </si>
  <si>
    <t>FlexPBX-1767702200.269781</t>
  </si>
  <si>
    <t>Tue Jan 06 2026 09:19:14 GMT-0300 (Brasilia Standard Time)</t>
  </si>
  <si>
    <t>FlexPBX-1767701954.269738</t>
  </si>
  <si>
    <t>Tue Jan 06 2026 09:19:01 GMT-0300 (Brasilia Standard Time)</t>
  </si>
  <si>
    <t>FlexPBX-1767701941.269722</t>
  </si>
  <si>
    <t>Tue Jan 06 2026 09:18:07 GMT-0300 (Brasilia Standard Time)</t>
  </si>
  <si>
    <t>FlexPBX-1767701887.269685</t>
  </si>
  <si>
    <t>Tue Jan 06 2026 09:08:42 GMT-0300 (Brasilia Standard Time)</t>
  </si>
  <si>
    <t>FlexPBX-1767701322.269640</t>
  </si>
  <si>
    <t>Tue Jan 06 2026 09:02:49 GMT-0300 (Brasilia Standard Time)</t>
  </si>
  <si>
    <t>FlexPBX-1767700969.269615</t>
  </si>
  <si>
    <t>Tue Jan 06 2026 09:01:16 GMT-0300 (Brasilia Standard Time)</t>
  </si>
  <si>
    <t>FlexPBX-1767700876.269553</t>
  </si>
  <si>
    <t>Tue Jan 06 2026 08:57:08 GMT-0300 (Brasilia Standard Time)</t>
  </si>
  <si>
    <t>FlexPBX-1767700628.269497</t>
  </si>
  <si>
    <t>Tue Jan 06 2026 08:52:29 GMT-0300 (Brasilia Standard Time)</t>
  </si>
  <si>
    <t>FlexPBX-1767700349.269479</t>
  </si>
  <si>
    <t>Tue Jan 06 2026 08:44:47 GMT-0300 (Brasilia Standard Time)</t>
  </si>
  <si>
    <t>FlexPBX-1767699887.269449</t>
  </si>
  <si>
    <t>Tue Jan 06 2026 08:44:36 GMT-0300 (Brasilia Standard Time)</t>
  </si>
  <si>
    <t>FlexPBX-1767699876.269445</t>
  </si>
  <si>
    <t>Tue Jan 06 2026 08:42:29 GMT-0300 (Brasilia Standard Time)</t>
  </si>
  <si>
    <t>FlexPBX-1767699749.269409</t>
  </si>
  <si>
    <t>Tue Jan 06 2026 08:38:19 GMT-0300 (Brasilia Standard Time)</t>
  </si>
  <si>
    <t>FlexPBX-1767699499.269371</t>
  </si>
  <si>
    <t>Tue Jan 06 2026 08:35:00 GMT-0300 (Brasilia Standard Time)</t>
  </si>
  <si>
    <t>FlexPBX-1767699300.269335</t>
  </si>
  <si>
    <t>Tue Jan 06 2026 08:33:16 GMT-0300 (Brasilia Standard Time)</t>
  </si>
  <si>
    <t>FlexPBX-1767699196.269291</t>
  </si>
  <si>
    <t>Mon Jan 05 2026 17:56:23 GMT-0300 (Brasilia Standard Time)</t>
  </si>
  <si>
    <t>FlexPBX-1767646583.269277</t>
  </si>
  <si>
    <t>Mon Jan 05 2026 17:28:39 GMT-0300 (Brasilia Standard Time)</t>
  </si>
  <si>
    <t>FlexPBX-1767644919.269213</t>
  </si>
  <si>
    <t>Mon Jan 05 2026 17:17:48 GMT-0300 (Brasilia Standard Time)</t>
  </si>
  <si>
    <t>FlexPBX-1767644268.269157</t>
  </si>
  <si>
    <t>Mon Jan 05 2026 17:12:13 GMT-0300 (Brasilia Standard Time)</t>
  </si>
  <si>
    <t>FlexPBX-1767643933.269109</t>
  </si>
  <si>
    <t>Mon Jan 05 2026 17:10:54 GMT-0300 (Brasilia Standard Time)</t>
  </si>
  <si>
    <t>FlexPBX-1767643854.269064</t>
  </si>
  <si>
    <t>Mon Jan 05 2026 17:08:23 GMT-0300 (Brasilia Standard Time)</t>
  </si>
  <si>
    <t>FlexPBX-1767643703.269022</t>
  </si>
  <si>
    <t>Mon Jan 05 2026 16:56:38 GMT-0300 (Brasilia Standard Time)</t>
  </si>
  <si>
    <t>PSYSTEM_1011</t>
  </si>
  <si>
    <t>FlexPBX-1767642998.268965</t>
  </si>
  <si>
    <t>Mon Jan 05 2026 16:55:57 GMT-0300 (Brasilia Standard Time)</t>
  </si>
  <si>
    <t>FlexPBX-1767642957.268953</t>
  </si>
  <si>
    <t>Mon Jan 05 2026 16:50:05 GMT-0300 (Brasilia Standard Time)</t>
  </si>
  <si>
    <t>FlexPBX-1767642605.268843</t>
  </si>
  <si>
    <t>Mon Jan 05 2026 16:46:15 GMT-0300 (Brasilia Standard Time)</t>
  </si>
  <si>
    <t>FlexPBX-1767642375.268790</t>
  </si>
  <si>
    <t>Mon Jan 05 2026 16:46:09 GMT-0300 (Brasilia Standard Time)</t>
  </si>
  <si>
    <t>FlexPBX-1767642369.268782</t>
  </si>
  <si>
    <t>Mon Jan 05 2026 16:38:21 GMT-0300 (Brasilia Standard Time)</t>
  </si>
  <si>
    <t>FlexPBX-1767641901.268704</t>
  </si>
  <si>
    <t>Mon Jan 05 2026 16:29:50 GMT-0300 (Brasilia Standard Time)</t>
  </si>
  <si>
    <t>FlexPBX-1767641390.268546</t>
  </si>
  <si>
    <t>Mon Jan 05 2026 16:25:03 GMT-0300 (Brasilia Standard Time)</t>
  </si>
  <si>
    <t>FlexPBX-1767641103.268505</t>
  </si>
  <si>
    <t>Mon Jan 05 2026 16:23:29 GMT-0300 (Brasilia Standard Time)</t>
  </si>
  <si>
    <t>FlexPBX-1767641009.268448</t>
  </si>
  <si>
    <t>Mon Jan 05 2026 16:20:45 GMT-0300 (Brasilia Standard Time)</t>
  </si>
  <si>
    <t>FlexPBX-1767640845.268372</t>
  </si>
  <si>
    <t>Mon Jan 05 2026 16:15:09 GMT-0300 (Brasilia Standard Time)</t>
  </si>
  <si>
    <t>FlexPBX-1767640509.268200</t>
  </si>
  <si>
    <t>Mon Jan 05 2026 16:11:26 GMT-0300 (Brasilia Standard Time)</t>
  </si>
  <si>
    <t>FlexPBX-1767640286.268080</t>
  </si>
  <si>
    <t>Mon Jan 05 2026 16:05:19 GMT-0300 (Brasilia Standard Time)</t>
  </si>
  <si>
    <t>FlexPBX-1767639919.268056</t>
  </si>
  <si>
    <t>Mon Jan 05 2026 16:04:50 GMT-0300 (Brasilia Standard Time)</t>
  </si>
  <si>
    <t>FlexPBX-1767639890.268044</t>
  </si>
  <si>
    <t>Mon Jan 05 2026 16:02:19 GMT-0300 (Brasilia Standard Time)</t>
  </si>
  <si>
    <t>FlexPBX-1767639739.268018</t>
  </si>
  <si>
    <t>Mon Jan 05 2026 16:01:50 GMT-0300 (Brasilia Standard Time)</t>
  </si>
  <si>
    <t>FlexPBX-1767639710.268006</t>
  </si>
  <si>
    <t>Mon Jan 05 2026 16:00:52 GMT-0300 (Brasilia Standard Time)</t>
  </si>
  <si>
    <t>FlexPBX-1767639652.267978</t>
  </si>
  <si>
    <t>Mon Jan 05 2026 16:00:09 GMT-0300 (Brasilia Standard Time)</t>
  </si>
  <si>
    <t>FlexPBX-1767639609.267970</t>
  </si>
  <si>
    <t>Mon Jan 05 2026 16:00:02 GMT-0300 (Brasilia Standard Time)</t>
  </si>
  <si>
    <t>FlexPBX-1767639602.267962</t>
  </si>
  <si>
    <t>Mon Jan 05 2026 15:58:04 GMT-0300 (Brasilia Standard Time)</t>
  </si>
  <si>
    <t>FlexPBX-1767639484.267920</t>
  </si>
  <si>
    <t>Mon Jan 05 2026 15:56:15 GMT-0300 (Brasilia Standard Time)</t>
  </si>
  <si>
    <t>FlexPBX-1767639375.267852</t>
  </si>
  <si>
    <t>Mon Jan 05 2026 15:56:04 GMT-0300 (Brasilia Standard Time)</t>
  </si>
  <si>
    <t>FlexPBX-1767639364.267849</t>
  </si>
  <si>
    <t>Mon Jan 05 2026 15:42:45 GMT-0300 (Brasilia Standard Time)</t>
  </si>
  <si>
    <t>FlexPBX-1767638565.267779</t>
  </si>
  <si>
    <t>Mon Jan 05 2026 15:39:12 GMT-0300 (Brasilia Standard Time)</t>
  </si>
  <si>
    <t>FlexPBX-1767638352.267737</t>
  </si>
  <si>
    <t>Mon Jan 05 2026 15:37:32 GMT-0300 (Brasilia Standard Time)</t>
  </si>
  <si>
    <t>FlexPBX-1767638252.267729</t>
  </si>
  <si>
    <t>Mon Jan 05 2026 15:35:39 GMT-0300 (Brasilia Standard Time)</t>
  </si>
  <si>
    <t>FlexPBX-1767638139.267639</t>
  </si>
  <si>
    <t>Mon Jan 05 2026 15:33:44 GMT-0300 (Brasilia Standard Time)</t>
  </si>
  <si>
    <t>FlexPBX-1767638024.267555</t>
  </si>
  <si>
    <t>Mon Jan 05 2026 15:25:44 GMT-0300 (Brasilia Standard Time)</t>
  </si>
  <si>
    <t>FlexPBX-1767637544.267473</t>
  </si>
  <si>
    <t>Mon Jan 05 2026 15:16:42 GMT-0300 (Brasilia Standard Time)</t>
  </si>
  <si>
    <t>FlexPBX-1767637002.267453</t>
  </si>
  <si>
    <t>Mon Jan 05 2026 15:13:37 GMT-0300 (Brasilia Standard Time)</t>
  </si>
  <si>
    <t>FlexPBX-1767636817.267363</t>
  </si>
  <si>
    <t>Mon Jan 05 2026 15:12:54 GMT-0300 (Brasilia Standard Time)</t>
  </si>
  <si>
    <t>FlexPBX-1767636774.267355</t>
  </si>
  <si>
    <t>Mon Jan 05 2026 15:12:43 GMT-0300 (Brasilia Standard Time)</t>
  </si>
  <si>
    <t>FlexPBX-1767636763.267342</t>
  </si>
  <si>
    <t>Mon Jan 05 2026 15:03:05 GMT-0300 (Brasilia Standard Time)</t>
  </si>
  <si>
    <t>FlexPBX-1767636185.267313</t>
  </si>
  <si>
    <t>Mon Jan 05 2026 15:00:43 GMT-0300 (Brasilia Standard Time)</t>
  </si>
  <si>
    <t>FlexPBX-1767636043.267263</t>
  </si>
  <si>
    <t>Mon Jan 05 2026 14:59:18 GMT-0300 (Brasilia Standard Time)</t>
  </si>
  <si>
    <t>FlexPBX-1767635958.267243</t>
  </si>
  <si>
    <t>Mon Jan 05 2026 14:52:35 GMT-0300 (Brasilia Standard Time)</t>
  </si>
  <si>
    <t>FlexPBX-1767635555.267191</t>
  </si>
  <si>
    <t>Mon Jan 05 2026 14:51:35 GMT-0300 (Brasilia Standard Time)</t>
  </si>
  <si>
    <t>FlexPBX-1767635495.267155</t>
  </si>
  <si>
    <t>Mon Jan 05 2026 14:42:59 GMT-0300 (Brasilia Standard Time)</t>
  </si>
  <si>
    <t>FlexPBX-1767634979.267047</t>
  </si>
  <si>
    <t>Mon Jan 05 2026 14:39:23 GMT-0300 (Brasilia Standard Time)</t>
  </si>
  <si>
    <t>FlexPBX-1767634763.267023</t>
  </si>
  <si>
    <t>Mon Jan 05 2026 14:37:52 GMT-0300 (Brasilia Standard Time)</t>
  </si>
  <si>
    <t>FlexPBX-1767634672.266960</t>
  </si>
  <si>
    <t>Mon Jan 05 2026 14:37:35 GMT-0300 (Brasilia Standard Time)</t>
  </si>
  <si>
    <t>FlexPBX-1767634655.266951</t>
  </si>
  <si>
    <t>Mon Jan 05 2026 14:34:28 GMT-0300 (Brasilia Standard Time)</t>
  </si>
  <si>
    <t>FlexPBX-1767634468.266937</t>
  </si>
  <si>
    <t>Mon Jan 05 2026 14:34:24 GMT-0300 (Brasilia Standard Time)</t>
  </si>
  <si>
    <t>FlexPBX-1767634464.266929</t>
  </si>
  <si>
    <t>Mon Jan 05 2026 14:32:11 GMT-0300 (Brasilia Standard Time)</t>
  </si>
  <si>
    <t>FlexPBX-1767634331.266853</t>
  </si>
  <si>
    <t>Mon Jan 05 2026 14:23:31 GMT-0300 (Brasilia Standard Time)</t>
  </si>
  <si>
    <t>FlexPBX-1767633811.266815</t>
  </si>
  <si>
    <t>Mon Jan 05 2026 14:22:18 GMT-0300 (Brasilia Standard Time)</t>
  </si>
  <si>
    <t>FlexPBX-1767633738.266794</t>
  </si>
  <si>
    <t>Mon Jan 05 2026 14:19:55 GMT-0300 (Brasilia Standard Time)</t>
  </si>
  <si>
    <t>FlexPBX-1767633595.266724</t>
  </si>
  <si>
    <t>Mon Jan 05 2026 14:18:57 GMT-0300 (Brasilia Standard Time)</t>
  </si>
  <si>
    <t>FlexPBX-1767633537.266691</t>
  </si>
  <si>
    <t>Mon Jan 05 2026 14:14:12 GMT-0300 (Brasilia Standard Time)</t>
  </si>
  <si>
    <t>FlexPBX-1767633252.266620</t>
  </si>
  <si>
    <t>Mon Jan 05 2026 14:13:53 GMT-0300 (Brasilia Standard Time)</t>
  </si>
  <si>
    <t>FlexPBX-1767633233.266609</t>
  </si>
  <si>
    <t>Mon Jan 05 2026 14:05:32 GMT-0300 (Brasilia Standard Time)</t>
  </si>
  <si>
    <t>FlexPBX-1767632732.266583</t>
  </si>
  <si>
    <t>Mon Jan 05 2026 14:00:25 GMT-0300 (Brasilia Standard Time)</t>
  </si>
  <si>
    <t>FlexPBX-1767632425.266514</t>
  </si>
  <si>
    <t>Mon Jan 05 2026 13:52:55 GMT-0300 (Brasilia Standard Time)</t>
  </si>
  <si>
    <t>FlexPBX-1767631975.266484</t>
  </si>
  <si>
    <t>Mon Jan 05 2026 13:50:33 GMT-0300 (Brasilia Standard Time)</t>
  </si>
  <si>
    <t>FlexPBX-1767631833.266470</t>
  </si>
  <si>
    <t>Mon Jan 05 2026 13:50:07 GMT-0300 (Brasilia Standard Time)</t>
  </si>
  <si>
    <t>FlexPBX-1767631807.266462</t>
  </si>
  <si>
    <t>Mon Jan 05 2026 13:49:20 GMT-0300 (Brasilia Standard Time)</t>
  </si>
  <si>
    <t>FlexPBX-1767631760.266448</t>
  </si>
  <si>
    <t>Mon Jan 05 2026 13:48:42 GMT-0300 (Brasilia Standard Time)</t>
  </si>
  <si>
    <t>FlexPBX-1767631722.266440</t>
  </si>
  <si>
    <t>Mon Jan 05 2026 13:47:45 GMT-0300 (Brasilia Standard Time)</t>
  </si>
  <si>
    <t>FlexPBX-1767631665.266432</t>
  </si>
  <si>
    <t>Mon Jan 05 2026 13:44:37 GMT-0300 (Brasilia Standard Time)</t>
  </si>
  <si>
    <t>FlexPBX-1767631477.266390</t>
  </si>
  <si>
    <t>Mon Jan 05 2026 13:38:00 GMT-0300 (Brasilia Standard Time)</t>
  </si>
  <si>
    <t>FlexPBX-1767631080.266346</t>
  </si>
  <si>
    <t>Mon Jan 05 2026 13:33:52 GMT-0300 (Brasilia Standard Time)</t>
  </si>
  <si>
    <t>FlexPBX-1767630832.266327</t>
  </si>
  <si>
    <t>Mon Jan 05 2026 11:43:21 GMT-0300 (Brasilia Standard Time)</t>
  </si>
  <si>
    <t>FlexPBX-1767624201.266161</t>
  </si>
  <si>
    <t>Mon Jan 05 2026 11:39:49 GMT-0300 (Brasilia Standard Time)</t>
  </si>
  <si>
    <t>FlexPBX-1767623989.266141</t>
  </si>
  <si>
    <t>Mon Jan 05 2026 11:29:25 GMT-0300 (Brasilia Standard Time)</t>
  </si>
  <si>
    <t>FlexPBX-1767623365.266083</t>
  </si>
  <si>
    <t>Mon Jan 05 2026 11:25:26 GMT-0300 (Brasilia Standard Time)</t>
  </si>
  <si>
    <t>FlexPBX-1767623126.266069</t>
  </si>
  <si>
    <t>Mon Jan 05 2026 11:00:25 GMT-0300 (Brasilia Standard Time)</t>
  </si>
  <si>
    <t>FlexPBX-1767621625.266015</t>
  </si>
  <si>
    <t>Mon Jan 05 2026 10:54:25 GMT-0300 (Brasilia Standard Time)</t>
  </si>
  <si>
    <t>FlexPBX-1767621265.265952</t>
  </si>
  <si>
    <t>Mon Jan 05 2026 10:53:33 GMT-0300 (Brasilia Standard Time)</t>
  </si>
  <si>
    <t>FlexPBX-1767621213.265878</t>
  </si>
  <si>
    <t>Mon Jan 05 2026 10:53:27 GMT-0300 (Brasilia Standard Time)</t>
  </si>
  <si>
    <t>FlexPBX-1767621207.265872</t>
  </si>
  <si>
    <t>Mon Jan 05 2026 10:52:51 GMT-0300 (Brasilia Standard Time)</t>
  </si>
  <si>
    <t>FlexPBX-1767621171.265853</t>
  </si>
  <si>
    <t>Mon Jan 05 2026 10:51:48 GMT-0300 (Brasilia Standard Time)</t>
  </si>
  <si>
    <t>FlexPBX-1767621108.265809</t>
  </si>
  <si>
    <t>Mon Jan 05 2026 10:46:30 GMT-0300 (Brasilia Standard Time)</t>
  </si>
  <si>
    <t>FlexPBX-1767620790.265779</t>
  </si>
  <si>
    <t>Mon Jan 05 2026 10:27:23 GMT-0300 (Brasilia Standard Time)</t>
  </si>
  <si>
    <t>FlexPBX-1767619643.265699</t>
  </si>
  <si>
    <t>Mon Jan 05 2026 10:24:43 GMT-0300 (Brasilia Standard Time)</t>
  </si>
  <si>
    <t>FlexPBX-1767619483.265659</t>
  </si>
  <si>
    <t>Mon Jan 05 2026 10:20:14 GMT-0300 (Brasilia Standard Time)</t>
  </si>
  <si>
    <t>FlexPBX-1767619214.265643</t>
  </si>
  <si>
    <t>Mon Jan 05 2026 10:12:20 GMT-0300 (Brasilia Standard Time)</t>
  </si>
  <si>
    <t>FlexPBX-1767618740.265621</t>
  </si>
  <si>
    <t>Mon Jan 05 2026 10:09:29 GMT-0300 (Brasilia Standard Time)</t>
  </si>
  <si>
    <t>FlexPBX-1767618569.265589</t>
  </si>
  <si>
    <t>Mon Jan 05 2026 10:04:23 GMT-0300 (Brasilia Standard Time)</t>
  </si>
  <si>
    <t>FlexPBX-1767618263.265567</t>
  </si>
  <si>
    <t>Mon Jan 05 2026 09:59:00 GMT-0300 (Brasilia Standard Time)</t>
  </si>
  <si>
    <t>FlexPBX-1767617940.265501</t>
  </si>
  <si>
    <t>Mon Jan 05 2026 09:58:08 GMT-0300 (Brasilia Standard Time)</t>
  </si>
  <si>
    <t>FlexPBX-1767617888.265442</t>
  </si>
  <si>
    <t>Mon Jan 05 2026 09:57:42 GMT-0300 (Brasilia Standard Time)</t>
  </si>
  <si>
    <t>FlexPBX-1767617862.265429</t>
  </si>
  <si>
    <t>Mon Jan 05 2026 09:49:03 GMT-0300 (Brasilia Standard Time)</t>
  </si>
  <si>
    <t>FlexPBX-1767617343.265395</t>
  </si>
  <si>
    <t>Mon Jan 05 2026 09:43:53 GMT-0300 (Brasilia Standard Time)</t>
  </si>
  <si>
    <t>FlexPBX-1767617033.265359</t>
  </si>
  <si>
    <t>Mon Jan 05 2026 09:37:50 GMT-0300 (Brasilia Standard Time)</t>
  </si>
  <si>
    <t>FlexPBX-1767616670.265319</t>
  </si>
  <si>
    <t>Mon Jan 05 2026 09:35:57 GMT-0300 (Brasilia Standard Time)</t>
  </si>
  <si>
    <t>FlexPBX-1767616557.265305</t>
  </si>
  <si>
    <t>Mon Jan 05 2026 09:29:37 GMT-0300 (Brasilia Standard Time)</t>
  </si>
  <si>
    <t>FlexPBX-1767616177.265257</t>
  </si>
  <si>
    <t>Mon Jan 05 2026 09:20:59 GMT-0300 (Brasilia Standard Time)</t>
  </si>
  <si>
    <t>FlexPBX-1767615659.265229</t>
  </si>
  <si>
    <t>Mon Jan 05 2026 09:16:01 GMT-0300 (Brasilia Standard Time)</t>
  </si>
  <si>
    <t>FlexPBX-1767615361.265177</t>
  </si>
  <si>
    <t>Mon Jan 05 2026 09:05:42 GMT-0300 (Brasilia Standard Time)</t>
  </si>
  <si>
    <t>FlexPBX-1767614742.265125</t>
  </si>
  <si>
    <t>Mon Jan 05 2026 09:04:56 GMT-0300 (Brasilia Standard Time)</t>
  </si>
  <si>
    <t>FlexPBX-1767614696.265113</t>
  </si>
  <si>
    <t>Mon Jan 05 2026 09:02:13 GMT-0300 (Brasilia Standard Time)</t>
  </si>
  <si>
    <t>FlexPBX-1767614533.265083</t>
  </si>
  <si>
    <t>Mon Jan 05 2026 08:57:10 GMT-0300 (Brasilia Standard Time)</t>
  </si>
  <si>
    <t>FlexPBX-1767614230.265067</t>
  </si>
  <si>
    <t>Mon Jan 05 2026 08:56:34 GMT-0300 (Brasilia Standard Time)</t>
  </si>
  <si>
    <t>FlexPBX-1767614194.265048</t>
  </si>
  <si>
    <t>Mon Jan 05 2026 08:56:10 GMT-0300 (Brasilia Standard Time)</t>
  </si>
  <si>
    <t>FlexPBX-1767614170.265039</t>
  </si>
  <si>
    <t>Mon Jan 05 2026 08:53:05 GMT-0300 (Brasilia Standard Time)</t>
  </si>
  <si>
    <t>FlexPBX-1767613985.265017</t>
  </si>
  <si>
    <t>Mon Jan 05 2026 08:50:41 GMT-0300 (Brasilia Standard Time)</t>
  </si>
  <si>
    <t>FlexPBX-1767613841.264997</t>
  </si>
  <si>
    <t>Mon Jan 05 2026 08:46:32 GMT-0300 (Brasilia Standard Time)</t>
  </si>
  <si>
    <t>FlexPBX-1767613592.264948</t>
  </si>
  <si>
    <t>Mon Jan 05 2026 08:37:18 GMT-0300 (Brasilia Standard Time)</t>
  </si>
  <si>
    <t>FlexPBX-1767613038.264913</t>
  </si>
  <si>
    <t>Mon Jan 05 2026 08:32:31 GMT-0300 (Brasilia Standard Time)</t>
  </si>
  <si>
    <t>FlexPBX-1767612751.264900</t>
  </si>
  <si>
    <t>Mon Jan 05 2026 08:31:10 GMT-0300 (Brasilia Standard Time)</t>
  </si>
  <si>
    <t>FlexPBX-1767612670.264886</t>
  </si>
  <si>
    <t>Fri Jan 02 2026 17:30:46 GMT-0300 (Brasilia Standard Time)</t>
  </si>
  <si>
    <t>FlexPBX-1767385846.264854</t>
  </si>
  <si>
    <t>Fri Jan 02 2026 16:30:39 GMT-0300 (Brasilia Standard Time)</t>
  </si>
  <si>
    <t>FlexPBX-1767382239.264820</t>
  </si>
  <si>
    <t>Fri Jan 02 2026 15:42:27 GMT-0300 (Brasilia Standard Time)</t>
  </si>
  <si>
    <t>FlexPBX-1767379347.264780</t>
  </si>
  <si>
    <t>Fri Jan 02 2026 15:42:14 GMT-0300 (Brasilia Standard Time)</t>
  </si>
  <si>
    <t>FlexPBX-1767379334.264763</t>
  </si>
  <si>
    <t>Fri Jan 02 2026 15:41:08 GMT-0300 (Brasilia Standard Time)</t>
  </si>
  <si>
    <t>FlexPBX-1767379268.264749</t>
  </si>
  <si>
    <t>Fri Jan 02 2026 15:39:49 GMT-0300 (Brasilia Standard Time)</t>
  </si>
  <si>
    <t>FlexPBX-1767379189.264709</t>
  </si>
  <si>
    <t>Fri Jan 02 2026 14:00:17 GMT-0300 (Brasilia Standard Time)</t>
  </si>
  <si>
    <t>FlexPBX-1767373217.264589</t>
  </si>
  <si>
    <t>Fri Jan 02 2026 13:45:08 GMT-0300 (Brasilia Standard Time)</t>
  </si>
  <si>
    <t>FlexPBX-1767372308.264569</t>
  </si>
  <si>
    <t>Fri Jan 02 2026 13:32:28 GMT-0300 (Brasilia Standard Time)</t>
  </si>
  <si>
    <t>FlexPBX-1767371548.264541</t>
  </si>
  <si>
    <t>Fri Jan 02 2026 11:46:23 GMT-0300 (Brasilia Standard Time)</t>
  </si>
  <si>
    <t>FlexPBX-1767365183.264393</t>
  </si>
  <si>
    <t>Fri Jan 02 2026 11:07:25 GMT-0300 (Brasilia Standard Time)</t>
  </si>
  <si>
    <t>FlexPBX-1767362845.264335</t>
  </si>
  <si>
    <t>Fri Jan 02 2026 10:52:35 GMT-0300 (Brasilia Standard Time)</t>
  </si>
  <si>
    <t>FlexPBX-1767361955.264321</t>
  </si>
  <si>
    <t>Fri Jan 02 2026 10:37:23 GMT-0300 (Brasilia Standard Time)</t>
  </si>
  <si>
    <t>FlexPBX-1767361043.264287</t>
  </si>
  <si>
    <t>Fri Jan 02 2026 10:20:25 GMT-0300 (Brasilia Standard Time)</t>
  </si>
  <si>
    <t>FlexPBX-1767360025.264236</t>
  </si>
  <si>
    <t>Fri Jan 02 2026 10:06:13 GMT-0300 (Brasilia Standard Time)</t>
  </si>
  <si>
    <t>FlexPBX-1767359173.264214</t>
  </si>
  <si>
    <t>Fri Jan 02 2026 09:41:43 GMT-0300 (Brasilia Standard Time)</t>
  </si>
  <si>
    <t>FlexPBX-1767357703.264166</t>
  </si>
  <si>
    <t>Fri Jan 02 2026 09:21:13 GMT-0300 (Brasilia Standard Time)</t>
  </si>
  <si>
    <t>FlexPBX-1767356473.264144</t>
  </si>
  <si>
    <t>Fri Jan 02 2026 08:50:09 GMT-0300 (Brasilia Standard Time)</t>
  </si>
  <si>
    <t>FlexPBX-1767354609.264062</t>
  </si>
  <si>
    <t>1 - Sem interação</t>
  </si>
  <si>
    <t>2 - Daniel Takeo, problema de acesso no sistema, que estava sendo analisado normalmente por outro atendente</t>
  </si>
  <si>
    <t>1 - Daniel Takeo, querendo saber se o sistema paga salarios automatciamente, atualmente não, atendimento normal</t>
  </si>
  <si>
    <t>2 - Daniel Takeo - Importação de planilha contábil</t>
  </si>
  <si>
    <t>FlexPBX-1772225310.64939</t>
  </si>
  <si>
    <t>FlexPBX-1772224367.64821</t>
  </si>
  <si>
    <t>NO ANSWER</t>
  </si>
  <si>
    <t>FlexPBX-1772224177.64776</t>
  </si>
  <si>
    <t>GERAL - POWER SYSTEM</t>
  </si>
  <si>
    <t>FlexPBX-1772222635.64584</t>
  </si>
  <si>
    <t>FlexPBX-1772222523.64568</t>
  </si>
  <si>
    <t>FlexPBX-1772221849.64508</t>
  </si>
  <si>
    <t>FlexPBX-1772221837.64505</t>
  </si>
  <si>
    <t>FlexPBX-1772221187.64421</t>
  </si>
  <si>
    <t>FlexPBX-1772220814.64329</t>
  </si>
  <si>
    <t>FlexPBX-1772220621.64265</t>
  </si>
  <si>
    <t>FlexPBX-1772220350.64141</t>
  </si>
  <si>
    <t>FlexPBX-1772220122.64111</t>
  </si>
  <si>
    <t>FlexPBX-1772219568.64003</t>
  </si>
  <si>
    <t>FlexPBX-1772219260.63873</t>
  </si>
  <si>
    <t>FlexPBX-1772218619.63794</t>
  </si>
  <si>
    <t>FlexPBX-1772218594.63789</t>
  </si>
  <si>
    <t>FlexPBX-1772218401.63741</t>
  </si>
  <si>
    <t>FlexPBX-1772218342.63720</t>
  </si>
  <si>
    <t>FlexPBX-1772217076.63669</t>
  </si>
  <si>
    <t>FlexPBX-1772216966.63661</t>
  </si>
  <si>
    <t>FlexPBX-1772216807.63635</t>
  </si>
  <si>
    <t>FlexPBX-1772216725.63621</t>
  </si>
  <si>
    <t>FlexPBX-1772216582.63594</t>
  </si>
  <si>
    <t>FlexPBX-1772216430.63490</t>
  </si>
  <si>
    <t>FlexPBX-1772215676.63358</t>
  </si>
  <si>
    <t>FlexPBX-1772215392.63283</t>
  </si>
  <si>
    <t>FlexPBX-1772215286.63267</t>
  </si>
  <si>
    <t>FlexPBX-1772214646.63191</t>
  </si>
  <si>
    <t>FlexPBX-1772214440.63151</t>
  </si>
  <si>
    <t>FlexPBX-1772214231.63118</t>
  </si>
  <si>
    <t>FlexPBX-1772214055.63066</t>
  </si>
  <si>
    <t>FlexPBX-1772213535.63038</t>
  </si>
  <si>
    <t>FlexPBX-1772213013.62986</t>
  </si>
  <si>
    <t>FlexPBX-1772212863.62950</t>
  </si>
  <si>
    <t>FlexPBX-1772212536.62885</t>
  </si>
  <si>
    <t>FlexPBX-1772212311.62835</t>
  </si>
  <si>
    <t>FlexPBX-1772211712.62811</t>
  </si>
  <si>
    <t>FlexPBX-1772210607.62567</t>
  </si>
  <si>
    <t>FlexPBX-1772210148.62519</t>
  </si>
  <si>
    <t>FlexPBX-1772209833.62451</t>
  </si>
  <si>
    <t>FlexPBX-1772203533.62338</t>
  </si>
  <si>
    <t>FlexPBX-1772203407.62293</t>
  </si>
  <si>
    <t>FlexPBX-1772203224.62225</t>
  </si>
  <si>
    <t>FlexPBX-1772202585.62156</t>
  </si>
  <si>
    <t>FlexPBX-1772202477.62132</t>
  </si>
  <si>
    <t>FlexPBX-1772201362.62008</t>
  </si>
  <si>
    <t>FlexPBX-1772200925.61953</t>
  </si>
  <si>
    <t>FlexPBX-1772200725.61903</t>
  </si>
  <si>
    <t>FlexPBX-1772200622.61870</t>
  </si>
  <si>
    <t>FlexPBX-1772200544.61813</t>
  </si>
  <si>
    <t>FlexPBX-1772200544.61815</t>
  </si>
  <si>
    <t>FlexPBX-1772200398.61776</t>
  </si>
  <si>
    <t>FlexPBX-1772200255.61712</t>
  </si>
  <si>
    <t>FlexPBX-1772198660.61582</t>
  </si>
  <si>
    <t>FlexPBX-1772197546.61443</t>
  </si>
  <si>
    <t>FlexPBX-1772197420.61352</t>
  </si>
  <si>
    <t>FlexPBX-1772197381.61327</t>
  </si>
  <si>
    <t>FlexPBX-1772196943.61263</t>
  </si>
  <si>
    <t>FlexPBX-1772196643.61185</t>
  </si>
  <si>
    <t>FlexPBX-1772196386.61162</t>
  </si>
  <si>
    <t>FlexPBX-1772196267.61144</t>
  </si>
  <si>
    <t>FlexPBX-1772195949.61064</t>
  </si>
  <si>
    <t>FlexPBX-1772195617.61013</t>
  </si>
  <si>
    <t>FlexPBX-1772195496.60928</t>
  </si>
  <si>
    <t>FlexPBX-1772194562.60824</t>
  </si>
  <si>
    <t>FlexPBX-1772194327.60788</t>
  </si>
  <si>
    <t>FlexPBX-1772194149.60712</t>
  </si>
  <si>
    <t>FlexPBX-1772193983.60690</t>
  </si>
  <si>
    <t>FlexPBX-1772193441.60607</t>
  </si>
  <si>
    <t>FlexPBX-1772192942.60534</t>
  </si>
  <si>
    <t>FlexPBX-1772192888.60505</t>
  </si>
  <si>
    <t>FlexPBX-1772192217.60457</t>
  </si>
  <si>
    <t>FlexPBX-1772191852.60338</t>
  </si>
  <si>
    <t>FlexPBX-1772191848.60335</t>
  </si>
  <si>
    <t>FlexPBX-1772138451.60247</t>
  </si>
  <si>
    <t>FlexPBX-1772137748.60177</t>
  </si>
  <si>
    <t>FlexPBX-1772136783.60101</t>
  </si>
  <si>
    <t>FlexPBX-1772136651.60017</t>
  </si>
  <si>
    <t>FlexPBX-1772135919.59911</t>
  </si>
  <si>
    <t>FlexPBX-1772135433.59860</t>
  </si>
  <si>
    <t>FlexPBX-1772135049.59825</t>
  </si>
  <si>
    <t>FlexPBX-1772135026.59816</t>
  </si>
  <si>
    <t>FlexPBX-1772134789.59751</t>
  </si>
  <si>
    <t>FlexPBX-1772134750.59730</t>
  </si>
  <si>
    <t>FlexPBX-1772134254.59684</t>
  </si>
  <si>
    <t>FlexPBX-1772134107.59543</t>
  </si>
  <si>
    <t>FlexPBX-1772134087.59532</t>
  </si>
  <si>
    <t>FlexPBX-1772134083.59529</t>
  </si>
  <si>
    <t>FlexPBX-1772133852.59428</t>
  </si>
  <si>
    <t>FlexPBX-1772133687.59384</t>
  </si>
  <si>
    <t>FlexPBX-1772133194.59320</t>
  </si>
  <si>
    <t>FlexPBX-1772133179.59317</t>
  </si>
  <si>
    <t>FlexPBX-1772133072.59269</t>
  </si>
  <si>
    <t>FlexPBX-1772132862.59201</t>
  </si>
  <si>
    <t>FlexPBX-1772132506.59148</t>
  </si>
  <si>
    <t>FlexPBX-1772132465.59127</t>
  </si>
  <si>
    <t>FlexPBX-1772132062.59070</t>
  </si>
  <si>
    <t>FlexPBX-1772130613.58950</t>
  </si>
  <si>
    <t>FlexPBX-1772130429.58843</t>
  </si>
  <si>
    <t>FlexPBX-1772130405.58840</t>
  </si>
  <si>
    <t>FlexPBX-1772129376.58780</t>
  </si>
  <si>
    <t>FlexPBX-1772128911.58588</t>
  </si>
  <si>
    <t>FlexPBX-1772128540.58554</t>
  </si>
  <si>
    <t>FlexPBX-1772128470.58534</t>
  </si>
  <si>
    <t>FlexPBX-1772128282.58430</t>
  </si>
  <si>
    <t>FlexPBX-1772127137.58261</t>
  </si>
  <si>
    <t>FlexPBX-1772127103.58242</t>
  </si>
  <si>
    <t>FlexPBX-1772126695.58192</t>
  </si>
  <si>
    <t>FlexPBX-1772126528.58160</t>
  </si>
  <si>
    <t>FlexPBX-1772126430.58092</t>
  </si>
  <si>
    <t>FlexPBX-1772125384.58036</t>
  </si>
  <si>
    <t>FlexPBX-1772124734.57972</t>
  </si>
  <si>
    <t>FlexPBX-1772123715.57922</t>
  </si>
  <si>
    <t>FlexPBX-1772123659.57906</t>
  </si>
  <si>
    <t>FlexPBX-1772123456.57834</t>
  </si>
  <si>
    <t>FlexPBX-1772117149.57772</t>
  </si>
  <si>
    <t>FlexPBX-1772116765.57732</t>
  </si>
  <si>
    <t>FlexPBX-1772115546.57556</t>
  </si>
  <si>
    <t>FlexPBX-1772114776.57492</t>
  </si>
  <si>
    <t>FlexPBX-1772114657.57395</t>
  </si>
  <si>
    <t>FlexPBX-1772114451.57309</t>
  </si>
  <si>
    <t>FlexPBX-1772114160.57225</t>
  </si>
  <si>
    <t>FlexPBX-1772113485.57099</t>
  </si>
  <si>
    <t>FlexPBX-1772113216.57057</t>
  </si>
  <si>
    <t>FlexPBX-1772112929.56991</t>
  </si>
  <si>
    <t>FlexPBX-1772112881.56949</t>
  </si>
  <si>
    <t>FlexPBX-1772112415.56889</t>
  </si>
  <si>
    <t>FlexPBX-1772112035.56808</t>
  </si>
  <si>
    <t>FlexPBX-1772111848.56728</t>
  </si>
  <si>
    <t>FlexPBX-1772111752.56707</t>
  </si>
  <si>
    <t>FlexPBX-1772111571.56639</t>
  </si>
  <si>
    <t>FlexPBX-1772111467.56584</t>
  </si>
  <si>
    <t>FlexPBX-1772111424.56575</t>
  </si>
  <si>
    <t>FlexPBX-1772111312.56526</t>
  </si>
  <si>
    <t>FlexPBX-1772111268.56509</t>
  </si>
  <si>
    <t>FlexPBX-1772111224.56491</t>
  </si>
  <si>
    <t>FlexPBX-1772111118.56405</t>
  </si>
  <si>
    <t>FlexPBX-1772111079.56384</t>
  </si>
  <si>
    <t>FlexPBX-1772110759.56330</t>
  </si>
  <si>
    <t>FlexPBX-1772110590.56295</t>
  </si>
  <si>
    <t>FlexPBX-1772110585.56292</t>
  </si>
  <si>
    <t>FlexPBX-1772110349.56276</t>
  </si>
  <si>
    <t>FlexPBX-1772110016.56242</t>
  </si>
  <si>
    <t>FlexPBX-1772109877.56228</t>
  </si>
  <si>
    <t>FlexPBX-1772109794.56210</t>
  </si>
  <si>
    <t>FlexPBX-1772109654.56183</t>
  </si>
  <si>
    <t>FlexPBX-1772109633.56176</t>
  </si>
  <si>
    <t>FlexPBX-1772109468.56083</t>
  </si>
  <si>
    <t>FlexPBX-1772109364.56029</t>
  </si>
  <si>
    <t>FlexPBX-1772109357.56026</t>
  </si>
  <si>
    <t>FlexPBX-1772109352.56023</t>
  </si>
  <si>
    <t>FlexPBX-1772109140.55997</t>
  </si>
  <si>
    <t>FlexPBX-1772108918.55955</t>
  </si>
  <si>
    <t>FlexPBX-1772108176.55921</t>
  </si>
  <si>
    <t>FlexPBX-1772107803.55885</t>
  </si>
  <si>
    <t>FlexPBX-1772107638.55861</t>
  </si>
  <si>
    <t>FlexPBX-1772107415.55829</t>
  </si>
  <si>
    <t>FlexPBX-1772107318.55751</t>
  </si>
  <si>
    <t>FlexPBX-1772106439.55699</t>
  </si>
  <si>
    <t>FlexPBX-1772106370.55669</t>
  </si>
  <si>
    <t>FlexPBX-1772106082.55562</t>
  </si>
  <si>
    <t>FlexPBX-1772106054.55559</t>
  </si>
  <si>
    <t>FlexPBX-1772105904.55547</t>
  </si>
  <si>
    <t>FlexPBX-1772105776.55505</t>
  </si>
  <si>
    <t>FlexPBX-1772105752.55485</t>
  </si>
  <si>
    <t>FlexPBX-1772105706.55455</t>
  </si>
  <si>
    <t>FlexPBX-1772052596.55375</t>
  </si>
  <si>
    <t>FlexPBX-1772052402.55311</t>
  </si>
  <si>
    <t>FlexPBX-1772052124.55207</t>
  </si>
  <si>
    <t>FlexPBX-1772052030.55180</t>
  </si>
  <si>
    <t>FlexPBX-1772051379.55100</t>
  </si>
  <si>
    <t>FlexPBX-1772051199.54999</t>
  </si>
  <si>
    <t>FlexPBX-1772051135.54946</t>
  </si>
  <si>
    <t>FlexPBX-1772050230.54837</t>
  </si>
  <si>
    <t>FlexPBX-1772050096.54738</t>
  </si>
  <si>
    <t>FlexPBX-1772049284.54637</t>
  </si>
  <si>
    <t>FlexPBX-1772047885.54495</t>
  </si>
  <si>
    <t>FlexPBX-1772047782.54449</t>
  </si>
  <si>
    <t>PSYSTEM_1008</t>
  </si>
  <si>
    <t>FlexPBX-1772046975.54315</t>
  </si>
  <si>
    <t>COMERCIAL - POWER SYSTEM</t>
  </si>
  <si>
    <t>FlexPBX-1772046706.54204</t>
  </si>
  <si>
    <t>FlexPBX-1772046594.54130</t>
  </si>
  <si>
    <t>FlexPBX-1772046366.54046</t>
  </si>
  <si>
    <t>FlexPBX-1772046031.53971</t>
  </si>
  <si>
    <t>FlexPBX-1772046015.53968</t>
  </si>
  <si>
    <t>FlexPBX-1772045751.53857</t>
  </si>
  <si>
    <t>FlexPBX-1772045706.53827</t>
  </si>
  <si>
    <t>FlexPBX-1772044562.53776</t>
  </si>
  <si>
    <t>FlexPBX-1772044443.53703</t>
  </si>
  <si>
    <t>FlexPBX-1772043685.53658</t>
  </si>
  <si>
    <t>FlexPBX-1772043341.53628</t>
  </si>
  <si>
    <t>FlexPBX-1772043093.53552</t>
  </si>
  <si>
    <t>FlexPBX-1772043070.53533</t>
  </si>
  <si>
    <t>FlexPBX-1772043033.53518</t>
  </si>
  <si>
    <t>FlexPBX-1772042960.53477</t>
  </si>
  <si>
    <t>FlexPBX-1772042947.53468</t>
  </si>
  <si>
    <t>FlexPBX-1772042510.53441</t>
  </si>
  <si>
    <t>FlexPBX-1772042450.53429</t>
  </si>
  <si>
    <t>FlexPBX-1772042264.53372</t>
  </si>
  <si>
    <t>FlexPBX-1772042194.53320</t>
  </si>
  <si>
    <t>FlexPBX-1772041728.53282</t>
  </si>
  <si>
    <t>FlexPBX-1772041609.53264</t>
  </si>
  <si>
    <t>FlexPBX-1772041529.53212</t>
  </si>
  <si>
    <t>FlexPBX-1772041412.53192</t>
  </si>
  <si>
    <t>FlexPBX-1772041185.53083</t>
  </si>
  <si>
    <t>FlexPBX-1772041163.53070</t>
  </si>
  <si>
    <t>FlexPBX-1772040142.52982</t>
  </si>
  <si>
    <t>FlexPBX-1772039759.52930</t>
  </si>
  <si>
    <t>FlexPBX-1772039476.52908</t>
  </si>
  <si>
    <t>FlexPBX-1772038875.52804</t>
  </si>
  <si>
    <t>FlexPBX-1772038259.52762</t>
  </si>
  <si>
    <t>FlexPBX-1772037949.52730</t>
  </si>
  <si>
    <t>FlexPBX-1772037841.52702</t>
  </si>
  <si>
    <t>FlexPBX-1772037682.52662</t>
  </si>
  <si>
    <t>FlexPBX-1772037415.52622</t>
  </si>
  <si>
    <t>FlexPBX-1772037329.52540</t>
  </si>
  <si>
    <t>FlexPBX-1772037172.52479</t>
  </si>
  <si>
    <t>FlexPBX-1772030923.52341</t>
  </si>
  <si>
    <t>FlexPBX-1772029722.52285</t>
  </si>
  <si>
    <t>FlexPBX-1772029202.52182</t>
  </si>
  <si>
    <t>FlexPBX-1772028771.52142</t>
  </si>
  <si>
    <t>FlexPBX-1772028732.52114</t>
  </si>
  <si>
    <t>FlexPBX-1772028731.52111</t>
  </si>
  <si>
    <t>FlexPBX-1772028271.52061</t>
  </si>
  <si>
    <t>FlexPBX-1772027914.52011</t>
  </si>
  <si>
    <t>FlexPBX-1772027900.51989</t>
  </si>
  <si>
    <t>FlexPBX-1772027366.51942</t>
  </si>
  <si>
    <t>FlexPBX-1772026874.51898</t>
  </si>
  <si>
    <t>FlexPBX-1772026741.51882</t>
  </si>
  <si>
    <t>FlexPBX-1772026243.51734</t>
  </si>
  <si>
    <t>FlexPBX-1772026079.51655</t>
  </si>
  <si>
    <t>FlexPBX-1772025990.51604</t>
  </si>
  <si>
    <t>FlexPBX-1772025142.51508</t>
  </si>
  <si>
    <t>FlexPBX-1772024678.51410</t>
  </si>
  <si>
    <t>FlexPBX-1772024549.51320</t>
  </si>
  <si>
    <t>FlexPBX-1772024282.51294</t>
  </si>
  <si>
    <t>FlexPBX-1772023952.51244</t>
  </si>
  <si>
    <t>FlexPBX-1772021710.51103</t>
  </si>
  <si>
    <t>FlexPBX-1772021491.51033</t>
  </si>
  <si>
    <t>FlexPBX-1772021104.51009</t>
  </si>
  <si>
    <t>FlexPBX-1772020990.50983</t>
  </si>
  <si>
    <t>FlexPBX-1772020687.50945</t>
  </si>
  <si>
    <t>FlexPBX-1772020634.50901</t>
  </si>
  <si>
    <t>FlexPBX-1772020490.50859</t>
  </si>
  <si>
    <t>FlexPBX-1772020278.50783</t>
  </si>
  <si>
    <t>FlexPBX-1772020164.50742</t>
  </si>
  <si>
    <t>FlexPBX-1772020110.50715</t>
  </si>
  <si>
    <t>FlexPBX-1772019645.50561</t>
  </si>
  <si>
    <t>FlexPBX-1771964792.50450</t>
  </si>
  <si>
    <t>FlexPBX-1771963637.50386</t>
  </si>
  <si>
    <t>FlexPBX-1771963117.50257</t>
  </si>
  <si>
    <t>FlexPBX-1771963062.50230</t>
  </si>
  <si>
    <t>FlexPBX-1771962892.50125</t>
  </si>
  <si>
    <t>FlexPBX-1771962804.50040</t>
  </si>
  <si>
    <t>FlexPBX-1771962677.50008</t>
  </si>
  <si>
    <t>FlexPBX-1771962507.49925</t>
  </si>
  <si>
    <t>FlexPBX-1771962153.49825</t>
  </si>
  <si>
    <t>FlexPBX-1771961712.49713</t>
  </si>
  <si>
    <t>FlexPBX-1771961570.49661</t>
  </si>
  <si>
    <t>FlexPBX-1771961143.49600</t>
  </si>
  <si>
    <t>FlexPBX-1771961009.49509</t>
  </si>
  <si>
    <t>FlexPBX-1771960418.49404</t>
  </si>
  <si>
    <t>FlexPBX-1771959470.49332</t>
  </si>
  <si>
    <t>FlexPBX-1771959103.49221</t>
  </si>
  <si>
    <t>FlexPBX-1771959014.49136</t>
  </si>
  <si>
    <t>FlexPBX-1771958998.49133</t>
  </si>
  <si>
    <t>FlexPBX-1771958639.49087</t>
  </si>
  <si>
    <t>FlexPBX-1771958439.48999</t>
  </si>
  <si>
    <t>FlexPBX-1771958174.48937</t>
  </si>
  <si>
    <t>FlexPBX-1771957874.48882</t>
  </si>
  <si>
    <t>FlexPBX-1771957835.48861</t>
  </si>
  <si>
    <t>FlexPBX-1771957635.48729</t>
  </si>
  <si>
    <t>FlexPBX-1771957476.48685</t>
  </si>
  <si>
    <t>FlexPBX-1771957003.48633</t>
  </si>
  <si>
    <t>FlexPBX-1771956484.48560</t>
  </si>
  <si>
    <t>FlexPBX-1771955765.48524</t>
  </si>
  <si>
    <t>FlexPBX-1771955593.48513</t>
  </si>
  <si>
    <t>FlexPBX-1771955470.48493</t>
  </si>
  <si>
    <t>FlexPBX-1771955160.48470</t>
  </si>
  <si>
    <t>FlexPBX-1771955006.48386</t>
  </si>
  <si>
    <t>FlexPBX-1771955000.48383</t>
  </si>
  <si>
    <t>FlexPBX-1771954693.48322</t>
  </si>
  <si>
    <t>FlexPBX-1771954682.48319</t>
  </si>
  <si>
    <t>FlexPBX-1771954026.48221</t>
  </si>
  <si>
    <t>FlexPBX-1771953847.48187</t>
  </si>
  <si>
    <t>FlexPBX-1771953723.48175</t>
  </si>
  <si>
    <t>FlexPBX-1771953666.48159</t>
  </si>
  <si>
    <t>FlexPBX-1771953358.48091</t>
  </si>
  <si>
    <t>FlexPBX-1771953014.47887</t>
  </si>
  <si>
    <t>FlexPBX-1771952993.47866</t>
  </si>
  <si>
    <t>FlexPBX-1771952925.47824</t>
  </si>
  <si>
    <t>FlexPBX-1771952853.47773</t>
  </si>
  <si>
    <t>FlexPBX-1771951530.47722</t>
  </si>
  <si>
    <t>FlexPBX-1771951421.47626</t>
  </si>
  <si>
    <t>FlexPBX-1771951341.47579</t>
  </si>
  <si>
    <t>FlexPBX-1771950885.47497</t>
  </si>
  <si>
    <t>FlexPBX-1771944305.47397</t>
  </si>
  <si>
    <t>FlexPBX-1771943832.47347</t>
  </si>
  <si>
    <t>FlexPBX-1771943159.47253</t>
  </si>
  <si>
    <t>FlexPBX-1771942927.47182</t>
  </si>
  <si>
    <t>FlexPBX-1771942449.46995</t>
  </si>
  <si>
    <t>FlexPBX-1771942448.46992</t>
  </si>
  <si>
    <t>FlexPBX-1771941519.46920</t>
  </si>
  <si>
    <t>FlexPBX-1771941265.46868</t>
  </si>
  <si>
    <t>FlexPBX-1771940794.46846</t>
  </si>
  <si>
    <t>FlexPBX-1771940278.46814</t>
  </si>
  <si>
    <t>FlexPBX-1771939960.46714</t>
  </si>
  <si>
    <t>FlexPBX-1771939432.46621</t>
  </si>
  <si>
    <t>FlexPBX-1771939110.46552</t>
  </si>
  <si>
    <t>FlexPBX-1771938912.46509</t>
  </si>
  <si>
    <t>FlexPBX-1771938529.46359</t>
  </si>
  <si>
    <t>FlexPBX-1771937898.46299</t>
  </si>
  <si>
    <t>FlexPBX-1771937762.46279</t>
  </si>
  <si>
    <t>FlexPBX-1771937560.46245</t>
  </si>
  <si>
    <t>FlexPBX-1771936615.46173</t>
  </si>
  <si>
    <t>FlexPBX-1771936489.46128</t>
  </si>
  <si>
    <t>FlexPBX-1771936235.46108</t>
  </si>
  <si>
    <t>FlexPBX-1771936003.46077</t>
  </si>
  <si>
    <t>FlexPBX-1771935497.46047</t>
  </si>
  <si>
    <t>FlexPBX-1771935261.45969</t>
  </si>
  <si>
    <t>FlexPBX-1771935097.45944</t>
  </si>
  <si>
    <t>FlexPBX-1771934998.45869</t>
  </si>
  <si>
    <t>FlexPBX-1771933757.45769</t>
  </si>
  <si>
    <t>FlexPBX-1771933287.45710</t>
  </si>
  <si>
    <t>FlexPBX-1771933282.45707</t>
  </si>
  <si>
    <t>FlexPBX-1771933279.45704</t>
  </si>
  <si>
    <t>FlexPBX-1771933258.45697</t>
  </si>
  <si>
    <t>FlexPBX-1771932917.45670</t>
  </si>
  <si>
    <t>FlexPBX-1771932698.45609</t>
  </si>
  <si>
    <t>FlexPBX-1771932635.45582</t>
  </si>
  <si>
    <t>FlexPBX-1771878656.45483</t>
  </si>
  <si>
    <t>FlexPBX-1771878428.45439</t>
  </si>
  <si>
    <t>FlexPBX-1771878004.45375</t>
  </si>
  <si>
    <t>FlexPBX-1771877911.45355</t>
  </si>
  <si>
    <t>FlexPBX-1771877017.45311</t>
  </si>
  <si>
    <t>FlexPBX-1771876850.45255</t>
  </si>
  <si>
    <t>FlexPBX-1771876660.45159</t>
  </si>
  <si>
    <t>FlexPBX-1771876250.45079</t>
  </si>
  <si>
    <t>FlexPBX-1771874230.44943</t>
  </si>
  <si>
    <t>FlexPBX-1771873991.44890</t>
  </si>
  <si>
    <t>FlexPBX-1771873892.44824</t>
  </si>
  <si>
    <t>FlexPBX-1771873849.44803</t>
  </si>
  <si>
    <t>FlexPBX-1771873563.44745</t>
  </si>
  <si>
    <t>FlexPBX-1771873225.44704</t>
  </si>
  <si>
    <t>FlexPBX-1771873051.44682</t>
  </si>
  <si>
    <t>FlexPBX-1771872514.44635</t>
  </si>
  <si>
    <t>FlexPBX-1771872479.44619</t>
  </si>
  <si>
    <t>FlexPBX-1771872253.44593</t>
  </si>
  <si>
    <t>FlexPBX-1771872097.44572</t>
  </si>
  <si>
    <t>FlexPBX-1771871959.44542</t>
  </si>
  <si>
    <t>FlexPBX-1771871942.44531</t>
  </si>
  <si>
    <t>FlexPBX-1771870698.44470</t>
  </si>
  <si>
    <t>FlexPBX-1771870363.44363</t>
  </si>
  <si>
    <t>FlexPBX-1771870336.44352</t>
  </si>
  <si>
    <t>FlexPBX-1771869996.44328</t>
  </si>
  <si>
    <t>FlexPBX-1771869750.44264</t>
  </si>
  <si>
    <t>FlexPBX-1771869320.44184</t>
  </si>
  <si>
    <t>FlexPBX-1771868932.44139</t>
  </si>
  <si>
    <t>FlexPBX-1771868808.44117</t>
  </si>
  <si>
    <t>FlexPBX-1771868422.43996</t>
  </si>
  <si>
    <t>FlexPBX-1771867935.43944</t>
  </si>
  <si>
    <t>FlexPBX-1771867646.43880</t>
  </si>
  <si>
    <t>FlexPBX-1771867496.43817</t>
  </si>
  <si>
    <t>FlexPBX-1771866985.43715</t>
  </si>
  <si>
    <t>FlexPBX-1771866037.43626</t>
  </si>
  <si>
    <t>FlexPBX-1771865949.43567</t>
  </si>
  <si>
    <t>FlexPBX-1771865192.43477</t>
  </si>
  <si>
    <t>FlexPBX-1771864768.43407</t>
  </si>
  <si>
    <t>FlexPBX-1771864471.43318</t>
  </si>
  <si>
    <t>FlexPBX-1771858544.43222</t>
  </si>
  <si>
    <t>FlexPBX-1771858110.43158</t>
  </si>
  <si>
    <t>FlexPBX-1771857596.43112</t>
  </si>
  <si>
    <t>FlexPBX-1771857496.43041</t>
  </si>
  <si>
    <t>FlexPBX-1771857292.42987</t>
  </si>
  <si>
    <t>FlexPBX-1771857260.42968</t>
  </si>
  <si>
    <t>FlexPBX-1771857192.42935</t>
  </si>
  <si>
    <t>FlexPBX-1771856913.42894</t>
  </si>
  <si>
    <t>FlexPBX-1771856883.42878</t>
  </si>
  <si>
    <t>FlexPBX-1771856650.42832</t>
  </si>
  <si>
    <t>FlexPBX-1771855282.42762</t>
  </si>
  <si>
    <t>FlexPBX-1771855013.42739</t>
  </si>
  <si>
    <t>FlexPBX-1771854577.42650</t>
  </si>
  <si>
    <t>FlexPBX-1771854246.42595</t>
  </si>
  <si>
    <t>FlexPBX-1771854136.42564</t>
  </si>
  <si>
    <t>FlexPBX-1771854093.42546</t>
  </si>
  <si>
    <t>FlexPBX-1771853833.42485</t>
  </si>
  <si>
    <t>FlexPBX-1771853811.42482</t>
  </si>
  <si>
    <t>FlexPBX-1771852960.42325</t>
  </si>
  <si>
    <t>FlexPBX-1771852931.42312</t>
  </si>
  <si>
    <t>FlexPBX-1771852669.42286</t>
  </si>
  <si>
    <t>FlexPBX-1771852403.42254</t>
  </si>
  <si>
    <t>FlexPBX-1771852074.42194</t>
  </si>
  <si>
    <t>FlexPBX-1771851693.42118</t>
  </si>
  <si>
    <t>FlexPBX-1771850953.42073</t>
  </si>
  <si>
    <t>FlexPBX-1771850860.42008</t>
  </si>
  <si>
    <t>FlexPBX-1771850709.41952</t>
  </si>
  <si>
    <t>FlexPBX-1771850151.41868</t>
  </si>
  <si>
    <t>FlexPBX-1771848694.41712</t>
  </si>
  <si>
    <t>FlexPBX-1771848492.41668</t>
  </si>
  <si>
    <t>FlexPBX-1771848326.41628</t>
  </si>
  <si>
    <t>FlexPBX-1771848024.41608</t>
  </si>
  <si>
    <t>FlexPBX-1771847807.41533</t>
  </si>
  <si>
    <t>FlexPBX-1771847748.41512</t>
  </si>
  <si>
    <t>FlexPBX-1771847212.41492</t>
  </si>
  <si>
    <t>FlexPBX-1771620013.41302</t>
  </si>
  <si>
    <t>FlexPBX-1771618680.41210</t>
  </si>
  <si>
    <t>FlexPBX-1771618088.41102</t>
  </si>
  <si>
    <t>FlexPBX-1771617848.41063</t>
  </si>
  <si>
    <t>FlexPBX-1771617841.41060</t>
  </si>
  <si>
    <t>FlexPBX-1771617544.41026</t>
  </si>
  <si>
    <t>FlexPBX-1771617398.40956</t>
  </si>
  <si>
    <t>FlexPBX-1771617357.40937</t>
  </si>
  <si>
    <t>FlexPBX-1771617330.40934</t>
  </si>
  <si>
    <t>FlexPBX-1771617122.40906</t>
  </si>
  <si>
    <t>FlexPBX-1771617067.40877</t>
  </si>
  <si>
    <t>FlexPBX-1771617026.40856</t>
  </si>
  <si>
    <t>FlexPBX-1771616732.40809</t>
  </si>
  <si>
    <t>FlexPBX-1771616663.40777</t>
  </si>
  <si>
    <t>FlexPBX-1771616523.40683</t>
  </si>
  <si>
    <t>FlexPBX-1771616158.40631</t>
  </si>
  <si>
    <t>FlexPBX-1771615695.40529</t>
  </si>
  <si>
    <t>FlexPBX-1771615432.40503</t>
  </si>
  <si>
    <t>FlexPBX-1771615124.40419</t>
  </si>
  <si>
    <t>PSYSTEM_1010</t>
  </si>
  <si>
    <t>FlexPBX-1771614169.40349</t>
  </si>
  <si>
    <t>FlexPBX-1771613943.40341</t>
  </si>
  <si>
    <t>FlexPBX-1771613746.40319</t>
  </si>
  <si>
    <t>FlexPBX-1771613547.40260</t>
  </si>
  <si>
    <t>FlexPBX-1771613528.40246</t>
  </si>
  <si>
    <t>FlexPBX-1771613526.40243</t>
  </si>
  <si>
    <t>FlexPBX-1771613505.40240</t>
  </si>
  <si>
    <t>FlexPBX-1771613469.40224</t>
  </si>
  <si>
    <t>FlexPBX-1771613164.40191</t>
  </si>
  <si>
    <t>FlexPBX-1771613123.40170</t>
  </si>
  <si>
    <t>FlexPBX-1771612980.40136</t>
  </si>
  <si>
    <t>FlexPBX-1771612532.40088</t>
  </si>
  <si>
    <t>FlexPBX-1771612364.40052</t>
  </si>
  <si>
    <t>FlexPBX-1771611959.40026</t>
  </si>
  <si>
    <t>FlexPBX-1771611791.40007</t>
  </si>
  <si>
    <t>FlexPBX-1771611778.40004</t>
  </si>
  <si>
    <t>FlexPBX-1771611711.39948</t>
  </si>
  <si>
    <t>FlexPBX-1771611357.39882</t>
  </si>
  <si>
    <t>FlexPBX-1771611154.39846</t>
  </si>
  <si>
    <t>FlexPBX-1771611094.39825</t>
  </si>
  <si>
    <t>FlexPBX-1771610199.39775</t>
  </si>
  <si>
    <t>FlexPBX-1771609857.39733</t>
  </si>
  <si>
    <t>FlexPBX-1771609146.39657</t>
  </si>
  <si>
    <t>FlexPBX-1771608028.39592</t>
  </si>
  <si>
    <t>FlexPBX-1771607841.39565</t>
  </si>
  <si>
    <t>FlexPBX-1771607732.39526</t>
  </si>
  <si>
    <t>FlexPBX-1771607689.39498</t>
  </si>
  <si>
    <t>FlexPBX-1771607437.39451</t>
  </si>
  <si>
    <t>FlexPBX-1771607373.39438</t>
  </si>
  <si>
    <t>FlexPBX-1771607246.39411</t>
  </si>
  <si>
    <t>FlexPBX-1771606897.39393</t>
  </si>
  <si>
    <t>FlexPBX-1771606635.39368</t>
  </si>
  <si>
    <t>FlexPBX-1771606634.39365</t>
  </si>
  <si>
    <t>FlexPBX-1771606083.39317</t>
  </si>
  <si>
    <t>FlexPBX-1771606042.39305</t>
  </si>
  <si>
    <t>FlexPBX-1771605851.39251</t>
  </si>
  <si>
    <t>FlexPBX-1771605576.39218</t>
  </si>
  <si>
    <t>FlexPBX-1771605195.39121</t>
  </si>
  <si>
    <t>FlexPBX-1771605169.39104</t>
  </si>
  <si>
    <t>FlexPBX-1771605026.39004</t>
  </si>
  <si>
    <t>FlexPBX-1771597715.38874</t>
  </si>
  <si>
    <t>FlexPBX-1771597512.38828</t>
  </si>
  <si>
    <t>FlexPBX-1771597304.38783</t>
  </si>
  <si>
    <t>FlexPBX-1771596864.38735</t>
  </si>
  <si>
    <t>FlexPBX-1771596690.38667</t>
  </si>
  <si>
    <t>FlexPBX-1771596473.38631</t>
  </si>
  <si>
    <t>FlexPBX-1771596355.38494</t>
  </si>
  <si>
    <t>FlexPBX-1771596346.38491</t>
  </si>
  <si>
    <t>FlexPBX-1771595745.38409</t>
  </si>
  <si>
    <t>FlexPBX-1771595184.38363</t>
  </si>
  <si>
    <t>FlexPBX-1771595010.38335</t>
  </si>
  <si>
    <t>FlexPBX-1771594930.38283</t>
  </si>
  <si>
    <t>FlexPBX-1771594448.38231</t>
  </si>
  <si>
    <t>FlexPBX-1771594278.38187</t>
  </si>
  <si>
    <t>FlexPBX-1771593996.38155</t>
  </si>
  <si>
    <t>FlexPBX-1771593801.38131</t>
  </si>
  <si>
    <t>FlexPBX-1771592892.38041</t>
  </si>
  <si>
    <t>FlexPBX-1771592752.37911</t>
  </si>
  <si>
    <t>FlexPBX-1771592124.37879</t>
  </si>
  <si>
    <t>FlexPBX-1771591040.37773</t>
  </si>
  <si>
    <t>FlexPBX-1771590995.37753</t>
  </si>
  <si>
    <t>FlexPBX-1771590825.37706</t>
  </si>
  <si>
    <t>FlexPBX-1771590396.37662</t>
  </si>
  <si>
    <t>FlexPBX-1771590256.37610</t>
  </si>
  <si>
    <t>FlexPBX-1771590106.37565</t>
  </si>
  <si>
    <t>FlexPBX-1771589882.37469</t>
  </si>
  <si>
    <t>FlexPBX-1771589652.37405</t>
  </si>
  <si>
    <t>FlexPBX-1771588472.37324</t>
  </si>
  <si>
    <t>FlexPBX-1771588383.37296</t>
  </si>
  <si>
    <t>FlexPBX-1771587803.37145</t>
  </si>
  <si>
    <t>FlexPBX-1771587757.37120</t>
  </si>
  <si>
    <t>FlexPBX-1771587347.37086</t>
  </si>
  <si>
    <t>FlexPBX-1771587203.37074</t>
  </si>
  <si>
    <t>FlexPBX-1771587112.37027</t>
  </si>
  <si>
    <t>FlexPBX-1771587041.36974</t>
  </si>
  <si>
    <t>FlexPBX-1771534442.36875</t>
  </si>
  <si>
    <t>FlexPBX-1771534307.36775</t>
  </si>
  <si>
    <t>FlexPBX-1771533320.36669</t>
  </si>
  <si>
    <t>FlexPBX-1771533181.36633</t>
  </si>
  <si>
    <t>FlexPBX-1771532566.36593</t>
  </si>
  <si>
    <t>FlexPBX-1771532449.36557</t>
  </si>
  <si>
    <t>FlexPBX-1771531875.36499</t>
  </si>
  <si>
    <t>FlexPBX-1771531806.36485</t>
  </si>
  <si>
    <t>FlexPBX-1771531794.36480</t>
  </si>
  <si>
    <t>FlexPBX-1771531440.36444</t>
  </si>
  <si>
    <t>FlexPBX-1771531365.36416</t>
  </si>
  <si>
    <t>FlexPBX-1771531294.36366</t>
  </si>
  <si>
    <t>FlexPBX-1771530908.36344</t>
  </si>
  <si>
    <t>FlexPBX-1771530258.36242</t>
  </si>
  <si>
    <t>FlexPBX-1771529615.36180</t>
  </si>
  <si>
    <t>FlexPBX-1771529481.36128</t>
  </si>
  <si>
    <t>FlexPBX-1771529257.36066</t>
  </si>
  <si>
    <t>FlexPBX-1771529107.36031</t>
  </si>
  <si>
    <t>FlexPBX-1771528646.35986</t>
  </si>
  <si>
    <t>FlexPBX-1771528445.35957</t>
  </si>
  <si>
    <t>FlexPBX-1771528212.35930</t>
  </si>
  <si>
    <t>FlexPBX-1771527872.35889</t>
  </si>
  <si>
    <t>FlexPBX-1771527869.35886</t>
  </si>
  <si>
    <t>FlexPBX-1771527716.35818</t>
  </si>
  <si>
    <t>FlexPBX-1771527293.35752</t>
  </si>
  <si>
    <t>FlexPBX-1771527178.35702</t>
  </si>
  <si>
    <t>FlexPBX-1771527028.35662</t>
  </si>
  <si>
    <t>FlexPBX-1771526794.35608</t>
  </si>
  <si>
    <t>FlexPBX-1771526415.35574</t>
  </si>
  <si>
    <t>FlexPBX-1771526262.35421</t>
  </si>
  <si>
    <t>FlexPBX-1771526201.35378</t>
  </si>
  <si>
    <t>FlexPBX-1771526126.35365</t>
  </si>
  <si>
    <t>FlexPBX-1771525939.35341</t>
  </si>
  <si>
    <t>FlexPBX-1771525786.35321</t>
  </si>
  <si>
    <t>FlexPBX-1771525378.35273</t>
  </si>
  <si>
    <t>FlexPBX-1771525055.35221</t>
  </si>
  <si>
    <t>FlexPBX-1771524897.35181</t>
  </si>
  <si>
    <t>FlexPBX-1771524892.35174</t>
  </si>
  <si>
    <t>FlexPBX-1771524862.35167</t>
  </si>
  <si>
    <t>FlexPBX-1771524792.35127</t>
  </si>
  <si>
    <t>FlexPBX-1771524042.35060</t>
  </si>
  <si>
    <t>FlexPBX-1771523511.34976</t>
  </si>
  <si>
    <t>FlexPBX-1771523117.34902</t>
  </si>
  <si>
    <t>FlexPBX-1771523059.34874</t>
  </si>
  <si>
    <t>FlexPBX-1771522810.34850</t>
  </si>
  <si>
    <t>FlexPBX-1771522703.34781</t>
  </si>
  <si>
    <t>FlexPBX-1771522636.34732</t>
  </si>
  <si>
    <t>FlexPBX-1771522237.34617</t>
  </si>
  <si>
    <t>FlexPBX-1771522156.34558</t>
  </si>
  <si>
    <t>FlexPBX-1771522125.34537</t>
  </si>
  <si>
    <t>FlexPBX-1771521960.34493</t>
  </si>
  <si>
    <t>FlexPBX-1771521503.34465</t>
  </si>
  <si>
    <t>FlexPBX-1771521214.34441</t>
  </si>
  <si>
    <t>FlexPBX-1771521104.34433</t>
  </si>
  <si>
    <t>FlexPBX-1771520785.34413</t>
  </si>
  <si>
    <t>FlexPBX-1771520411.34383</t>
  </si>
  <si>
    <t>FlexPBX-1771520301.34363</t>
  </si>
  <si>
    <t>FlexPBX-1771520183.34347</t>
  </si>
  <si>
    <t>FlexPBX-1771520024.34313</t>
  </si>
  <si>
    <t>FlexPBX-1771519981.34306</t>
  </si>
  <si>
    <t>FlexPBX-1771519839.34286</t>
  </si>
  <si>
    <t>FlexPBX-1771519623.34254</t>
  </si>
  <si>
    <t>FlexPBX-1771519408.34212</t>
  </si>
  <si>
    <t>FlexPBX-1771519309.34142</t>
  </si>
  <si>
    <t>FlexPBX-1771519264.34107</t>
  </si>
  <si>
    <t>FlexPBX-1771519194.34031</t>
  </si>
  <si>
    <t>FlexPBX-1771519185.34028</t>
  </si>
  <si>
    <t>FlexPBX-1771518961.33978</t>
  </si>
  <si>
    <t>FlexPBX-1771512172.33898</t>
  </si>
  <si>
    <t>FlexPBX-1771510903.33787</t>
  </si>
  <si>
    <t>FlexPBX-1771510882.33761</t>
  </si>
  <si>
    <t>FlexPBX-1771510863.33758</t>
  </si>
  <si>
    <t>FlexPBX-1771510627.33580</t>
  </si>
  <si>
    <t>FlexPBX-1771510334.33530</t>
  </si>
  <si>
    <t>FlexPBX-1771509742.33494</t>
  </si>
  <si>
    <t>FlexPBX-1771509293.33446</t>
  </si>
  <si>
    <t>FlexPBX-1771509193.33424</t>
  </si>
  <si>
    <t>FlexPBX-1771509137.33379</t>
  </si>
  <si>
    <t>FlexPBX-1771509011.33267</t>
  </si>
  <si>
    <t>FlexPBX-1771508980.33248</t>
  </si>
  <si>
    <t>FlexPBX-1771508422.33214</t>
  </si>
  <si>
    <t>FlexPBX-1771507596.33165</t>
  </si>
  <si>
    <t>FlexPBX-1771507431.33121</t>
  </si>
  <si>
    <t>FlexPBX-1771507274.33037</t>
  </si>
  <si>
    <t>FlexPBX-1771506884.32975</t>
  </si>
  <si>
    <t>FlexPBX-1771506673.32932</t>
  </si>
  <si>
    <t>FlexPBX-1771506603.32899</t>
  </si>
  <si>
    <t>FlexPBX-1771506263.32855</t>
  </si>
  <si>
    <t>FlexPBX-1771506140.32837</t>
  </si>
  <si>
    <t>FlexPBX-1771506110.32829</t>
  </si>
  <si>
    <t>FlexPBX-1771506058.32800</t>
  </si>
  <si>
    <t>FlexPBX-1771506046.32797</t>
  </si>
  <si>
    <t>FlexPBX-1771505847.32757</t>
  </si>
  <si>
    <t>FlexPBX-1771505743.32719</t>
  </si>
  <si>
    <t>FlexPBX-1771505328.32683</t>
  </si>
  <si>
    <t>FlexPBX-1771505085.32659</t>
  </si>
  <si>
    <t>FlexPBX-1771504972.32641</t>
  </si>
  <si>
    <t>FlexPBX-1771504513.32579</t>
  </si>
  <si>
    <t>FlexPBX-1771503824.32547</t>
  </si>
  <si>
    <t>FlexPBX-1771503776.32528</t>
  </si>
  <si>
    <t>FlexPBX-1771503719.32501</t>
  </si>
  <si>
    <t>FlexPBX-1771503327.32421</t>
  </si>
  <si>
    <t>FlexPBX-1771502867.32350</t>
  </si>
  <si>
    <t>FlexPBX-1771502812.32337</t>
  </si>
  <si>
    <t>FlexPBX-1771502502.32271</t>
  </si>
  <si>
    <t>FlexPBX-1771502004.32249</t>
  </si>
  <si>
    <t>FlexPBX-1771501780.32197</t>
  </si>
  <si>
    <t>FlexPBX-1771501163.32102</t>
  </si>
  <si>
    <t>FlexPBX-1771501151.32089</t>
  </si>
  <si>
    <t>FlexPBX-1771501125.32066</t>
  </si>
  <si>
    <t>FlexPBX-1771500719.32020</t>
  </si>
  <si>
    <t>FlexPBX-1771447775.31861</t>
  </si>
  <si>
    <t>FlexPBX-1771447718.31836</t>
  </si>
  <si>
    <t>FlexPBX-1771447489.31799</t>
  </si>
  <si>
    <t>FlexPBX-1771445512.31726</t>
  </si>
  <si>
    <t>FlexPBX-1771445378.31718</t>
  </si>
  <si>
    <t>FlexPBX-1771445207.31710</t>
  </si>
  <si>
    <t>FlexPBX-1771445163.31698</t>
  </si>
  <si>
    <t>FlexPBX-1771444980.31646</t>
  </si>
  <si>
    <t>FlexPBX-1771444341.31583</t>
  </si>
  <si>
    <t>FlexPBX-1771444213.31563</t>
  </si>
  <si>
    <t>FlexPBX-1771444006.31545</t>
  </si>
  <si>
    <t>FlexPBX-1771443822.31496</t>
  </si>
  <si>
    <t>FlexPBX-1771443731.31465</t>
  </si>
  <si>
    <t>FlexPBX-1771443494.31431</t>
  </si>
  <si>
    <t>FlexPBX-1771443320.31389</t>
  </si>
  <si>
    <t>FlexPBX-1771443240.31371</t>
  </si>
  <si>
    <t>FlexPBX-1771442997.31267</t>
  </si>
  <si>
    <t>FlexPBX-1771441942.31078</t>
  </si>
  <si>
    <t>FlexPBX-1771441900.31033</t>
  </si>
  <si>
    <t>FlexPBX-1771441849.30990</t>
  </si>
  <si>
    <t>FlexPBX-1771441689.30966</t>
  </si>
  <si>
    <t>FlexPBX-1771440907.30892</t>
  </si>
  <si>
    <t>FlexPBX-1771440788.30833</t>
  </si>
  <si>
    <t>FlexPBX-1771440457.30774</t>
  </si>
  <si>
    <t>FlexPBX-1771440456.30771</t>
  </si>
  <si>
    <t>FlexPBX-1771440156.30658</t>
  </si>
  <si>
    <t>FlexPBX-1771440125.30621</t>
  </si>
  <si>
    <t>FlexPBX-1771440036.30546</t>
  </si>
  <si>
    <t>FlexPBX-1771439450.30476</t>
  </si>
  <si>
    <t>FlexPBX-1771439081.30424</t>
  </si>
  <si>
    <t>FlexPBX-1771438859.30292</t>
  </si>
  <si>
    <t>FlexPBX-1771438847.30289</t>
  </si>
  <si>
    <t>FlexPBX-1771438580.30246</t>
  </si>
  <si>
    <t>FlexPBX-1771438207.30220</t>
  </si>
  <si>
    <t>FlexPBX-1771438002.30184</t>
  </si>
  <si>
    <t>FlexPBX-1771437139.30112</t>
  </si>
  <si>
    <t>FlexPBX-1771436573.30072</t>
  </si>
  <si>
    <t>FlexPBX-1771436198.30040</t>
  </si>
  <si>
    <t>FlexPBX-1771436065.30028</t>
  </si>
  <si>
    <t>FlexPBX-1771435859.29994</t>
  </si>
  <si>
    <t>FlexPBX-1771435558.29964</t>
  </si>
  <si>
    <t>FlexPBX-1771435514.29942</t>
  </si>
  <si>
    <t>FlexPBX-1771435263.29895</t>
  </si>
  <si>
    <t>FlexPBX-1771435231.29882</t>
  </si>
  <si>
    <t>FlexPBX-1771434776.29774</t>
  </si>
  <si>
    <t>FlexPBX-1771434371.29732</t>
  </si>
  <si>
    <t>FlexPBX-1771433961.29712</t>
  </si>
  <si>
    <t>FlexPBX-1771433741.29681</t>
  </si>
  <si>
    <t>FlexPBX-1771433693.29672</t>
  </si>
  <si>
    <t>FlexPBX-1771433627.29647</t>
  </si>
  <si>
    <t>FlexPBX-1771433576.29616</t>
  </si>
  <si>
    <t>FlexPBX-1771432981.29580</t>
  </si>
  <si>
    <t>FlexPBX-1771432924.29554</t>
  </si>
  <si>
    <t>FlexPBX-1771432879.29539</t>
  </si>
  <si>
    <t>FlexPBX-1771432662.29499</t>
  </si>
  <si>
    <t>FlexPBX-1771432617.29479</t>
  </si>
  <si>
    <t>FlexPBX-1771432301.29431</t>
  </si>
  <si>
    <t>FlexPBX-1771426162.29364</t>
  </si>
  <si>
    <t>FlexPBX-1771426037.29322</t>
  </si>
  <si>
    <t>FlexPBX-1771425297.29258</t>
  </si>
  <si>
    <t>FlexPBX-1771425082.29220</t>
  </si>
  <si>
    <t>FlexPBX-1771424386.29059</t>
  </si>
  <si>
    <t>FlexPBX-1771424234.29015</t>
  </si>
  <si>
    <t>FlexPBX-1771423913.28925</t>
  </si>
  <si>
    <t>FlexPBX-1771423117.28876</t>
  </si>
  <si>
    <t>FlexPBX-1771423063.28841</t>
  </si>
  <si>
    <t>FlexPBX-1771422747.28813</t>
  </si>
  <si>
    <t>FlexPBX-1771422650.28789</t>
  </si>
  <si>
    <t>FlexPBX-1771422090.28725</t>
  </si>
  <si>
    <t>FlexPBX-1771421770.28699</t>
  </si>
  <si>
    <t>FlexPBX-1771421174.28624</t>
  </si>
  <si>
    <t>FlexPBX-1771420502.28600</t>
  </si>
  <si>
    <t>FlexPBX-1771420425.28572</t>
  </si>
  <si>
    <t>FlexPBX-1771419951.28540</t>
  </si>
  <si>
    <t>FlexPBX-1771419832.28518</t>
  </si>
  <si>
    <t>FlexPBX-1771419733.28481</t>
  </si>
  <si>
    <t>FlexPBX-1771419650.28440</t>
  </si>
  <si>
    <t>FlexPBX-1771419234.28400</t>
  </si>
  <si>
    <t>FlexPBX-1771419139.28384</t>
  </si>
  <si>
    <t>FlexPBX-1771419074.28372</t>
  </si>
  <si>
    <t>FlexPBX-1771418672.28354</t>
  </si>
  <si>
    <t>FlexPBX-1771418592.28314</t>
  </si>
  <si>
    <t>FlexPBX-1771418446.28284</t>
  </si>
  <si>
    <t>FlexPBX-1771418340.28266</t>
  </si>
  <si>
    <t>FlexPBX-1771417975.28209</t>
  </si>
  <si>
    <t>FlexPBX-1771417501.28187</t>
  </si>
  <si>
    <t>FlexPBX-1771416980.28153</t>
  </si>
  <si>
    <t>FlexPBX-1771416145.28105</t>
  </si>
  <si>
    <t>FlexPBX-1771415900.28025</t>
  </si>
  <si>
    <t>FlexPBX-1771415801.27972</t>
  </si>
  <si>
    <t>FlexPBX-1771415781.27963</t>
  </si>
  <si>
    <t>FlexPBX-1771415733.27943</t>
  </si>
  <si>
    <t>FlexPBX-1771415471.27903</t>
  </si>
  <si>
    <t>FlexPBX-1771414942.27840</t>
  </si>
  <si>
    <t>FlexPBX-1771414911.27825</t>
  </si>
  <si>
    <t>FlexPBX-1771414450.27799</t>
  </si>
  <si>
    <t>FlexPBX-1771414359.27771</t>
  </si>
  <si>
    <t>FlexPBX-1771414320.27754</t>
  </si>
  <si>
    <t>FlexPBX-1771414267.27718</t>
  </si>
  <si>
    <t>FlexPBX-1771273340.27441</t>
  </si>
  <si>
    <t>FlexPBX-1771272665.27339</t>
  </si>
  <si>
    <t>FlexPBX-1771271528.27226</t>
  </si>
  <si>
    <t>FlexPBX-1771267998.27159</t>
  </si>
  <si>
    <t>FlexPBX-1771267955.27133</t>
  </si>
  <si>
    <t>FlexPBX-1771267807.27033</t>
  </si>
  <si>
    <t>FlexPBX-1771266764.26991</t>
  </si>
  <si>
    <t>FlexPBX-1771265988.26953</t>
  </si>
  <si>
    <t>FlexPBX-1771265002.26923</t>
  </si>
  <si>
    <t>FlexPBX-1771263028.26843</t>
  </si>
  <si>
    <t>FlexPBX-1771261458.26763</t>
  </si>
  <si>
    <t>FlexPBX-1771260911.26737</t>
  </si>
  <si>
    <t>FlexPBX-1771260836.26713</t>
  </si>
  <si>
    <t>FlexPBX-1771260297.26683</t>
  </si>
  <si>
    <t>FlexPBX-1771259943.26613</t>
  </si>
  <si>
    <t>FlexPBX-1771252385.26543</t>
  </si>
  <si>
    <t>FlexPBX-1771252373.26532</t>
  </si>
  <si>
    <t>FlexPBX-1771251136.26494</t>
  </si>
  <si>
    <t>FlexPBX-1771250950.26438</t>
  </si>
  <si>
    <t>FlexPBX-1771248889.26366</t>
  </si>
  <si>
    <t>FlexPBX-1771248625.26305</t>
  </si>
  <si>
    <t>FlexPBX-1771248606.26292</t>
  </si>
  <si>
    <t>FlexPBX-1771247937.26254</t>
  </si>
  <si>
    <t>FlexPBX-1771244131.26126</t>
  </si>
  <si>
    <t>FlexPBX-1771241511.26039</t>
  </si>
  <si>
    <t>FlexPBX-1771014686.25900</t>
  </si>
  <si>
    <t>FlexPBX-1771014282.25852</t>
  </si>
  <si>
    <t>FlexPBX-1771014145.25829</t>
  </si>
  <si>
    <t>FlexPBX-1771014007.25793</t>
  </si>
  <si>
    <t>FlexPBX-1771013612.25690</t>
  </si>
  <si>
    <t>FlexPBX-1771013563.25665</t>
  </si>
  <si>
    <t>FlexPBX-1771013162.25577</t>
  </si>
  <si>
    <t>FlexPBX-1771012524.25525</t>
  </si>
  <si>
    <t>FlexPBX-1771012313.25441</t>
  </si>
  <si>
    <t>FlexPBX-1771011701.25359</t>
  </si>
  <si>
    <t>FlexPBX-1771011237.25217</t>
  </si>
  <si>
    <t>FlexPBX-1771010822.25084</t>
  </si>
  <si>
    <t>FlexPBX-1771010773.25059</t>
  </si>
  <si>
    <t>FlexPBX-1771010658.24992</t>
  </si>
  <si>
    <t>FlexPBX-1771010630.24981</t>
  </si>
  <si>
    <t>FlexPBX-1771010329.24925</t>
  </si>
  <si>
    <t>FlexPBX-1771009562.24839</t>
  </si>
  <si>
    <t>FlexPBX-1771008977.24752</t>
  </si>
  <si>
    <t>FlexPBX-1771008976.24749</t>
  </si>
  <si>
    <t>FlexPBX-1771008298.24615</t>
  </si>
  <si>
    <t>FlexPBX-1771008133.24583</t>
  </si>
  <si>
    <t>FlexPBX-1771007571.24531</t>
  </si>
  <si>
    <t>FlexPBX-1771007387.24493</t>
  </si>
  <si>
    <t>FlexPBX-1771007073.24454</t>
  </si>
  <si>
    <t>FlexPBX-1771007017.24427</t>
  </si>
  <si>
    <t>FlexPBX-1771006935.24401</t>
  </si>
  <si>
    <t>FlexPBX-1771006787.24365</t>
  </si>
  <si>
    <t>FlexPBX-1771006722.24340</t>
  </si>
  <si>
    <t>FlexPBX-1771006692.24329</t>
  </si>
  <si>
    <t>FlexPBX-1771006312.24276</t>
  </si>
  <si>
    <t>FlexPBX-1771006076.24242</t>
  </si>
  <si>
    <t>FlexPBX-1771005771.24218</t>
  </si>
  <si>
    <t>FlexPBX-1771005577.24148</t>
  </si>
  <si>
    <t>FlexPBX-1771005555.24137</t>
  </si>
  <si>
    <t>FlexPBX-1771005457.24088</t>
  </si>
  <si>
    <t>FlexPBX-1771005267.24037</t>
  </si>
  <si>
    <t>FlexPBX-1771005099.23997</t>
  </si>
  <si>
    <t>FlexPBX-1771005098.23990</t>
  </si>
  <si>
    <t>FlexPBX-1771004727.23873</t>
  </si>
  <si>
    <t>FlexPBX-1771004378.23791</t>
  </si>
  <si>
    <t>FlexPBX-1771004377.23788</t>
  </si>
  <si>
    <t>FlexPBX-1771004125.23742</t>
  </si>
  <si>
    <t>FlexPBX-1771003876.23728</t>
  </si>
  <si>
    <t>FlexPBX-1771003815.23704</t>
  </si>
  <si>
    <t>FlexPBX-1771003629.23692</t>
  </si>
  <si>
    <t>FlexPBX-1771003596.23681</t>
  </si>
  <si>
    <t>FlexPBX-1771003565.23676</t>
  </si>
  <si>
    <t>FlexPBX-1771003527.23664</t>
  </si>
  <si>
    <t>FlexPBX-1771003194.23592</t>
  </si>
  <si>
    <t>FlexPBX-1771003166.23576</t>
  </si>
  <si>
    <t>FlexPBX-1771002986.23456</t>
  </si>
  <si>
    <t>FlexPBX-1771002163.23412</t>
  </si>
  <si>
    <t>FlexPBX-1771002009.23384</t>
  </si>
  <si>
    <t>FlexPBX-1771002004.23377</t>
  </si>
  <si>
    <t>FlexPBX-1771001972.23366</t>
  </si>
  <si>
    <t>FlexPBX-1771001754.23311</t>
  </si>
  <si>
    <t>FlexPBX-1771001744.23308</t>
  </si>
  <si>
    <t>FlexPBX-1771001626.23273</t>
  </si>
  <si>
    <t>FlexPBX-1771001405.23203</t>
  </si>
  <si>
    <t>FlexPBX-1771000997.23151</t>
  </si>
  <si>
    <t>FlexPBX-1771000489.23066</t>
  </si>
  <si>
    <t>FlexPBX-1771000478.23063</t>
  </si>
  <si>
    <t>FlexPBX-1771000406.22971</t>
  </si>
  <si>
    <t>FlexPBX-1770993891.22822</t>
  </si>
  <si>
    <t>FlexPBX-1770993424.22786</t>
  </si>
  <si>
    <t>FlexPBX-1770993159.22720</t>
  </si>
  <si>
    <t>FlexPBX-1770992902.22642</t>
  </si>
  <si>
    <t>FlexPBX-1770992447.22584</t>
  </si>
  <si>
    <t>FlexPBX-1770992236.22468</t>
  </si>
  <si>
    <t>FlexPBX-1770991658.22406</t>
  </si>
  <si>
    <t>FlexPBX-1770991504.22364</t>
  </si>
  <si>
    <t>FlexPBX-1770991370.22314</t>
  </si>
  <si>
    <t>FlexPBX-1770990861.22265</t>
  </si>
  <si>
    <t>FlexPBX-1770990783.22192</t>
  </si>
  <si>
    <t>FlexPBX-1770990371.22158</t>
  </si>
  <si>
    <t>FlexPBX-1770989528.22084</t>
  </si>
  <si>
    <t>FlexPBX-1770989496.22060</t>
  </si>
  <si>
    <t>FlexPBX-1770989470.22034</t>
  </si>
  <si>
    <t>FlexPBX-1770989240.21977</t>
  </si>
  <si>
    <t>FlexPBX-1770989215.21974</t>
  </si>
  <si>
    <t>FlexPBX-1770989020.21872</t>
  </si>
  <si>
    <t>FlexPBX-1770988995.21863</t>
  </si>
  <si>
    <t>FlexPBX-1770988983.21860</t>
  </si>
  <si>
    <t>FlexPBX-1770988897.21820</t>
  </si>
  <si>
    <t>FlexPBX-1770988726.21790</t>
  </si>
  <si>
    <t>FlexPBX-1770988666.21743</t>
  </si>
  <si>
    <t>FlexPBX-1770988524.21668</t>
  </si>
  <si>
    <t>FlexPBX-1770988391.21636</t>
  </si>
  <si>
    <t>FlexPBX-1770988133.21572</t>
  </si>
  <si>
    <t>FlexPBX-1770987957.21520</t>
  </si>
  <si>
    <t>FlexPBX-1770987762.21442</t>
  </si>
  <si>
    <t>FlexPBX-1770987123.21384</t>
  </si>
  <si>
    <t>FlexPBX-1770986366.21220</t>
  </si>
  <si>
    <t>FlexPBX-1770985982.21190</t>
  </si>
  <si>
    <t>FlexPBX-1770985863.21162</t>
  </si>
  <si>
    <t>FlexPBX-1770985281.21114</t>
  </si>
  <si>
    <t>FlexPBX-1770985151.21049</t>
  </si>
  <si>
    <t>FlexPBX-1770985148.21040</t>
  </si>
  <si>
    <t>FlexPBX-1770984351.20890</t>
  </si>
  <si>
    <t>FlexPBX-1770984294.20868</t>
  </si>
  <si>
    <t>FlexPBX-1770984084.20838</t>
  </si>
  <si>
    <t>FlexPBX-1770983852.20804</t>
  </si>
  <si>
    <t>FlexPBX-1770983648.20774</t>
  </si>
  <si>
    <t>FlexPBX-1770983559.20756</t>
  </si>
  <si>
    <t>FlexPBX-1770983329.20730</t>
  </si>
  <si>
    <t>FlexPBX-1770983200.20705</t>
  </si>
  <si>
    <t>FlexPBX-1770983133.20651</t>
  </si>
  <si>
    <t>FlexPBX-1770982774.20601</t>
  </si>
  <si>
    <t>FlexPBX-1770982725.20575</t>
  </si>
  <si>
    <t>FlexPBX-1770982490.20486</t>
  </si>
  <si>
    <t>FlexPBX-1770982360.20413</t>
  </si>
  <si>
    <t>FlexPBX-1770982258.20359</t>
  </si>
  <si>
    <t>FlexPBX-1770928166.20069</t>
  </si>
  <si>
    <t>FlexPBX-1770927880.20041</t>
  </si>
  <si>
    <t>FlexPBX-1770927735.20004</t>
  </si>
  <si>
    <t>FlexPBX-1770927688.19981</t>
  </si>
  <si>
    <t>FlexPBX-1770927525.19900</t>
  </si>
  <si>
    <t>FlexPBX-1770927505.19884</t>
  </si>
  <si>
    <t>FlexPBX-1770927463.19856</t>
  </si>
  <si>
    <t>FlexPBX-1770926932.19768</t>
  </si>
  <si>
    <t>FlexPBX-1770926493.19730</t>
  </si>
  <si>
    <t>FlexPBX-1770926156.19698</t>
  </si>
  <si>
    <t>FlexPBX-1770925284.19556</t>
  </si>
  <si>
    <t>FlexPBX-1770925279.19553</t>
  </si>
  <si>
    <t>FlexPBX-1770925221.19530</t>
  </si>
  <si>
    <t>FlexPBX-1770925034.19512</t>
  </si>
  <si>
    <t>FlexPBX-1770924913.19494</t>
  </si>
  <si>
    <t>FlexPBX-1770924792.19476</t>
  </si>
  <si>
    <t>FlexPBX-1770924532.19458</t>
  </si>
  <si>
    <t>FlexPBX-1770924353.19436</t>
  </si>
  <si>
    <t>FlexPBX-1770924196.19406</t>
  </si>
  <si>
    <t>FlexPBX-1770924079.19384</t>
  </si>
  <si>
    <t>FlexPBX-1770923921.19366</t>
  </si>
  <si>
    <t>FlexPBX-1770923791.19323</t>
  </si>
  <si>
    <t>FlexPBX-1770923700.19299</t>
  </si>
  <si>
    <t>FlexPBX-1770923540.19285</t>
  </si>
  <si>
    <t>FlexPBX-1770923424.19271</t>
  </si>
  <si>
    <t>FlexPBX-1770923376.19263</t>
  </si>
  <si>
    <t>FlexPBX-1770923037.19220</t>
  </si>
  <si>
    <t>FlexPBX-1770923027.19217</t>
  </si>
  <si>
    <t>FlexPBX-1770922957.19205</t>
  </si>
  <si>
    <t>FlexPBX-1770922682.19157</t>
  </si>
  <si>
    <t>FlexPBX-1770922497.19145</t>
  </si>
  <si>
    <t>FlexPBX-1770922153.19090</t>
  </si>
  <si>
    <t>FlexPBX-1770922103.19082</t>
  </si>
  <si>
    <t>FlexPBX-1770922058.19075</t>
  </si>
  <si>
    <t>FlexPBX-1770921984.19050</t>
  </si>
  <si>
    <t>FlexPBX-1770921188.19001</t>
  </si>
  <si>
    <t>FlexPBX-1770921168.18998</t>
  </si>
  <si>
    <t>FlexPBX-1770920355.18944</t>
  </si>
  <si>
    <t>FlexPBX-1770919999.18918</t>
  </si>
  <si>
    <t>FlexPBX-1770919826.18892</t>
  </si>
  <si>
    <t>FlexPBX-1770919528.18856</t>
  </si>
  <si>
    <t>FlexPBX-1770919499.18844</t>
  </si>
  <si>
    <t>FlexPBX-1770919330.18792</t>
  </si>
  <si>
    <t>FlexPBX-1770918985.18715</t>
  </si>
  <si>
    <t>FlexPBX-1770918972.18700</t>
  </si>
  <si>
    <t>FlexPBX-1770918830.18683</t>
  </si>
  <si>
    <t>FlexPBX-1770918672.18665</t>
  </si>
  <si>
    <t>FlexPBX-1770918009.18603</t>
  </si>
  <si>
    <t>FlexPBX-1770917896.18585</t>
  </si>
  <si>
    <t>FlexPBX-1770917742.18557</t>
  </si>
  <si>
    <t>FlexPBX-1770917692.18543</t>
  </si>
  <si>
    <t>FlexPBX-1770917617.18519</t>
  </si>
  <si>
    <t>FlexPBX-1770917513.18501</t>
  </si>
  <si>
    <t>FlexPBX-1770917229.18481</t>
  </si>
  <si>
    <t>FlexPBX-1770916928.18418</t>
  </si>
  <si>
    <t>FlexPBX-1770916879.18400</t>
  </si>
  <si>
    <t>FlexPBX-1770916863.18373</t>
  </si>
  <si>
    <t>FlexPBX-1770916839.18368</t>
  </si>
  <si>
    <t>FlexPBX-1770916651.18358</t>
  </si>
  <si>
    <t>FlexPBX-1770916581.18345</t>
  </si>
  <si>
    <t>FlexPBX-1770916120.18298</t>
  </si>
  <si>
    <t>FlexPBX-1770916074.18270</t>
  </si>
  <si>
    <t>FlexPBX-1770915805.18246</t>
  </si>
  <si>
    <t>FlexPBX-1770915580.18190</t>
  </si>
  <si>
    <t>FlexPBX-1770915410.18116</t>
  </si>
  <si>
    <t>FlexPBX-1770915409.18113</t>
  </si>
  <si>
    <t>FlexPBX-1770915391.18100</t>
  </si>
  <si>
    <t>FlexPBX-1770915217.18061</t>
  </si>
  <si>
    <t>FlexPBX-1770914996.18021</t>
  </si>
  <si>
    <t>FlexPBX-1770914718.17974</t>
  </si>
  <si>
    <t>FlexPBX-1770914598.17932</t>
  </si>
  <si>
    <t>FlexPBX-1770914421.17854</t>
  </si>
  <si>
    <t>FlexPBX-1770914413.17851</t>
  </si>
  <si>
    <t>FlexPBX-1770914363.17837</t>
  </si>
  <si>
    <t>FlexPBX-1770914315.17834</t>
  </si>
  <si>
    <t>FlexPBX-1770914287.17826</t>
  </si>
  <si>
    <t>FlexPBX-1770914262.17823</t>
  </si>
  <si>
    <t>FlexPBX-1770914066.17798</t>
  </si>
  <si>
    <t>FlexPBX-1770914026.17767</t>
  </si>
  <si>
    <t>FlexPBX-1770913902.17743</t>
  </si>
  <si>
    <t>FlexPBX-1770908200.17615</t>
  </si>
  <si>
    <t>FlexPBX-1770907811.17567</t>
  </si>
  <si>
    <t>FlexPBX-1770907284.17489</t>
  </si>
  <si>
    <t>FlexPBX-1770906934.17427</t>
  </si>
  <si>
    <t>FlexPBX-1770906655.17359</t>
  </si>
  <si>
    <t>FlexPBX-1770906475.17341</t>
  </si>
  <si>
    <t>FlexPBX-1770906390.17325</t>
  </si>
  <si>
    <t>FlexPBX-1770906029.17279</t>
  </si>
  <si>
    <t>FlexPBX-1770905916.17239</t>
  </si>
  <si>
    <t>FlexPBX-1770904815.17180</t>
  </si>
  <si>
    <t>FlexPBX-1770904745.17164</t>
  </si>
  <si>
    <t>FlexPBX-1770904483.17120</t>
  </si>
  <si>
    <t>FlexPBX-1770904207.17096</t>
  </si>
  <si>
    <t>FlexPBX-1770904042.17063</t>
  </si>
  <si>
    <t>FlexPBX-1770903983.17019</t>
  </si>
  <si>
    <t>FlexPBX-1770903929.16986</t>
  </si>
  <si>
    <t>FlexPBX-1770903887.16964</t>
  </si>
  <si>
    <t>FlexPBX-1770903641.16872</t>
  </si>
  <si>
    <t>FlexPBX-1770903312.16812</t>
  </si>
  <si>
    <t>FlexPBX-1770902786.16750</t>
  </si>
  <si>
    <t>FlexPBX-1770902687.16706</t>
  </si>
  <si>
    <t>FlexPBX-1770902179.16609</t>
  </si>
  <si>
    <t>FlexPBX-1770902079.16563</t>
  </si>
  <si>
    <t>FlexPBX-1770902045.16554</t>
  </si>
  <si>
    <t>FlexPBX-1770901918.16538</t>
  </si>
  <si>
    <t>FlexPBX-1770901789.16526</t>
  </si>
  <si>
    <t>FlexPBX-1770901517.16508</t>
  </si>
  <si>
    <t>FlexPBX-1770901381.16378</t>
  </si>
  <si>
    <t>FlexPBX-1770901269.16322</t>
  </si>
  <si>
    <t>FlexPBX-1770901199.16289</t>
  </si>
  <si>
    <t>FlexPBX-1770901195.16286</t>
  </si>
  <si>
    <t>FlexPBX-1770901042.16206</t>
  </si>
  <si>
    <t>FlexPBX-1770900637.16154</t>
  </si>
  <si>
    <t>FlexPBX-1770900518.16112</t>
  </si>
  <si>
    <t>FlexPBX-1770900470.16079</t>
  </si>
  <si>
    <t>FlexPBX-1770900376.16013</t>
  </si>
  <si>
    <t>FlexPBX-1770900308.15979</t>
  </si>
  <si>
    <t>FlexPBX-1770900260.15964</t>
  </si>
  <si>
    <t>FlexPBX-1770899911.15942</t>
  </si>
  <si>
    <t>FlexPBX-1770899592.15902</t>
  </si>
  <si>
    <t>FlexPBX-1770899407.15876</t>
  </si>
  <si>
    <t>FlexPBX-1770899180.15827</t>
  </si>
  <si>
    <t>FlexPBX-1770898992.15775</t>
  </si>
  <si>
    <t>FlexPBX-1770898914.15747</t>
  </si>
  <si>
    <t>FlexPBX-1770897704.15666</t>
  </si>
  <si>
    <t>FlexPBX-1770897641.15608</t>
  </si>
  <si>
    <t>FlexPBX-1770897571.15579</t>
  </si>
  <si>
    <t>FlexPBX-1770897532.15563</t>
  </si>
  <si>
    <t>FlexPBX-1770896966.15512</t>
  </si>
  <si>
    <t>FlexPBX-1770896942.15505</t>
  </si>
  <si>
    <t>FlexPBX-1770896886.15489</t>
  </si>
  <si>
    <t>FlexPBX-1770896444.15452</t>
  </si>
  <si>
    <t>FlexPBX-1770896197.15253</t>
  </si>
  <si>
    <t>FlexPBX-1770896190.15250</t>
  </si>
  <si>
    <t>FlexPBX-1770842831.15099</t>
  </si>
  <si>
    <t>FlexPBX-1770842605.14967</t>
  </si>
  <si>
    <t>FlexPBX-1770842595.14964</t>
  </si>
  <si>
    <t>FlexPBX-1770841715.14856</t>
  </si>
  <si>
    <t>FlexPBX-1770841536.14760</t>
  </si>
  <si>
    <t>FlexPBX-1770841096.14674</t>
  </si>
  <si>
    <t>FlexPBX-1770840425.14620</t>
  </si>
  <si>
    <t>FlexPBX-1770840217.14592</t>
  </si>
  <si>
    <t>FlexPBX-1770839636.14544</t>
  </si>
  <si>
    <t>FlexPBX-1770839506.14512</t>
  </si>
  <si>
    <t>FlexPBX-1770839163.14438</t>
  </si>
  <si>
    <t>FlexPBX-1770839015.14412</t>
  </si>
  <si>
    <t>FlexPBX-1770838926.14394</t>
  </si>
  <si>
    <t>FlexPBX-1770838642.14316</t>
  </si>
  <si>
    <t>FlexPBX-1770838613.14303</t>
  </si>
  <si>
    <t>FlexPBX-1770837799.14212</t>
  </si>
  <si>
    <t>FlexPBX-1770837237.14170</t>
  </si>
  <si>
    <t>FlexPBX-1770837143.14115</t>
  </si>
  <si>
    <t>FlexPBX-1770837127.14108</t>
  </si>
  <si>
    <t>FlexPBX-1770836990.14056</t>
  </si>
  <si>
    <t>FlexPBX-1770836964.14041</t>
  </si>
  <si>
    <t>FlexPBX-1770836862.14009</t>
  </si>
  <si>
    <t>FlexPBX-1770836750.13973</t>
  </si>
  <si>
    <t>FlexPBX-1770836594.13891</t>
  </si>
  <si>
    <t>FlexPBX-1770836400.13868</t>
  </si>
  <si>
    <t>FlexPBX-1770836028.13822</t>
  </si>
  <si>
    <t>FlexPBX-1770835954.13792</t>
  </si>
  <si>
    <t>FlexPBX-1770835628.13719</t>
  </si>
  <si>
    <t>FlexPBX-1770835597.13712</t>
  </si>
  <si>
    <t>FlexPBX-1770835254.13690</t>
  </si>
  <si>
    <t>FlexPBX-1770834890.13660</t>
  </si>
  <si>
    <t>FlexPBX-1770834749.13634</t>
  </si>
  <si>
    <t>FlexPBX-1770834581.13606</t>
  </si>
  <si>
    <t>FlexPBX-1770834546.13590</t>
  </si>
  <si>
    <t>FlexPBX-1770834429.13570</t>
  </si>
  <si>
    <t>FlexPBX-1770833965.13490</t>
  </si>
  <si>
    <t>FlexPBX-1770833712.13464</t>
  </si>
  <si>
    <t>FlexPBX-1770833392.13446</t>
  </si>
  <si>
    <t>FlexPBX-1770833267.13382</t>
  </si>
  <si>
    <t>FlexPBX-1770833059.13332</t>
  </si>
  <si>
    <t>FlexPBX-1770832590.13278</t>
  </si>
  <si>
    <t>FlexPBX-1770831970.13154</t>
  </si>
  <si>
    <t>FlexPBX-1770831789.13142</t>
  </si>
  <si>
    <t>FlexPBX-1770831330.13116</t>
  </si>
  <si>
    <t>FlexPBX-1770831287.13063</t>
  </si>
  <si>
    <t>FlexPBX-1770831276.13060</t>
  </si>
  <si>
    <t>FlexPBX-1770830448.12972</t>
  </si>
  <si>
    <t>FlexPBX-1770830218.12936</t>
  </si>
  <si>
    <t>FlexPBX-1770830187.12926</t>
  </si>
  <si>
    <t>FlexPBX-1770830156.12908</t>
  </si>
  <si>
    <t>FlexPBX-1770830119.12897</t>
  </si>
  <si>
    <t>FlexPBX-1770830012.12876</t>
  </si>
  <si>
    <t>FlexPBX-1770829886.12814</t>
  </si>
  <si>
    <t>FlexPBX-1770829367.12766</t>
  </si>
  <si>
    <t>FlexPBX-1770829347.12763</t>
  </si>
  <si>
    <t>FlexPBX-1770829259.12744</t>
  </si>
  <si>
    <t>FlexPBX-1770829233.12741</t>
  </si>
  <si>
    <t>FlexPBX-1770829043.12703</t>
  </si>
  <si>
    <t>FlexPBX-1770828900.12678</t>
  </si>
  <si>
    <t>FlexPBX-1770828200.12577</t>
  </si>
  <si>
    <t>FlexPBX-1770828167.12554</t>
  </si>
  <si>
    <t>FlexPBX-1770828002.12488</t>
  </si>
  <si>
    <t>FlexPBX-1770827945.12475</t>
  </si>
  <si>
    <t>FlexPBX-1770827805.12455</t>
  </si>
  <si>
    <t>FlexPBX-1770827692.12411</t>
  </si>
  <si>
    <t>FlexPBX-1770827520.12304</t>
  </si>
  <si>
    <t>FlexPBX-1770827463.12249</t>
  </si>
  <si>
    <t>FlexPBX-1770821410.12124</t>
  </si>
  <si>
    <t>FlexPBX-1770821365.12109</t>
  </si>
  <si>
    <t>FlexPBX-1770820953.12083</t>
  </si>
  <si>
    <t>FlexPBX-1770820912.12067</t>
  </si>
  <si>
    <t>FlexPBX-1770820710.11978</t>
  </si>
  <si>
    <t>FlexPBX-1770820650.11957</t>
  </si>
  <si>
    <t>FlexPBX-1770820534.11919</t>
  </si>
  <si>
    <t>FlexPBX-1770820190.11903</t>
  </si>
  <si>
    <t>FlexPBX-1770820117.11881</t>
  </si>
  <si>
    <t>FlexPBX-1770819256.11783</t>
  </si>
  <si>
    <t>FlexPBX-1770819087.11669</t>
  </si>
  <si>
    <t>FlexPBX-1770819058.11666</t>
  </si>
  <si>
    <t>FlexPBX-1770818931.11642</t>
  </si>
  <si>
    <t>FlexPBX-1770818758.11601</t>
  </si>
  <si>
    <t>FlexPBX-1770818498.11535</t>
  </si>
  <si>
    <t>FlexPBX-1770818453.11522</t>
  </si>
  <si>
    <t>FlexPBX-1770818350.11488</t>
  </si>
  <si>
    <t>FlexPBX-1770818289.11476</t>
  </si>
  <si>
    <t>FlexPBX-1770818108.11411</t>
  </si>
  <si>
    <t>FlexPBX-1770818101.11408</t>
  </si>
  <si>
    <t>FlexPBX-1770817982.11380</t>
  </si>
  <si>
    <t>FlexPBX-1770817689.11344</t>
  </si>
  <si>
    <t>FlexPBX-1770817643.11297</t>
  </si>
  <si>
    <t>FlexPBX-1770817463.11240</t>
  </si>
  <si>
    <t>FlexPBX-1770817095.11188</t>
  </si>
  <si>
    <t>FlexPBX-1770817030.11168</t>
  </si>
  <si>
    <t>FlexPBX-1770816616.10916</t>
  </si>
  <si>
    <t>FlexPBX-1770815315.10830</t>
  </si>
  <si>
    <t>FlexPBX-1770815075.10802</t>
  </si>
  <si>
    <t>FlexPBX-1770814763.10785</t>
  </si>
  <si>
    <t>FlexPBX-1770814422.10730</t>
  </si>
  <si>
    <t>FlexPBX-1770814409.10727</t>
  </si>
  <si>
    <t>FlexPBX-1770814333.10685</t>
  </si>
  <si>
    <t>FlexPBX-1770814111.10600</t>
  </si>
  <si>
    <t>FlexPBX-1770813755.10534</t>
  </si>
  <si>
    <t>FlexPBX-1770813152.10491</t>
  </si>
  <si>
    <t>FlexPBX-1770813134.10478</t>
  </si>
  <si>
    <t>FlexPBX-1770812235.10296</t>
  </si>
  <si>
    <t>FlexPBX-1770811997.10276</t>
  </si>
  <si>
    <t>FlexPBX-1770811722.10177</t>
  </si>
  <si>
    <t>FlexPBX-1770811637.10111</t>
  </si>
  <si>
    <t>FlexPBX-1770811552.10060</t>
  </si>
  <si>
    <t>FlexPBX-1770811244.9990</t>
  </si>
  <si>
    <t>FlexPBX-1770810885.9892</t>
  </si>
  <si>
    <t>FlexPBX-1770809526.9781</t>
  </si>
  <si>
    <t>FlexPBX-1770756621.9724</t>
  </si>
  <si>
    <t>FlexPBX-1770756065.9682</t>
  </si>
  <si>
    <t>FlexPBX-1770755839.9570</t>
  </si>
  <si>
    <t>FlexPBX-1770754576.9458</t>
  </si>
  <si>
    <t>FlexPBX-1770753998.9396</t>
  </si>
  <si>
    <t>FlexPBX-1770753767.9315</t>
  </si>
  <si>
    <t>FlexPBX-1770753690.9256</t>
  </si>
  <si>
    <t>FlexPBX-1770752842.9166</t>
  </si>
  <si>
    <t>FlexPBX-1770752181.9096</t>
  </si>
  <si>
    <t>FlexPBX-1770751666.9074</t>
  </si>
  <si>
    <t>FlexPBX-1770751626.9054</t>
  </si>
  <si>
    <t>FlexPBX-1770750446.9006</t>
  </si>
  <si>
    <t>FlexPBX-1770750280.8907</t>
  </si>
  <si>
    <t>FlexPBX-1770750266.8904</t>
  </si>
  <si>
    <t>FlexPBX-1770749386.8821</t>
  </si>
  <si>
    <t>FlexPBX-1770749358.8814</t>
  </si>
  <si>
    <t>FlexPBX-1770749008.8775</t>
  </si>
  <si>
    <t>FlexPBX-1770748896.8716</t>
  </si>
  <si>
    <t>FlexPBX-1770748322.8645</t>
  </si>
  <si>
    <t>FlexPBX-1770748238.8600</t>
  </si>
  <si>
    <t>FlexPBX-1770747573.8536</t>
  </si>
  <si>
    <t>FlexPBX-1770747155.8474</t>
  </si>
  <si>
    <t>FlexPBX-1770747081.8443</t>
  </si>
  <si>
    <t>FlexPBX-1770747068.8440</t>
  </si>
  <si>
    <t>FlexPBX-1770746842.8349</t>
  </si>
  <si>
    <t>FlexPBX-1770746711.8288</t>
  </si>
  <si>
    <t>FlexPBX-1770746375.8254</t>
  </si>
  <si>
    <t>FlexPBX-1770746217.8216</t>
  </si>
  <si>
    <t>FlexPBX-1770746078.8110</t>
  </si>
  <si>
    <t>FlexPBX-1770745642.8054</t>
  </si>
  <si>
    <t>FlexPBX-1770745281.8008</t>
  </si>
  <si>
    <t>FlexPBX-1770744827.7976</t>
  </si>
  <si>
    <t>FlexPBX-1770744504.7888</t>
  </si>
  <si>
    <t>FlexPBX-1770744299.7864</t>
  </si>
  <si>
    <t>FlexPBX-1770744170.7834</t>
  </si>
  <si>
    <t>FlexPBX-1770743883.7808</t>
  </si>
  <si>
    <t>FlexPBX-1770743856.7788</t>
  </si>
  <si>
    <t>FlexPBX-1770743729.7758</t>
  </si>
  <si>
    <t>FlexPBX-1770743198.7664</t>
  </si>
  <si>
    <t>FlexPBX-1770743033.7652</t>
  </si>
  <si>
    <t>FlexPBX-1770742838.7612</t>
  </si>
  <si>
    <t>FlexPBX-1770742659.7510</t>
  </si>
  <si>
    <t>FlexPBX-1770742643.7495</t>
  </si>
  <si>
    <t>FlexPBX-1770742629.7492</t>
  </si>
  <si>
    <t>FlexPBX-1770742410.7438</t>
  </si>
  <si>
    <t>FlexPBX-1770742312.7345</t>
  </si>
  <si>
    <t>FlexPBX-1770742234.7298</t>
  </si>
  <si>
    <t>FlexPBX-1770742044.7237</t>
  </si>
  <si>
    <t>FlexPBX-1770741851.7115</t>
  </si>
  <si>
    <t>FlexPBX-1770741650.7087</t>
  </si>
  <si>
    <t>FlexPBX-1770741016.7019</t>
  </si>
  <si>
    <t>FlexPBX-1770733879.6874</t>
  </si>
  <si>
    <t>FlexPBX-1770733768.6858</t>
  </si>
  <si>
    <t>FlexPBX-1770733297.6750</t>
  </si>
  <si>
    <t>FlexPBX-1770733072.6738</t>
  </si>
  <si>
    <t>FlexPBX-1770732952.6710</t>
  </si>
  <si>
    <t>FlexPBX-1770732625.6649</t>
  </si>
  <si>
    <t>FlexPBX-1770732144.6611</t>
  </si>
  <si>
    <t>FlexPBX-1770731881.6589</t>
  </si>
  <si>
    <t>FlexPBX-1770731753.6475</t>
  </si>
  <si>
    <t>FlexPBX-1770730936.6406</t>
  </si>
  <si>
    <t>FlexPBX-1770730907.6389</t>
  </si>
  <si>
    <t>FlexPBX-1770730800.6336</t>
  </si>
  <si>
    <t>FlexPBX-1770730716.6304</t>
  </si>
  <si>
    <t>FlexPBX-1770730491.6272</t>
  </si>
  <si>
    <t>FlexPBX-1770730446.6250</t>
  </si>
  <si>
    <t>FlexPBX-1770730416.6224</t>
  </si>
  <si>
    <t>FlexPBX-1770730243.6198</t>
  </si>
  <si>
    <t>FlexPBX-1770730038.6164</t>
  </si>
  <si>
    <t>FlexPBX-1770729819.6032</t>
  </si>
  <si>
    <t>FlexPBX-1770729551.5985</t>
  </si>
  <si>
    <t>FlexPBX-1770729005.5926</t>
  </si>
  <si>
    <t>FlexPBX-1770729003.5923</t>
  </si>
  <si>
    <t>FlexPBX-1770728840.5869</t>
  </si>
  <si>
    <t>FlexPBX-1770728767.5853</t>
  </si>
  <si>
    <t>FlexPBX-1770728308.5793</t>
  </si>
  <si>
    <t>FlexPBX-1770728237.5773</t>
  </si>
  <si>
    <t>FlexPBX-1770727984.5747</t>
  </si>
  <si>
    <t>FlexPBX-1770727662.5704</t>
  </si>
  <si>
    <t>FlexPBX-1770727397.5662</t>
  </si>
  <si>
    <t>FlexPBX-1770727111.5634</t>
  </si>
  <si>
    <t>FlexPBX-1770726475.5570</t>
  </si>
  <si>
    <t>FlexPBX-1770725487.5481</t>
  </si>
  <si>
    <t>FlexPBX-1770725466.5470</t>
  </si>
  <si>
    <t>FlexPBX-1770725281.5331</t>
  </si>
  <si>
    <t>FlexPBX-1770725009.5277</t>
  </si>
  <si>
    <t>FlexPBX-1770724442.5219</t>
  </si>
  <si>
    <t>FlexPBX-1770724024.5125</t>
  </si>
  <si>
    <t>FlexPBX-1770724009.5112</t>
  </si>
  <si>
    <t>FlexPBX-1770723950.5069</t>
  </si>
  <si>
    <t>FlexPBX-1770723012.4991</t>
  </si>
  <si>
    <t>FlexPBX-1770669805.4829</t>
  </si>
  <si>
    <t>FlexPBX-1770667458.4673</t>
  </si>
  <si>
    <t>FlexPBX-1770666821.4559</t>
  </si>
  <si>
    <t>FlexPBX-1770666337.4480</t>
  </si>
  <si>
    <t>FlexPBX-1770666229.4448</t>
  </si>
  <si>
    <t>FlexPBX-1770665613.4392</t>
  </si>
  <si>
    <t>FlexPBX-1770664926.4332</t>
  </si>
  <si>
    <t>FlexPBX-1770664526.4274</t>
  </si>
  <si>
    <t>FlexPBX-1770664299.4102</t>
  </si>
  <si>
    <t>FlexPBX-1770663994.4064</t>
  </si>
  <si>
    <t>FlexPBX-1770663300.3974</t>
  </si>
  <si>
    <t>FlexPBX-1770661950.3842</t>
  </si>
  <si>
    <t>FlexPBX-1770661835.3810</t>
  </si>
  <si>
    <t>FlexPBX-1770661742.3774</t>
  </si>
  <si>
    <t>FlexPBX-1770661124.3697</t>
  </si>
  <si>
    <t>FlexPBX-1770661103.3688</t>
  </si>
  <si>
    <t>FlexPBX-1770660863.3622</t>
  </si>
  <si>
    <t>FlexPBX-1770660776.3610</t>
  </si>
  <si>
    <t>FlexPBX-1770660554.3542</t>
  </si>
  <si>
    <t>FlexPBX-1770660242.3506</t>
  </si>
  <si>
    <t>FlexPBX-1770659667.3435</t>
  </si>
  <si>
    <t>FlexPBX-1770659665.3432</t>
  </si>
  <si>
    <t>FlexPBX-1770659490.3404</t>
  </si>
  <si>
    <t>FlexPBX-1770659419.3368</t>
  </si>
  <si>
    <t>FlexPBX-1770659023.3321</t>
  </si>
  <si>
    <t>FlexPBX-1770659006.3310</t>
  </si>
  <si>
    <t>FlexPBX-1770658922.3249</t>
  </si>
  <si>
    <t>FlexPBX-1770658885.3230</t>
  </si>
  <si>
    <t>FlexPBX-1770658697.3208</t>
  </si>
  <si>
    <t>FlexPBX-1770658629.3172</t>
  </si>
  <si>
    <t>FlexPBX-1770658355.3066</t>
  </si>
  <si>
    <t>FlexPBX-1770658333.3051</t>
  </si>
  <si>
    <t>FlexPBX-1770657740.2985</t>
  </si>
  <si>
    <t>FlexPBX-1770657618.2935</t>
  </si>
  <si>
    <t>FlexPBX-1770657366.2847</t>
  </si>
  <si>
    <t>FlexPBX-1770656026.2716</t>
  </si>
  <si>
    <t>FlexPBX-1770655873.2688</t>
  </si>
  <si>
    <t>FlexPBX-1770655760.2670</t>
  </si>
  <si>
    <t>FlexPBX-1770655314.2625</t>
  </si>
  <si>
    <t>FlexPBX-1770655260.2585</t>
  </si>
  <si>
    <t>FlexPBX-1770655120.2538</t>
  </si>
  <si>
    <t>FlexPBX-1770655047.2465</t>
  </si>
  <si>
    <t>FlexPBX-1770654994.2422</t>
  </si>
  <si>
    <t>FlexPBX-1770648521.2297</t>
  </si>
  <si>
    <t>FlexPBX-1770647779.2219</t>
  </si>
  <si>
    <t>FlexPBX-1770646854.2056</t>
  </si>
  <si>
    <t>FlexPBX-1770646804.2029</t>
  </si>
  <si>
    <t>FlexPBX-1770646058.1956</t>
  </si>
  <si>
    <t>FlexPBX-1770645206.1845</t>
  </si>
  <si>
    <t>FlexPBX-1770645109.1786</t>
  </si>
  <si>
    <t>FlexPBX-1770645016.1742</t>
  </si>
  <si>
    <t>FlexPBX-1770644734.1726</t>
  </si>
  <si>
    <t>FlexPBX-1770644385.1625</t>
  </si>
  <si>
    <t>FlexPBX-1770644280.1522</t>
  </si>
  <si>
    <t>FlexPBX-1770644208.1469</t>
  </si>
  <si>
    <t>FlexPBX-1770643163.1341</t>
  </si>
  <si>
    <t>FlexPBX-1770642888.1301</t>
  </si>
  <si>
    <t>FlexPBX-1770642478.1281</t>
  </si>
  <si>
    <t>FlexPBX-1770641645.1241</t>
  </si>
  <si>
    <t>FlexPBX-1770640999.1219</t>
  </si>
  <si>
    <t>FlexPBX-1770640342.1179</t>
  </si>
  <si>
    <t>FlexPBX-1770640130.1056</t>
  </si>
  <si>
    <t>FlexPBX-1770639621.998</t>
  </si>
  <si>
    <t>FlexPBX-1770639505.962</t>
  </si>
  <si>
    <t>FlexPBX-1770638499.908</t>
  </si>
  <si>
    <t>FlexPBX-1770638382.790</t>
  </si>
  <si>
    <t>FlexPBX-1770638335.763</t>
  </si>
  <si>
    <t>FlexPBX-1770638120.639</t>
  </si>
  <si>
    <t>FlexPBX-1770637660.534</t>
  </si>
  <si>
    <t>FlexPBX-1770637625.523</t>
  </si>
  <si>
    <t>FlexPBX-1770637504.434</t>
  </si>
  <si>
    <t>FlexPBX-1770637444.399</t>
  </si>
  <si>
    <t>FlexPBX-1770637046.353</t>
  </si>
  <si>
    <t>FlexPBX-1770636652.70</t>
  </si>
  <si>
    <t>FlexPBX-1770636638.67</t>
  </si>
  <si>
    <t>FlexPBX-1770410634.352539</t>
  </si>
  <si>
    <t>FlexPBX-1770409437.352447</t>
  </si>
  <si>
    <t>FlexPBX-1770409306.352431</t>
  </si>
  <si>
    <t>FlexPBX-1770409149.352395</t>
  </si>
  <si>
    <t>FlexPBX-1770407687.352293</t>
  </si>
  <si>
    <t>FlexPBX-1770407332.352253</t>
  </si>
  <si>
    <t>FlexPBX-1770406699.352198</t>
  </si>
  <si>
    <t>FlexPBX-1770406636.352171</t>
  </si>
  <si>
    <t>FlexPBX-1770406370.352131</t>
  </si>
  <si>
    <t>FlexPBX-1770405962.352080</t>
  </si>
  <si>
    <t>FlexPBX-1770405943.352071</t>
  </si>
  <si>
    <t>FlexPBX-1770405293.351901</t>
  </si>
  <si>
    <t>FlexPBX-1770405161.351847</t>
  </si>
  <si>
    <t>FlexPBX-1770405046.351774</t>
  </si>
  <si>
    <t>FlexPBX-1770403976.351714</t>
  </si>
  <si>
    <t>FlexPBX-1770403640.351656</t>
  </si>
  <si>
    <t>FlexPBX-1770403212.351624</t>
  </si>
  <si>
    <t>FlexPBX-1770402984.351575</t>
  </si>
  <si>
    <t>FlexPBX-1770401654.351438</t>
  </si>
  <si>
    <t>FlexPBX-1770401593.351409</t>
  </si>
  <si>
    <t>FlexPBX-1770401486.351379</t>
  </si>
  <si>
    <t>FlexPBX-1770401046.351285</t>
  </si>
  <si>
    <t>FlexPBX-1770401037.351282</t>
  </si>
  <si>
    <t>FlexPBX-1770400617.351151</t>
  </si>
  <si>
    <t>FlexPBX-1770400511.351112</t>
  </si>
  <si>
    <t>FlexPBX-1770400461.351096</t>
  </si>
  <si>
    <t>FlexPBX-1770400309.351051</t>
  </si>
  <si>
    <t>FlexPBX-1770400283.351040</t>
  </si>
  <si>
    <t>FlexPBX-1770399782.350942</t>
  </si>
  <si>
    <t>FlexPBX-1770399674.350906</t>
  </si>
  <si>
    <t>FlexPBX-1770398937.350816</t>
  </si>
  <si>
    <t>FlexPBX-1770398487.350744</t>
  </si>
  <si>
    <t>FlexPBX-1770398196.350666</t>
  </si>
  <si>
    <t>FlexPBX-1770397854.350627</t>
  </si>
  <si>
    <t>FlexPBX-1770397775.350584</t>
  </si>
  <si>
    <t>FlexPBX-1770397448.350554</t>
  </si>
  <si>
    <t>FlexPBX-1770397030.350492</t>
  </si>
  <si>
    <t>FlexPBX-1770396990.350454</t>
  </si>
  <si>
    <t>FlexPBX-1770396668.350355</t>
  </si>
  <si>
    <t>FlexPBX-1770396644.350344</t>
  </si>
  <si>
    <t>FlexPBX-1770395920.350286</t>
  </si>
  <si>
    <t>FlexPBX-1770395804.350222</t>
  </si>
  <si>
    <t>FlexPBX-1770389881.350068</t>
  </si>
  <si>
    <t>FlexPBX-1770389359.350030</t>
  </si>
  <si>
    <t>FlexPBX-1770389232.349966</t>
  </si>
  <si>
    <t>FlexPBX-1770389173.349933</t>
  </si>
  <si>
    <t>FlexPBX-1770388920.349797</t>
  </si>
  <si>
    <t>FlexPBX-1770388612.349714</t>
  </si>
  <si>
    <t>FlexPBX-1770388401.349694</t>
  </si>
  <si>
    <t>FlexPBX-1770388103.349654</t>
  </si>
  <si>
    <t>FlexPBX-1770387740.349568</t>
  </si>
  <si>
    <t>FlexPBX-1770387638.349536</t>
  </si>
  <si>
    <t>FlexPBX-1770387568.349488</t>
  </si>
  <si>
    <t>FlexPBX-1770387170.349458</t>
  </si>
  <si>
    <t>FlexPBX-1770386886.349392</t>
  </si>
  <si>
    <t>FlexPBX-1770386766.349319</t>
  </si>
  <si>
    <t>FlexPBX-1770386139.349285</t>
  </si>
  <si>
    <t>FlexPBX-1770385991.349265</t>
  </si>
  <si>
    <t>FlexPBX-1770385907.349241</t>
  </si>
  <si>
    <t>FlexPBX-1770384274.349157</t>
  </si>
  <si>
    <t>FlexPBX-1770384204.349137</t>
  </si>
  <si>
    <t>FlexPBX-1770384030.349121</t>
  </si>
  <si>
    <t>FlexPBX-1770383648.349073</t>
  </si>
  <si>
    <t>FlexPBX-1770383476.349057</t>
  </si>
  <si>
    <t>FlexPBX-1770383094.349000</t>
  </si>
  <si>
    <t>FlexPBX-1770383042.348965</t>
  </si>
  <si>
    <t>FlexPBX-1770382908.348921</t>
  </si>
  <si>
    <t>FlexPBX-1770381578.348840</t>
  </si>
  <si>
    <t>FlexPBX-1770381384.348779</t>
  </si>
  <si>
    <t>FlexPBX-1770381214.348750</t>
  </si>
  <si>
    <t>FlexPBX-1770381178.348741</t>
  </si>
  <si>
    <t>FlexPBX-1770381117.348708</t>
  </si>
  <si>
    <t>FlexPBX-1770380369.348662</t>
  </si>
  <si>
    <t>FlexPBX-1770380127.348620</t>
  </si>
  <si>
    <t>FlexPBX-1770380088.348592</t>
  </si>
  <si>
    <t>FlexPBX-1770379819.348568</t>
  </si>
  <si>
    <t>FlexPBX-1770379331.348524</t>
  </si>
  <si>
    <t>FlexPBX-1770379025.348472</t>
  </si>
  <si>
    <t>FlexPBX-1770378698.348444</t>
  </si>
  <si>
    <t>FlexPBX-1770378408.348428</t>
  </si>
  <si>
    <t>FlexPBX-1770378377.348412</t>
  </si>
  <si>
    <t>FlexPBX-1770377957.348392</t>
  </si>
  <si>
    <t>FlexPBX-1770377560.348334</t>
  </si>
  <si>
    <t>FlexPBX-1770323749.348226</t>
  </si>
  <si>
    <t>FlexPBX-1770322744.348175</t>
  </si>
  <si>
    <t>FlexPBX-1770322451.348115</t>
  </si>
  <si>
    <t>FlexPBX-1770321493.348055</t>
  </si>
  <si>
    <t>FlexPBX-1770321311.348005</t>
  </si>
  <si>
    <t>FlexPBX-1770320948.347959</t>
  </si>
  <si>
    <t>FlexPBX-1770319869.347927</t>
  </si>
  <si>
    <t>FlexPBX-1770319779.347911</t>
  </si>
  <si>
    <t>FlexPBX-1770319664.347843</t>
  </si>
  <si>
    <t>FlexPBX-1770318840.347811</t>
  </si>
  <si>
    <t>FlexPBX-1770317670.347727</t>
  </si>
  <si>
    <t>FlexPBX-1770316162.347673</t>
  </si>
  <si>
    <t>FlexPBX-1770315651.347613</t>
  </si>
  <si>
    <t>FlexPBX-1770315197.347561</t>
  </si>
  <si>
    <t>FlexPBX-1770315038.347530</t>
  </si>
  <si>
    <t>FlexPBX-1770314996.347521</t>
  </si>
  <si>
    <t>FlexPBX-1770314827.347472</t>
  </si>
  <si>
    <t>FlexPBX-1770314798.347469</t>
  </si>
  <si>
    <t>FlexPBX-1770314674.347449</t>
  </si>
  <si>
    <t>FlexPBX-1770314379.347421</t>
  </si>
  <si>
    <t>FlexPBX-1770314182.347399</t>
  </si>
  <si>
    <t>FlexPBX-1770314017.347379</t>
  </si>
  <si>
    <t>FlexPBX-1770313820.347319</t>
  </si>
  <si>
    <t>FlexPBX-1770313043.347209</t>
  </si>
  <si>
    <t>FlexPBX-1770312708.347135</t>
  </si>
  <si>
    <t>FlexPBX-1770311778.347056</t>
  </si>
  <si>
    <t>FlexPBX-1770311765.347053</t>
  </si>
  <si>
    <t>FlexPBX-1770311687.347033</t>
  </si>
  <si>
    <t>FlexPBX-1770311004.346991</t>
  </si>
  <si>
    <t>FlexPBX-1770310917.346955</t>
  </si>
  <si>
    <t>FlexPBX-1770310541.346905</t>
  </si>
  <si>
    <t>FlexPBX-1770310386.346841</t>
  </si>
  <si>
    <t>FlexPBX-1770309779.346763</t>
  </si>
  <si>
    <t>FlexPBX-1770309492.346699</t>
  </si>
  <si>
    <t>FlexPBX-1770309007.346595</t>
  </si>
  <si>
    <t>FlexPBX-1770301246.346441</t>
  </si>
  <si>
    <t>FlexPBX-1770300898.346351</t>
  </si>
  <si>
    <t>FlexPBX-1770300693.346315</t>
  </si>
  <si>
    <t>FlexPBX-1770300554.346277</t>
  </si>
  <si>
    <t>FlexPBX-1770300072.346261</t>
  </si>
  <si>
    <t>FlexPBX-1770300027.346236</t>
  </si>
  <si>
    <t>FlexPBX-1770299541.346202</t>
  </si>
  <si>
    <t>FlexPBX-1770298386.346118</t>
  </si>
  <si>
    <t>FlexPBX-1770298198.346090</t>
  </si>
  <si>
    <t>FlexPBX-1770298099.346056</t>
  </si>
  <si>
    <t>FlexPBX-1770297692.345987</t>
  </si>
  <si>
    <t>FlexPBX-1770297665.345976</t>
  </si>
  <si>
    <t>FlexPBX-1770297345.345928</t>
  </si>
  <si>
    <t>FlexPBX-1770297159.345858</t>
  </si>
  <si>
    <t>FlexPBX-1770296984.345828</t>
  </si>
  <si>
    <t>FlexPBX-1770296675.345736</t>
  </si>
  <si>
    <t>FlexPBX-1770295138.345650</t>
  </si>
  <si>
    <t>FlexPBX-1770294819.345616</t>
  </si>
  <si>
    <t>FlexPBX-1770294684.345582</t>
  </si>
  <si>
    <t>FlexPBX-1770294459.345536</t>
  </si>
  <si>
    <t>FlexPBX-1770293954.345504</t>
  </si>
  <si>
    <t>FlexPBX-1770293862.345488</t>
  </si>
  <si>
    <t>FlexPBX-1770293497.345414</t>
  </si>
  <si>
    <t>FlexPBX-1770293014.345366</t>
  </si>
  <si>
    <t>FlexPBX-1770292757.345313</t>
  </si>
  <si>
    <t>FlexPBX-1770291860.345249</t>
  </si>
  <si>
    <t>FlexPBX-1770291708.345221</t>
  </si>
  <si>
    <t>FlexPBX-1770291579.345152</t>
  </si>
  <si>
    <t>FlexPBX-1770291546.345131</t>
  </si>
  <si>
    <t>FlexPBX-1770291431.345113</t>
  </si>
  <si>
    <t>FlexPBX-1770291373.345101</t>
  </si>
  <si>
    <t>FlexPBX-1770291279.345046</t>
  </si>
  <si>
    <t>FlexPBX-1770291169.344998</t>
  </si>
  <si>
    <t>FlexPBX-1770291141.344982</t>
  </si>
  <si>
    <t>FlexPBX-1770291116.344962</t>
  </si>
  <si>
    <t>FlexPBX-1770291007.344878</t>
  </si>
  <si>
    <t>FlexPBX-1770237571.344797</t>
  </si>
  <si>
    <t>FlexPBX-1770236776.344609</t>
  </si>
  <si>
    <t>FlexPBX-1770236763.344606</t>
  </si>
  <si>
    <t>FlexPBX-1770236355.344544</t>
  </si>
  <si>
    <t>FlexPBX-1770236187.344492</t>
  </si>
  <si>
    <t>FlexPBX-1770236062.344468</t>
  </si>
  <si>
    <t>FlexPBX-1770235472.344360</t>
  </si>
  <si>
    <t>FlexPBX-1770235326.344304</t>
  </si>
  <si>
    <t>FlexPBX-1770235125.344240</t>
  </si>
  <si>
    <t>FlexPBX-1770233376.344140</t>
  </si>
  <si>
    <t>FlexPBX-1770232536.343980</t>
  </si>
  <si>
    <t>FlexPBX-1770231726.343817</t>
  </si>
  <si>
    <t>FlexPBX-1770231465.343648</t>
  </si>
  <si>
    <t>FlexPBX-1770230679.343578</t>
  </si>
  <si>
    <t>FlexPBX-1770230532.343538</t>
  </si>
  <si>
    <t>FlexPBX-1770229793.343439</t>
  </si>
  <si>
    <t>FlexPBX-1770229706.343431</t>
  </si>
  <si>
    <t>FlexPBX-1770229647.343405</t>
  </si>
  <si>
    <t>FlexPBX-1770229369.343330</t>
  </si>
  <si>
    <t>FlexPBX-1770229317.343315</t>
  </si>
  <si>
    <t>FlexPBX-1770229175.343299</t>
  </si>
  <si>
    <t>FlexPBX-1770228858.343231</t>
  </si>
  <si>
    <t>FlexPBX-1770228700.343187</t>
  </si>
  <si>
    <t>FlexPBX-1770227901.343031</t>
  </si>
  <si>
    <t>FlexPBX-1770226921.342965</t>
  </si>
  <si>
    <t>FlexPBX-1770226770.342835</t>
  </si>
  <si>
    <t>FlexPBX-1770226224.342771</t>
  </si>
  <si>
    <t>FlexPBX-1770226124.342735</t>
  </si>
  <si>
    <t>FlexPBX-1770225726.342652</t>
  </si>
  <si>
    <t>FlexPBX-1770225639.342630</t>
  </si>
  <si>
    <t>FlexPBX-1770225380.342565</t>
  </si>
  <si>
    <t>FlexPBX-1770225321.342532</t>
  </si>
  <si>
    <t>FlexPBX-1770225236.342496</t>
  </si>
  <si>
    <t>FlexPBX-1770224553.342386</t>
  </si>
  <si>
    <t>FlexPBX-1770224147.342282</t>
  </si>
  <si>
    <t>FlexPBX-1770223605.342158</t>
  </si>
  <si>
    <t>FlexPBX-1770223112.342100</t>
  </si>
  <si>
    <t>FlexPBX-1770216656.342023</t>
  </si>
  <si>
    <t>FlexPBX-1770216467.341948</t>
  </si>
  <si>
    <t>FlexPBX-1770216450.341945</t>
  </si>
  <si>
    <t>FlexPBX-1770216080.341920</t>
  </si>
  <si>
    <t>FlexPBX-1770214568.341832</t>
  </si>
  <si>
    <t>FlexPBX-1770214034.341772</t>
  </si>
  <si>
    <t>FlexPBX-1770214027.341769</t>
  </si>
  <si>
    <t>FlexPBX-1770213940.341752</t>
  </si>
  <si>
    <t>FlexPBX-1770213240.341713</t>
  </si>
  <si>
    <t>FlexPBX-1770212999.341677</t>
  </si>
  <si>
    <t>FlexPBX-1770212812.341631</t>
  </si>
  <si>
    <t>FlexPBX-1770212569.341587</t>
  </si>
  <si>
    <t>FlexPBX-1770212344.341523</t>
  </si>
  <si>
    <t>FlexPBX-1770211380.341445</t>
  </si>
  <si>
    <t>FlexPBX-1770211062.341411</t>
  </si>
  <si>
    <t>FlexPBX-1770210501.341375</t>
  </si>
  <si>
    <t>FlexPBX-1770210338.341306</t>
  </si>
  <si>
    <t>FlexPBX-1770210021.341260</t>
  </si>
  <si>
    <t>FlexPBX-1770209492.341114</t>
  </si>
  <si>
    <t>FlexPBX-1770208378.340996</t>
  </si>
  <si>
    <t>FlexPBX-1770208221.340954</t>
  </si>
  <si>
    <t>FlexPBX-1770207804.340922</t>
  </si>
  <si>
    <t>FlexPBX-1770207447.340885</t>
  </si>
  <si>
    <t>FlexPBX-1770207269.340844</t>
  </si>
  <si>
    <t>FlexPBX-1770207102.340816</t>
  </si>
  <si>
    <t>FlexPBX-1770206875.340764</t>
  </si>
  <si>
    <t>FlexPBX-1770206756.340728</t>
  </si>
  <si>
    <t>FlexPBX-1770206514.340698</t>
  </si>
  <si>
    <t>FlexPBX-1770206242.340654</t>
  </si>
  <si>
    <t>FlexPBX-1770205412.340598</t>
  </si>
  <si>
    <t>FlexPBX-1770150803.340537</t>
  </si>
  <si>
    <t>FlexPBX-1770150529.340463</t>
  </si>
  <si>
    <t>FlexPBX-1770149529.340339</t>
  </si>
  <si>
    <t>FlexPBX-1770149080.340319</t>
  </si>
  <si>
    <t>FlexPBX-1770148606.340239</t>
  </si>
  <si>
    <t>FlexPBX-1770148383.340159</t>
  </si>
  <si>
    <t>FlexPBX-1770148074.340121</t>
  </si>
  <si>
    <t>FlexPBX-1770147831.340099</t>
  </si>
  <si>
    <t>FlexPBX-1770147635.340065</t>
  </si>
  <si>
    <t>FlexPBX-1770147434.340030</t>
  </si>
  <si>
    <t>FlexPBX-1770147305.340002</t>
  </si>
  <si>
    <t>FlexPBX-1770147124.339934</t>
  </si>
  <si>
    <t>FlexPBX-1770146996.339890</t>
  </si>
  <si>
    <t>FlexPBX-1770144713.339648</t>
  </si>
  <si>
    <t>FlexPBX-1770144576.339618</t>
  </si>
  <si>
    <t>FlexPBX-1770143800.339506</t>
  </si>
  <si>
    <t>FlexPBX-1770143621.339480</t>
  </si>
  <si>
    <t>FlexPBX-1770143522.339435</t>
  </si>
  <si>
    <t>FlexPBX-1770143482.339403</t>
  </si>
  <si>
    <t>FlexPBX-1770143272.339377</t>
  </si>
  <si>
    <t>FlexPBX-1770143015.339332</t>
  </si>
  <si>
    <t>FlexPBX-1770142990.339321</t>
  </si>
  <si>
    <t>FlexPBX-1770142652.339265</t>
  </si>
  <si>
    <t>FlexPBX-1770141860.339117</t>
  </si>
  <si>
    <t>FlexPBX-1770141747.339074</t>
  </si>
  <si>
    <t>FlexPBX-1770141728.339060</t>
  </si>
  <si>
    <t>FlexPBX-1770141716.339057</t>
  </si>
  <si>
    <t>FlexPBX-1770141579.339029</t>
  </si>
  <si>
    <t>FlexPBX-1770141103.338961</t>
  </si>
  <si>
    <t>FlexPBX-1770140952.338945</t>
  </si>
  <si>
    <t>FlexPBX-1770140858.338911</t>
  </si>
  <si>
    <t>FlexPBX-1770140718.338891</t>
  </si>
  <si>
    <t>FlexPBX-1770140401.338854</t>
  </si>
  <si>
    <t>FlexPBX-1770140379.338847</t>
  </si>
  <si>
    <t>FlexPBX-1770140287.338826</t>
  </si>
  <si>
    <t>FlexPBX-1770140251.338814</t>
  </si>
  <si>
    <t>FlexPBX-1770140227.338807</t>
  </si>
  <si>
    <t>FlexPBX-1770140081.338787</t>
  </si>
  <si>
    <t>FlexPBX-1770139719.338741</t>
  </si>
  <si>
    <t>FlexPBX-1770139548.338712</t>
  </si>
  <si>
    <t>FlexPBX-1770139529.338705</t>
  </si>
  <si>
    <t>FlexPBX-1770139294.338639</t>
  </si>
  <si>
    <t>FlexPBX-1770139225.338623</t>
  </si>
  <si>
    <t>FlexPBX-1770138897.338570</t>
  </si>
  <si>
    <t>FlexPBX-1770138520.338538</t>
  </si>
  <si>
    <t>FlexPBX-1770138402.338506</t>
  </si>
  <si>
    <t>FlexPBX-1770138383.338501</t>
  </si>
  <si>
    <t>FlexPBX-1770138335.338481</t>
  </si>
  <si>
    <t>FlexPBX-1770137787.338433</t>
  </si>
  <si>
    <t>FlexPBX-1770137712.338425</t>
  </si>
  <si>
    <t>FlexPBX-1770137275.338413</t>
  </si>
  <si>
    <t>FlexPBX-1770137237.338380</t>
  </si>
  <si>
    <t>FlexPBX-1770137195.338345</t>
  </si>
  <si>
    <t>FlexPBX-1770136818.338257</t>
  </si>
  <si>
    <t>FlexPBX-1770130117.338209</t>
  </si>
  <si>
    <t>FlexPBX-1770128961.338141</t>
  </si>
  <si>
    <t>FlexPBX-1770128480.338095</t>
  </si>
  <si>
    <t>FlexPBX-1770128352.338067</t>
  </si>
  <si>
    <t>FlexPBX-1770128051.338043</t>
  </si>
  <si>
    <t>FlexPBX-1770127634.337987</t>
  </si>
  <si>
    <t>FlexPBX-1770127631.337976</t>
  </si>
  <si>
    <t>FlexPBX-1770127523.337907</t>
  </si>
  <si>
    <t>FlexPBX-1770126860.337800</t>
  </si>
  <si>
    <t>FlexPBX-1770126061.337738</t>
  </si>
  <si>
    <t>FlexPBX-1770125981.337701</t>
  </si>
  <si>
    <t>FlexPBX-1770125956.337692</t>
  </si>
  <si>
    <t>FlexPBX-1770125821.337608</t>
  </si>
  <si>
    <t>FlexPBX-1770125728.337564</t>
  </si>
  <si>
    <t>FlexPBX-1770124369.337443</t>
  </si>
  <si>
    <t>FlexPBX-1770124344.337430</t>
  </si>
  <si>
    <t>FlexPBX-1770123464.337229</t>
  </si>
  <si>
    <t>FlexPBX-1770123452.337226</t>
  </si>
  <si>
    <t>FlexPBX-1770122638.337095</t>
  </si>
  <si>
    <t>FlexPBX-1770121789.336997</t>
  </si>
  <si>
    <t>FlexPBX-1770121533.336920</t>
  </si>
  <si>
    <t>FlexPBX-1770121481.336882</t>
  </si>
  <si>
    <t>FlexPBX-1770121437.336849</t>
  </si>
  <si>
    <t>FlexPBX-1770119688.336697</t>
  </si>
  <si>
    <t>FlexPBX-1770119595.336648</t>
  </si>
  <si>
    <t>FlexPBX-1770119559.336625</t>
  </si>
  <si>
    <t>FlexPBX-1770119547.336622</t>
  </si>
  <si>
    <t>FlexPBX-1770119230.336592</t>
  </si>
  <si>
    <t>FlexPBX-1770119081.336540</t>
  </si>
  <si>
    <t>FlexPBX-1770118234.336467</t>
  </si>
  <si>
    <t>FlexPBX-1770063884.336298</t>
  </si>
  <si>
    <t>FlexPBX-1770063086.336219</t>
  </si>
  <si>
    <t>FlexPBX-1770062959.336183</t>
  </si>
  <si>
    <t>FlexPBX-1770061998.336119</t>
  </si>
  <si>
    <t>FlexPBX-1770061813.336040</t>
  </si>
  <si>
    <t>FlexPBX-1770061198.335875</t>
  </si>
  <si>
    <t>FlexPBX-1770061165.335843</t>
  </si>
  <si>
    <t>FlexPBX-1770061105.335800</t>
  </si>
  <si>
    <t>FlexPBX-1770060630.335738</t>
  </si>
  <si>
    <t>FlexPBX-1770060520.335675</t>
  </si>
  <si>
    <t>FlexPBX-1770059800.335603</t>
  </si>
  <si>
    <t>FlexPBX-1770059310.335543</t>
  </si>
  <si>
    <t>FlexPBX-1770059232.335515</t>
  </si>
  <si>
    <t>FlexPBX-1770058632.335374</t>
  </si>
  <si>
    <t>FlexPBX-1770058623.335371</t>
  </si>
  <si>
    <t>FlexPBX-1770058384.335345</t>
  </si>
  <si>
    <t>FlexPBX-1770058309.335317</t>
  </si>
  <si>
    <t>FlexPBX-1770058076.335291</t>
  </si>
  <si>
    <t>FlexPBX-1770057927.335263</t>
  </si>
  <si>
    <t>FlexPBX-1770057598.335212</t>
  </si>
  <si>
    <t>FlexPBX-1770057546.335174</t>
  </si>
  <si>
    <t>FlexPBX-1770057520.335163</t>
  </si>
  <si>
    <t>FlexPBX-1770057456.335125</t>
  </si>
  <si>
    <t>FlexPBX-1770057362.335085</t>
  </si>
  <si>
    <t>FlexPBX-1770055468.334961</t>
  </si>
  <si>
    <t>FlexPBX-1770055088.334882</t>
  </si>
  <si>
    <t>FlexPBX-1770054436.334840</t>
  </si>
  <si>
    <t>FlexPBX-1770054114.334795</t>
  </si>
  <si>
    <t>FlexPBX-1770054063.334772</t>
  </si>
  <si>
    <t>FlexPBX-1770053849.334724</t>
  </si>
  <si>
    <t>FlexPBX-1770052861.334651</t>
  </si>
  <si>
    <t>FlexPBX-1770052599.334603</t>
  </si>
  <si>
    <t>FlexPBX-1770051955.334544</t>
  </si>
  <si>
    <t>FlexPBX-1770051933.334535</t>
  </si>
  <si>
    <t>FlexPBX-1770051646.334470</t>
  </si>
  <si>
    <t>FlexPBX-1770051578.334446</t>
  </si>
  <si>
    <t>FlexPBX-1770051015.334347</t>
  </si>
  <si>
    <t>FlexPBX-1770050940.334280</t>
  </si>
  <si>
    <t>FlexPBX-1770049928.334192</t>
  </si>
  <si>
    <t>FlexPBX-1770044329.333994</t>
  </si>
  <si>
    <t>FlexPBX-1770043742.333934</t>
  </si>
  <si>
    <t>FlexPBX-1770043544.333900</t>
  </si>
  <si>
    <t>FlexPBX-1770042647.333870</t>
  </si>
  <si>
    <t>FlexPBX-1770042440.333835</t>
  </si>
  <si>
    <t>FlexPBX-1770042420.333832</t>
  </si>
  <si>
    <t>FlexPBX-1770041909.333798</t>
  </si>
  <si>
    <t>FlexPBX-1770041248.333720</t>
  </si>
  <si>
    <t>FlexPBX-1770040622.333644</t>
  </si>
  <si>
    <t>FlexPBX-1770040604.333639</t>
  </si>
  <si>
    <t>FlexPBX-1770040252.333550</t>
  </si>
  <si>
    <t>FlexPBX-1770040224.333529</t>
  </si>
  <si>
    <t>FlexPBX-1770040001.333502</t>
  </si>
  <si>
    <t>FlexPBX-1770039708.333468</t>
  </si>
  <si>
    <t>FlexPBX-1770039284.333448</t>
  </si>
  <si>
    <t>FlexPBX-1770039148.333424</t>
  </si>
  <si>
    <t>FlexPBX-1770038762.333380</t>
  </si>
  <si>
    <t>FlexPBX-1770038679.333322</t>
  </si>
  <si>
    <t>FlexPBX-1770037570.333239</t>
  </si>
  <si>
    <t>FlexPBX-1770037566.333236</t>
  </si>
  <si>
    <t>FlexPBX-1770037461.333210</t>
  </si>
  <si>
    <t>FlexPBX-1770037158.333180</t>
  </si>
  <si>
    <t>FlexPBX-1770037087.333167</t>
  </si>
  <si>
    <t>FlexPBX-1770037032.333151</t>
  </si>
  <si>
    <t>FlexPBX-1770036630.333085</t>
  </si>
  <si>
    <t>FlexPBX-1770035499.332977</t>
  </si>
  <si>
    <t>FlexPBX-1770035147.332931</t>
  </si>
  <si>
    <t>FlexPBX-1770034421.332859</t>
  </si>
  <si>
    <t>FlexPBX-1770034014.332810</t>
  </si>
  <si>
    <t>FlexPBX-1770033010.332768</t>
  </si>
  <si>
    <t>FlexPBX-1770032528.332678</t>
  </si>
  <si>
    <t>FlexPBX-1770032484.332670</t>
  </si>
  <si>
    <t>FlexPBX-1770032209.332633</t>
  </si>
  <si>
    <t>FlexPBX-1770032130.332602</t>
  </si>
  <si>
    <t>FlexPBX-1770031960.332557</t>
  </si>
  <si>
    <t>FlexPBX-1772285979.65002</t>
  </si>
  <si>
    <t>FlexPBX-1772284184.64997</t>
  </si>
  <si>
    <t>FlexPBX-1772224755.64931</t>
  </si>
  <si>
    <t>FlexPBX-1772224747.64923</t>
  </si>
  <si>
    <t>FlexPBX-1772224453.64888</t>
  </si>
  <si>
    <t>FlexPBX-1772224428.64864</t>
  </si>
  <si>
    <t>FlexPBX-1772223408.64752</t>
  </si>
  <si>
    <t>FlexPBX-1772223403.64748</t>
  </si>
  <si>
    <t>FlexPBX-1772223381.64740</t>
  </si>
  <si>
    <t>FlexPBX-1772223276.64728</t>
  </si>
  <si>
    <t>FlexPBX-1772223052.64706</t>
  </si>
  <si>
    <t>FlexPBX-1772223048.64698</t>
  </si>
  <si>
    <t>FlexPBX-1772223043.64690</t>
  </si>
  <si>
    <t>FlexPBX-1772223037.64682</t>
  </si>
  <si>
    <t>FlexPBX-1772222952.64668</t>
  </si>
  <si>
    <t>FlexPBX-1772222906.64650</t>
  </si>
  <si>
    <t>FlexPBX-1772222902.64642</t>
  </si>
  <si>
    <t>FlexPBX-1772222894.64638</t>
  </si>
  <si>
    <t>FlexPBX-1772221044.64409</t>
  </si>
  <si>
    <t>FlexPBX-1772221031.64401</t>
  </si>
  <si>
    <t>FlexPBX-1772221025.64393</t>
  </si>
  <si>
    <t>FlexPBX-1772219796.64085</t>
  </si>
  <si>
    <t>FlexPBX-1772219790.64077</t>
  </si>
  <si>
    <t>FlexPBX-1772219234.63868</t>
  </si>
  <si>
    <t>FlexPBX-1772218648.63813</t>
  </si>
  <si>
    <t>FlexPBX-1772218580.63784</t>
  </si>
  <si>
    <t>FlexPBX-1772217144.63686</t>
  </si>
  <si>
    <t>FlexPBX-1772216864.63647</t>
  </si>
  <si>
    <t>FlexPBX-1772216717.63618</t>
  </si>
  <si>
    <t>FlexPBX-1772216611.63610</t>
  </si>
  <si>
    <t>FlexPBX-1772216423.63486</t>
  </si>
  <si>
    <t>FlexPBX-1772216208.63456</t>
  </si>
  <si>
    <t>FlexPBX-1772216203.63452</t>
  </si>
  <si>
    <t>FlexPBX-1772215675.63354</t>
  </si>
  <si>
    <t>FlexPBX-1772215657.63334</t>
  </si>
  <si>
    <t>FlexPBX-1772215557.63323</t>
  </si>
  <si>
    <t>FlexPBX-1772215130.63259</t>
  </si>
  <si>
    <t>FlexPBX-1772215123.63251</t>
  </si>
  <si>
    <t>FlexPBX-1772215045.63231</t>
  </si>
  <si>
    <t>FlexPBX-1772214734.63211</t>
  </si>
  <si>
    <t>FlexPBX-1772214631.63183</t>
  </si>
  <si>
    <t>FlexPBX-1772214232.63121</t>
  </si>
  <si>
    <t>FlexPBX-1772212943.62978</t>
  </si>
  <si>
    <t>FlexPBX-1772212811.62939</t>
  </si>
  <si>
    <t>FlexPBX-1772212545.62888</t>
  </si>
  <si>
    <t>FlexPBX-1772211612.62803</t>
  </si>
  <si>
    <t>FlexPBX-1772211597.62795</t>
  </si>
  <si>
    <t>FlexPBX-1772211581.62785</t>
  </si>
  <si>
    <t>FlexPBX-1772211570.62773</t>
  </si>
  <si>
    <t>FlexPBX-1772211494.62759</t>
  </si>
  <si>
    <t>FlexPBX-1772211224.62739</t>
  </si>
  <si>
    <t>FlexPBX-1772211042.62711</t>
  </si>
  <si>
    <t>FlexPBX-1772211039.62707</t>
  </si>
  <si>
    <t>FlexPBX-1772211038.62703</t>
  </si>
  <si>
    <t>FlexPBX-1772210782.62683</t>
  </si>
  <si>
    <t>FlexPBX-1772210776.62669</t>
  </si>
  <si>
    <t>FlexPBX-1772210760.62651</t>
  </si>
  <si>
    <t>FlexPBX-1772210046.62511</t>
  </si>
  <si>
    <t>FlexPBX-1772203738.62416</t>
  </si>
  <si>
    <t>FlexPBX-1772203403.62289</t>
  </si>
  <si>
    <t>FlexPBX-1772202779.62208</t>
  </si>
  <si>
    <t>FlexPBX-1772201500.62104</t>
  </si>
  <si>
    <t>FlexPBX-1772201495.62096</t>
  </si>
  <si>
    <t>FlexPBX-1772200739.61922</t>
  </si>
  <si>
    <t>FlexPBX-1772200732.61914</t>
  </si>
  <si>
    <t>FlexPBX-1772200726.61906</t>
  </si>
  <si>
    <t>FlexPBX-1772200210.61698</t>
  </si>
  <si>
    <t>FlexPBX-1772200050.61684</t>
  </si>
  <si>
    <t>FlexPBX-1772199970.61676</t>
  </si>
  <si>
    <t>FlexPBX-1772199541.61671</t>
  </si>
  <si>
    <t>FlexPBX-1772199078.61651</t>
  </si>
  <si>
    <t>FlexPBX-1772198758.61634</t>
  </si>
  <si>
    <t>FlexPBX-1772198522.61577</t>
  </si>
  <si>
    <t>FlexPBX-1772198467.61569</t>
  </si>
  <si>
    <t>FlexPBX-1772198461.61561</t>
  </si>
  <si>
    <t>FlexPBX-1772198442.61553</t>
  </si>
  <si>
    <t>FlexPBX-1772198226.61543</t>
  </si>
  <si>
    <t>FlexPBX-1772198162.61535</t>
  </si>
  <si>
    <t>FlexPBX-1772197590.61482</t>
  </si>
  <si>
    <t>FlexPBX-1772197579.61468</t>
  </si>
  <si>
    <t>FlexPBX-1772197485.61435</t>
  </si>
  <si>
    <t>FlexPBX-1772197459.61406</t>
  </si>
  <si>
    <t>FlexPBX-1772197454.61398</t>
  </si>
  <si>
    <t>FlexPBX-1772197416.61348</t>
  </si>
  <si>
    <t>FlexPBX-1772197387.61330</t>
  </si>
  <si>
    <t>FlexPBX-1772196616.61180</t>
  </si>
  <si>
    <t>PSYSTEM_1009</t>
  </si>
  <si>
    <t>FlexPBX-1772196137.61108</t>
  </si>
  <si>
    <t>FlexPBX-1772196136.61104</t>
  </si>
  <si>
    <t>FlexPBX-1772196059.61087</t>
  </si>
  <si>
    <t>FlexPBX-1772195632.61027</t>
  </si>
  <si>
    <t>FlexPBX-1772195278.60914</t>
  </si>
  <si>
    <t>FlexPBX-1772194919.60896</t>
  </si>
  <si>
    <t>FlexPBX-1772193935.60682</t>
  </si>
  <si>
    <t>FlexPBX-1772193048.60581</t>
  </si>
  <si>
    <t>FlexPBX-1772192946.60537</t>
  </si>
  <si>
    <t>FlexPBX-1772192540.60485</t>
  </si>
  <si>
    <t>FlexPBX-1772192075.60443</t>
  </si>
  <si>
    <t>FlexPBX-1772191526.60330</t>
  </si>
  <si>
    <t>FlexPBX-1772191090.60319</t>
  </si>
  <si>
    <t>FlexPBX-1772190930.60311</t>
  </si>
  <si>
    <t>FlexPBX-1772190716.60297</t>
  </si>
  <si>
    <t>FlexPBX-1772188510.60292</t>
  </si>
  <si>
    <t>FlexPBX-1772188449.60287</t>
  </si>
  <si>
    <t>FlexPBX-1772137134.60163</t>
  </si>
  <si>
    <t>FlexPBX-1772136917.60155</t>
  </si>
  <si>
    <t>FlexPBX-1772136820.60122</t>
  </si>
  <si>
    <t>FlexPBX-1772136543.60003</t>
  </si>
  <si>
    <t>FlexPBX-1772136411.59995</t>
  </si>
  <si>
    <t>FlexPBX-1772136339.59987</t>
  </si>
  <si>
    <t>FlexPBX-1772136276.59973</t>
  </si>
  <si>
    <t>FlexPBX-1772136239.59959</t>
  </si>
  <si>
    <t>FlexPBX-1772135948.59926</t>
  </si>
  <si>
    <t>FlexPBX-1772135475.59869</t>
  </si>
  <si>
    <t>FlexPBX-1772134832.59805</t>
  </si>
  <si>
    <t>FlexPBX-1772134169.59628</t>
  </si>
  <si>
    <t>FlexPBX-1772134162.59620</t>
  </si>
  <si>
    <t>FlexPBX-1772134145.59590</t>
  </si>
  <si>
    <t>FlexPBX-1772134135.59572</t>
  </si>
  <si>
    <t>FlexPBX-1772133990.59512</t>
  </si>
  <si>
    <t>FlexPBX-1772133924.59475</t>
  </si>
  <si>
    <t>FlexPBX-1772133810.59420</t>
  </si>
  <si>
    <t>FlexPBX-1772133640.59379</t>
  </si>
  <si>
    <t>FlexPBX-1772133078.59272</t>
  </si>
  <si>
    <t>FlexPBX-1772132156.59122</t>
  </si>
  <si>
    <t>FlexPBX-1772132046.59065</t>
  </si>
  <si>
    <t>FlexPBX-1772131729.59060</t>
  </si>
  <si>
    <t>FlexPBX-1772131085.59040</t>
  </si>
  <si>
    <t>FlexPBX-1772130982.59026</t>
  </si>
  <si>
    <t>FlexPBX-1772129404.58791</t>
  </si>
  <si>
    <t>FlexPBX-1772128921.58591</t>
  </si>
  <si>
    <t>FlexPBX-1772127896.58416</t>
  </si>
  <si>
    <t>FlexPBX-1772127793.58396</t>
  </si>
  <si>
    <t>FlexPBX-1772127654.58388</t>
  </si>
  <si>
    <t>FlexPBX-1772127531.58374</t>
  </si>
  <si>
    <t>FlexPBX-1772127268.58348</t>
  </si>
  <si>
    <t>FlexPBX-1772127259.58340</t>
  </si>
  <si>
    <t>FlexPBX-1772126810.58228</t>
  </si>
  <si>
    <t>FlexPBX-1772123641.57898</t>
  </si>
  <si>
    <t>FlexPBX-1772120038.57829</t>
  </si>
  <si>
    <t>FlexPBX-1772117657.57818</t>
  </si>
  <si>
    <t>FlexPBX-1772116452.57714</t>
  </si>
  <si>
    <t>FlexPBX-1772116417.57709</t>
  </si>
  <si>
    <t>FlexPBX-1772116059.57675</t>
  </si>
  <si>
    <t>FlexPBX-1772115866.57647</t>
  </si>
  <si>
    <t>FlexPBX-1772115838.57642</t>
  </si>
  <si>
    <t>FlexPBX-1772115793.57628</t>
  </si>
  <si>
    <t>FlexPBX-1772115789.57620</t>
  </si>
  <si>
    <t>FlexPBX-1772115496.57551</t>
  </si>
  <si>
    <t>FlexPBX-1772113783.57200</t>
  </si>
  <si>
    <t>FlexPBX-1772113627.57171</t>
  </si>
  <si>
    <t>FlexPBX-1772113288.57085</t>
  </si>
  <si>
    <t>FlexPBX-1772113123.57049</t>
  </si>
  <si>
    <t>FlexPBX-1772113107.57041</t>
  </si>
  <si>
    <t>FlexPBX-1772113104.57033</t>
  </si>
  <si>
    <t>FlexPBX-1772112854.56941</t>
  </si>
  <si>
    <t>FlexPBX-1772112672.56927</t>
  </si>
  <si>
    <t>FlexPBX-1772112352.56877</t>
  </si>
  <si>
    <t>FlexPBX-1772111524.56607</t>
  </si>
  <si>
    <t>FlexPBX-1772110341.56272</t>
  </si>
  <si>
    <t>FlexPBX-1772109621.56171</t>
  </si>
  <si>
    <t>FlexPBX-1772109477.56092</t>
  </si>
  <si>
    <t>FlexPBX-1772107263.55743</t>
  </si>
  <si>
    <t>FlexPBX-1772106410.55691</t>
  </si>
  <si>
    <t>FlexPBX-1772105846.55537</t>
  </si>
  <si>
    <t>FlexPBX-1772105841.55529</t>
  </si>
  <si>
    <t>FlexPBX-1772105751.55481</t>
  </si>
  <si>
    <t>FlexPBX-1772105367.55450</t>
  </si>
  <si>
    <t>FlexPBX-1772105338.55442</t>
  </si>
  <si>
    <t>FlexPBX-1772104815.55428</t>
  </si>
  <si>
    <t>FlexPBX-1772104764.55420</t>
  </si>
  <si>
    <t>FlexPBX-1772104714.55415</t>
  </si>
  <si>
    <t>FlexPBX-1772103904.55410</t>
  </si>
  <si>
    <t>FlexPBX-1772052707.55387</t>
  </si>
  <si>
    <t>FlexPBX-1772051837.55166</t>
  </si>
  <si>
    <t>FlexPBX-1772050902.54938</t>
  </si>
  <si>
    <t>FlexPBX-1772050816.54920</t>
  </si>
  <si>
    <t>FlexPBX-1772050795.54916</t>
  </si>
  <si>
    <t>FlexPBX-1772050017.54733</t>
  </si>
  <si>
    <t>FlexPBX-1772049126.54629</t>
  </si>
  <si>
    <t>FlexPBX-1772048940.54624</t>
  </si>
  <si>
    <t>FlexPBX-1772048705.54619</t>
  </si>
  <si>
    <t>FlexPBX-1772048000.54605</t>
  </si>
  <si>
    <t>FlexPBX-1772047713.54441</t>
  </si>
  <si>
    <t>FlexPBX-1772047705.54433</t>
  </si>
  <si>
    <t>FlexPBX-1772047699.54425</t>
  </si>
  <si>
    <t>FlexPBX-1772047695.54417</t>
  </si>
  <si>
    <t>FlexPBX-1772047689.54409</t>
  </si>
  <si>
    <t>FlexPBX-1772046922.54297</t>
  </si>
  <si>
    <t>FlexPBX-1772046743.54223</t>
  </si>
  <si>
    <t>FlexPBX-1772046658.54175</t>
  </si>
  <si>
    <t>FlexPBX-1772045984.53963</t>
  </si>
  <si>
    <t>FlexPBX-1772045802.53912</t>
  </si>
  <si>
    <t>FlexPBX-1772045790.53898</t>
  </si>
  <si>
    <t>FlexPBX-1772045784.53890</t>
  </si>
  <si>
    <t>FlexPBX-1772045778.53876</t>
  </si>
  <si>
    <t>FlexPBX-1772045407.53822</t>
  </si>
  <si>
    <t>FlexPBX-1772044465.53706</t>
  </si>
  <si>
    <t>FlexPBX-1772044434.53698</t>
  </si>
  <si>
    <t>FlexPBX-1772043641.53653</t>
  </si>
  <si>
    <t>FlexPBX-1772043249.53614</t>
  </si>
  <si>
    <t>FlexPBX-1772043196.53606</t>
  </si>
  <si>
    <t>FlexPBX-1772042367.53424</t>
  </si>
  <si>
    <t>FlexPBX-1772040526.53050</t>
  </si>
  <si>
    <t>FlexPBX-1772040518.53042</t>
  </si>
  <si>
    <t>FlexPBX-1772040006.52974</t>
  </si>
  <si>
    <t>FlexPBX-1772039270.52890</t>
  </si>
  <si>
    <t>FlexPBX-1772039267.52886</t>
  </si>
  <si>
    <t>FlexPBX-1772039265.52878</t>
  </si>
  <si>
    <t>FlexPBX-1772038929.52837</t>
  </si>
  <si>
    <t>FlexPBX-1772038662.52796</t>
  </si>
  <si>
    <t>FlexPBX-1772038205.52754</t>
  </si>
  <si>
    <t>FlexPBX-1772037689.52673</t>
  </si>
  <si>
    <t>FlexPBX-1772037683.52665</t>
  </si>
  <si>
    <t>FlexPBX-1772037599.52654</t>
  </si>
  <si>
    <t>FlexPBX-1772037227.52516</t>
  </si>
  <si>
    <t>FlexPBX-1772037219.52504</t>
  </si>
  <si>
    <t>FlexPBX-1772037073.52467</t>
  </si>
  <si>
    <t>FlexPBX-1772036774.52453</t>
  </si>
  <si>
    <t>FlexPBX-1772036748.52448</t>
  </si>
  <si>
    <t>FlexPBX-1772036684.52443</t>
  </si>
  <si>
    <t>FlexPBX-1772036592.52429</t>
  </si>
  <si>
    <t>FlexPBX-1772036405.52418</t>
  </si>
  <si>
    <t>FlexPBX-1772036363.52408</t>
  </si>
  <si>
    <t>FlexPBX-1772036274.52396</t>
  </si>
  <si>
    <t>FlexPBX-1772035068.52391</t>
  </si>
  <si>
    <t>FlexPBX-1772030695.52333</t>
  </si>
  <si>
    <t>FlexPBX-1772029647.52274</t>
  </si>
  <si>
    <t>FlexPBX-1772029490.52238</t>
  </si>
  <si>
    <t>FlexPBX-1772029486.52230</t>
  </si>
  <si>
    <t>FlexPBX-1772028572.52097</t>
  </si>
  <si>
    <t>FlexPBX-1772027933.52028</t>
  </si>
  <si>
    <t>FlexPBX-1772027918.52016</t>
  </si>
  <si>
    <t>FlexPBX-1772027911.51998</t>
  </si>
  <si>
    <t>FlexPBX-1772027884.51981</t>
  </si>
  <si>
    <t>FlexPBX-1772027733.51970</t>
  </si>
  <si>
    <t>FlexPBX-1772026605.51868</t>
  </si>
  <si>
    <t>FlexPBX-1772025810.51590</t>
  </si>
  <si>
    <t>FlexPBX-1772025804.51582</t>
  </si>
  <si>
    <t>FlexPBX-1772025646.51566</t>
  </si>
  <si>
    <t>FlexPBX-1772025153.51519</t>
  </si>
  <si>
    <t>FlexPBX-1772025149.51515</t>
  </si>
  <si>
    <t>FlexPBX-1772025141.51504</t>
  </si>
  <si>
    <t>FlexPBX-1772025133.51500</t>
  </si>
  <si>
    <t>FlexPBX-1772025080.51496</t>
  </si>
  <si>
    <t>FlexPBX-1772025045.51490</t>
  </si>
  <si>
    <t>FlexPBX-1772025041.51486</t>
  </si>
  <si>
    <t>FlexPBX-1772025036.51482</t>
  </si>
  <si>
    <t>FlexPBX-1772025034.51480</t>
  </si>
  <si>
    <t>FlexPBX-1772025024.51468</t>
  </si>
  <si>
    <t>FlexPBX-1772025019.51466</t>
  </si>
  <si>
    <t>FlexPBX-1772025008.51460</t>
  </si>
  <si>
    <t>FlexPBX-1772025006.51456</t>
  </si>
  <si>
    <t>FlexPBX-1772024998.51452</t>
  </si>
  <si>
    <t>FlexPBX-1772024993.51448</t>
  </si>
  <si>
    <t>FlexPBX-1772024983.51444</t>
  </si>
  <si>
    <t>FlexPBX-1772024977.51436</t>
  </si>
  <si>
    <t>FlexPBX-1772024112.51286</t>
  </si>
  <si>
    <t>FlexPBX-1772023891.51236</t>
  </si>
  <si>
    <t>FlexPBX-1772023754.51208</t>
  </si>
  <si>
    <t>FlexPBX-1772023170.51194</t>
  </si>
  <si>
    <t>FlexPBX-1772023161.51186</t>
  </si>
  <si>
    <t>FlexPBX-1772023001.51178</t>
  </si>
  <si>
    <t>FlexPBX-1772022129.51144</t>
  </si>
  <si>
    <t>FlexPBX-1772021816.51124</t>
  </si>
  <si>
    <t>FlexPBX-1772021735.51119</t>
  </si>
  <si>
    <t>FlexPBX-1772021661.51089</t>
  </si>
  <si>
    <t>FlexPBX-1772021598.51075</t>
  </si>
  <si>
    <t>FlexPBX-1772021591.51067</t>
  </si>
  <si>
    <t>FlexPBX-1772020927.50975</t>
  </si>
  <si>
    <t>FlexPBX-1772020697.50948</t>
  </si>
  <si>
    <t>FlexPBX-1772020680.50937</t>
  </si>
  <si>
    <t>FlexPBX-1772020603.50887</t>
  </si>
  <si>
    <t>FlexPBX-1772020595.50879</t>
  </si>
  <si>
    <t>FlexPBX-1772018776.50547</t>
  </si>
  <si>
    <t>FlexPBX-1772018476.50533</t>
  </si>
  <si>
    <t>FlexPBX-1771966340.50513</t>
  </si>
  <si>
    <t>FlexPBX-1771966274.50505</t>
  </si>
  <si>
    <t>FlexPBX-1771965720.50496</t>
  </si>
  <si>
    <t>FlexPBX-1771965006.50482</t>
  </si>
  <si>
    <t>FlexPBX-1771964938.50474</t>
  </si>
  <si>
    <t>FlexPBX-1771963793.50412</t>
  </si>
  <si>
    <t>FlexPBX-1771963612.50378</t>
  </si>
  <si>
    <t>FlexPBX-1771963608.50370</t>
  </si>
  <si>
    <t>FlexPBX-1771963001.50222</t>
  </si>
  <si>
    <t>FlexPBX-1771962684.50011</t>
  </si>
  <si>
    <t>FlexPBX-1771962597.49994</t>
  </si>
  <si>
    <t>FlexPBX-1771962518.49928</t>
  </si>
  <si>
    <t>FlexPBX-1771962474.49920</t>
  </si>
  <si>
    <t>FlexPBX-1771962401.49915</t>
  </si>
  <si>
    <t>FlexPBX-1771961797.49768</t>
  </si>
  <si>
    <t>FlexPBX-1771961752.49724</t>
  </si>
  <si>
    <t>FlexPBX-1771960734.49487</t>
  </si>
  <si>
    <t>FlexPBX-1771959942.49390</t>
  </si>
  <si>
    <t>FlexPBX-1771959196.49308</t>
  </si>
  <si>
    <t>FlexPBX-1771958878.49119</t>
  </si>
  <si>
    <t>FlexPBX-1771958438.48995</t>
  </si>
  <si>
    <t>FlexPBX-1771958433.48987</t>
  </si>
  <si>
    <t>FlexPBX-1771956982.48624</t>
  </si>
  <si>
    <t>FlexPBX-1771956955.48616</t>
  </si>
  <si>
    <t>FlexPBX-1771954603.48311</t>
  </si>
  <si>
    <t>FlexPBX-1771954445.48293</t>
  </si>
  <si>
    <t>FlexPBX-1771954436.48289</t>
  </si>
  <si>
    <t>FlexPBX-1771953586.48151</t>
  </si>
  <si>
    <t>FlexPBX-1771950939.47543</t>
  </si>
  <si>
    <t>FlexPBX-1771950880.47491</t>
  </si>
  <si>
    <t>FlexPBX-1771944151.47389</t>
  </si>
  <si>
    <t>FlexPBX-1771944095.47381</t>
  </si>
  <si>
    <t>FlexPBX-1771943800.47339</t>
  </si>
  <si>
    <t>FlexPBX-1771943676.47325</t>
  </si>
  <si>
    <t>FlexPBX-1771943584.47305</t>
  </si>
  <si>
    <t>FlexPBX-1771943488.47291</t>
  </si>
  <si>
    <t>FlexPBX-1771943418.47283</t>
  </si>
  <si>
    <t>FlexPBX-1771943332.47269</t>
  </si>
  <si>
    <t>FlexPBX-1771943071.47245</t>
  </si>
  <si>
    <t>FlexPBX-1771942933.47185</t>
  </si>
  <si>
    <t>FlexPBX-1771940048.46790</t>
  </si>
  <si>
    <t>FlexPBX-1771940042.46775</t>
  </si>
  <si>
    <t>FlexPBX-1771939413.46612</t>
  </si>
  <si>
    <t>FlexPBX-1771939397.46598</t>
  </si>
  <si>
    <t>FlexPBX-1771938679.46482</t>
  </si>
  <si>
    <t>FlexPBX-1771938674.46474</t>
  </si>
  <si>
    <t>FlexPBX-1771937911.46312</t>
  </si>
  <si>
    <t>FlexPBX-1771937708.46271</t>
  </si>
  <si>
    <t>FlexPBX-1771936792.46219</t>
  </si>
  <si>
    <t>FlexPBX-1771936548.46168</t>
  </si>
  <si>
    <t>FlexPBX-1771936216.46097</t>
  </si>
  <si>
    <t>FlexPBX-1771934974.45855</t>
  </si>
  <si>
    <t>FlexPBX-1771934507.45831</t>
  </si>
  <si>
    <t>FlexPBX-1771934219.45817</t>
  </si>
  <si>
    <t>FlexPBX-1771934177.45809</t>
  </si>
  <si>
    <t>FlexPBX-1771932542.45575</t>
  </si>
  <si>
    <t>FlexPBX-1771932541.45572</t>
  </si>
  <si>
    <t>FlexPBX-1771932381.45564</t>
  </si>
  <si>
    <t>FlexPBX-1771931449.45559</t>
  </si>
  <si>
    <t>FlexPBX-1771879248.45545</t>
  </si>
  <si>
    <t>FlexPBX-1771878224.45419</t>
  </si>
  <si>
    <t>FlexPBX-1771877835.45347</t>
  </si>
  <si>
    <t>FlexPBX-1771876875.45264</t>
  </si>
  <si>
    <t>FlexPBX-1771876834.45247</t>
  </si>
  <si>
    <t>FlexPBX-1771876640.45151</t>
  </si>
  <si>
    <t>FlexPBX-1771876634.45143</t>
  </si>
  <si>
    <t>FlexPBX-1771876086.45065</t>
  </si>
  <si>
    <t>FlexPBX-1771876060.45057</t>
  </si>
  <si>
    <t>FlexPBX-1771874911.45027</t>
  </si>
  <si>
    <t>FlexPBX-1771873544.44736</t>
  </si>
  <si>
    <t>FlexPBX-1771873543.44732</t>
  </si>
  <si>
    <t>FlexPBX-1771872504.44626</t>
  </si>
  <si>
    <t>FlexPBX-1771872156.44588</t>
  </si>
  <si>
    <t>FlexPBX-1771871896.44526</t>
  </si>
  <si>
    <t>FlexPBX-1771869272.44173</t>
  </si>
  <si>
    <t>FlexPBX-1771868515.44063</t>
  </si>
  <si>
    <t>FlexPBX-1771868147.43976</t>
  </si>
  <si>
    <t>FlexPBX-1771867558.43850</t>
  </si>
  <si>
    <t>FlexPBX-1771866884.43703</t>
  </si>
  <si>
    <t>FlexPBX-1771866526.43683</t>
  </si>
  <si>
    <t>FlexPBX-1771865537.43539</t>
  </si>
  <si>
    <t>FlexPBX-1771865057.43469</t>
  </si>
  <si>
    <t>FlexPBX-1771864585.43402</t>
  </si>
  <si>
    <t>FlexPBX-1771864132.43313</t>
  </si>
  <si>
    <t>FlexPBX-1771864086.43308</t>
  </si>
  <si>
    <t>FlexPBX-1771862674.43303</t>
  </si>
  <si>
    <t>FlexPBX-1771860871.43298</t>
  </si>
  <si>
    <t>FlexPBX-1771858771.43264</t>
  </si>
  <si>
    <t>FlexPBX-1771857485.43033</t>
  </si>
  <si>
    <t>FlexPBX-1771857413.43017</t>
  </si>
  <si>
    <t>FlexPBX-1771857041.42914</t>
  </si>
  <si>
    <t>FlexPBX-1771856697.42870</t>
  </si>
  <si>
    <t>FlexPBX-1771856683.42862</t>
  </si>
  <si>
    <t>FlexPBX-1771856627.42824</t>
  </si>
  <si>
    <t>FlexPBX-1771855019.42742</t>
  </si>
  <si>
    <t>FlexPBX-1771854693.42662</t>
  </si>
  <si>
    <t>FlexPBX-1771854516.42636</t>
  </si>
  <si>
    <t>FlexPBX-1771854511.42626</t>
  </si>
  <si>
    <t>FlexPBX-1771854503.42623</t>
  </si>
  <si>
    <t>FlexPBX-1771854183.42581</t>
  </si>
  <si>
    <t>FlexPBX-1771854152.42569</t>
  </si>
  <si>
    <t>FlexPBX-1771853938.42538</t>
  </si>
  <si>
    <t>FlexPBX-1771853589.42440</t>
  </si>
  <si>
    <t>FlexPBX-1771851291.42113</t>
  </si>
  <si>
    <t>FlexPBX-1771850980.42093</t>
  </si>
  <si>
    <t>FlexPBX-1771850907.42059</t>
  </si>
  <si>
    <t>FlexPBX-1771850901.42047</t>
  </si>
  <si>
    <t>FlexPBX-1771850897.42029</t>
  </si>
  <si>
    <t>FlexPBX-1771850890.42023</t>
  </si>
  <si>
    <t>FlexPBX-1771850886.42011</t>
  </si>
  <si>
    <t>FlexPBX-1771848758.41755</t>
  </si>
  <si>
    <t>FlexPBX-1771848600.41692</t>
  </si>
  <si>
    <t>FlexPBX-1771848453.41658</t>
  </si>
  <si>
    <t>FlexPBX-1771848448.41650</t>
  </si>
  <si>
    <t>FlexPBX-1771847162.41487</t>
  </si>
  <si>
    <t>FlexPBX-1771845696.41479</t>
  </si>
  <si>
    <t>FlexPBX-1771845233.41461</t>
  </si>
  <si>
    <t>FlexPBX-1771845219.41451</t>
  </si>
  <si>
    <t>FlexPBX-1771845186.41439</t>
  </si>
  <si>
    <t>FlexPBX-1771805642.41434</t>
  </si>
  <si>
    <t>FlexPBX-1771692164.41429</t>
  </si>
  <si>
    <t>FlexPBX-1771685219.41424</t>
  </si>
  <si>
    <t>FlexPBX-1771680847.41419</t>
  </si>
  <si>
    <t>FlexPBX-1771671919.41414</t>
  </si>
  <si>
    <t>FlexPBX-1771619730.41284</t>
  </si>
  <si>
    <t>FlexPBX-1771619659.41270</t>
  </si>
  <si>
    <t>FlexPBX-1771619271.41250</t>
  </si>
  <si>
    <t>FlexPBX-1771619200.41242</t>
  </si>
  <si>
    <t>FlexPBX-1771618880.41234</t>
  </si>
  <si>
    <t>FlexPBX-1771618392.41188</t>
  </si>
  <si>
    <t>FlexPBX-1771618349.41176</t>
  </si>
  <si>
    <t>FlexPBX-1771618344.41168</t>
  </si>
  <si>
    <t>FlexPBX-1771616670.40788</t>
  </si>
  <si>
    <t>FlexPBX-1771616665.40780</t>
  </si>
  <si>
    <t>FlexPBX-1771616659.40769</t>
  </si>
  <si>
    <t>FlexPBX-1771616652.40761</t>
  </si>
  <si>
    <t>FlexPBX-1771616647.40753</t>
  </si>
  <si>
    <t>FlexPBX-1771616496.40675</t>
  </si>
  <si>
    <t>FlexPBX-1771616148.40627</t>
  </si>
  <si>
    <t>FlexPBX-1771616087.40615</t>
  </si>
  <si>
    <t>FlexPBX-1771616065.40611</t>
  </si>
  <si>
    <t>FlexPBX-1771615294.40483</t>
  </si>
  <si>
    <t>FlexPBX-1771611733.39969</t>
  </si>
  <si>
    <t>FlexPBX-1771611700.39940</t>
  </si>
  <si>
    <t>FlexPBX-1771611485.39926</t>
  </si>
  <si>
    <t>FlexPBX-1771611406.39898</t>
  </si>
  <si>
    <t>FlexPBX-1771609142.39653</t>
  </si>
  <si>
    <t>FlexPBX-1771609132.39645</t>
  </si>
  <si>
    <t>FlexPBX-1771608207.39613</t>
  </si>
  <si>
    <t>FlexPBX-1771607470.39458</t>
  </si>
  <si>
    <t>FlexPBX-1771606584.39357</t>
  </si>
  <si>
    <t>FlexPBX-1771605841.39246</t>
  </si>
  <si>
    <t>FlexPBX-1771604845.38999</t>
  </si>
  <si>
    <t>FlexPBX-1771604615.38994</t>
  </si>
  <si>
    <t>FlexPBX-1771604535.38989</t>
  </si>
  <si>
    <t>FlexPBX-1771604127.38984</t>
  </si>
  <si>
    <t>FlexPBX-1771602749.38979</t>
  </si>
  <si>
    <t>FlexPBX-1771599986.38974</t>
  </si>
  <si>
    <t>FlexPBX-1771598298.38948</t>
  </si>
  <si>
    <t>FlexPBX-1771597451.38820</t>
  </si>
  <si>
    <t>FlexPBX-1771595600.38395</t>
  </si>
  <si>
    <t>FlexPBX-1771594726.38278</t>
  </si>
  <si>
    <t>FlexPBX-1771594633.38273</t>
  </si>
  <si>
    <t>FlexPBX-1771593320.38105</t>
  </si>
  <si>
    <t>FlexPBX-1771593315.38097</t>
  </si>
  <si>
    <t>FlexPBX-1771593310.38089</t>
  </si>
  <si>
    <t>FlexPBX-1771593124.38081</t>
  </si>
  <si>
    <t>FlexPBX-1771592837.37972</t>
  </si>
  <si>
    <t>FlexPBX-1771591146.37813</t>
  </si>
  <si>
    <t>FlexPBX-1771591140.37805</t>
  </si>
  <si>
    <t>FlexPBX-1771590820.37702</t>
  </si>
  <si>
    <t>FlexPBX-1771590423.37682</t>
  </si>
  <si>
    <t>FlexPBX-1771588933.37385</t>
  </si>
  <si>
    <t>FlexPBX-1771588929.37377</t>
  </si>
  <si>
    <t>FlexPBX-1771588923.37369</t>
  </si>
  <si>
    <t>FlexPBX-1771588754.37355</t>
  </si>
  <si>
    <t>FlexPBX-1771588475.37327</t>
  </si>
  <si>
    <t>FlexPBX-1771588342.37292</t>
  </si>
  <si>
    <t>FlexPBX-1771588189.37266</t>
  </si>
  <si>
    <t>FlexPBX-1771588188.37262</t>
  </si>
  <si>
    <t>FlexPBX-1771588178.37250</t>
  </si>
  <si>
    <t>FlexPBX-1771588115.37236</t>
  </si>
  <si>
    <t>FlexPBX-1771588107.37228</t>
  </si>
  <si>
    <t>FlexPBX-1771587846.37188</t>
  </si>
  <si>
    <t>FlexPBX-1771587120.37030</t>
  </si>
  <si>
    <t>FlexPBX-1771586931.36969</t>
  </si>
  <si>
    <t>FlexPBX-1771586669.36955</t>
  </si>
  <si>
    <t>FlexPBX-1771586660.36947</t>
  </si>
  <si>
    <t>FlexPBX-1771586365.36942</t>
  </si>
  <si>
    <t>FlexPBX-1771585597.36937</t>
  </si>
  <si>
    <t>FlexPBX-1771533488.36747</t>
  </si>
  <si>
    <t>FlexPBX-1771533421.36735</t>
  </si>
  <si>
    <t>FlexPBX-1771533394.36727</t>
  </si>
  <si>
    <t>FlexPBX-1771532168.36552</t>
  </si>
  <si>
    <t>FlexPBX-1771530506.36316</t>
  </si>
  <si>
    <t>FlexPBX-1771529949.36222</t>
  </si>
  <si>
    <t>FlexPBX-1771529314.36114</t>
  </si>
  <si>
    <t>FlexPBX-1771529308.36095</t>
  </si>
  <si>
    <t>FlexPBX-1771529132.36038</t>
  </si>
  <si>
    <t>FlexPBX-1771529007.36023</t>
  </si>
  <si>
    <t>FlexPBX-1771529002.36015</t>
  </si>
  <si>
    <t>FlexPBX-1771527825.35863</t>
  </si>
  <si>
    <t>FlexPBX-1771527248.35740</t>
  </si>
  <si>
    <t>FlexPBX-1771527192.35705</t>
  </si>
  <si>
    <t>FlexPBX-1771526570.35596</t>
  </si>
  <si>
    <t>FlexPBX-1771525223.35259</t>
  </si>
  <si>
    <t>FlexPBX-1771524739.35122</t>
  </si>
  <si>
    <t>FlexPBX-1771524152.35108</t>
  </si>
  <si>
    <t>FlexPBX-1771524105.35100</t>
  </si>
  <si>
    <t>FlexPBX-1771523665.35020</t>
  </si>
  <si>
    <t>FlexPBX-1771523578.35001</t>
  </si>
  <si>
    <t>FlexPBX-1771522513.34724</t>
  </si>
  <si>
    <t>FlexPBX-1771522502.34716</t>
  </si>
  <si>
    <t>FlexPBX-1771522441.34708</t>
  </si>
  <si>
    <t>FlexPBX-1771522360.34682</t>
  </si>
  <si>
    <t>FlexPBX-1771522009.34517</t>
  </si>
  <si>
    <t>FlexPBX-1771519520.34246</t>
  </si>
  <si>
    <t>FlexPBX-1771519438.34223</t>
  </si>
  <si>
    <t>FlexPBX-1771519350.34192</t>
  </si>
  <si>
    <t>FlexPBX-1771518919.33970</t>
  </si>
  <si>
    <t>FlexPBX-1771518879.33962</t>
  </si>
  <si>
    <t>FlexPBX-1771518873.33954</t>
  </si>
  <si>
    <t>FlexPBX-1771518794.33949</t>
  </si>
  <si>
    <t>FlexPBX-1771518451.33944</t>
  </si>
  <si>
    <t>FlexPBX-1771511594.33884</t>
  </si>
  <si>
    <t>FlexPBX-1771511578.33870</t>
  </si>
  <si>
    <t>FlexPBX-1771511570.33856</t>
  </si>
  <si>
    <t>FlexPBX-1771510956.33830</t>
  </si>
  <si>
    <t>FlexPBX-1771510736.33673</t>
  </si>
  <si>
    <t>FlexPBX-1771509694.33480</t>
  </si>
  <si>
    <t>FlexPBX-1771509462.33460</t>
  </si>
  <si>
    <t>FlexPBX-1771508676.33234</t>
  </si>
  <si>
    <t>FlexPBX-1771508277.33203</t>
  </si>
  <si>
    <t>FlexPBX-1771507979.33177</t>
  </si>
  <si>
    <t>FlexPBX-1771507126.33017</t>
  </si>
  <si>
    <t>FlexPBX-1771507120.33009</t>
  </si>
  <si>
    <t>FlexPBX-1771506401.32885</t>
  </si>
  <si>
    <t>FlexPBX-1771504722.32627</t>
  </si>
  <si>
    <t>FlexPBX-1771504644.32607</t>
  </si>
  <si>
    <t>FlexPBX-1771504249.32565</t>
  </si>
  <si>
    <t>FlexPBX-1771503653.32493</t>
  </si>
  <si>
    <t>FlexPBX-1771503592.32479</t>
  </si>
  <si>
    <t>FlexPBX-1771503250.32411</t>
  </si>
  <si>
    <t>FlexPBX-1771502784.32329</t>
  </si>
  <si>
    <t>FlexPBX-1771502777.32321</t>
  </si>
  <si>
    <t>FlexPBX-1771502551.32292</t>
  </si>
  <si>
    <t>FlexPBX-1771501759.32192</t>
  </si>
  <si>
    <t>FlexPBX-1771500840.32052</t>
  </si>
  <si>
    <t>FlexPBX-1771500833.32044</t>
  </si>
  <si>
    <t>FlexPBX-1771500441.32015</t>
  </si>
  <si>
    <t>FlexPBX-1771499780.32010</t>
  </si>
  <si>
    <t>FlexPBX-1771499528.32002</t>
  </si>
  <si>
    <t>FlexPBX-1771499502.31994</t>
  </si>
  <si>
    <t>FlexPBX-1771499493.31986</t>
  </si>
  <si>
    <t>FlexPBX-1771499485.31978</t>
  </si>
  <si>
    <t>FlexPBX-1771499419.31964</t>
  </si>
  <si>
    <t>FlexPBX-1771499399.31956</t>
  </si>
  <si>
    <t>FlexPBX-1771453452.31951</t>
  </si>
  <si>
    <t>FlexPBX-1771448594.31946</t>
  </si>
  <si>
    <t>FlexPBX-1771448059.31932</t>
  </si>
  <si>
    <t>FlexPBX-1771447349.31788</t>
  </si>
  <si>
    <t>FlexPBX-1771444444.31595</t>
  </si>
  <si>
    <t>FlexPBX-1771442986.31262</t>
  </si>
  <si>
    <t>FlexPBX-1771442227.31242</t>
  </si>
  <si>
    <t>FlexPBX-1771441552.30958</t>
  </si>
  <si>
    <t>FlexPBX-1771441439.30944</t>
  </si>
  <si>
    <t>FlexPBX-1771440826.30852</t>
  </si>
  <si>
    <t>FlexPBX-1771440782.30829</t>
  </si>
  <si>
    <t>FlexPBX-1771439893.30528</t>
  </si>
  <si>
    <t>FlexPBX-1771439470.30479</t>
  </si>
  <si>
    <t>FlexPBX-1771439019.30413</t>
  </si>
  <si>
    <t>FlexPBX-1771438572.30242</t>
  </si>
  <si>
    <t>FlexPBX-1771436032.30020</t>
  </si>
  <si>
    <t>FlexPBX-1771436022.30012</t>
  </si>
  <si>
    <t>FlexPBX-1771433597.29627</t>
  </si>
  <si>
    <t>FlexPBX-1771432311.29434</t>
  </si>
  <si>
    <t>FlexPBX-1771430709.29426</t>
  </si>
  <si>
    <t>FlexPBX-1771425010.29212</t>
  </si>
  <si>
    <t>FlexPBX-1771425000.29198</t>
  </si>
  <si>
    <t>FlexPBX-1771424894.29190</t>
  </si>
  <si>
    <t>FlexPBX-1771424829.29176</t>
  </si>
  <si>
    <t>FlexPBX-1771424336.29051</t>
  </si>
  <si>
    <t>FlexPBX-1771421732.28691</t>
  </si>
  <si>
    <t>FlexPBX-1771421494.28677</t>
  </si>
  <si>
    <t>FlexPBX-1771419456.28426</t>
  </si>
  <si>
    <t>FlexPBX-1771418329.28258</t>
  </si>
  <si>
    <t>FlexPBX-1771418296.28244</t>
  </si>
  <si>
    <t>FlexPBX-1771418291.28236</t>
  </si>
  <si>
    <t>FlexPBX-1771418079.28225</t>
  </si>
  <si>
    <t>FlexPBX-1771416332.28133</t>
  </si>
  <si>
    <t>FlexPBX-1771416322.28125</t>
  </si>
  <si>
    <t>FlexPBX-1771415996.28076</t>
  </si>
  <si>
    <t>FlexPBX-1771415975.28058</t>
  </si>
  <si>
    <t>FlexPBX-1771415954.28046</t>
  </si>
  <si>
    <t>FlexPBX-1771413588.27707</t>
  </si>
  <si>
    <t>FlexPBX-1771412997.27691</t>
  </si>
  <si>
    <t>FlexPBX-1771412981.27679</t>
  </si>
  <si>
    <t>FlexPBX-1771412967.27665</t>
  </si>
  <si>
    <t>FlexPBX-1771412943.27657</t>
  </si>
  <si>
    <t>FlexPBX-1771412859.27647</t>
  </si>
  <si>
    <t>FlexPBX-1771412847.27639</t>
  </si>
  <si>
    <t>FlexPBX-1771412836.27631</t>
  </si>
  <si>
    <t>FlexPBX-1771412744.27619</t>
  </si>
  <si>
    <t>FlexPBX-1771412648.27611</t>
  </si>
  <si>
    <t>FlexPBX-1771412597.27597</t>
  </si>
  <si>
    <t>FlexPBX-1771356016.27592</t>
  </si>
  <si>
    <t>FlexPBX-1771338356.27545</t>
  </si>
  <si>
    <t>FlexPBX-1771338312.27540</t>
  </si>
  <si>
    <t>FlexPBX-1771336150.27535</t>
  </si>
  <si>
    <t>FlexPBX-1771336113.27524</t>
  </si>
  <si>
    <t>FlexPBX-1771332006.27511</t>
  </si>
  <si>
    <t>FlexPBX-1771271718.27323</t>
  </si>
  <si>
    <t>FlexPBX-1771271705.27316</t>
  </si>
  <si>
    <t>FlexPBX-1771271702.27312</t>
  </si>
  <si>
    <t>FlexPBX-1771271003.27221</t>
  </si>
  <si>
    <t>FlexPBX-1771268666.27193</t>
  </si>
  <si>
    <t>FlexPBX-1771264482.26909</t>
  </si>
  <si>
    <t>FlexPBX-1771264117.26895</t>
  </si>
  <si>
    <t>FlexPBX-1771264054.26881</t>
  </si>
  <si>
    <t>FlexPBX-1771264050.26873</t>
  </si>
  <si>
    <t>FlexPBX-1771262590.26835</t>
  </si>
  <si>
    <t>FlexPBX-1771262476.26827</t>
  </si>
  <si>
    <t>FlexPBX-1771259978.26646</t>
  </si>
  <si>
    <t>FlexPBX-1771259907.26609</t>
  </si>
  <si>
    <t>FlexPBX-1771259138.26595</t>
  </si>
  <si>
    <t>FlexPBX-1771253080.26573</t>
  </si>
  <si>
    <t>FlexPBX-1771250983.26449</t>
  </si>
  <si>
    <t>FlexPBX-1771250476.26424</t>
  </si>
  <si>
    <t>FlexPBX-1771249573.26410</t>
  </si>
  <si>
    <t>FlexPBX-1771248694.26352</t>
  </si>
  <si>
    <t>FlexPBX-1771248253.26284</t>
  </si>
  <si>
    <t>FlexPBX-1771247454.26240</t>
  </si>
  <si>
    <t>FlexPBX-1771246321.26232</t>
  </si>
  <si>
    <t>FlexPBX-1771245023.26212</t>
  </si>
  <si>
    <t>FlexPBX-1771245018.26204</t>
  </si>
  <si>
    <t>FlexPBX-1771244533.26188</t>
  </si>
  <si>
    <t>FlexPBX-1771244437.26176</t>
  </si>
  <si>
    <t>FlexPBX-1771244426.26168</t>
  </si>
  <si>
    <t>FlexPBX-1771244409.26160</t>
  </si>
  <si>
    <t>FlexPBX-1771244075.26112</t>
  </si>
  <si>
    <t>FlexPBX-1771243815.26104</t>
  </si>
  <si>
    <t>FlexPBX-1771243707.26096</t>
  </si>
  <si>
    <t>FlexPBX-1771243651.26085</t>
  </si>
  <si>
    <t>FlexPBX-1771243623.26073</t>
  </si>
  <si>
    <t>FlexPBX-1771241875.26065</t>
  </si>
  <si>
    <t>FlexPBX-1771241130.26034</t>
  </si>
  <si>
    <t>FlexPBX-1771241076.26029</t>
  </si>
  <si>
    <t>FlexPBX-1771240753.26021</t>
  </si>
  <si>
    <t>FlexPBX-1771240741.26013</t>
  </si>
  <si>
    <t>FlexPBX-1771240674.26005</t>
  </si>
  <si>
    <t>FlexPBX-1771116544.25986</t>
  </si>
  <si>
    <t>FlexPBX-1771070267.25967</t>
  </si>
  <si>
    <t>FlexPBX-1771069436.25962</t>
  </si>
  <si>
    <t>FlexPBX-1771014768.25916</t>
  </si>
  <si>
    <t>FlexPBX-1771014372.25884</t>
  </si>
  <si>
    <t>FlexPBX-1771014152.25832</t>
  </si>
  <si>
    <t>FlexPBX-1771014112.25821</t>
  </si>
  <si>
    <t>FlexPBX-1771013963.25779</t>
  </si>
  <si>
    <t>FlexPBX-1771013790.25765</t>
  </si>
  <si>
    <t>FlexPBX-1771013726.25757</t>
  </si>
  <si>
    <t>FlexPBX-1771013548.25657</t>
  </si>
  <si>
    <t>FlexPBX-1771013400.25637</t>
  </si>
  <si>
    <t>FlexPBX-1771013318.25629</t>
  </si>
  <si>
    <t>FlexPBX-1771013129.25563</t>
  </si>
  <si>
    <t>FlexPBX-1771013052.25555</t>
  </si>
  <si>
    <t>FlexPBX-1771012495.25517</t>
  </si>
  <si>
    <t>FlexPBX-1771011732.25370</t>
  </si>
  <si>
    <t>FlexPBX-1771011643.25345</t>
  </si>
  <si>
    <t>FlexPBX-1771011600.25317</t>
  </si>
  <si>
    <t>FlexPBX-1771011549.25303</t>
  </si>
  <si>
    <t>FlexPBX-1771011457.25289</t>
  </si>
  <si>
    <t>FlexPBX-1771011426.25281</t>
  </si>
  <si>
    <t>FlexPBX-1771011212.25203</t>
  </si>
  <si>
    <t>FlexPBX-1771011107.25189</t>
  </si>
  <si>
    <t>FlexPBX-1771010969.25175</t>
  </si>
  <si>
    <t>FlexPBX-1771010842.25104</t>
  </si>
  <si>
    <t>FlexPBX-1771010738.25051</t>
  </si>
  <si>
    <t>FlexPBX-1771010637.24984</t>
  </si>
  <si>
    <t>FlexPBX-1771010527.24967</t>
  </si>
  <si>
    <t>FlexPBX-1771010433.24959</t>
  </si>
  <si>
    <t>FlexPBX-1771009694.24899</t>
  </si>
  <si>
    <t>FlexPBX-1771009626.24872</t>
  </si>
  <si>
    <t>FlexPBX-1771009102.24805</t>
  </si>
  <si>
    <t>FlexPBX-1771008971.24745</t>
  </si>
  <si>
    <t>FlexPBX-1771008941.24731</t>
  </si>
  <si>
    <t>FlexPBX-1771008893.24723</t>
  </si>
  <si>
    <t>FlexPBX-1771008879.24715</t>
  </si>
  <si>
    <t>FlexPBX-1771008854.24707</t>
  </si>
  <si>
    <t>FlexPBX-1771008707.24693</t>
  </si>
  <si>
    <t>FlexPBX-1771008692.24685</t>
  </si>
  <si>
    <t>FlexPBX-1771008660.24671</t>
  </si>
  <si>
    <t>FlexPBX-1771008453.24643</t>
  </si>
  <si>
    <t>FlexPBX-1771008238.24607</t>
  </si>
  <si>
    <t>FlexPBX-1771008117.24579</t>
  </si>
  <si>
    <t>FlexPBX-1771007978.24565</t>
  </si>
  <si>
    <t>FlexPBX-1771007793.24551</t>
  </si>
  <si>
    <t>FlexPBX-1771007046.24440</t>
  </si>
  <si>
    <t>FlexPBX-1771006931.24397</t>
  </si>
  <si>
    <t>FlexPBX-1771006804.24368</t>
  </si>
  <si>
    <t>FlexPBX-1771006673.24321</t>
  </si>
  <si>
    <t>FlexPBX-1771006661.24317</t>
  </si>
  <si>
    <t>FlexPBX-1771006527.24303</t>
  </si>
  <si>
    <t>FlexPBX-1771006366.24295</t>
  </si>
  <si>
    <t>FlexPBX-1771006122.24256</t>
  </si>
  <si>
    <t>FlexPBX-1771005515.24113</t>
  </si>
  <si>
    <t>FlexPBX-1771005419.24083</t>
  </si>
  <si>
    <t>FlexPBX-1771005093.23986</t>
  </si>
  <si>
    <t>FlexPBX-1771005086.23974</t>
  </si>
  <si>
    <t>FlexPBX-1771005086.23978</t>
  </si>
  <si>
    <t>FlexPBX-1771005081.23966</t>
  </si>
  <si>
    <t>FlexPBX-1771005021.23958</t>
  </si>
  <si>
    <t>FlexPBX-1771004988.23950</t>
  </si>
  <si>
    <t>FlexPBX-1771004985.23940</t>
  </si>
  <si>
    <t>FlexPBX-1771004980.23934</t>
  </si>
  <si>
    <t>FlexPBX-1771004950.23926</t>
  </si>
  <si>
    <t>FlexPBX-1771004899.23903</t>
  </si>
  <si>
    <t>FlexPBX-1771004835.23889</t>
  </si>
  <si>
    <t>FlexPBX-1771004776.23881</t>
  </si>
  <si>
    <t>FlexPBX-1771004634.23865</t>
  </si>
  <si>
    <t>FlexPBX-1771004212.23745</t>
  </si>
  <si>
    <t>FlexPBX-1771003132.23568</t>
  </si>
  <si>
    <t>FlexPBX-1771003126.23560</t>
  </si>
  <si>
    <t>FlexPBX-1771001940.23358</t>
  </si>
  <si>
    <t>FlexPBX-1771001935.23350</t>
  </si>
  <si>
    <t>FlexPBX-1771001487.23246</t>
  </si>
  <si>
    <t>FlexPBX-1771001480.23238</t>
  </si>
  <si>
    <t>FlexPBX-1771000514.23081</t>
  </si>
  <si>
    <t>FlexPBX-1771000506.23069</t>
  </si>
  <si>
    <t>FlexPBX-1771000454.23022</t>
  </si>
  <si>
    <t>FlexPBX-1771000435.22988</t>
  </si>
  <si>
    <t>FlexPBX-1771000412.22974</t>
  </si>
  <si>
    <t>FlexPBX-1771000376.22961</t>
  </si>
  <si>
    <t>FlexPBX-1771000363.22947</t>
  </si>
  <si>
    <t>FlexPBX-1771000352.22939</t>
  </si>
  <si>
    <t>FlexPBX-1771000343.22927</t>
  </si>
  <si>
    <t>FlexPBX-1770999760.22922</t>
  </si>
  <si>
    <t>FlexPBX-1770999707.22917</t>
  </si>
  <si>
    <t>FlexPBX-1770999628.22909</t>
  </si>
  <si>
    <t>FlexPBX-1770998900.22904</t>
  </si>
  <si>
    <t>FlexPBX-1770998757.22899</t>
  </si>
  <si>
    <t>FlexPBX-1770998713.22894</t>
  </si>
  <si>
    <t>FlexPBX-1770994491.22866</t>
  </si>
  <si>
    <t>FlexPBX-1770994436.22858</t>
  </si>
  <si>
    <t>FlexPBX-1770994351.22838</t>
  </si>
  <si>
    <t>FlexPBX-1770992954.22677</t>
  </si>
  <si>
    <t>FlexPBX-1770992946.22657</t>
  </si>
  <si>
    <t>FlexPBX-1770992918.22645</t>
  </si>
  <si>
    <t>FlexPBX-1770992815.22634</t>
  </si>
  <si>
    <t>FlexPBX-1770992757.22626</t>
  </si>
  <si>
    <t>FlexPBX-1770992615.22618</t>
  </si>
  <si>
    <t>FlexPBX-1770992546.22604</t>
  </si>
  <si>
    <t>FlexPBX-1770992414.22576</t>
  </si>
  <si>
    <t>FlexPBX-1770992225.22464</t>
  </si>
  <si>
    <t>FlexPBX-1770991862.22448</t>
  </si>
  <si>
    <t>FlexPBX-1770991855.22440</t>
  </si>
  <si>
    <t>FlexPBX-1770990794.22199</t>
  </si>
  <si>
    <t>FlexPBX-1770990288.22144</t>
  </si>
  <si>
    <t>FlexPBX-1770990252.22130</t>
  </si>
  <si>
    <t>FlexPBX-1770989550.22095</t>
  </si>
  <si>
    <t>FlexPBX-1770989536.22087</t>
  </si>
  <si>
    <t>FlexPBX-1770989522.22076</t>
  </si>
  <si>
    <t>FlexPBX-1770989162.21961</t>
  </si>
  <si>
    <t>FlexPBX-1770988512.21664</t>
  </si>
  <si>
    <t>FlexPBX-1770987621.21434</t>
  </si>
  <si>
    <t>FlexPBX-1770987159.21408</t>
  </si>
  <si>
    <t>FlexPBX-1770987118.21380</t>
  </si>
  <si>
    <t>FlexPBX-1770987091.21372</t>
  </si>
  <si>
    <t>FlexPBX-1770986911.21356</t>
  </si>
  <si>
    <t>FlexPBX-1770986776.21344</t>
  </si>
  <si>
    <t>FlexPBX-1770986766.21336</t>
  </si>
  <si>
    <t>FlexPBX-1770986751.21328</t>
  </si>
  <si>
    <t>FlexPBX-1770986667.21308</t>
  </si>
  <si>
    <t>FlexPBX-1770986652.21294</t>
  </si>
  <si>
    <t>FlexPBX-1770986623.21286</t>
  </si>
  <si>
    <t>FlexPBX-1770986611.21278</t>
  </si>
  <si>
    <t>FlexPBX-1770986608.21270</t>
  </si>
  <si>
    <t>FlexPBX-1770986462.21250</t>
  </si>
  <si>
    <t>FlexPBX-1770986344.21216</t>
  </si>
  <si>
    <t>FlexPBX-1770985840.21157</t>
  </si>
  <si>
    <t>FlexPBX-1770984979.21024</t>
  </si>
  <si>
    <t>FlexPBX-1770984823.21006</t>
  </si>
  <si>
    <t>FlexPBX-1770984796.21002</t>
  </si>
  <si>
    <t>FlexPBX-1770984252.20856</t>
  </si>
  <si>
    <t>FlexPBX-1770983280.20717</t>
  </si>
  <si>
    <t>FlexPBX-1770983159.20670</t>
  </si>
  <si>
    <t>FlexPBX-1770983138.20658</t>
  </si>
  <si>
    <t>FlexPBX-1770983129.20647</t>
  </si>
  <si>
    <t>FlexPBX-1770983033.20633</t>
  </si>
  <si>
    <t>FlexPBX-1770982658.20567</t>
  </si>
  <si>
    <t>FlexPBX-1770982638.20553</t>
  </si>
  <si>
    <t>FlexPBX-1770982480.20482</t>
  </si>
  <si>
    <t>FlexPBX-1770982423.20446</t>
  </si>
  <si>
    <t>FlexPBX-1770982388.20424</t>
  </si>
  <si>
    <t>FlexPBX-1770982276.20378</t>
  </si>
  <si>
    <t>FlexPBX-1770982130.20354</t>
  </si>
  <si>
    <t>FlexPBX-1770982025.20340</t>
  </si>
  <si>
    <t>FlexPBX-1770981610.20332</t>
  </si>
  <si>
    <t>FlexPBX-1770981362.20327</t>
  </si>
  <si>
    <t>FlexPBX-1770981340.20319</t>
  </si>
  <si>
    <t>FlexPBX-1770981304.20305</t>
  </si>
  <si>
    <t>FlexPBX-1770981206.20295</t>
  </si>
  <si>
    <t>FlexPBX-1770981188.20283</t>
  </si>
  <si>
    <t>FlexPBX-1770980961.20273</t>
  </si>
  <si>
    <t>FlexPBX-1770980956.20265</t>
  </si>
  <si>
    <t>FlexPBX-1770980916.20253</t>
  </si>
  <si>
    <t>FlexPBX-1770980904.20245</t>
  </si>
  <si>
    <t>FlexPBX-1770929586.20231</t>
  </si>
  <si>
    <t>FlexPBX-1770929473.20217</t>
  </si>
  <si>
    <t>FlexPBX-1770929419.20203</t>
  </si>
  <si>
    <t>FlexPBX-1770929282.20189</t>
  </si>
  <si>
    <t>FlexPBX-1770929215.20181</t>
  </si>
  <si>
    <t>FlexPBX-1770928901.20161</t>
  </si>
  <si>
    <t>FlexPBX-1770928828.20147</t>
  </si>
  <si>
    <t>FlexPBX-1770928619.20131</t>
  </si>
  <si>
    <t>FlexPBX-1770928529.20113</t>
  </si>
  <si>
    <t>FlexPBX-1770928412.20105</t>
  </si>
  <si>
    <t>FlexPBX-1770928179.20072</t>
  </si>
  <si>
    <t>FlexPBX-1770927680.19978</t>
  </si>
  <si>
    <t>FlexPBX-1770927640.19970</t>
  </si>
  <si>
    <t>FlexPBX-1770927555.19935</t>
  </si>
  <si>
    <t>FlexPBX-1770927551.19925</t>
  </si>
  <si>
    <t>FlexPBX-1770927526.19903</t>
  </si>
  <si>
    <t>FlexPBX-1770927466.19859</t>
  </si>
  <si>
    <t>FlexPBX-1770927458.19848</t>
  </si>
  <si>
    <t>FlexPBX-1770927397.19840</t>
  </si>
  <si>
    <t>FlexPBX-1770927238.19826</t>
  </si>
  <si>
    <t>FlexPBX-1770927135.19806</t>
  </si>
  <si>
    <t>FlexPBX-1770926931.19764</t>
  </si>
  <si>
    <t>FlexPBX-1770926323.19716</t>
  </si>
  <si>
    <t>FlexPBX-1770925736.19672</t>
  </si>
  <si>
    <t>FlexPBX-1770925667.19658</t>
  </si>
  <si>
    <t>FlexPBX-1770925590.19650</t>
  </si>
  <si>
    <t>FlexPBX-1770923262.19255</t>
  </si>
  <si>
    <t>FlexPBX-1770922891.19191</t>
  </si>
  <si>
    <t>FlexPBX-1770922872.19177</t>
  </si>
  <si>
    <t>FlexPBX-1770922026.19057</t>
  </si>
  <si>
    <t>FlexPBX-1770920862.18978</t>
  </si>
  <si>
    <t>FlexPBX-1770920800.18970</t>
  </si>
  <si>
    <t>FlexPBX-1770920364.18947</t>
  </si>
  <si>
    <t>FlexPBX-1770919947.18910</t>
  </si>
  <si>
    <t>FlexPBX-1770919601.18869</t>
  </si>
  <si>
    <t>FlexPBX-1770919383.18830</t>
  </si>
  <si>
    <t>FlexPBX-1770919375.18822</t>
  </si>
  <si>
    <t>FlexPBX-1770919363.18814</t>
  </si>
  <si>
    <t>FlexPBX-1770919289.18782</t>
  </si>
  <si>
    <t>FlexPBX-1770918988.18720</t>
  </si>
  <si>
    <t>FlexPBX-1770918983.18709</t>
  </si>
  <si>
    <t>FlexPBX-1770918538.18657</t>
  </si>
  <si>
    <t>FlexPBX-1770918297.18643</t>
  </si>
  <si>
    <t>FlexPBX-1770918293.18635</t>
  </si>
  <si>
    <t>FlexPBX-1770918233.18621</t>
  </si>
  <si>
    <t>FlexPBX-1770916083.18273</t>
  </si>
  <si>
    <t>FlexPBX-1770915401.18105</t>
  </si>
  <si>
    <t>FlexPBX-1770915381.18097</t>
  </si>
  <si>
    <t>FlexPBX-1770914941.18013</t>
  </si>
  <si>
    <t>FlexPBX-1770914050.17782</t>
  </si>
  <si>
    <t>FlexPBX-1770914031.17770</t>
  </si>
  <si>
    <t>FlexPBX-1770913770.17738</t>
  </si>
  <si>
    <t>FlexPBX-1770913618.17733</t>
  </si>
  <si>
    <t>FlexPBX-1770913512.17728</t>
  </si>
  <si>
    <t>FlexPBX-1770913465.17723</t>
  </si>
  <si>
    <t>FlexPBX-1770913256.17676</t>
  </si>
  <si>
    <t>FlexPBX-1770909658.17657</t>
  </si>
  <si>
    <t>FlexPBX-1770909636.17650</t>
  </si>
  <si>
    <t>FlexPBX-1770909620.17647</t>
  </si>
  <si>
    <t>FlexPBX-1770907026.17475</t>
  </si>
  <si>
    <t>FlexPBX-1770906979.17448</t>
  </si>
  <si>
    <t>FlexPBX-1770906963.17430</t>
  </si>
  <si>
    <t>FlexPBX-1770906085.17303</t>
  </si>
  <si>
    <t>FlexPBX-1770906081.17295</t>
  </si>
  <si>
    <t>FlexPBX-1770905951.17252</t>
  </si>
  <si>
    <t>FlexPBX-1770905943.17242</t>
  </si>
  <si>
    <t>FlexPBX-1770905891.17231</t>
  </si>
  <si>
    <t>FlexPBX-1770904932.17196</t>
  </si>
  <si>
    <t>FlexPBX-1770904495.17123</t>
  </si>
  <si>
    <t>FlexPBX-1770903314.16815</t>
  </si>
  <si>
    <t>FlexPBX-1770902863.16792</t>
  </si>
  <si>
    <t>FlexPBX-1770902623.16698</t>
  </si>
  <si>
    <t>FlexPBX-1770902352.16660</t>
  </si>
  <si>
    <t>FlexPBX-1770902265.16652</t>
  </si>
  <si>
    <t>FlexPBX-1770902250.16644</t>
  </si>
  <si>
    <t>FlexPBX-1770901460.16492</t>
  </si>
  <si>
    <t>FlexPBX-1770901409.16403</t>
  </si>
  <si>
    <t>FlexPBX-1770901403.16395</t>
  </si>
  <si>
    <t>FlexPBX-1770901399.16387</t>
  </si>
  <si>
    <t>FlexPBX-1770901341.16370</t>
  </si>
  <si>
    <t>FlexPBX-1770901334.16362</t>
  </si>
  <si>
    <t>FlexPBX-1770899383.15868</t>
  </si>
  <si>
    <t>FlexPBX-1770898979.15767</t>
  </si>
  <si>
    <t>FlexPBX-1770896821.15484</t>
  </si>
  <si>
    <t>FlexPBX-1770896250.15309</t>
  </si>
  <si>
    <t>FlexPBX-1770894998.15239</t>
  </si>
  <si>
    <t>FlexPBX-1770894442.15225</t>
  </si>
  <si>
    <t>FlexPBX-1770894403.15217</t>
  </si>
  <si>
    <t>FlexPBX-1770843403.15197</t>
  </si>
  <si>
    <t>FlexPBX-1770843342.15187</t>
  </si>
  <si>
    <t>FlexPBX-1770843215.15175</t>
  </si>
  <si>
    <t>FlexPBX-1770843143.15161</t>
  </si>
  <si>
    <t>FlexPBX-1770843033.15147</t>
  </si>
  <si>
    <t>FlexPBX-1770842938.15127</t>
  </si>
  <si>
    <t>FlexPBX-1770842798.15091</t>
  </si>
  <si>
    <t>FlexPBX-1770842785.15083</t>
  </si>
  <si>
    <t>FlexPBX-1770842780.15075</t>
  </si>
  <si>
    <t>FlexPBX-1770842714.15061</t>
  </si>
  <si>
    <t>FlexPBX-1770842647.15006</t>
  </si>
  <si>
    <t>FlexPBX-1770842624.14980</t>
  </si>
  <si>
    <t>FlexPBX-1770842562.14956</t>
  </si>
  <si>
    <t>FlexPBX-1770842185.14942</t>
  </si>
  <si>
    <t>FlexPBX-1770841852.14922</t>
  </si>
  <si>
    <t>FlexPBX-1770841745.14883</t>
  </si>
  <si>
    <t>FlexPBX-1770841274.14722</t>
  </si>
  <si>
    <t>FlexPBX-1770841267.14714</t>
  </si>
  <si>
    <t>FlexPBX-1770840946.14660</t>
  </si>
  <si>
    <t>FlexPBX-1770840090.14584</t>
  </si>
  <si>
    <t>FlexPBX-1770839780.14564</t>
  </si>
  <si>
    <t>FlexPBX-1770839775.14556</t>
  </si>
  <si>
    <t>FlexPBX-1770839628.14536</t>
  </si>
  <si>
    <t>FlexPBX-1770839601.14532</t>
  </si>
  <si>
    <t>FlexPBX-1770839430.14498</t>
  </si>
  <si>
    <t>FlexPBX-1770838891.14386</t>
  </si>
  <si>
    <t>FlexPBX-1770838882.14376</t>
  </si>
  <si>
    <t>FlexPBX-1770838737.14358</t>
  </si>
  <si>
    <t>FlexPBX-1770838725.14350</t>
  </si>
  <si>
    <t>FlexPBX-1770838719.14340</t>
  </si>
  <si>
    <t>FlexPBX-1770838714.14332</t>
  </si>
  <si>
    <t>FlexPBX-1770838425.14298</t>
  </si>
  <si>
    <t>FlexPBX-1770838290.14288</t>
  </si>
  <si>
    <t>FlexPBX-1770838281.14280</t>
  </si>
  <si>
    <t>FlexPBX-1770838279.14276</t>
  </si>
  <si>
    <t>FlexPBX-1770838261.14264</t>
  </si>
  <si>
    <t>FlexPBX-1770838255.14256</t>
  </si>
  <si>
    <t>FlexPBX-1770837352.14192</t>
  </si>
  <si>
    <t>FlexPBX-1770836858.14005</t>
  </si>
  <si>
    <t>FlexPBX-1770836635.13932</t>
  </si>
  <si>
    <t>FlexPBX-1770836597.13898</t>
  </si>
  <si>
    <t>FlexPBX-1770834752.13637</t>
  </si>
  <si>
    <t>FlexPBX-1770833112.13349</t>
  </si>
  <si>
    <t>FlexPBX-1770832363.13254</t>
  </si>
  <si>
    <t>FlexPBX-1770832352.13246</t>
  </si>
  <si>
    <t>FlexPBX-1770832323.13238</t>
  </si>
  <si>
    <t>FlexPBX-1770832073.13209</t>
  </si>
  <si>
    <t>FlexPBX-1770832067.13201</t>
  </si>
  <si>
    <t>FlexPBX-1770832059.13183</t>
  </si>
  <si>
    <t>FlexPBX-1770832030.13163</t>
  </si>
  <si>
    <t>FlexPBX-1770831152.13046</t>
  </si>
  <si>
    <t>FlexPBX-1770830769.13023</t>
  </si>
  <si>
    <t>FlexPBX-1770829691.12794</t>
  </si>
  <si>
    <t>FlexPBX-1770829635.12786</t>
  </si>
  <si>
    <t>FlexPBX-1770829167.12731</t>
  </si>
  <si>
    <t>FlexPBX-1770828363.12645</t>
  </si>
  <si>
    <t>FlexPBX-1770828317.12620</t>
  </si>
  <si>
    <t>FlexPBX-1770828239.12594</t>
  </si>
  <si>
    <t>FlexPBX-1770827598.12395</t>
  </si>
  <si>
    <t>FlexPBX-1770827585.12383</t>
  </si>
  <si>
    <t>FlexPBX-1770827577.12364</t>
  </si>
  <si>
    <t>FlexPBX-1770827454.12246</t>
  </si>
  <si>
    <t>FlexPBX-1770827365.12241</t>
  </si>
  <si>
    <t>FlexPBX-1770826486.12222</t>
  </si>
  <si>
    <t>FlexPBX-1770825231.12203</t>
  </si>
  <si>
    <t>FlexPBX-1770820893.12062</t>
  </si>
  <si>
    <t>FlexPBX-1770820067.11873</t>
  </si>
  <si>
    <t>FlexPBX-1770819890.11859</t>
  </si>
  <si>
    <t>FlexPBX-1770819808.11845</t>
  </si>
  <si>
    <t>FlexPBX-1770819674.11840</t>
  </si>
  <si>
    <t>FlexPBX-1770818940.11645</t>
  </si>
  <si>
    <t>FlexPBX-1770817836.11360</t>
  </si>
  <si>
    <t>FlexPBX-1770817506.11255</t>
  </si>
  <si>
    <t>FlexPBX-1770815091.10811</t>
  </si>
  <si>
    <t>FlexPBX-1770814286.10680</t>
  </si>
  <si>
    <t>FlexPBX-1770813551.10522</t>
  </si>
  <si>
    <t>FlexPBX-1770812452.10456</t>
  </si>
  <si>
    <t>FlexPBX-1770812420.10419</t>
  </si>
  <si>
    <t>FlexPBX-1770812415.10411</t>
  </si>
  <si>
    <t>FlexPBX-1770810092.9868</t>
  </si>
  <si>
    <t>FlexPBX-1770810083.9865</t>
  </si>
  <si>
    <t>FlexPBX-1770809993.9851</t>
  </si>
  <si>
    <t>FlexPBX-1770762318.9776</t>
  </si>
  <si>
    <t>FlexPBX-1770755858.9583</t>
  </si>
  <si>
    <t>FlexPBX-1770755785.9562</t>
  </si>
  <si>
    <t>FlexPBX-1770755764.9554</t>
  </si>
  <si>
    <t>FlexPBX-1770754818.9508</t>
  </si>
  <si>
    <t>FlexPBX-1770754567.9454</t>
  </si>
  <si>
    <t>FlexPBX-1770754561.9440</t>
  </si>
  <si>
    <t>FlexPBX-1770754324.9426</t>
  </si>
  <si>
    <t>FlexPBX-1770753645.9248</t>
  </si>
  <si>
    <t>FlexPBX-1770753588.9240</t>
  </si>
  <si>
    <t>FlexPBX-1770752674.9152</t>
  </si>
  <si>
    <t>FlexPBX-1770752345.9132</t>
  </si>
  <si>
    <t>FlexPBX-1770752339.9124</t>
  </si>
  <si>
    <t>FlexPBX-1770750654.9034</t>
  </si>
  <si>
    <t>FlexPBX-1770749618.8884</t>
  </si>
  <si>
    <t>FlexPBX-1770749239.8806</t>
  </si>
  <si>
    <t>FlexPBX-1770748995.8765</t>
  </si>
  <si>
    <t>FlexPBX-1770748985.8751</t>
  </si>
  <si>
    <t>FlexPBX-1770748623.8696</t>
  </si>
  <si>
    <t>FlexPBX-1770747614.8557</t>
  </si>
  <si>
    <t>FlexPBX-1770747381.8512</t>
  </si>
  <si>
    <t>FlexPBX-1770747174.8479</t>
  </si>
  <si>
    <t>FlexPBX-1770746378.8257</t>
  </si>
  <si>
    <t>FlexPBX-1770746252.8240</t>
  </si>
  <si>
    <t>FlexPBX-1770746223.8219</t>
  </si>
  <si>
    <t>FlexPBX-1770746164.8208</t>
  </si>
  <si>
    <t>FlexPBX-1770746147.8191</t>
  </si>
  <si>
    <t>FlexPBX-1770746142.8175</t>
  </si>
  <si>
    <t>FlexPBX-1770746119.8137</t>
  </si>
  <si>
    <t>FlexPBX-1770745360.8020</t>
  </si>
  <si>
    <t>FlexPBX-1770745257.8000</t>
  </si>
  <si>
    <t>FlexPBX-1770744608.7933</t>
  </si>
  <si>
    <t>FlexPBX-1770744587.7915</t>
  </si>
  <si>
    <t>FlexPBX-1770744519.7891</t>
  </si>
  <si>
    <t>FlexPBX-1770743942.7820</t>
  </si>
  <si>
    <t>FlexPBX-1770743609.7738</t>
  </si>
  <si>
    <t>FlexPBX-1770743595.7730</t>
  </si>
  <si>
    <t>FlexPBX-1770743591.7722</t>
  </si>
  <si>
    <t>FlexPBX-1770743586.7714</t>
  </si>
  <si>
    <t>FlexPBX-1770743501.7706</t>
  </si>
  <si>
    <t>FlexPBX-1770743410.7698</t>
  </si>
  <si>
    <t>FlexPBX-1770743402.7690</t>
  </si>
  <si>
    <t>FlexPBX-1770742606.7478</t>
  </si>
  <si>
    <t>FlexPBX-1770742342.7377</t>
  </si>
  <si>
    <t>FlexPBX-1770742197.7290</t>
  </si>
  <si>
    <t>FlexPBX-1770742182.7282</t>
  </si>
  <si>
    <t>FlexPBX-1770742077.7268</t>
  </si>
  <si>
    <t>FlexPBX-1770742052.7246</t>
  </si>
  <si>
    <t>FlexPBX-1770742032.7229</t>
  </si>
  <si>
    <t>FlexPBX-1770742019.7221</t>
  </si>
  <si>
    <t>FlexPBX-1770742001.7213</t>
  </si>
  <si>
    <t>FlexPBX-1770741990.7199</t>
  </si>
  <si>
    <t>FlexPBX-1770741794.7110</t>
  </si>
  <si>
    <t>FlexPBX-1770740735.7005</t>
  </si>
  <si>
    <t>FlexPBX-1770740358.6991</t>
  </si>
  <si>
    <t>FlexPBX-1770739941.6986</t>
  </si>
  <si>
    <t>FlexPBX-1770735111.6964</t>
  </si>
  <si>
    <t>FlexPBX-1770735104.6956</t>
  </si>
  <si>
    <t>FlexPBX-1770735098.6948</t>
  </si>
  <si>
    <t>FlexPBX-1770735085.6940</t>
  </si>
  <si>
    <t>FlexPBX-1770735041.6932</t>
  </si>
  <si>
    <t>FlexPBX-1770735023.6924</t>
  </si>
  <si>
    <t>FlexPBX-1770734345.6904</t>
  </si>
  <si>
    <t>FlexPBX-1770733635.6838</t>
  </si>
  <si>
    <t>FlexPBX-1770733620.6830</t>
  </si>
  <si>
    <t>FlexPBX-1770733403.6796</t>
  </si>
  <si>
    <t>FlexPBX-1770733381.6781</t>
  </si>
  <si>
    <t>FlexPBX-1770732920.6705</t>
  </si>
  <si>
    <t>FlexPBX-1770732863.6697</t>
  </si>
  <si>
    <t>FlexPBX-1770732837.6683</t>
  </si>
  <si>
    <t>FlexPBX-1770730964.6442</t>
  </si>
  <si>
    <t>FlexPBX-1770730931.6402</t>
  </si>
  <si>
    <t>FlexPBX-1770730861.6365</t>
  </si>
  <si>
    <t>FlexPBX-1770730724.6307</t>
  </si>
  <si>
    <t>FlexPBX-1770730153.6190</t>
  </si>
  <si>
    <t>FlexPBX-1770729928.6095</t>
  </si>
  <si>
    <t>FlexPBX-1770729438.5971</t>
  </si>
  <si>
    <t>FlexPBX-1770729409.5963</t>
  </si>
  <si>
    <t>FlexPBX-1770728933.5913</t>
  </si>
  <si>
    <t>FlexPBX-1770728924.5905</t>
  </si>
  <si>
    <t>FlexPBX-1770728915.5893</t>
  </si>
  <si>
    <t>FlexPBX-1770727951.5738</t>
  </si>
  <si>
    <t>FlexPBX-1770726640.5612</t>
  </si>
  <si>
    <t>FlexPBX-1770725424.5462</t>
  </si>
  <si>
    <t>FlexPBX-1770725413.5454</t>
  </si>
  <si>
    <t>FlexPBX-1770725403.5446</t>
  </si>
  <si>
    <t>FlexPBX-1770725391.5438</t>
  </si>
  <si>
    <t>FlexPBX-1770725287.5334</t>
  </si>
  <si>
    <t>FlexPBX-1770723392.5041</t>
  </si>
  <si>
    <t>FlexPBX-1770722973.4986</t>
  </si>
  <si>
    <t>FlexPBX-1770722929.4981</t>
  </si>
  <si>
    <t>FlexPBX-1770722831.4973</t>
  </si>
  <si>
    <t>FlexPBX-1770722630.4963</t>
  </si>
  <si>
    <t>FlexPBX-1770722592.4951</t>
  </si>
  <si>
    <t>FlexPBX-1770722588.4943</t>
  </si>
  <si>
    <t>FlexPBX-1770722313.4935</t>
  </si>
  <si>
    <t>FlexPBX-1770722240.4927</t>
  </si>
  <si>
    <t>FlexPBX-1770722110.4919</t>
  </si>
  <si>
    <t>FlexPBX-1770669363.4807</t>
  </si>
  <si>
    <t>FlexPBX-1770667790.4773</t>
  </si>
  <si>
    <t>FlexPBX-1770667753.4765</t>
  </si>
  <si>
    <t>FlexPBX-1770667654.4757</t>
  </si>
  <si>
    <t>FlexPBX-1770667362.4665</t>
  </si>
  <si>
    <t>FlexPBX-1770667333.4657</t>
  </si>
  <si>
    <t>FlexPBX-1770666982.4623</t>
  </si>
  <si>
    <t>FlexPBX-1770666658.4545</t>
  </si>
  <si>
    <t>FlexPBX-1770666512.4531</t>
  </si>
  <si>
    <t>FlexPBX-1770666210.4434</t>
  </si>
  <si>
    <t>FlexPBX-1770665794.4412</t>
  </si>
  <si>
    <t>FlexPBX-1770665460.4378</t>
  </si>
  <si>
    <t>FlexPBX-1770665455.4370</t>
  </si>
  <si>
    <t>FlexPBX-1770664383.4177</t>
  </si>
  <si>
    <t>FlexPBX-1770664207.4092</t>
  </si>
  <si>
    <t>FlexPBX-1770662783.3954</t>
  </si>
  <si>
    <t>FlexPBX-1770658526.3152</t>
  </si>
  <si>
    <t>FlexPBX-1770658354.3062</t>
  </si>
  <si>
    <t>FlexPBX-1770657484.2921</t>
  </si>
  <si>
    <t>FlexPBX-1770656960.2817</t>
  </si>
  <si>
    <t>FlexPBX-1770656568.2789</t>
  </si>
  <si>
    <t>FlexPBX-1770656561.2786</t>
  </si>
  <si>
    <t>FlexPBX-1770655239.2578</t>
  </si>
  <si>
    <t>FlexPBX-1770655084.2511</t>
  </si>
  <si>
    <t>FlexPBX-1770654548.2417</t>
  </si>
  <si>
    <t>FlexPBX-1770654498.2412</t>
  </si>
  <si>
    <t>FlexPBX-1770653973.2393</t>
  </si>
  <si>
    <t>FlexPBX-1770648942.2379</t>
  </si>
  <si>
    <t>FlexPBX-1770648844.2365</t>
  </si>
  <si>
    <t>FlexPBX-1770648802.2355</t>
  </si>
  <si>
    <t>FlexPBX-1770648544.2326</t>
  </si>
  <si>
    <t>FlexPBX-1770648538.2308</t>
  </si>
  <si>
    <t>FlexPBX-1770648530.2300</t>
  </si>
  <si>
    <t>FlexPBX-1770648475.2289</t>
  </si>
  <si>
    <t>FlexPBX-1770647545.2193</t>
  </si>
  <si>
    <t>FlexPBX-1770647366.2185</t>
  </si>
  <si>
    <t>FlexPBX-1770646620.2015</t>
  </si>
  <si>
    <t>FlexPBX-1770646602.2007</t>
  </si>
  <si>
    <t>FlexPBX-1770646141.1977</t>
  </si>
  <si>
    <t>FlexPBX-1770645062.1767</t>
  </si>
  <si>
    <t>FlexPBX-1770645061.1763</t>
  </si>
  <si>
    <t>FlexPBX-1770644532.1702</t>
  </si>
  <si>
    <t>FlexPBX-1770644524.1694</t>
  </si>
  <si>
    <t>FlexPBX-1770644484.1682</t>
  </si>
  <si>
    <t>FlexPBX-1770644409.1636</t>
  </si>
  <si>
    <t>FlexPBX-1770644387.1628</t>
  </si>
  <si>
    <t>FlexPBX-1770644152.1461</t>
  </si>
  <si>
    <t>FlexPBX-1770643980.1447</t>
  </si>
  <si>
    <t>FlexPBX-1770643790.1439</t>
  </si>
  <si>
    <t>FlexPBX-1770643568.1395</t>
  </si>
  <si>
    <t>FlexPBX-1770640290.1157</t>
  </si>
  <si>
    <t>FlexPBX-1770640135.1059</t>
  </si>
  <si>
    <t>FlexPBX-1770638528.923</t>
  </si>
  <si>
    <t>FlexPBX-1770638433.849</t>
  </si>
  <si>
    <t>FlexPBX-1770638225.708</t>
  </si>
  <si>
    <t>FlexPBX-1770637519.465</t>
  </si>
  <si>
    <t>FlexPBX-1770637507.437</t>
  </si>
  <si>
    <t>FlexPBX-1770637186.383</t>
  </si>
  <si>
    <t>FlexPBX-1770636931.333</t>
  </si>
  <si>
    <t>FlexPBX-1770636868.319</t>
  </si>
  <si>
    <t>FlexPBX-1770636867.315</t>
  </si>
  <si>
    <t>FlexPBX-1770636862.307</t>
  </si>
  <si>
    <t>FlexPBX-1770636768.190</t>
  </si>
  <si>
    <t>FlexPBX-1770635620.53</t>
  </si>
  <si>
    <t>FlexPBX-1770635483.48</t>
  </si>
  <si>
    <t>FlexPBX-1770410275.352531</t>
  </si>
  <si>
    <t>FlexPBX-1770410269.352523</t>
  </si>
  <si>
    <t>FlexPBX-1770410149.352509</t>
  </si>
  <si>
    <t>FlexPBX-1770410069.352495</t>
  </si>
  <si>
    <t>FlexPBX-1770409997.352475</t>
  </si>
  <si>
    <t>FlexPBX-1770409837.352467</t>
  </si>
  <si>
    <t>FlexPBX-1770408872.352375</t>
  </si>
  <si>
    <t>FlexPBX-1770408571.352359</t>
  </si>
  <si>
    <t>FlexPBX-1770407817.352317</t>
  </si>
  <si>
    <t>FlexPBX-1770407811.352313</t>
  </si>
  <si>
    <t>FlexPBX-1770407031.352239</t>
  </si>
  <si>
    <t>FlexPBX-1770406500.352151</t>
  </si>
  <si>
    <t>FlexPBX-1770405572.352055</t>
  </si>
  <si>
    <t>FlexPBX-1770405434.352016</t>
  </si>
  <si>
    <t>FlexPBX-1770404052.351756</t>
  </si>
  <si>
    <t>FlexPBX-1770403091.351619</t>
  </si>
  <si>
    <t>FlexPBX-1770402889.351561</t>
  </si>
  <si>
    <t>FlexPBX-1770402821.351553</t>
  </si>
  <si>
    <t>FlexPBX-1770402767.351545</t>
  </si>
  <si>
    <t>FlexPBX-1770402662.351531</t>
  </si>
  <si>
    <t>FlexPBX-1770402642.351523</t>
  </si>
  <si>
    <t>FlexPBX-1770401903.351489</t>
  </si>
  <si>
    <t>FlexPBX-1770401867.351481</t>
  </si>
  <si>
    <t>FlexPBX-1770401844.351473</t>
  </si>
  <si>
    <t>FlexPBX-1770401452.351374</t>
  </si>
  <si>
    <t>FlexPBX-1770401262.351342</t>
  </si>
  <si>
    <t>FlexPBX-1770401126.351334</t>
  </si>
  <si>
    <t>FlexPBX-1770400937.351268</t>
  </si>
  <si>
    <t>FlexPBX-1770400777.351237</t>
  </si>
  <si>
    <t>FlexPBX-1770400260.351032</t>
  </si>
  <si>
    <t>FlexPBX-1770400238.351024</t>
  </si>
  <si>
    <t>FlexPBX-1770399917.350998</t>
  </si>
  <si>
    <t>FlexPBX-1770399757.350936</t>
  </si>
  <si>
    <t>FlexPBX-1770399482.350892</t>
  </si>
  <si>
    <t>FlexPBX-1770399445.350882</t>
  </si>
  <si>
    <t>FlexPBX-1770399435.350874</t>
  </si>
  <si>
    <t>FlexPBX-1770399431.350866</t>
  </si>
  <si>
    <t>FlexPBX-1770399404.350854</t>
  </si>
  <si>
    <t>FlexPBX-1770398964.350831</t>
  </si>
  <si>
    <t>FlexPBX-1770398647.350802</t>
  </si>
  <si>
    <t>FlexPBX-1770397860.350639</t>
  </si>
  <si>
    <t>FlexPBX-1770397201.350532</t>
  </si>
  <si>
    <t>FlexPBX-1770397180.350524</t>
  </si>
  <si>
    <t>FlexPBX-1770397163.350516</t>
  </si>
  <si>
    <t>FlexPBX-1770397135.350508</t>
  </si>
  <si>
    <t>FlexPBX-1770395677.350208</t>
  </si>
  <si>
    <t>FlexPBX-1770388906.349793</t>
  </si>
  <si>
    <t>FlexPBX-1770388755.349785</t>
  </si>
  <si>
    <t>FlexPBX-1770388679.349767</t>
  </si>
  <si>
    <t>FlexPBX-1770388675.349759</t>
  </si>
  <si>
    <t>FlexPBX-1770388651.349754</t>
  </si>
  <si>
    <t>FlexPBX-1770388625.349721</t>
  </si>
  <si>
    <t>FlexPBX-1770388583.349710</t>
  </si>
  <si>
    <t>FlexPBX-1770387638.349539</t>
  </si>
  <si>
    <t>FlexPBX-1770387607.349528</t>
  </si>
  <si>
    <t>FlexPBX-1770386999.349454</t>
  </si>
  <si>
    <t>FlexPBX-1770386991.349450</t>
  </si>
  <si>
    <t>FlexPBX-1770386952.349440</t>
  </si>
  <si>
    <t>FlexPBX-1770384991.349213</t>
  </si>
  <si>
    <t>FlexPBX-1770384675.349187</t>
  </si>
  <si>
    <t>FlexPBX-1770383345.349043</t>
  </si>
  <si>
    <t>FlexPBX-1770382864.348913</t>
  </si>
  <si>
    <t>FlexPBX-1770382857.348905</t>
  </si>
  <si>
    <t>FlexPBX-1770381118.348711</t>
  </si>
  <si>
    <t>FlexPBX-1770381015.348700</t>
  </si>
  <si>
    <t>FlexPBX-1770377144.348329</t>
  </si>
  <si>
    <t>FlexPBX-1770324671.348302</t>
  </si>
  <si>
    <t>FlexPBX-1770322899.348212</t>
  </si>
  <si>
    <t>FlexPBX-1770322768.348193</t>
  </si>
  <si>
    <t>FlexPBX-1770322749.348178</t>
  </si>
  <si>
    <t>FlexPBX-1770322694.348170</t>
  </si>
  <si>
    <t>FlexPBX-1770322574.348159</t>
  </si>
  <si>
    <t>FlexPBX-1770321746.348095</t>
  </si>
  <si>
    <t>FlexPBX-1770316391.347695</t>
  </si>
  <si>
    <t>FlexPBX-1770315081.347553</t>
  </si>
  <si>
    <t>FlexPBX-1770312213.347089</t>
  </si>
  <si>
    <t>FlexPBX-1770310295.346827</t>
  </si>
  <si>
    <t>FlexPBX-1770308755.346590</t>
  </si>
  <si>
    <t>FlexPBX-1770308005.346585</t>
  </si>
  <si>
    <t>FlexPBX-1770303272.346549</t>
  </si>
  <si>
    <t>FlexPBX-1770300899.346354</t>
  </si>
  <si>
    <t>FlexPBX-1770300067.346256</t>
  </si>
  <si>
    <t>FlexPBX-1770297309.345910</t>
  </si>
  <si>
    <t>FlexPBX-1770297272.345902</t>
  </si>
  <si>
    <t>FlexPBX-1770297268.345894</t>
  </si>
  <si>
    <t>FlexPBX-1770296945.345820</t>
  </si>
  <si>
    <t>FlexPBX-1770296853.345798</t>
  </si>
  <si>
    <t>FlexPBX-1770296834.345790</t>
  </si>
  <si>
    <t>FlexPBX-1770296821.345782</t>
  </si>
  <si>
    <t>FlexPBX-1770296804.345768</t>
  </si>
  <si>
    <t>FlexPBX-1770296470.345718</t>
  </si>
  <si>
    <t>FlexPBX-1770295651.345682</t>
  </si>
  <si>
    <t>FlexPBX-1770293571.345474</t>
  </si>
  <si>
    <t>FlexPBX-1770293566.345466</t>
  </si>
  <si>
    <t>FlexPBX-1770292374.345293</t>
  </si>
  <si>
    <t>FlexPBX-1770292022.345267</t>
  </si>
  <si>
    <t>FlexPBX-1770291309.345089</t>
  </si>
  <si>
    <t>FlexPBX-1770291302.345072</t>
  </si>
  <si>
    <t>FlexPBX-1770291302.345068</t>
  </si>
  <si>
    <t>FlexPBX-1770291273.345038</t>
  </si>
  <si>
    <t>FlexPBX-1770291269.345030</t>
  </si>
  <si>
    <t>FlexPBX-1770291262.345022</t>
  </si>
  <si>
    <t>FlexPBX-1770290832.344873</t>
  </si>
  <si>
    <t>FlexPBX-1770290309.344834</t>
  </si>
  <si>
    <t>FlexPBX-1770289456.344829</t>
  </si>
  <si>
    <t>FlexPBX-1770237527.344792</t>
  </si>
  <si>
    <t>FlexPBX-1770237257.344784</t>
  </si>
  <si>
    <t>FlexPBX-1770236691.344598</t>
  </si>
  <si>
    <t>FlexPBX-1770236688.344590</t>
  </si>
  <si>
    <t>FlexPBX-1770235927.344456</t>
  </si>
  <si>
    <t>FlexPBX-1770235689.344410</t>
  </si>
  <si>
    <t>FlexPBX-1770235534.344398</t>
  </si>
  <si>
    <t>FlexPBX-1770235081.344226</t>
  </si>
  <si>
    <t>FlexPBX-1770235024.344218</t>
  </si>
  <si>
    <t>FlexPBX-1770234260.344210</t>
  </si>
  <si>
    <t>FlexPBX-1770234169.344202</t>
  </si>
  <si>
    <t>FlexPBX-1770234068.344188</t>
  </si>
  <si>
    <t>FlexPBX-1770233026.344120</t>
  </si>
  <si>
    <t>FlexPBX-1770233018.344112</t>
  </si>
  <si>
    <t>FlexPBX-1770233005.344098</t>
  </si>
  <si>
    <t>FlexPBX-1770232968.344088</t>
  </si>
  <si>
    <t>FlexPBX-1770232938.344076</t>
  </si>
  <si>
    <t>FlexPBX-1770232896.344062</t>
  </si>
  <si>
    <t>FlexPBX-1770232888.344058</t>
  </si>
  <si>
    <t>FlexPBX-1770232856.344046</t>
  </si>
  <si>
    <t>FlexPBX-1770232837.344032</t>
  </si>
  <si>
    <t>FlexPBX-1770232718.344024</t>
  </si>
  <si>
    <t>FlexPBX-1770232499.343975</t>
  </si>
  <si>
    <t>FlexPBX-1770231848.343930</t>
  </si>
  <si>
    <t>FlexPBX-1770231803.343872</t>
  </si>
  <si>
    <t>FlexPBX-1770231778.343846</t>
  </si>
  <si>
    <t>FlexPBX-1770231710.343812</t>
  </si>
  <si>
    <t>FlexPBX-1770231156.343622</t>
  </si>
  <si>
    <t>FlexPBX-1770230506.343524</t>
  </si>
  <si>
    <t>FlexPBX-1770230007.343498</t>
  </si>
  <si>
    <t>FlexPBX-1770229995.343490</t>
  </si>
  <si>
    <t>FlexPBX-1770229875.343478</t>
  </si>
  <si>
    <t>FlexPBX-1770229875.343475</t>
  </si>
  <si>
    <t>FlexPBX-1770229862.343463</t>
  </si>
  <si>
    <t>FlexPBX-1770228295.343173</t>
  </si>
  <si>
    <t>FlexPBX-1770228272.343165</t>
  </si>
  <si>
    <t>FlexPBX-1770228267.343157</t>
  </si>
  <si>
    <t>FlexPBX-1770228126.343143</t>
  </si>
  <si>
    <t>FlexPBX-1770228122.343135</t>
  </si>
  <si>
    <t>FlexPBX-1770228058.343123</t>
  </si>
  <si>
    <t>FlexPBX-1770228036.343115</t>
  </si>
  <si>
    <t>FlexPBX-1770225751.342669</t>
  </si>
  <si>
    <t>FlexPBX-1770225112.342482</t>
  </si>
  <si>
    <t>FlexPBX-1770224951.342468</t>
  </si>
  <si>
    <t>FlexPBX-1770224948.342460</t>
  </si>
  <si>
    <t>FlexPBX-1770224927.342452</t>
  </si>
  <si>
    <t>FlexPBX-1770224527.342378</t>
  </si>
  <si>
    <t>FlexPBX-1770224215.342327</t>
  </si>
  <si>
    <t>FlexPBX-1770223661.342227</t>
  </si>
  <si>
    <t>FlexPBX-1770223648.342203</t>
  </si>
  <si>
    <t>FlexPBX-1770222244.342095</t>
  </si>
  <si>
    <t>FlexPBX-1770216044.341912</t>
  </si>
  <si>
    <t>FlexPBX-1770214506.341821</t>
  </si>
  <si>
    <t>FlexPBX-1770213575.341741</t>
  </si>
  <si>
    <t>FlexPBX-1770213136.341705</t>
  </si>
  <si>
    <t>FlexPBX-1770212810.341628</t>
  </si>
  <si>
    <t>FlexPBX-1770212577.341592</t>
  </si>
  <si>
    <t>FlexPBX-1770212538.341575</t>
  </si>
  <si>
    <t>FlexPBX-1770212527.341567</t>
  </si>
  <si>
    <t>FlexPBX-1770211961.341515</t>
  </si>
  <si>
    <t>FlexPBX-1770210497.341370</t>
  </si>
  <si>
    <t>FlexPBX-1770210003.341252</t>
  </si>
  <si>
    <t>FlexPBX-1770209525.341147</t>
  </si>
  <si>
    <t>FlexPBX-1770209460.341106</t>
  </si>
  <si>
    <t>FlexPBX-1770209384.341092</t>
  </si>
  <si>
    <t>FlexPBX-1770209291.341078</t>
  </si>
  <si>
    <t>FlexPBX-1770208912.341050</t>
  </si>
  <si>
    <t>FlexPBX-1770208678.341036</t>
  </si>
  <si>
    <t>FlexPBX-1770208385.340999</t>
  </si>
  <si>
    <t>FlexPBX-1770208361.340988</t>
  </si>
  <si>
    <t>FlexPBX-1770207281.340847</t>
  </si>
  <si>
    <t>FlexPBX-1770207267.340836</t>
  </si>
  <si>
    <t>FlexPBX-1770205432.340601</t>
  </si>
  <si>
    <t>FlexPBX-1770204328.340593</t>
  </si>
  <si>
    <t>FlexPBX-1770150429.340455</t>
  </si>
  <si>
    <t>FlexPBX-1770150056.340421</t>
  </si>
  <si>
    <t>FlexPBX-1770149926.340413</t>
  </si>
  <si>
    <t>FlexPBX-1770149921.340405</t>
  </si>
  <si>
    <t>FlexPBX-1770149882.340397</t>
  </si>
  <si>
    <t>FlexPBX-1770148733.340291</t>
  </si>
  <si>
    <t>FlexPBX-1770148646.340272</t>
  </si>
  <si>
    <t>FlexPBX-1770147173.339969</t>
  </si>
  <si>
    <t>FlexPBX-1770147164.339961</t>
  </si>
  <si>
    <t>FlexPBX-1770146844.339882</t>
  </si>
  <si>
    <t>FlexPBX-1770146834.339874</t>
  </si>
  <si>
    <t>FlexPBX-1770146410.339860</t>
  </si>
  <si>
    <t>FlexPBX-1770146396.339852</t>
  </si>
  <si>
    <t>FlexPBX-1770146342.339838</t>
  </si>
  <si>
    <t>FlexPBX-1770146328.339824</t>
  </si>
  <si>
    <t>FlexPBX-1770146317.339816</t>
  </si>
  <si>
    <t>FlexPBX-1770146293.339808</t>
  </si>
  <si>
    <t>FlexPBX-1770146197.339794</t>
  </si>
  <si>
    <t>FlexPBX-1770146143.339786</t>
  </si>
  <si>
    <t>FlexPBX-1770146129.339778</t>
  </si>
  <si>
    <t>FlexPBX-1770146099.339770</t>
  </si>
  <si>
    <t>FlexPBX-1770146089.339762</t>
  </si>
  <si>
    <t>FlexPBX-1770145956.339748</t>
  </si>
  <si>
    <t>FlexPBX-1770145946.339740</t>
  </si>
  <si>
    <t>FlexPBX-1770145483.339732</t>
  </si>
  <si>
    <t>FlexPBX-1770145302.339718</t>
  </si>
  <si>
    <t>FlexPBX-1770145282.339710</t>
  </si>
  <si>
    <t>FlexPBX-1770145087.339696</t>
  </si>
  <si>
    <t>FlexPBX-1770145017.339688</t>
  </si>
  <si>
    <t>FlexPBX-1770144748.339668</t>
  </si>
  <si>
    <t>FlexPBX-1770144525.339610</t>
  </si>
  <si>
    <t>FlexPBX-1770144434.339602</t>
  </si>
  <si>
    <t>FlexPBX-1770144361.339594</t>
  </si>
  <si>
    <t>FlexPBX-1770144155.339574</t>
  </si>
  <si>
    <t>FlexPBX-1770144118.339554</t>
  </si>
  <si>
    <t>FlexPBX-1770144035.339540</t>
  </si>
  <si>
    <t>FlexPBX-1770143858.339520</t>
  </si>
  <si>
    <t>FlexPBX-1770143513.339422</t>
  </si>
  <si>
    <t>FlexPBX-1770142929.339313</t>
  </si>
  <si>
    <t>FlexPBX-1770142918.339305</t>
  </si>
  <si>
    <t>FlexPBX-1770142682.339285</t>
  </si>
  <si>
    <t>FlexPBX-1770142598.339257</t>
  </si>
  <si>
    <t>FlexPBX-1770142588.339243</t>
  </si>
  <si>
    <t>FlexPBX-1770142518.339223</t>
  </si>
  <si>
    <t>FlexPBX-1770142514.339207</t>
  </si>
  <si>
    <t>FlexPBX-1770142514.339213</t>
  </si>
  <si>
    <t>FlexPBX-1770142490.339199</t>
  </si>
  <si>
    <t>FlexPBX-1770142399.339185</t>
  </si>
  <si>
    <t>FlexPBX-1770142245.339171</t>
  </si>
  <si>
    <t>FlexPBX-1770142075.339157</t>
  </si>
  <si>
    <t>FlexPBX-1770140661.338883</t>
  </si>
  <si>
    <t>FlexPBX-1770140243.338810</t>
  </si>
  <si>
    <t>FlexPBX-1770139970.338779</t>
  </si>
  <si>
    <t>FlexPBX-1770139948.338775</t>
  </si>
  <si>
    <t>FlexPBX-1770139943.338769</t>
  </si>
  <si>
    <t>FlexPBX-1770138321.338467</t>
  </si>
  <si>
    <t>FlexPBX-1770135912.338252</t>
  </si>
  <si>
    <t>FlexPBX-1770133759.338247</t>
  </si>
  <si>
    <t>FlexPBX-1770130152.338222</t>
  </si>
  <si>
    <t>FlexPBX-1770130058.338201</t>
  </si>
  <si>
    <t>FlexPBX-1770129865.338193</t>
  </si>
  <si>
    <t>FlexPBX-1770126994.337863</t>
  </si>
  <si>
    <t>FlexPBX-1770126746.337780</t>
  </si>
  <si>
    <t>FlexPBX-1770126701.337772</t>
  </si>
  <si>
    <t>FlexPBX-1770123981.337404</t>
  </si>
  <si>
    <t>FlexPBX-1770123769.337370</t>
  </si>
  <si>
    <t>FlexPBX-1770123757.337362</t>
  </si>
  <si>
    <t>FlexPBX-1770122960.337215</t>
  </si>
  <si>
    <t>FlexPBX-1770122871.337207</t>
  </si>
  <si>
    <t>FlexPBX-1770120741.336829</t>
  </si>
  <si>
    <t>FlexPBX-1770120395.336789</t>
  </si>
  <si>
    <t>FlexPBX-1770119810.336748</t>
  </si>
  <si>
    <t>FlexPBX-1770119563.336628</t>
  </si>
  <si>
    <t>FlexPBX-1770119528.336614</t>
  </si>
  <si>
    <t>FlexPBX-1770118970.336528</t>
  </si>
  <si>
    <t>FlexPBX-1770118929.336524</t>
  </si>
  <si>
    <t>FlexPBX-1770118916.336516</t>
  </si>
  <si>
    <t>FlexPBX-1770118600.336511</t>
  </si>
  <si>
    <t>FlexPBX-1770066498.336462</t>
  </si>
  <si>
    <t>FlexPBX-1770064688.336420</t>
  </si>
  <si>
    <t>FlexPBX-1770064324.336408</t>
  </si>
  <si>
    <t>FlexPBX-1770064279.336400</t>
  </si>
  <si>
    <t>FlexPBX-1770063856.336293</t>
  </si>
  <si>
    <t>FlexPBX-1770063285.336265</t>
  </si>
  <si>
    <t>FlexPBX-1770062334.336161</t>
  </si>
  <si>
    <t>FlexPBX-1770062226.336147</t>
  </si>
  <si>
    <t>FlexPBX-1770061916.336103</t>
  </si>
  <si>
    <t>FlexPBX-1770061914.336100</t>
  </si>
  <si>
    <t>FlexPBX-1770061909.336092</t>
  </si>
  <si>
    <t>FlexPBX-1770061894.336082</t>
  </si>
  <si>
    <t>FlexPBX-1770061867.336070</t>
  </si>
  <si>
    <t>FlexPBX-1770061698.336028</t>
  </si>
  <si>
    <t>FlexPBX-1770061675.336018</t>
  </si>
  <si>
    <t>FlexPBX-1770061659.336010</t>
  </si>
  <si>
    <t>FlexPBX-1770061556.335992</t>
  </si>
  <si>
    <t>FlexPBX-1770061413.335978</t>
  </si>
  <si>
    <t>FlexPBX-1770061401.335970</t>
  </si>
  <si>
    <t>FlexPBX-1770061343.335962</t>
  </si>
  <si>
    <t>FlexPBX-1770060022.335655</t>
  </si>
  <si>
    <t>FlexPBX-1770059691.335589</t>
  </si>
  <si>
    <t>FlexPBX-1770059600.335575</t>
  </si>
  <si>
    <t>FlexPBX-1770059586.335567</t>
  </si>
  <si>
    <t>FlexPBX-1770058906.335491</t>
  </si>
  <si>
    <t>FlexPBX-1770057334.335077</t>
  </si>
  <si>
    <t>FlexPBX-1770056277.335037</t>
  </si>
  <si>
    <t>FlexPBX-1770056098.335023</t>
  </si>
  <si>
    <t>FlexPBX-1770056080.335015</t>
  </si>
  <si>
    <t>FlexPBX-1770055958.335007</t>
  </si>
  <si>
    <t>FlexPBX-1770055749.334999</t>
  </si>
  <si>
    <t>FlexPBX-1770055732.334991</t>
  </si>
  <si>
    <t>FlexPBX-1770055541.334983</t>
  </si>
  <si>
    <t>FlexPBX-1770055438.334953</t>
  </si>
  <si>
    <t>FlexPBX-1770055228.334939</t>
  </si>
  <si>
    <t>FlexPBX-1770055186.334934</t>
  </si>
  <si>
    <t>FlexPBX-1770054843.334874</t>
  </si>
  <si>
    <t>FlexPBX-1770053847.334720</t>
  </si>
  <si>
    <t>FlexPBX-1770053705.334706</t>
  </si>
  <si>
    <t>FlexPBX-1770053618.334698</t>
  </si>
  <si>
    <t>FlexPBX-1770053313.334693</t>
  </si>
  <si>
    <t>FlexPBX-1770052562.334595</t>
  </si>
  <si>
    <t>FlexPBX-1770052070.334569</t>
  </si>
  <si>
    <t>FlexPBX-1770051750.334506</t>
  </si>
  <si>
    <t>FlexPBX-1770051115.334426</t>
  </si>
  <si>
    <t>FlexPBX-1770050999.334313</t>
  </si>
  <si>
    <t>FlexPBX-1770050437.334260</t>
  </si>
  <si>
    <t>FlexPBX-1770050369.334252</t>
  </si>
  <si>
    <t>FlexPBX-1770050091.334232</t>
  </si>
  <si>
    <t>FlexPBX-1770050085.334224</t>
  </si>
  <si>
    <t>FlexPBX-1770049945.334205</t>
  </si>
  <si>
    <t>FlexPBX-1770049772.334187</t>
  </si>
  <si>
    <t>FlexPBX-1770049676.334182</t>
  </si>
  <si>
    <t>FlexPBX-1770043591.333920</t>
  </si>
  <si>
    <t>FlexPBX-1770042325.333824</t>
  </si>
  <si>
    <t>FlexPBX-1770041554.333772</t>
  </si>
  <si>
    <t>FlexPBX-1770040998.333709</t>
  </si>
  <si>
    <t>FlexPBX-1770040595.333635</t>
  </si>
  <si>
    <t>FlexPBX-1770040284.333572</t>
  </si>
  <si>
    <t>FlexPBX-1770040279.333564</t>
  </si>
  <si>
    <t>FlexPBX-1770040205.333524</t>
  </si>
  <si>
    <t>FlexPBX-1770038901.333410</t>
  </si>
  <si>
    <t>FlexPBX-1770038727.333370</t>
  </si>
  <si>
    <t>FlexPBX-1770038470.333314</t>
  </si>
  <si>
    <t>FlexPBX-1770038248.333288</t>
  </si>
  <si>
    <t>FlexPBX-1770036870.333143</t>
  </si>
  <si>
    <t>FlexPBX-1770036819.333135</t>
  </si>
  <si>
    <t>FlexPBX-1770036719.333123</t>
  </si>
  <si>
    <t>FlexPBX-1770036638.333088</t>
  </si>
  <si>
    <t>FlexPBX-1770036556.333077</t>
  </si>
  <si>
    <t>FlexPBX-1770036540.333069</t>
  </si>
  <si>
    <t>FlexPBX-1770036468.333055</t>
  </si>
  <si>
    <t>FlexPBX-1770036391.333041</t>
  </si>
  <si>
    <t>FlexPBX-1770036253.333033</t>
  </si>
  <si>
    <t>FlexPBX-1770036190.333019</t>
  </si>
  <si>
    <t>FlexPBX-1770036013.332999</t>
  </si>
  <si>
    <t>FlexPBX-1770035365.332968</t>
  </si>
  <si>
    <t>FlexPBX-1770035214.332963</t>
  </si>
  <si>
    <t>FlexPBX-1770035186.332944</t>
  </si>
  <si>
    <t>FlexPBX-1770034655.332909</t>
  </si>
  <si>
    <t>FlexPBX-1770034634.332895</t>
  </si>
  <si>
    <t>FlexPBX-1770034615.332883</t>
  </si>
  <si>
    <t>FlexPBX-1770034589.332875</t>
  </si>
  <si>
    <t>FlexPBX-1770034102.332846</t>
  </si>
  <si>
    <t>FlexPBX-1770033124.332784</t>
  </si>
  <si>
    <t>FlexPBX-1770033019.332771</t>
  </si>
  <si>
    <t>FlexPBX-1770032902.332754</t>
  </si>
  <si>
    <t>FlexPBX-1770032866.332740</t>
  </si>
  <si>
    <t>FlexPBX-1770032849.332732</t>
  </si>
  <si>
    <t>FlexPBX-1770032844.332718</t>
  </si>
  <si>
    <t>FlexPBX-1770031074.332552</t>
  </si>
  <si>
    <t>FlexPBX-1770031047.332547</t>
  </si>
  <si>
    <t>FlexPBX-1770030002.332542</t>
  </si>
  <si>
    <t>1 - Denise Ribeiro, atendimento normal, nota incorreta</t>
  </si>
  <si>
    <t>FlexPBX-1774988752.159687</t>
  </si>
  <si>
    <t>FlexPBX-1774988501.159613</t>
  </si>
  <si>
    <t>FlexPBX-1774988061.159555</t>
  </si>
  <si>
    <t>FlexPBX-1774987611.159457</t>
  </si>
  <si>
    <t>FlexPBX-1774987166.159421</t>
  </si>
  <si>
    <t>FlexPBX-1774986954.159277</t>
  </si>
  <si>
    <t>FlexPBX-1774986641.159261</t>
  </si>
  <si>
    <t>FlexPBX-1774986624.159249</t>
  </si>
  <si>
    <t>FlexPBX-1774986370.159199</t>
  </si>
  <si>
    <t>FlexPBX-1774986318.159169</t>
  </si>
  <si>
    <t>FlexPBX-1774985498.159121</t>
  </si>
  <si>
    <t>FlexPBX-1774985249.159097</t>
  </si>
  <si>
    <t>FlexPBX-1774984957.159083</t>
  </si>
  <si>
    <t>FlexPBX-1774984600.159061</t>
  </si>
  <si>
    <t>FlexPBX-1774984595.159045</t>
  </si>
  <si>
    <t>FlexPBX-1774984574.159041</t>
  </si>
  <si>
    <t>FlexPBX-1774984554.159033</t>
  </si>
  <si>
    <t>FlexPBX-1774984470.159019</t>
  </si>
  <si>
    <t>FlexPBX-1774984014.158976</t>
  </si>
  <si>
    <t>FlexPBX-1774983917.158909</t>
  </si>
  <si>
    <t>FlexPBX-1774983551.158895</t>
  </si>
  <si>
    <t>FlexPBX-1774983455.158796</t>
  </si>
  <si>
    <t>FlexPBX-1774983292.158685</t>
  </si>
  <si>
    <t>FlexPBX-1774983147.158665</t>
  </si>
  <si>
    <t>FlexPBX-1774983086.158657</t>
  </si>
  <si>
    <t>FlexPBX-1774983052.158626</t>
  </si>
  <si>
    <t>FlexPBX-1774983041.158623</t>
  </si>
  <si>
    <t>FlexPBX-1774982893.158597</t>
  </si>
  <si>
    <t>FlexPBX-1774982790.158577</t>
  </si>
  <si>
    <t>FlexPBX-1774982719.158567</t>
  </si>
  <si>
    <t>FlexPBX-1774982585.158555</t>
  </si>
  <si>
    <t>FlexPBX-1774982362.158524</t>
  </si>
  <si>
    <t>FlexPBX-1774982279.158511</t>
  </si>
  <si>
    <t>FlexPBX-1774982005.158487</t>
  </si>
  <si>
    <t>FlexPBX-1774981905.158475</t>
  </si>
  <si>
    <t>FlexPBX-1774981828.158442</t>
  </si>
  <si>
    <t>FlexPBX-1774981816.158439</t>
  </si>
  <si>
    <t>FlexPBX-1774981595.158410</t>
  </si>
  <si>
    <t>FlexPBX-1774981278.158388</t>
  </si>
  <si>
    <t>FlexPBX-1774980933.158354</t>
  </si>
  <si>
    <t>FlexPBX-1774980701.158328</t>
  </si>
  <si>
    <t>FlexPBX-1774980295.158307</t>
  </si>
  <si>
    <t>FlexPBX-1774980261.158302</t>
  </si>
  <si>
    <t>FlexPBX-1774979699.158260</t>
  </si>
  <si>
    <t>FlexPBX-1774978869.158230</t>
  </si>
  <si>
    <t>FlexPBX-1774978845.158214</t>
  </si>
  <si>
    <t>FlexPBX-1774978636.158162</t>
  </si>
  <si>
    <t>FlexPBX-1774977445.158134</t>
  </si>
  <si>
    <t>FlexPBX-1774977276.158110</t>
  </si>
  <si>
    <t>FlexPBX-1774977192.158094</t>
  </si>
  <si>
    <t>FlexPBX-1774977079.158010</t>
  </si>
  <si>
    <t>FlexPBX-1774976920.157946</t>
  </si>
  <si>
    <t>FlexPBX-1774976670.157822</t>
  </si>
  <si>
    <t>FlexPBX-1774976393.157808</t>
  </si>
  <si>
    <t>FlexPBX-1774976193.157786</t>
  </si>
  <si>
    <t>FlexPBX-1774976153.157770</t>
  </si>
  <si>
    <t>FlexPBX-1774975943.157754</t>
  </si>
  <si>
    <t>FlexPBX-1774975936.157742</t>
  </si>
  <si>
    <t>FlexPBX-1774975834.157732</t>
  </si>
  <si>
    <t>FlexPBX-1774975827.157716</t>
  </si>
  <si>
    <t>FlexPBX-1774975800.157692</t>
  </si>
  <si>
    <t>FlexPBX-1774975764.157652</t>
  </si>
  <si>
    <t>FlexPBX-1774975737.157631</t>
  </si>
  <si>
    <t>FlexPBX-1774975706.157604</t>
  </si>
  <si>
    <t>FlexPBX-1774975691.157597</t>
  </si>
  <si>
    <t>FlexPBX-1774975655.157577</t>
  </si>
  <si>
    <t>FlexPBX-1774975437.157557</t>
  </si>
  <si>
    <t>FlexPBX-1774975002.157533</t>
  </si>
  <si>
    <t>FlexPBX-1774974739.157503</t>
  </si>
  <si>
    <t>FlexPBX-1774973249.157498</t>
  </si>
  <si>
    <t>FlexPBX-1774972184.157493</t>
  </si>
  <si>
    <t>FlexPBX-1774972123.157488</t>
  </si>
  <si>
    <t>FlexPBX-1774969036.157477</t>
  </si>
  <si>
    <t>FlexPBX-1774968088.157390</t>
  </si>
  <si>
    <t>FlexPBX-1774968065.157387</t>
  </si>
  <si>
    <t>FlexPBX-1774967992.157373</t>
  </si>
  <si>
    <t>FlexPBX-1774967980.157363</t>
  </si>
  <si>
    <t>FlexPBX-1774967976.157355</t>
  </si>
  <si>
    <t>FlexPBX-1774967967.157347</t>
  </si>
  <si>
    <t>FlexPBX-1774967741.157335</t>
  </si>
  <si>
    <t>FlexPBX-1774967683.157291</t>
  </si>
  <si>
    <t>FlexPBX-1774967475.157277</t>
  </si>
  <si>
    <t>FlexPBX-1774966866.157197</t>
  </si>
  <si>
    <t>FlexPBX-1774966684.157153</t>
  </si>
  <si>
    <t>FlexPBX-1774966094.157107</t>
  </si>
  <si>
    <t>FlexPBX-1774965806.157099</t>
  </si>
  <si>
    <t>FlexPBX-1774965507.157017</t>
  </si>
  <si>
    <t>FlexPBX-1774965317.156955</t>
  </si>
  <si>
    <t>FlexPBX-1774965027.156890</t>
  </si>
  <si>
    <t>FlexPBX-1774964685.156826</t>
  </si>
  <si>
    <t>FlexPBX-1774964579.156777</t>
  </si>
  <si>
    <t>FlexPBX-1774964562.156766</t>
  </si>
  <si>
    <t>FlexPBX-1774964288.156746</t>
  </si>
  <si>
    <t>FlexPBX-1774963957.156574</t>
  </si>
  <si>
    <t>FlexPBX-1774963926.156539</t>
  </si>
  <si>
    <t>FlexPBX-1774963856.156476</t>
  </si>
  <si>
    <t>FlexPBX-1774962117.156430</t>
  </si>
  <si>
    <t>FlexPBX-1774961279.156350</t>
  </si>
  <si>
    <t>FlexPBX-1774960720.156262</t>
  </si>
  <si>
    <t>FlexPBX-1774960399.156126</t>
  </si>
  <si>
    <t>FlexPBX-1774960386.156120</t>
  </si>
  <si>
    <t>FlexPBX-1774960331.156096</t>
  </si>
  <si>
    <t>FlexPBX-1774959737.156074</t>
  </si>
  <si>
    <t>FlexPBX-1774959734.156070</t>
  </si>
  <si>
    <t>FlexPBX-1774959731.156066</t>
  </si>
  <si>
    <t>FlexPBX-1774959712.156062</t>
  </si>
  <si>
    <t>FlexPBX-1774959709.156058</t>
  </si>
  <si>
    <t>FlexPBX-1774959706.156054</t>
  </si>
  <si>
    <t>FlexPBX-1774959704.156050</t>
  </si>
  <si>
    <t>FlexPBX-1774959700.156046</t>
  </si>
  <si>
    <t>FlexPBX-1774959697.156042</t>
  </si>
  <si>
    <t>FlexPBX-1774959693.156038</t>
  </si>
  <si>
    <t>FlexPBX-1774959666.156022</t>
  </si>
  <si>
    <t>FlexPBX-1774959650.156010</t>
  </si>
  <si>
    <t>FlexPBX-1774959088.156005</t>
  </si>
  <si>
    <t>FlexPBX-1774958821.155855</t>
  </si>
  <si>
    <t>FlexPBX-1774957386.155805</t>
  </si>
  <si>
    <t>FlexPBX-1774957084.155789</t>
  </si>
  <si>
    <t>FlexPBX-1774957072.155777</t>
  </si>
  <si>
    <t>FlexPBX-1774957001.155732</t>
  </si>
  <si>
    <t>FlexPBX-1774955892.155716</t>
  </si>
  <si>
    <t>FlexPBX-1774955884.155704</t>
  </si>
  <si>
    <t>FlexPBX-1774903619.155630</t>
  </si>
  <si>
    <t>FlexPBX-1774902399.155520</t>
  </si>
  <si>
    <t>FlexPBX-1774902130.155504</t>
  </si>
  <si>
    <t>FlexPBX-1774902114.155492</t>
  </si>
  <si>
    <t>FlexPBX-1774901854.155472</t>
  </si>
  <si>
    <t>FlexPBX-1774901826.155464</t>
  </si>
  <si>
    <t>FlexPBX-1774901698.155456</t>
  </si>
  <si>
    <t>FlexPBX-1774901487.155432</t>
  </si>
  <si>
    <t>FlexPBX-1774901482.155420</t>
  </si>
  <si>
    <t>FlexPBX-1774901476.155408</t>
  </si>
  <si>
    <t>FlexPBX-1774901415.155400</t>
  </si>
  <si>
    <t>FlexPBX-1774900949.155304</t>
  </si>
  <si>
    <t>FlexPBX-1774900497.155280</t>
  </si>
  <si>
    <t>FlexPBX-1774900387.155250</t>
  </si>
  <si>
    <t>FlexPBX-1774899483.155218</t>
  </si>
  <si>
    <t>FlexPBX-1774899151.155169</t>
  </si>
  <si>
    <t>FlexPBX-1774899117.155152</t>
  </si>
  <si>
    <t>FlexPBX-1774899008.155134</t>
  </si>
  <si>
    <t>FlexPBX-1774898986.155128</t>
  </si>
  <si>
    <t>FlexPBX-1774898978.155116</t>
  </si>
  <si>
    <t>FlexPBX-1774898810.155084</t>
  </si>
  <si>
    <t>FlexPBX-1774898750.155070</t>
  </si>
  <si>
    <t>FlexPBX-1774898749.155066</t>
  </si>
  <si>
    <t>FlexPBX-1774898742.155048</t>
  </si>
  <si>
    <t>FlexPBX-1774898737.155036</t>
  </si>
  <si>
    <t>FlexPBX-1774898729.155018</t>
  </si>
  <si>
    <t>FlexPBX-1774898716.154981</t>
  </si>
  <si>
    <t>FlexPBX-1774898712.154973</t>
  </si>
  <si>
    <t>FlexPBX-1774898711.154963</t>
  </si>
  <si>
    <t>FlexPBX-1774898705.154949</t>
  </si>
  <si>
    <t>FlexPBX-1774898703.154946</t>
  </si>
  <si>
    <t>FlexPBX-1774898701.154926</t>
  </si>
  <si>
    <t>FlexPBX-1774898700.154922</t>
  </si>
  <si>
    <t>FlexPBX-1774898686.154900</t>
  </si>
  <si>
    <t>FlexPBX-1774898592.154827</t>
  </si>
  <si>
    <t>FlexPBX-1774898272.154755</t>
  </si>
  <si>
    <t>FlexPBX-1774898256.154743</t>
  </si>
  <si>
    <t>FlexPBX-1774897539.154693</t>
  </si>
  <si>
    <t>FlexPBX-1774897486.154665</t>
  </si>
  <si>
    <t>FlexPBX-1774897403.154651</t>
  </si>
  <si>
    <t>FlexPBX-1774897289.154611</t>
  </si>
  <si>
    <t>FlexPBX-1774897175.154545</t>
  </si>
  <si>
    <t>FlexPBX-1774897148.154535</t>
  </si>
  <si>
    <t>FlexPBX-1774897133.154532</t>
  </si>
  <si>
    <t>FlexPBX-1774896514.154493</t>
  </si>
  <si>
    <t>FlexPBX-1774896490.154478</t>
  </si>
  <si>
    <t>FlexPBX-1774896363.154367</t>
  </si>
  <si>
    <t>FlexPBX-1774896353.154352</t>
  </si>
  <si>
    <t>FlexPBX-1774896348.154344</t>
  </si>
  <si>
    <t>FlexPBX-1774896343.154336</t>
  </si>
  <si>
    <t>FlexPBX-1774896338.154328</t>
  </si>
  <si>
    <t>FlexPBX-1774896235.154314</t>
  </si>
  <si>
    <t>FlexPBX-1774896213.154300</t>
  </si>
  <si>
    <t>FlexPBX-1774896200.154288</t>
  </si>
  <si>
    <t>FlexPBX-1774896094.154203</t>
  </si>
  <si>
    <t>FlexPBX-1774895512.154192</t>
  </si>
  <si>
    <t>FlexPBX-1774894943.154113</t>
  </si>
  <si>
    <t>FlexPBX-1774894920.154110</t>
  </si>
  <si>
    <t>FlexPBX-1774894761.154074</t>
  </si>
  <si>
    <t>FlexPBX-1774894171.153890</t>
  </si>
  <si>
    <t>FlexPBX-1774893592.153871</t>
  </si>
  <si>
    <t>FlexPBX-1774893400.153854</t>
  </si>
  <si>
    <t>FlexPBX-1774893157.153762</t>
  </si>
  <si>
    <t>FlexPBX-1774893097.153718</t>
  </si>
  <si>
    <t>FlexPBX-1774892613.153650</t>
  </si>
  <si>
    <t>FlexPBX-1774892584.153629</t>
  </si>
  <si>
    <t>FlexPBX-1774892212.153619</t>
  </si>
  <si>
    <t>FlexPBX-1774892200.153607</t>
  </si>
  <si>
    <t>FlexPBX-1774892008.153497</t>
  </si>
  <si>
    <t>FlexPBX-1774891860.153489</t>
  </si>
  <si>
    <t>FlexPBX-1774891806.153481</t>
  </si>
  <si>
    <t>FlexPBX-1774891544.153461</t>
  </si>
  <si>
    <t>FlexPBX-1774891049.153437</t>
  </si>
  <si>
    <t>FlexPBX-1774890554.153329</t>
  </si>
  <si>
    <t>FlexPBX-1774890504.153301</t>
  </si>
  <si>
    <t>FlexPBX-1774890204.153267</t>
  </si>
  <si>
    <t>FlexPBX-1774890164.153247</t>
  </si>
  <si>
    <t>FlexPBX-1774889570.153233</t>
  </si>
  <si>
    <t>FlexPBX-1774889566.153225</t>
  </si>
  <si>
    <t>FlexPBX-1774889538.153193</t>
  </si>
  <si>
    <t>FlexPBX-1774889485.153181</t>
  </si>
  <si>
    <t>FlexPBX-1774889249.153173</t>
  </si>
  <si>
    <t>FlexPBX-1774889171.153131</t>
  </si>
  <si>
    <t>FlexPBX-1774888672.153067</t>
  </si>
  <si>
    <t>FlexPBX-1774888395.153053</t>
  </si>
  <si>
    <t>FlexPBX-1774887771.153039</t>
  </si>
  <si>
    <t>FlexPBX-1774886487.153034</t>
  </si>
  <si>
    <t>FlexPBX-1774882449.152904</t>
  </si>
  <si>
    <t>FlexPBX-1774881675.152846</t>
  </si>
  <si>
    <t>FlexPBX-1774881570.152810</t>
  </si>
  <si>
    <t>FlexPBX-1774881499.152753</t>
  </si>
  <si>
    <t>FlexPBX-1774881356.152646</t>
  </si>
  <si>
    <t>FlexPBX-1774880650.152588</t>
  </si>
  <si>
    <t>FlexPBX-1774880272.152444</t>
  </si>
  <si>
    <t>FlexPBX-1774879152.152292</t>
  </si>
  <si>
    <t>FlexPBX-1774879140.152289</t>
  </si>
  <si>
    <t>FlexPBX-1774878985.152284</t>
  </si>
  <si>
    <t>FlexPBX-1774878560.152220</t>
  </si>
  <si>
    <t>FlexPBX-1774877705.152114</t>
  </si>
  <si>
    <t>FlexPBX-1774877244.152010</t>
  </si>
  <si>
    <t>FlexPBX-1774876995.151992</t>
  </si>
  <si>
    <t>FlexPBX-1774876359.151978</t>
  </si>
  <si>
    <t>FlexPBX-1774875944.151964</t>
  </si>
  <si>
    <t>FlexPBX-1774875842.151948</t>
  </si>
  <si>
    <t>FlexPBX-1774875831.151936</t>
  </si>
  <si>
    <t>FlexPBX-1774875800.151920</t>
  </si>
  <si>
    <t>FlexPBX-1774875791.151908</t>
  </si>
  <si>
    <t>FlexPBX-1774874671.151787</t>
  </si>
  <si>
    <t>FlexPBX-1774874669.151784</t>
  </si>
  <si>
    <t>FlexPBX-1774874031.151758</t>
  </si>
  <si>
    <t>FlexPBX-1774873743.151736</t>
  </si>
  <si>
    <t>FlexPBX-1774873620.151728</t>
  </si>
  <si>
    <t>FlexPBX-1774873474.151702</t>
  </si>
  <si>
    <t>FlexPBX-1774872792.151668</t>
  </si>
  <si>
    <t>FlexPBX-1774872711.151663</t>
  </si>
  <si>
    <t>FlexPBX-1774870879.151605</t>
  </si>
  <si>
    <t>FlexPBX-1774870728.151581</t>
  </si>
  <si>
    <t>FlexPBX-1774870350.151522</t>
  </si>
  <si>
    <t>FlexPBX-1774869829.151514</t>
  </si>
  <si>
    <t>FlexPBX-1774869624.151500</t>
  </si>
  <si>
    <t>FlexPBX-1774869009.151491</t>
  </si>
  <si>
    <t>FlexPBX-1774868934.151486</t>
  </si>
  <si>
    <t>FlexPBX-1774868793.151481</t>
  </si>
  <si>
    <t>FlexPBX-1774868728.151476</t>
  </si>
  <si>
    <t>FlexPBX-1774707819.151471</t>
  </si>
  <si>
    <t>FlexPBX-1774699107.151466</t>
  </si>
  <si>
    <t>FlexPBX-1774643230.151370</t>
  </si>
  <si>
    <t>FlexPBX-1774642740.151206</t>
  </si>
  <si>
    <t>FlexPBX-1774641935.151192</t>
  </si>
  <si>
    <t>FlexPBX-1774641901.151184</t>
  </si>
  <si>
    <t>FlexPBX-1774641782.151170</t>
  </si>
  <si>
    <t>FlexPBX-1774641615.151156</t>
  </si>
  <si>
    <t>FlexPBX-1774641534.151148</t>
  </si>
  <si>
    <t>FlexPBX-1774641347.151128</t>
  </si>
  <si>
    <t>FlexPBX-1774641315.151112</t>
  </si>
  <si>
    <t>FlexPBX-1774641314.151108</t>
  </si>
  <si>
    <t>FlexPBX-1774640569.151103</t>
  </si>
  <si>
    <t>FlexPBX-1774640318.151089</t>
  </si>
  <si>
    <t>FlexPBX-1774640187.151069</t>
  </si>
  <si>
    <t>FlexPBX-1774639273.150984</t>
  </si>
  <si>
    <t>FlexPBX-1774638791.150840</t>
  </si>
  <si>
    <t>FlexPBX-1774637154.150820</t>
  </si>
  <si>
    <t>FlexPBX-1774637115.150800</t>
  </si>
  <si>
    <t>FlexPBX-1774637082.150788</t>
  </si>
  <si>
    <t>FlexPBX-1774637036.150774</t>
  </si>
  <si>
    <t>FlexPBX-1774637013.150766</t>
  </si>
  <si>
    <t>FlexPBX-1774637010.150758</t>
  </si>
  <si>
    <t>FlexPBX-1774636984.150750</t>
  </si>
  <si>
    <t>FlexPBX-1774636976.150742</t>
  </si>
  <si>
    <t>FlexPBX-1774636960.150734</t>
  </si>
  <si>
    <t>FlexPBX-1774636850.150726</t>
  </si>
  <si>
    <t>FlexPBX-1774636822.150712</t>
  </si>
  <si>
    <t>FlexPBX-1774636618.150692</t>
  </si>
  <si>
    <t>FlexPBX-1774636595.150684</t>
  </si>
  <si>
    <t>FlexPBX-1774636394.150666</t>
  </si>
  <si>
    <t>FlexPBX-1774635761.150642</t>
  </si>
  <si>
    <t>FlexPBX-1774633564.150612</t>
  </si>
  <si>
    <t>FlexPBX-1774633212.150598</t>
  </si>
  <si>
    <t>FlexPBX-1774632927.150584</t>
  </si>
  <si>
    <t>FlexPBX-1774632839.150566</t>
  </si>
  <si>
    <t>FlexPBX-1774632816.150552</t>
  </si>
  <si>
    <t>FlexPBX-1774632679.150499</t>
  </si>
  <si>
    <t>FlexPBX-1774632144.150453</t>
  </si>
  <si>
    <t>FlexPBX-1774631636.150377</t>
  </si>
  <si>
    <t>FlexPBX-1774631535.150325</t>
  </si>
  <si>
    <t>FlexPBX-1774631435.150303</t>
  </si>
  <si>
    <t>FlexPBX-1774631374.150267</t>
  </si>
  <si>
    <t>FlexPBX-1774630796.150250</t>
  </si>
  <si>
    <t>FlexPBX-1774630257.150134</t>
  </si>
  <si>
    <t>FlexPBX-1774629958.150118</t>
  </si>
  <si>
    <t>FlexPBX-1774629944.150106</t>
  </si>
  <si>
    <t>FlexPBX-1774629601.150092</t>
  </si>
  <si>
    <t>FlexPBX-1774629003.150073</t>
  </si>
  <si>
    <t>FlexPBX-1774628903.150059</t>
  </si>
  <si>
    <t>FlexPBX-1774628758.150045</t>
  </si>
  <si>
    <t>FlexPBX-1774628624.150031</t>
  </si>
  <si>
    <t>FlexPBX-1774628219.150026</t>
  </si>
  <si>
    <t>FlexPBX-1774621888.150006</t>
  </si>
  <si>
    <t>FlexPBX-1774621467.149986</t>
  </si>
  <si>
    <t>FlexPBX-1774621365.149968</t>
  </si>
  <si>
    <t>FlexPBX-1774620989.149938</t>
  </si>
  <si>
    <t>FlexPBX-1774620740.149930</t>
  </si>
  <si>
    <t>FlexPBX-1774620670.149922</t>
  </si>
  <si>
    <t>FlexPBX-1774620580.149893</t>
  </si>
  <si>
    <t>FlexPBX-1774620497.149885</t>
  </si>
  <si>
    <t>FlexPBX-1774618925.149871</t>
  </si>
  <si>
    <t>FlexPBX-1774618497.149823</t>
  </si>
  <si>
    <t>FlexPBX-1774618374.149778</t>
  </si>
  <si>
    <t>FlexPBX-1774618244.149767</t>
  </si>
  <si>
    <t>FlexPBX-1774618169.149755</t>
  </si>
  <si>
    <t>FlexPBX-1774618147.149747</t>
  </si>
  <si>
    <t>FlexPBX-1774618119.149742</t>
  </si>
  <si>
    <t>FlexPBX-1774617330.149718</t>
  </si>
  <si>
    <t>FlexPBX-1774617118.149682</t>
  </si>
  <si>
    <t>FlexPBX-1774616988.149636</t>
  </si>
  <si>
    <t>FlexPBX-1774616837.149536</t>
  </si>
  <si>
    <t>FlexPBX-1774616560.149528</t>
  </si>
  <si>
    <t>FlexPBX-1774616084.149502</t>
  </si>
  <si>
    <t>FlexPBX-1774616059.149480</t>
  </si>
  <si>
    <t>FlexPBX-1774615980.149456</t>
  </si>
  <si>
    <t>FlexPBX-1774615770.149440</t>
  </si>
  <si>
    <t>FlexPBX-1774615700.149388</t>
  </si>
  <si>
    <t>FlexPBX-1774615673.149352</t>
  </si>
  <si>
    <t>FlexPBX-1774615601.149279</t>
  </si>
  <si>
    <t>FlexPBX-1774615553.149256</t>
  </si>
  <si>
    <t>FlexPBX-1774615320.149206</t>
  </si>
  <si>
    <t>FlexPBX-1774615171.149192</t>
  </si>
  <si>
    <t>FlexPBX-1774614722.149160</t>
  </si>
  <si>
    <t>FlexPBX-1774614340.149146</t>
  </si>
  <si>
    <t>FlexPBX-1774614239.149098</t>
  </si>
  <si>
    <t>FlexPBX-1774613947.149052</t>
  </si>
  <si>
    <t>FlexPBX-1774613807.149044</t>
  </si>
  <si>
    <t>FlexPBX-1774612527.148945</t>
  </si>
  <si>
    <t>FlexPBX-1774612451.148880</t>
  </si>
  <si>
    <t>FlexPBX-1774611907.148764</t>
  </si>
  <si>
    <t>FlexPBX-1774611128.148654</t>
  </si>
  <si>
    <t>FlexPBX-1774611004.148550</t>
  </si>
  <si>
    <t>FlexPBX-1774610960.148545</t>
  </si>
  <si>
    <t>FlexPBX-1774610934.148540</t>
  </si>
  <si>
    <t>FlexPBX-1774557033.148408</t>
  </si>
  <si>
    <t>FlexPBX-1774556783.148356</t>
  </si>
  <si>
    <t>FlexPBX-1774556660.148342</t>
  </si>
  <si>
    <t>FlexPBX-1774556598.148334</t>
  </si>
  <si>
    <t>FlexPBX-1774556037.148320</t>
  </si>
  <si>
    <t>FlexPBX-1774555520.148237</t>
  </si>
  <si>
    <t>FlexPBX-1774555516.148225</t>
  </si>
  <si>
    <t>FlexPBX-1774555460.148167</t>
  </si>
  <si>
    <t>FlexPBX-1774555432.148142</t>
  </si>
  <si>
    <t>FlexPBX-1774555429.148135</t>
  </si>
  <si>
    <t>FlexPBX-1774555406.148131</t>
  </si>
  <si>
    <t>FlexPBX-1774555352.148123</t>
  </si>
  <si>
    <t>FlexPBX-1774555267.148066</t>
  </si>
  <si>
    <t>FlexPBX-1774555266.148063</t>
  </si>
  <si>
    <t>FlexPBX-1774555264.148051</t>
  </si>
  <si>
    <t>FlexPBX-1774555213.148013</t>
  </si>
  <si>
    <t>FlexPBX-1774555192.148004</t>
  </si>
  <si>
    <t>FlexPBX-1774554558.147928</t>
  </si>
  <si>
    <t>FlexPBX-1774554195.147858</t>
  </si>
  <si>
    <t>FlexPBX-1774554123.147838</t>
  </si>
  <si>
    <t>FlexPBX-1774553895.147778</t>
  </si>
  <si>
    <t>FlexPBX-1774553441.147751</t>
  </si>
  <si>
    <t>FlexPBX-1774553340.147637</t>
  </si>
  <si>
    <t>FlexPBX-1774553312.147624</t>
  </si>
  <si>
    <t>FlexPBX-1774553134.147549</t>
  </si>
  <si>
    <t>FlexPBX-1774552975.147507</t>
  </si>
  <si>
    <t>FlexPBX-1774552705.147479</t>
  </si>
  <si>
    <t>FlexPBX-1774552258.147383</t>
  </si>
  <si>
    <t>FlexPBX-1774552074.147375</t>
  </si>
  <si>
    <t>FlexPBX-1774552022.147367</t>
  </si>
  <si>
    <t>FlexPBX-1774551515.147314</t>
  </si>
  <si>
    <t>FlexPBX-1774551483.147299</t>
  </si>
  <si>
    <t>FlexPBX-1774551047.147279</t>
  </si>
  <si>
    <t>FlexPBX-1774550954.147263</t>
  </si>
  <si>
    <t>FlexPBX-1774550710.147139</t>
  </si>
  <si>
    <t>FlexPBX-1774550681.147116</t>
  </si>
  <si>
    <t>FlexPBX-1774550477.147092</t>
  </si>
  <si>
    <t>FlexPBX-1774550368.147052</t>
  </si>
  <si>
    <t>FlexPBX-1774549780.147038</t>
  </si>
  <si>
    <t>FlexPBX-1774549634.146982</t>
  </si>
  <si>
    <t>FlexPBX-1774549313.146792</t>
  </si>
  <si>
    <t>FlexPBX-1774549041.146781</t>
  </si>
  <si>
    <t>FlexPBX-1774548894.146733</t>
  </si>
  <si>
    <t>FlexPBX-1774548351.146707</t>
  </si>
  <si>
    <t>FlexPBX-1774548283.146699</t>
  </si>
  <si>
    <t>FlexPBX-1774548155.146677</t>
  </si>
  <si>
    <t>FlexPBX-1774547698.146637</t>
  </si>
  <si>
    <t>FlexPBX-1774547671.146629</t>
  </si>
  <si>
    <t>FlexPBX-1774547667.146621</t>
  </si>
  <si>
    <t>FlexPBX-1774547664.146613</t>
  </si>
  <si>
    <t>FlexPBX-1774547661.146605</t>
  </si>
  <si>
    <t>FlexPBX-1774547657.146597</t>
  </si>
  <si>
    <t>FlexPBX-1774547644.146587</t>
  </si>
  <si>
    <t>FlexPBX-1774547492.146519</t>
  </si>
  <si>
    <t>FlexPBX-1774547345.146499</t>
  </si>
  <si>
    <t>FlexPBX-1774547244.146491</t>
  </si>
  <si>
    <t>FlexPBX-1774546714.146457</t>
  </si>
  <si>
    <t>FlexPBX-1774546596.146437</t>
  </si>
  <si>
    <t>FlexPBX-1774546593.146429</t>
  </si>
  <si>
    <t>FlexPBX-1774546486.146396</t>
  </si>
  <si>
    <t>FlexPBX-1774546363.146335</t>
  </si>
  <si>
    <t>FlexPBX-1774546086.146319</t>
  </si>
  <si>
    <t>FlexPBX-1774546004.146299</t>
  </si>
  <si>
    <t>FlexPBX-1774545987.146295</t>
  </si>
  <si>
    <t>FlexPBX-1774545676.146235</t>
  </si>
  <si>
    <t>FlexPBX-1774545549.146201</t>
  </si>
  <si>
    <t>FlexPBX-1774545366.146118</t>
  </si>
  <si>
    <t>FlexPBX-1774545363.146114</t>
  </si>
  <si>
    <t>FlexPBX-1774545342.146095</t>
  </si>
  <si>
    <t>FlexPBX-1774545313.146091</t>
  </si>
  <si>
    <t>FlexPBX-1774544752.146047</t>
  </si>
  <si>
    <t>FlexPBX-1774542989.145975</t>
  </si>
  <si>
    <t>FlexPBX-1774542886.145937</t>
  </si>
  <si>
    <t>FlexPBX-1774542789.145848</t>
  </si>
  <si>
    <t>FlexPBX-1774542786.145845</t>
  </si>
  <si>
    <t>FlexPBX-1774542240.145834</t>
  </si>
  <si>
    <t>FlexPBX-1774542135.145826</t>
  </si>
  <si>
    <t>FlexPBX-1774542074.145812</t>
  </si>
  <si>
    <t>FlexPBX-1774542068.145804</t>
  </si>
  <si>
    <t>FlexPBX-1774536978.145782</t>
  </si>
  <si>
    <t>FlexPBX-1774536456.145762</t>
  </si>
  <si>
    <t>FlexPBX-1774536047.145710</t>
  </si>
  <si>
    <t>FlexPBX-1774535879.145702</t>
  </si>
  <si>
    <t>FlexPBX-1774535674.145694</t>
  </si>
  <si>
    <t>FlexPBX-1774535334.145637</t>
  </si>
  <si>
    <t>FlexPBX-1774535282.145604</t>
  </si>
  <si>
    <t>FlexPBX-1774534705.145548</t>
  </si>
  <si>
    <t>FlexPBX-1774534299.145534</t>
  </si>
  <si>
    <t>FlexPBX-1774532925.145464</t>
  </si>
  <si>
    <t>FlexPBX-1774532762.145424</t>
  </si>
  <si>
    <t>FlexPBX-1774532609.145325</t>
  </si>
  <si>
    <t>FlexPBX-1774532541.145266</t>
  </si>
  <si>
    <t>FlexPBX-1774532460.145258</t>
  </si>
  <si>
    <t>FlexPBX-1774532381.145244</t>
  </si>
  <si>
    <t>FlexPBX-1774532376.145236</t>
  </si>
  <si>
    <t>FlexPBX-1774531962.145216</t>
  </si>
  <si>
    <t>FlexPBX-1774531881.145208</t>
  </si>
  <si>
    <t>FlexPBX-1774531570.145168</t>
  </si>
  <si>
    <t>FlexPBX-1774531197.145148</t>
  </si>
  <si>
    <t>FlexPBX-1774530969.145134</t>
  </si>
  <si>
    <t>FlexPBX-1774530848.145114</t>
  </si>
  <si>
    <t>FlexPBX-1774530615.145086</t>
  </si>
  <si>
    <t>FlexPBX-1774530522.145072</t>
  </si>
  <si>
    <t>FlexPBX-1774530230.145046</t>
  </si>
  <si>
    <t>FlexPBX-1774530202.145023</t>
  </si>
  <si>
    <t>FlexPBX-1774530189.145020</t>
  </si>
  <si>
    <t>FlexPBX-1774530184.145010</t>
  </si>
  <si>
    <t>FlexPBX-1774530147.144991</t>
  </si>
  <si>
    <t>FlexPBX-1774530115.144962</t>
  </si>
  <si>
    <t>FlexPBX-1774529892.144882</t>
  </si>
  <si>
    <t>FlexPBX-1774529879.144879</t>
  </si>
  <si>
    <t>FlexPBX-1774529864.144871</t>
  </si>
  <si>
    <t>FlexPBX-1774529801.144835</t>
  </si>
  <si>
    <t>FlexPBX-1774529580.144765</t>
  </si>
  <si>
    <t>FlexPBX-1774529558.144757</t>
  </si>
  <si>
    <t>FlexPBX-1774529489.144743</t>
  </si>
  <si>
    <t>FlexPBX-1774529376.144691</t>
  </si>
  <si>
    <t>FlexPBX-1774529347.144683</t>
  </si>
  <si>
    <t>FlexPBX-1774529344.144675</t>
  </si>
  <si>
    <t>FlexPBX-1774529216.144613</t>
  </si>
  <si>
    <t>FlexPBX-1774529170.144609</t>
  </si>
  <si>
    <t>FlexPBX-1774529151.144601</t>
  </si>
  <si>
    <t>FlexPBX-1774528955.144557</t>
  </si>
  <si>
    <t>FlexPBX-1774528729.144537</t>
  </si>
  <si>
    <t>FlexPBX-1774528633.144473</t>
  </si>
  <si>
    <t>FlexPBX-1774528506.144417</t>
  </si>
  <si>
    <t>FlexPBX-1774528152.144391</t>
  </si>
  <si>
    <t>FlexPBX-1774528133.144386</t>
  </si>
  <si>
    <t>FlexPBX-1774528094.144381</t>
  </si>
  <si>
    <t>FlexPBX-1774528065.144357</t>
  </si>
  <si>
    <t>FlexPBX-1774527527.144337</t>
  </si>
  <si>
    <t>FlexPBX-1774527524.144329</t>
  </si>
  <si>
    <t>FlexPBX-1774527467.144313</t>
  </si>
  <si>
    <t>FlexPBX-1774527449.144301</t>
  </si>
  <si>
    <t>FlexPBX-1774527439.144293</t>
  </si>
  <si>
    <t>FlexPBX-1774527199.144225</t>
  </si>
  <si>
    <t>FlexPBX-1774527005.144211</t>
  </si>
  <si>
    <t>FlexPBX-1774526696.144197</t>
  </si>
  <si>
    <t>FlexPBX-1774526687.144189</t>
  </si>
  <si>
    <t>FlexPBX-1774526674.144181</t>
  </si>
  <si>
    <t>FlexPBX-1774526669.144173</t>
  </si>
  <si>
    <t>FlexPBX-1774526666.144165</t>
  </si>
  <si>
    <t>FlexPBX-1774526663.144157</t>
  </si>
  <si>
    <t>FlexPBX-1774526659.144149</t>
  </si>
  <si>
    <t>FlexPBX-1774526453.144107</t>
  </si>
  <si>
    <t>FlexPBX-1774526389.144099</t>
  </si>
  <si>
    <t>FlexPBX-1774526139.144066</t>
  </si>
  <si>
    <t>FlexPBX-1774526125.144063</t>
  </si>
  <si>
    <t>FlexPBX-1774525120.144031</t>
  </si>
  <si>
    <t>FlexPBX-1774525022.144005</t>
  </si>
  <si>
    <t>FlexPBX-1774524911.143979</t>
  </si>
  <si>
    <t>FlexPBX-1774524800.143916</t>
  </si>
  <si>
    <t>FlexPBX-1774524799.143906</t>
  </si>
  <si>
    <t>FlexPBX-1774524771.143893</t>
  </si>
  <si>
    <t>FlexPBX-1774524427.143879</t>
  </si>
  <si>
    <t>FlexPBX-1774524386.143865</t>
  </si>
  <si>
    <t>FlexPBX-1774523987.143852</t>
  </si>
  <si>
    <t>FlexPBX-1774523574.143847</t>
  </si>
  <si>
    <t>FlexPBX-1774523218.143842</t>
  </si>
  <si>
    <t>FlexPBX-1774473981.143837</t>
  </si>
  <si>
    <t>FlexPBX-1774469551.143803</t>
  </si>
  <si>
    <t>FlexPBX-1774469547.143795</t>
  </si>
  <si>
    <t>FlexPBX-1774469438.143781</t>
  </si>
  <si>
    <t>FlexPBX-1774469336.143773</t>
  </si>
  <si>
    <t>FlexPBX-1774469211.143765</t>
  </si>
  <si>
    <t>FlexPBX-1774468877.143581</t>
  </si>
  <si>
    <t>FlexPBX-1774468479.143555</t>
  </si>
  <si>
    <t>FlexPBX-1774468391.143547</t>
  </si>
  <si>
    <t>FlexPBX-1774468230.143527</t>
  </si>
  <si>
    <t>FlexPBX-1774467993.143377</t>
  </si>
  <si>
    <t>FlexPBX-1774467567.143321</t>
  </si>
  <si>
    <t>FlexPBX-1774467134.143263</t>
  </si>
  <si>
    <t>FlexPBX-1774466771.143147</t>
  </si>
  <si>
    <t>FlexPBX-1774466709.143139</t>
  </si>
  <si>
    <t>FlexPBX-1774466632.143115</t>
  </si>
  <si>
    <t>FlexPBX-1774465782.143040</t>
  </si>
  <si>
    <t>FlexPBX-1774465776.143037</t>
  </si>
  <si>
    <t>FlexPBX-1774465632.143017</t>
  </si>
  <si>
    <t>FlexPBX-1774465223.142997</t>
  </si>
  <si>
    <t>FlexPBX-1774465196.142985</t>
  </si>
  <si>
    <t>FlexPBX-1774465007.142971</t>
  </si>
  <si>
    <t>FlexPBX-1774464992.142963</t>
  </si>
  <si>
    <t>FlexPBX-1774464981.142955</t>
  </si>
  <si>
    <t>FlexPBX-1774464903.142946</t>
  </si>
  <si>
    <t>FlexPBX-1774464894.142942</t>
  </si>
  <si>
    <t>FlexPBX-1774464839.142922</t>
  </si>
  <si>
    <t>FlexPBX-1774464729.142898</t>
  </si>
  <si>
    <t>FlexPBX-1774464212.142823</t>
  </si>
  <si>
    <t>FlexPBX-1774464151.142788</t>
  </si>
  <si>
    <t>FlexPBX-1774464076.142780</t>
  </si>
  <si>
    <t>FlexPBX-1774464073.142772</t>
  </si>
  <si>
    <t>FlexPBX-1774463068.142756</t>
  </si>
  <si>
    <t>FlexPBX-1774463000.142744</t>
  </si>
  <si>
    <t>FlexPBX-1774462734.142730</t>
  </si>
  <si>
    <t>FlexPBX-1774462609.142708</t>
  </si>
  <si>
    <t>FlexPBX-1774462568.142696</t>
  </si>
  <si>
    <t>FlexPBX-1774462486.142682</t>
  </si>
  <si>
    <t>FlexPBX-1774462477.142665</t>
  </si>
  <si>
    <t>FlexPBX-1774462470.142655</t>
  </si>
  <si>
    <t>FlexPBX-1774462451.142642</t>
  </si>
  <si>
    <t>FlexPBX-1774462447.142638</t>
  </si>
  <si>
    <t>FlexPBX-1774461983.142602</t>
  </si>
  <si>
    <t>FlexPBX-1774461925.142588</t>
  </si>
  <si>
    <t>FlexPBX-1774461920.142580</t>
  </si>
  <si>
    <t>FlexPBX-1774461730.142566</t>
  </si>
  <si>
    <t>FlexPBX-1774461694.142552</t>
  </si>
  <si>
    <t>FlexPBX-1774461486.142502</t>
  </si>
  <si>
    <t>FlexPBX-1774461368.142494</t>
  </si>
  <si>
    <t>FlexPBX-1774461318.142480</t>
  </si>
  <si>
    <t>FlexPBX-1774461209.142470</t>
  </si>
  <si>
    <t>FlexPBX-1774461168.142415</t>
  </si>
  <si>
    <t>FlexPBX-1774461163.142410</t>
  </si>
  <si>
    <t>FlexPBX-1774461155.142398</t>
  </si>
  <si>
    <t>FlexPBX-1774461151.142390</t>
  </si>
  <si>
    <t>FlexPBX-1774461146.142382</t>
  </si>
  <si>
    <t>FlexPBX-1774461094.142368</t>
  </si>
  <si>
    <t>FlexPBX-1774461024.142356</t>
  </si>
  <si>
    <t>FlexPBX-1774460851.142348</t>
  </si>
  <si>
    <t>FlexPBX-1774460805.142334</t>
  </si>
  <si>
    <t>FlexPBX-1774460407.142276</t>
  </si>
  <si>
    <t>FlexPBX-1774460362.142268</t>
  </si>
  <si>
    <t>FlexPBX-1774460355.142260</t>
  </si>
  <si>
    <t>FlexPBX-1774460333.142246</t>
  </si>
  <si>
    <t>FlexPBX-1774460195.142136</t>
  </si>
  <si>
    <t>FlexPBX-1774459892.142131</t>
  </si>
  <si>
    <t>FlexPBX-1774459260.142099</t>
  </si>
  <si>
    <t>FlexPBX-1774459084.142091</t>
  </si>
  <si>
    <t>FlexPBX-1774458739.142051</t>
  </si>
  <si>
    <t>FlexPBX-1774458598.142005</t>
  </si>
  <si>
    <t>FlexPBX-1774458598.142009</t>
  </si>
  <si>
    <t>FlexPBX-1774458530.141997</t>
  </si>
  <si>
    <t>FlexPBX-1774457812.141977</t>
  </si>
  <si>
    <t>FlexPBX-1774457742.141928</t>
  </si>
  <si>
    <t>FlexPBX-1774457715.141917</t>
  </si>
  <si>
    <t>FlexPBX-1774457504.141855</t>
  </si>
  <si>
    <t>FlexPBX-1774457437.141829</t>
  </si>
  <si>
    <t>FlexPBX-1774456957.141760</t>
  </si>
  <si>
    <t>FlexPBX-1774456895.141727</t>
  </si>
  <si>
    <t>FlexPBX-1774456733.141699</t>
  </si>
  <si>
    <t>FlexPBX-1774456726.141691</t>
  </si>
  <si>
    <t>FlexPBX-1774456720.141683</t>
  </si>
  <si>
    <t>FlexPBX-1774456716.141675</t>
  </si>
  <si>
    <t>FlexPBX-1774456643.141661</t>
  </si>
  <si>
    <t>FlexPBX-1774456549.141654</t>
  </si>
  <si>
    <t>FlexPBX-1774456509.141618</t>
  </si>
  <si>
    <t>FlexPBX-1774456393.141610</t>
  </si>
  <si>
    <t>FlexPBX-1774456252.141558</t>
  </si>
  <si>
    <t>FlexPBX-1774456190.141553</t>
  </si>
  <si>
    <t>FlexPBX-1774455102.141548</t>
  </si>
  <si>
    <t>FlexPBX-1774450789.141507</t>
  </si>
  <si>
    <t>FlexPBX-1774449737.141403</t>
  </si>
  <si>
    <t>FlexPBX-1774449153.141383</t>
  </si>
  <si>
    <t>FlexPBX-1774449061.141333</t>
  </si>
  <si>
    <t>FlexPBX-1774448966.141328</t>
  </si>
  <si>
    <t>FlexPBX-1774448542.141293</t>
  </si>
  <si>
    <t>FlexPBX-1774448504.141270</t>
  </si>
  <si>
    <t>FlexPBX-1774448491.141265</t>
  </si>
  <si>
    <t>FlexPBX-1774448128.141228</t>
  </si>
  <si>
    <t>FlexPBX-1774447642.141202</t>
  </si>
  <si>
    <t>FlexPBX-1774447546.141140</t>
  </si>
  <si>
    <t>FlexPBX-1774447364.141119</t>
  </si>
  <si>
    <t>FlexPBX-1774447356.141115</t>
  </si>
  <si>
    <t>FlexPBX-1774447353.141107</t>
  </si>
  <si>
    <t>FlexPBX-1774447293.141099</t>
  </si>
  <si>
    <t>FlexPBX-1774447289.141091</t>
  </si>
  <si>
    <t>FlexPBX-1774447241.141083</t>
  </si>
  <si>
    <t>FlexPBX-1774447221.141075</t>
  </si>
  <si>
    <t>FlexPBX-1774447181.141067</t>
  </si>
  <si>
    <t>FlexPBX-1774447103.140997</t>
  </si>
  <si>
    <t>FlexPBX-1774446635.140989</t>
  </si>
  <si>
    <t>FlexPBX-1774445794.140975</t>
  </si>
  <si>
    <t>FlexPBX-1774445779.140967</t>
  </si>
  <si>
    <t>FlexPBX-1774445286.140953</t>
  </si>
  <si>
    <t>FlexPBX-1774445174.140939</t>
  </si>
  <si>
    <t>FlexPBX-1774444958.140925</t>
  </si>
  <si>
    <t>FlexPBX-1774444952.140917</t>
  </si>
  <si>
    <t>FlexPBX-1774444841.140903</t>
  </si>
  <si>
    <t>FlexPBX-1774444834.140895</t>
  </si>
  <si>
    <t>FlexPBX-1774444136.140881</t>
  </si>
  <si>
    <t>FlexPBX-1774444071.140859</t>
  </si>
  <si>
    <t>FlexPBX-1774443876.140791</t>
  </si>
  <si>
    <t>FlexPBX-1774443874.140787</t>
  </si>
  <si>
    <t>FlexPBX-1774443813.140717</t>
  </si>
  <si>
    <t>FlexPBX-1774443370.140695</t>
  </si>
  <si>
    <t>FlexPBX-1774443294.140665</t>
  </si>
  <si>
    <t>FlexPBX-1774443275.140645</t>
  </si>
  <si>
    <t>FlexPBX-1774443164.140599</t>
  </si>
  <si>
    <t>FlexPBX-1774443160.140591</t>
  </si>
  <si>
    <t>FlexPBX-1774443079.140579</t>
  </si>
  <si>
    <t>FlexPBX-1774443060.140558</t>
  </si>
  <si>
    <t>FlexPBX-1774443056.140550</t>
  </si>
  <si>
    <t>FlexPBX-1774443034.140534</t>
  </si>
  <si>
    <t>FlexPBX-1774443030.140526</t>
  </si>
  <si>
    <t>FlexPBX-1774442983.140506</t>
  </si>
  <si>
    <t>FlexPBX-1774442925.140490</t>
  </si>
  <si>
    <t>FlexPBX-1774442856.140465</t>
  </si>
  <si>
    <t>FlexPBX-1774442839.140462</t>
  </si>
  <si>
    <t>FlexPBX-1774442484.140414</t>
  </si>
  <si>
    <t>FlexPBX-1774442344.140394</t>
  </si>
  <si>
    <t>FlexPBX-1774442061.140346</t>
  </si>
  <si>
    <t>FlexPBX-1774442056.140342</t>
  </si>
  <si>
    <t>FlexPBX-1774442049.140334</t>
  </si>
  <si>
    <t>FlexPBX-1774441952.140250</t>
  </si>
  <si>
    <t>FlexPBX-1774441944.140238</t>
  </si>
  <si>
    <t>FlexPBX-1774441930.140227</t>
  </si>
  <si>
    <t>FlexPBX-1774441913.140216</t>
  </si>
  <si>
    <t>FlexPBX-1774441766.140196</t>
  </si>
  <si>
    <t>FlexPBX-1774441607.140182</t>
  </si>
  <si>
    <t>FlexPBX-1774441545.140168</t>
  </si>
  <si>
    <t>FlexPBX-1774441246.140122</t>
  </si>
  <si>
    <t>FlexPBX-1774441138.140089</t>
  </si>
  <si>
    <t>FlexPBX-1774441135.140081</t>
  </si>
  <si>
    <t>FlexPBX-1774441074.140025</t>
  </si>
  <si>
    <t>FlexPBX-1774441041.140010</t>
  </si>
  <si>
    <t>FlexPBX-1774440887.139990</t>
  </si>
  <si>
    <t>FlexPBX-1774440822.139982</t>
  </si>
  <si>
    <t>FlexPBX-1774440817.139974</t>
  </si>
  <si>
    <t>FlexPBX-1774440736.139966</t>
  </si>
  <si>
    <t>FlexPBX-1774440731.139958</t>
  </si>
  <si>
    <t>FlexPBX-1774440727.139950</t>
  </si>
  <si>
    <t>FlexPBX-1774440523.139936</t>
  </si>
  <si>
    <t>FlexPBX-1774440307.139798</t>
  </si>
  <si>
    <t>FlexPBX-1774440036.139774</t>
  </si>
  <si>
    <t>FlexPBX-1774439527.139654</t>
  </si>
  <si>
    <t>FlexPBX-1774439350.139590</t>
  </si>
  <si>
    <t>FlexPBX-1774437938.139554</t>
  </si>
  <si>
    <t>FlexPBX-1774437930.139546</t>
  </si>
  <si>
    <t>FlexPBX-1774437803.139534</t>
  </si>
  <si>
    <t>FlexPBX-1774385409.139504</t>
  </si>
  <si>
    <t>FlexPBX-1774385318.139435</t>
  </si>
  <si>
    <t>FlexPBX-1774384364.139401</t>
  </si>
  <si>
    <t>FlexPBX-1774384358.139393</t>
  </si>
  <si>
    <t>FlexPBX-1774384302.139364</t>
  </si>
  <si>
    <t>FlexPBX-1774383597.139327</t>
  </si>
  <si>
    <t>FlexPBX-1774383591.139319</t>
  </si>
  <si>
    <t>FlexPBX-1774383584.139305</t>
  </si>
  <si>
    <t>FlexPBX-1774383579.139291</t>
  </si>
  <si>
    <t>FlexPBX-1774383573.139281</t>
  </si>
  <si>
    <t>FlexPBX-1774383552.139259</t>
  </si>
  <si>
    <t>FlexPBX-1774383538.139239</t>
  </si>
  <si>
    <t>FlexPBX-1774383492.139179</t>
  </si>
  <si>
    <t>FlexPBX-1774383375.139086</t>
  </si>
  <si>
    <t>FlexPBX-1774382377.139028</t>
  </si>
  <si>
    <t>FlexPBX-1774382189.139004</t>
  </si>
  <si>
    <t>FlexPBX-1774382088.138978</t>
  </si>
  <si>
    <t>FlexPBX-1774381925.138944</t>
  </si>
  <si>
    <t>FlexPBX-1774381766.138899</t>
  </si>
  <si>
    <t>FlexPBX-1774381765.138896</t>
  </si>
  <si>
    <t>FlexPBX-1774381745.138891</t>
  </si>
  <si>
    <t>FlexPBX-1774381672.138849</t>
  </si>
  <si>
    <t>FlexPBX-1774381569.138811</t>
  </si>
  <si>
    <t>FlexPBX-1774380305.138775</t>
  </si>
  <si>
    <t>FlexPBX-1774380080.138767</t>
  </si>
  <si>
    <t>FlexPBX-1774379259.138715</t>
  </si>
  <si>
    <t>FlexPBX-1774379177.138691</t>
  </si>
  <si>
    <t>FlexPBX-1774379025.138677</t>
  </si>
  <si>
    <t>FlexPBX-1774378792.138647</t>
  </si>
  <si>
    <t>FlexPBX-1774378160.138571</t>
  </si>
  <si>
    <t>FlexPBX-1774378060.138511</t>
  </si>
  <si>
    <t>FlexPBX-1774376843.138485</t>
  </si>
  <si>
    <t>FlexPBX-1774376692.138471</t>
  </si>
  <si>
    <t>FlexPBX-1774376503.138435</t>
  </si>
  <si>
    <t>FlexPBX-1774376175.138389</t>
  </si>
  <si>
    <t>FlexPBX-1774376089.138375</t>
  </si>
  <si>
    <t>FlexPBX-1774376072.138367</t>
  </si>
  <si>
    <t>FlexPBX-1774376067.138359</t>
  </si>
  <si>
    <t>FlexPBX-1774375915.138345</t>
  </si>
  <si>
    <t>FlexPBX-1774375877.138312</t>
  </si>
  <si>
    <t>FlexPBX-1774375828.138247</t>
  </si>
  <si>
    <t>FlexPBX-1774375824.138244</t>
  </si>
  <si>
    <t>FlexPBX-1774375821.138230</t>
  </si>
  <si>
    <t>FlexPBX-1774375807.138222</t>
  </si>
  <si>
    <t>FlexPBX-1774375807.138219</t>
  </si>
  <si>
    <t>FlexPBX-1774375778.138214</t>
  </si>
  <si>
    <t>FlexPBX-1774375675.138192</t>
  </si>
  <si>
    <t>FlexPBX-1774375487.138184</t>
  </si>
  <si>
    <t>FlexPBX-1774375014.138150</t>
  </si>
  <si>
    <t>FlexPBX-1774374954.138142</t>
  </si>
  <si>
    <t>FlexPBX-1774374862.138134</t>
  </si>
  <si>
    <t>FlexPBX-1774374844.138126</t>
  </si>
  <si>
    <t>FlexPBX-1774374829.138118</t>
  </si>
  <si>
    <t>FlexPBX-1774374821.138110</t>
  </si>
  <si>
    <t>FlexPBX-1774374508.138096</t>
  </si>
  <si>
    <t>FlexPBX-1774374484.138088</t>
  </si>
  <si>
    <t>FlexPBX-1774374457.138076</t>
  </si>
  <si>
    <t>FlexPBX-1774374401.138062</t>
  </si>
  <si>
    <t>FlexPBX-1774374357.138054</t>
  </si>
  <si>
    <t>FlexPBX-1774374336.138040</t>
  </si>
  <si>
    <t>FlexPBX-1774374278.138026</t>
  </si>
  <si>
    <t>FlexPBX-1774374205.138002</t>
  </si>
  <si>
    <t>FlexPBX-1774374005.137976</t>
  </si>
  <si>
    <t>FlexPBX-1774373668.137947</t>
  </si>
  <si>
    <t>FlexPBX-1774373516.137935</t>
  </si>
  <si>
    <t>FlexPBX-1774373073.137915</t>
  </si>
  <si>
    <t>FlexPBX-1774372761.137889</t>
  </si>
  <si>
    <t>FlexPBX-1774372712.137875</t>
  </si>
  <si>
    <t>FlexPBX-1774372468.137791</t>
  </si>
  <si>
    <t>FlexPBX-1774372198.137777</t>
  </si>
  <si>
    <t>FlexPBX-1774371670.137710</t>
  </si>
  <si>
    <t>FlexPBX-1774371654.137699</t>
  </si>
  <si>
    <t>FlexPBX-1774371362.137645</t>
  </si>
  <si>
    <t>FlexPBX-1774371188.137637</t>
  </si>
  <si>
    <t>FlexPBX-1774370874.137597</t>
  </si>
  <si>
    <t>FlexPBX-1774370074.137573</t>
  </si>
  <si>
    <t>FlexPBX-1774369848.137479</t>
  </si>
  <si>
    <t>FlexPBX-1774369832.137464</t>
  </si>
  <si>
    <t>FlexPBX-1774369821.137461</t>
  </si>
  <si>
    <t>FlexPBX-1774369767.137456</t>
  </si>
  <si>
    <t>FlexPBX-1774369744.137451</t>
  </si>
  <si>
    <t>FlexPBX-1774368783.137446</t>
  </si>
  <si>
    <t>FlexPBX-1774366384.137441</t>
  </si>
  <si>
    <t>FlexPBX-1774363748.137377</t>
  </si>
  <si>
    <t>FlexPBX-1774363097.137313</t>
  </si>
  <si>
    <t>FlexPBX-1774363047.137293</t>
  </si>
  <si>
    <t>FlexPBX-1774362968.137209</t>
  </si>
  <si>
    <t>FlexPBX-1774362099.137145</t>
  </si>
  <si>
    <t>FlexPBX-1774361984.137035</t>
  </si>
  <si>
    <t>FlexPBX-1774360968.136977</t>
  </si>
  <si>
    <t>FlexPBX-1774360804.136937</t>
  </si>
  <si>
    <t>FlexPBX-1774360706.136879</t>
  </si>
  <si>
    <t>FlexPBX-1774360557.136863</t>
  </si>
  <si>
    <t>FlexPBX-1774360190.136809</t>
  </si>
  <si>
    <t>FlexPBX-1774360111.136765</t>
  </si>
  <si>
    <t>FlexPBX-1774359795.136725</t>
  </si>
  <si>
    <t>FlexPBX-1774359718.136713</t>
  </si>
  <si>
    <t>FlexPBX-1774359499.136677</t>
  </si>
  <si>
    <t>FlexPBX-1774359466.136665</t>
  </si>
  <si>
    <t>FlexPBX-1774359316.136643</t>
  </si>
  <si>
    <t>FlexPBX-1774359099.136528</t>
  </si>
  <si>
    <t>FlexPBX-1774359068.136513</t>
  </si>
  <si>
    <t>FlexPBX-1774358347.136473</t>
  </si>
  <si>
    <t>FlexPBX-1774358326.136465</t>
  </si>
  <si>
    <t>FlexPBX-1774358321.136457</t>
  </si>
  <si>
    <t>FlexPBX-1774358285.136430</t>
  </si>
  <si>
    <t>FlexPBX-1774358232.136409</t>
  </si>
  <si>
    <t>FlexPBX-1774358191.136385</t>
  </si>
  <si>
    <t>FlexPBX-1774358180.136382</t>
  </si>
  <si>
    <t>FlexPBX-1774358114.136347</t>
  </si>
  <si>
    <t>FlexPBX-1774358102.136336</t>
  </si>
  <si>
    <t>FlexPBX-1774358063.136324</t>
  </si>
  <si>
    <t>FlexPBX-1774358054.136316</t>
  </si>
  <si>
    <t>FlexPBX-1774357503.136242</t>
  </si>
  <si>
    <t>FlexPBX-1774357018.136194</t>
  </si>
  <si>
    <t>FlexPBX-1774356103.136143</t>
  </si>
  <si>
    <t>FlexPBX-1774356051.136132</t>
  </si>
  <si>
    <t>FlexPBX-1774355912.136116</t>
  </si>
  <si>
    <t>FlexPBX-1774355871.136084</t>
  </si>
  <si>
    <t>FlexPBX-1774355846.136064</t>
  </si>
  <si>
    <t>FlexPBX-1774355577.136044</t>
  </si>
  <si>
    <t>FlexPBX-1774355527.136028</t>
  </si>
  <si>
    <t>FlexPBX-1774355290.135925</t>
  </si>
  <si>
    <t>FlexPBX-1774355263.135912</t>
  </si>
  <si>
    <t>FlexPBX-1774355059.135837</t>
  </si>
  <si>
    <t>FlexPBX-1774354698.135773</t>
  </si>
  <si>
    <t>FlexPBX-1774354663.135768</t>
  </si>
  <si>
    <t>FlexPBX-1774354630.135763</t>
  </si>
  <si>
    <t>FlexPBX-1774353623.135695</t>
  </si>
  <si>
    <t>FlexPBX-1774353565.135690</t>
  </si>
  <si>
    <t>FlexPBX-1774353193.135574</t>
  </si>
  <si>
    <t>FlexPBX-1774352360.135548</t>
  </si>
  <si>
    <t>FlexPBX-1774351976.135453</t>
  </si>
  <si>
    <t>FlexPBX-1774351965.135444</t>
  </si>
  <si>
    <t>FlexPBX-1774351815.135376</t>
  </si>
  <si>
    <t>FlexPBX-1774351579.135371</t>
  </si>
  <si>
    <t>FlexPBX-1774350695.135366</t>
  </si>
  <si>
    <t>FlexPBX-1774350666.135361</t>
  </si>
  <si>
    <t>FlexPBX-1774298196.135291</t>
  </si>
  <si>
    <t>FlexPBX-1774297980.135247</t>
  </si>
  <si>
    <t>FlexPBX-1774296892.135151</t>
  </si>
  <si>
    <t>FlexPBX-1774295704.135102</t>
  </si>
  <si>
    <t>FlexPBX-1774295577.135086</t>
  </si>
  <si>
    <t>FlexPBX-1774295519.135058</t>
  </si>
  <si>
    <t>FlexPBX-1774295288.134944</t>
  </si>
  <si>
    <t>FlexPBX-1774295066.134877</t>
  </si>
  <si>
    <t>FlexPBX-1774295032.134858</t>
  </si>
  <si>
    <t>FlexPBX-1774294517.134818</t>
  </si>
  <si>
    <t>FlexPBX-1774294459.134798</t>
  </si>
  <si>
    <t>FlexPBX-1774293077.134751</t>
  </si>
  <si>
    <t>FlexPBX-1774293007.134708</t>
  </si>
  <si>
    <t>FlexPBX-1774292699.134694</t>
  </si>
  <si>
    <t>FlexPBX-1774292564.134656</t>
  </si>
  <si>
    <t>FlexPBX-1774291874.134628</t>
  </si>
  <si>
    <t>FlexPBX-1774290573.134582</t>
  </si>
  <si>
    <t>FlexPBX-1774290304.134574</t>
  </si>
  <si>
    <t>FlexPBX-1774289835.134510</t>
  </si>
  <si>
    <t>FlexPBX-1774289731.134438</t>
  </si>
  <si>
    <t>FlexPBX-1774288235.134360</t>
  </si>
  <si>
    <t>FlexPBX-1774287837.134312</t>
  </si>
  <si>
    <t>FlexPBX-1774287537.134270</t>
  </si>
  <si>
    <t>FlexPBX-1774287272.134192</t>
  </si>
  <si>
    <t>FlexPBX-1774286805.134071</t>
  </si>
  <si>
    <t>FlexPBX-1774286754.134044</t>
  </si>
  <si>
    <t>FlexPBX-1774286610.134020</t>
  </si>
  <si>
    <t>FlexPBX-1774286408.133979</t>
  </si>
  <si>
    <t>FlexPBX-1774285813.133949</t>
  </si>
  <si>
    <t>FlexPBX-1774285624.133941</t>
  </si>
  <si>
    <t>FlexPBX-1774285406.133862</t>
  </si>
  <si>
    <t>FlexPBX-1774285311.133831</t>
  </si>
  <si>
    <t>FlexPBX-1774284806.133779</t>
  </si>
  <si>
    <t>FlexPBX-1774284696.133753</t>
  </si>
  <si>
    <t>FlexPBX-1774284692.133749</t>
  </si>
  <si>
    <t>FlexPBX-1774284685.133741</t>
  </si>
  <si>
    <t>FlexPBX-1774284286.133605</t>
  </si>
  <si>
    <t>FlexPBX-1774284052.133565</t>
  </si>
  <si>
    <t>FlexPBX-1774283936.133557</t>
  </si>
  <si>
    <t>FlexPBX-1774283930.133549</t>
  </si>
  <si>
    <t>FlexPBX-1774283893.133515</t>
  </si>
  <si>
    <t>FlexPBX-1774283880.133512</t>
  </si>
  <si>
    <t>FlexPBX-1774283495.133422</t>
  </si>
  <si>
    <t>FlexPBX-1774283452.133412</t>
  </si>
  <si>
    <t>FlexPBX-1774283413.133400</t>
  </si>
  <si>
    <t>FlexPBX-1774283249.133386</t>
  </si>
  <si>
    <t>FlexPBX-1774283045.133379</t>
  </si>
  <si>
    <t>FlexPBX-1774283006.133367</t>
  </si>
  <si>
    <t>FlexPBX-1774278846.133362</t>
  </si>
  <si>
    <t>FlexPBX-1774277331.133340</t>
  </si>
  <si>
    <t>FlexPBX-1774277298.133328</t>
  </si>
  <si>
    <t>FlexPBX-1774277293.133320</t>
  </si>
  <si>
    <t>FlexPBX-1774276886.133306</t>
  </si>
  <si>
    <t>FlexPBX-1774276589.133264</t>
  </si>
  <si>
    <t>FlexPBX-1774276379.133212</t>
  </si>
  <si>
    <t>FlexPBX-1774275875.133190</t>
  </si>
  <si>
    <t>FlexPBX-1774275460.133126</t>
  </si>
  <si>
    <t>FlexPBX-1774275233.133092</t>
  </si>
  <si>
    <t>FlexPBX-1774275100.133016</t>
  </si>
  <si>
    <t>FlexPBX-1774274706.132992</t>
  </si>
  <si>
    <t>FlexPBX-1774274534.132941</t>
  </si>
  <si>
    <t>FlexPBX-1774274487.132881</t>
  </si>
  <si>
    <t>FlexPBX-1774274447.132854</t>
  </si>
  <si>
    <t>FlexPBX-1774273268.132834</t>
  </si>
  <si>
    <t>FlexPBX-1774273227.132826</t>
  </si>
  <si>
    <t>FlexPBX-1774272551.132703</t>
  </si>
  <si>
    <t>FlexPBX-1774272533.132692</t>
  </si>
  <si>
    <t>FlexPBX-1774272058.132684</t>
  </si>
  <si>
    <t>FlexPBX-1774272052.132676</t>
  </si>
  <si>
    <t>FlexPBX-1774271144.132642</t>
  </si>
  <si>
    <t>FlexPBX-1774270591.132600</t>
  </si>
  <si>
    <t>FlexPBX-1774270499.132588</t>
  </si>
  <si>
    <t>FlexPBX-1774270368.132574</t>
  </si>
  <si>
    <t>FlexPBX-1774270230.132522</t>
  </si>
  <si>
    <t>FlexPBX-1774269540.132490</t>
  </si>
  <si>
    <t>FlexPBX-1774268813.132414</t>
  </si>
  <si>
    <t>FlexPBX-1774268713.132378</t>
  </si>
  <si>
    <t>FlexPBX-1774268245.132320</t>
  </si>
  <si>
    <t>FlexPBX-1774268061.132284</t>
  </si>
  <si>
    <t>FlexPBX-1774267289.132137</t>
  </si>
  <si>
    <t>FlexPBX-1774267270.132134</t>
  </si>
  <si>
    <t>FlexPBX-1774265859.132100</t>
  </si>
  <si>
    <t>FlexPBX-1774265610.132074</t>
  </si>
  <si>
    <t>FlexPBX-1774265421.132040</t>
  </si>
  <si>
    <t>FlexPBX-1774265266.132032</t>
  </si>
  <si>
    <t>FlexPBX-1774264610.132010</t>
  </si>
  <si>
    <t>FlexPBX-1774039549.131842</t>
  </si>
  <si>
    <t>FlexPBX-1774038097.131794</t>
  </si>
  <si>
    <t>FlexPBX-1774037753.131720</t>
  </si>
  <si>
    <t>FlexPBX-1774037224.131700</t>
  </si>
  <si>
    <t>FlexPBX-1774037069.131692</t>
  </si>
  <si>
    <t>FlexPBX-1774036927.131678</t>
  </si>
  <si>
    <t>FlexPBX-1774036825.131664</t>
  </si>
  <si>
    <t>FlexPBX-1774036510.131628</t>
  </si>
  <si>
    <t>FlexPBX-1774036231.131608</t>
  </si>
  <si>
    <t>FlexPBX-1774036180.131597</t>
  </si>
  <si>
    <t>FlexPBX-1774036048.131546</t>
  </si>
  <si>
    <t>FlexPBX-1774036016.131539</t>
  </si>
  <si>
    <t>FlexPBX-1774035950.131523</t>
  </si>
  <si>
    <t>FlexPBX-1774035892.131497</t>
  </si>
  <si>
    <t>FlexPBX-1774035626.131447</t>
  </si>
  <si>
    <t>FlexPBX-1774035409.131431</t>
  </si>
  <si>
    <t>FlexPBX-1774035401.131428</t>
  </si>
  <si>
    <t>FlexPBX-1774035281.131357</t>
  </si>
  <si>
    <t>FlexPBX-1774035238.131330</t>
  </si>
  <si>
    <t>FlexPBX-1774034914.131266</t>
  </si>
  <si>
    <t>FlexPBX-1774034253.131258</t>
  </si>
  <si>
    <t>FlexPBX-1774034155.131244</t>
  </si>
  <si>
    <t>FlexPBX-1774033962.131214</t>
  </si>
  <si>
    <t>FlexPBX-1774033689.131166</t>
  </si>
  <si>
    <t>FlexPBX-1774033555.131145</t>
  </si>
  <si>
    <t>FlexPBX-1774033367.131071</t>
  </si>
  <si>
    <t>FlexPBX-1774033299.131057</t>
  </si>
  <si>
    <t>FlexPBX-1774033265.131049</t>
  </si>
  <si>
    <t>FlexPBX-1774033010.130979</t>
  </si>
  <si>
    <t>FlexPBX-1774031839.130943</t>
  </si>
  <si>
    <t>FlexPBX-1774031273.130938</t>
  </si>
  <si>
    <t>FlexPBX-1774030809.130886</t>
  </si>
  <si>
    <t>FlexPBX-1774030650.130782</t>
  </si>
  <si>
    <t>FlexPBX-1774030168.130774</t>
  </si>
  <si>
    <t>FlexPBX-1774030084.130709</t>
  </si>
  <si>
    <t>FlexPBX-1774029555.130701</t>
  </si>
  <si>
    <t>FlexPBX-1774029383.130675</t>
  </si>
  <si>
    <t>FlexPBX-1774029189.130647</t>
  </si>
  <si>
    <t>FlexPBX-1774029189.130651</t>
  </si>
  <si>
    <t>FlexPBX-1774029174.130639</t>
  </si>
  <si>
    <t>FlexPBX-1774029162.130631</t>
  </si>
  <si>
    <t>FlexPBX-1774029016.130623</t>
  </si>
  <si>
    <t>FlexPBX-1774028448.130615</t>
  </si>
  <si>
    <t>FlexPBX-1774028244.130601</t>
  </si>
  <si>
    <t>FlexPBX-1774028138.130593</t>
  </si>
  <si>
    <t>FlexPBX-1774027368.130585</t>
  </si>
  <si>
    <t>FlexPBX-1774027090.130540</t>
  </si>
  <si>
    <t>FlexPBX-1774027003.130479</t>
  </si>
  <si>
    <t>FlexPBX-1774026996.130475</t>
  </si>
  <si>
    <t>FlexPBX-1774026916.130439</t>
  </si>
  <si>
    <t>FlexPBX-1774026610.130431</t>
  </si>
  <si>
    <t>FlexPBX-1774025184.130351</t>
  </si>
  <si>
    <t>FlexPBX-1774024709.130337</t>
  </si>
  <si>
    <t>FlexPBX-1774024656.130309</t>
  </si>
  <si>
    <t>FlexPBX-1774024402.130249</t>
  </si>
  <si>
    <t>FlexPBX-1774023270.130216</t>
  </si>
  <si>
    <t>FlexPBX-1774023056.130211</t>
  </si>
  <si>
    <t>FlexPBX-1774017707.130143</t>
  </si>
  <si>
    <t>FlexPBX-1774017609.130059</t>
  </si>
  <si>
    <t>FlexPBX-1774015850.129997</t>
  </si>
  <si>
    <t>FlexPBX-1774015300.129957</t>
  </si>
  <si>
    <t>FlexPBX-1774015001.129893</t>
  </si>
  <si>
    <t>FlexPBX-1774014347.129861</t>
  </si>
  <si>
    <t>FlexPBX-1774014244.129732</t>
  </si>
  <si>
    <t>FlexPBX-1774014197.129709</t>
  </si>
  <si>
    <t>FlexPBX-1774013582.129637</t>
  </si>
  <si>
    <t>FlexPBX-1774013415.129585</t>
  </si>
  <si>
    <t>FlexPBX-1774012966.129513</t>
  </si>
  <si>
    <t>FlexPBX-1774012716.129438</t>
  </si>
  <si>
    <t>FlexPBX-1774012699.129435</t>
  </si>
  <si>
    <t>FlexPBX-1774012578.129413</t>
  </si>
  <si>
    <t>FlexPBX-1774012533.129389</t>
  </si>
  <si>
    <t>FlexPBX-1774012437.129324</t>
  </si>
  <si>
    <t>FlexPBX-1774012433.129306</t>
  </si>
  <si>
    <t>FlexPBX-1774012327.129215</t>
  </si>
  <si>
    <t>FlexPBX-1774012226.129175</t>
  </si>
  <si>
    <t>FlexPBX-1774012163.129142</t>
  </si>
  <si>
    <t>FlexPBX-1774012161.129139</t>
  </si>
  <si>
    <t>FlexPBX-1774011969.129082</t>
  </si>
  <si>
    <t>FlexPBX-1774011967.129079</t>
  </si>
  <si>
    <t>FlexPBX-1774011884.129040</t>
  </si>
  <si>
    <t>FlexPBX-1774011736.128966</t>
  </si>
  <si>
    <t>FlexPBX-1774011715.128961</t>
  </si>
  <si>
    <t>FlexPBX-1774011631.128871</t>
  </si>
  <si>
    <t>FlexPBX-1774011631.128874</t>
  </si>
  <si>
    <t>FlexPBX-1774011475.128863</t>
  </si>
  <si>
    <t>FlexPBX-1774010990.128713</t>
  </si>
  <si>
    <t>FlexPBX-1774010508.128681</t>
  </si>
  <si>
    <t>FlexPBX-1774009860.128655</t>
  </si>
  <si>
    <t>FlexPBX-1774009854.128647</t>
  </si>
  <si>
    <t>FlexPBX-1774009784.128619</t>
  </si>
  <si>
    <t>FlexPBX-1774009577.128503</t>
  </si>
  <si>
    <t>FlexPBX-1774009519.128495</t>
  </si>
  <si>
    <t>FlexPBX-1774008890.128459</t>
  </si>
  <si>
    <t>FlexPBX-1774008664.128443</t>
  </si>
  <si>
    <t>FlexPBX-1774008539.128432</t>
  </si>
  <si>
    <t>FlexPBX-1774008506.128416</t>
  </si>
  <si>
    <t>FlexPBX-1774008443.128400</t>
  </si>
  <si>
    <t>FlexPBX-1774008344.128343</t>
  </si>
  <si>
    <t>FlexPBX-1774008272.128329</t>
  </si>
  <si>
    <t>FlexPBX-1774008265.128321</t>
  </si>
  <si>
    <t>FlexPBX-1774008260.128313</t>
  </si>
  <si>
    <t>FlexPBX-1774008221.128282</t>
  </si>
  <si>
    <t>FlexPBX-1774008201.128267</t>
  </si>
  <si>
    <t>FlexPBX-1774007946.128183</t>
  </si>
  <si>
    <t>FlexPBX-1774007570.128145</t>
  </si>
  <si>
    <t>FlexPBX-1774007511.128116</t>
  </si>
  <si>
    <t>FlexPBX-1774007252.128065</t>
  </si>
  <si>
    <t>FlexPBX-1774007194.128028</t>
  </si>
  <si>
    <t>FlexPBX-1774007094.127983</t>
  </si>
  <si>
    <t>FlexPBX-1774007043.127967</t>
  </si>
  <si>
    <t>FlexPBX-1774006776.127957</t>
  </si>
  <si>
    <t>FlexPBX-1774006310.127845</t>
  </si>
  <si>
    <t>FlexPBX-1774005892.127840</t>
  </si>
  <si>
    <t>FlexPBX-1774005713.127835</t>
  </si>
  <si>
    <t>FlexPBX-1774005666.127830</t>
  </si>
  <si>
    <t>FlexPBX-1774004798.127816</t>
  </si>
  <si>
    <t>FlexPBX-1774004757.127802</t>
  </si>
  <si>
    <t>FlexPBX-1773953209.127788</t>
  </si>
  <si>
    <t>FlexPBX-1773952255.127774</t>
  </si>
  <si>
    <t>FlexPBX-1773952238.127760</t>
  </si>
  <si>
    <t>FlexPBX-1773952230.127752</t>
  </si>
  <si>
    <t>FlexPBX-1773952130.127744</t>
  </si>
  <si>
    <t>FlexPBX-1773951762.127730</t>
  </si>
  <si>
    <t>FlexPBX-1773951604.127722</t>
  </si>
  <si>
    <t>FlexPBX-1773951555.127708</t>
  </si>
  <si>
    <t>FlexPBX-1773951506.127700</t>
  </si>
  <si>
    <t>FlexPBX-1773951380.127680</t>
  </si>
  <si>
    <t>FlexPBX-1773950937.127648</t>
  </si>
  <si>
    <t>FlexPBX-1773950876.127640</t>
  </si>
  <si>
    <t>FlexPBX-1773950709.127632</t>
  </si>
  <si>
    <t>FlexPBX-1773950635.127612</t>
  </si>
  <si>
    <t>FlexPBX-1773950572.127592</t>
  </si>
  <si>
    <t>FlexPBX-1773950498.127578</t>
  </si>
  <si>
    <t>FlexPBX-1773950205.127493</t>
  </si>
  <si>
    <t>FlexPBX-1773950132.127454</t>
  </si>
  <si>
    <t>FlexPBX-1773949697.127435</t>
  </si>
  <si>
    <t>FlexPBX-1773949628.127407</t>
  </si>
  <si>
    <t>FlexPBX-1773949510.127387</t>
  </si>
  <si>
    <t>FlexPBX-1773949498.127383</t>
  </si>
  <si>
    <t>FlexPBX-1773949442.127369</t>
  </si>
  <si>
    <t>FlexPBX-1773949297.127312</t>
  </si>
  <si>
    <t>FlexPBX-1773949283.127298</t>
  </si>
  <si>
    <t>FlexPBX-1773949275.127295</t>
  </si>
  <si>
    <t>FlexPBX-1773949078.127281</t>
  </si>
  <si>
    <t>FlexPBX-1773948905.127267</t>
  </si>
  <si>
    <t>FlexPBX-1773948745.127253</t>
  </si>
  <si>
    <t>FlexPBX-1773948611.127245</t>
  </si>
  <si>
    <t>FlexPBX-1773948573.127231</t>
  </si>
  <si>
    <t>FlexPBX-1773948211.127217</t>
  </si>
  <si>
    <t>FlexPBX-1773948153.127209</t>
  </si>
  <si>
    <t>FlexPBX-1773947969.127201</t>
  </si>
  <si>
    <t>FlexPBX-1773947920.127187</t>
  </si>
  <si>
    <t>FlexPBX-1773947767.127149</t>
  </si>
  <si>
    <t>FlexPBX-1773947677.127129</t>
  </si>
  <si>
    <t>FlexPBX-1773947356.126979</t>
  </si>
  <si>
    <t>FlexPBX-1773947099.126971</t>
  </si>
  <si>
    <t>FlexPBX-1773946906.126945</t>
  </si>
  <si>
    <t>FlexPBX-1773946719.126930</t>
  </si>
  <si>
    <t>FlexPBX-1773946718.126926</t>
  </si>
  <si>
    <t>FlexPBX-1773946579.126918</t>
  </si>
  <si>
    <t>FlexPBX-1773946519.126898</t>
  </si>
  <si>
    <t>FlexPBX-1773946362.126842</t>
  </si>
  <si>
    <t>FlexPBX-1773946330.126834</t>
  </si>
  <si>
    <t>FlexPBX-1773945697.126826</t>
  </si>
  <si>
    <t>FlexPBX-1773945627.126821</t>
  </si>
  <si>
    <t>FlexPBX-1773945382.126797</t>
  </si>
  <si>
    <t>FlexPBX-1773945049.126777</t>
  </si>
  <si>
    <t>FlexPBX-1773944904.126734</t>
  </si>
  <si>
    <t>FlexPBX-1773944896.126731</t>
  </si>
  <si>
    <t>FlexPBX-1773944873.126723</t>
  </si>
  <si>
    <t>FlexPBX-1773944806.126688</t>
  </si>
  <si>
    <t>FlexPBX-1773944763.126673</t>
  </si>
  <si>
    <t>FlexPBX-1773944663.126640</t>
  </si>
  <si>
    <t>FlexPBX-1773944579.126623</t>
  </si>
  <si>
    <t>FlexPBX-1773944181.126602</t>
  </si>
  <si>
    <t>FlexPBX-1773944161.126597</t>
  </si>
  <si>
    <t>FlexPBX-1773944104.126583</t>
  </si>
  <si>
    <t>FlexPBX-1773943833.126523</t>
  </si>
  <si>
    <t>FlexPBX-1773943523.126509</t>
  </si>
  <si>
    <t>FlexPBX-1773943506.126501</t>
  </si>
  <si>
    <t>FlexPBX-1773943452.126481</t>
  </si>
  <si>
    <t>FlexPBX-1773943249.126411</t>
  </si>
  <si>
    <t>FlexPBX-1773943181.126393</t>
  </si>
  <si>
    <t>FlexPBX-1773942922.126334</t>
  </si>
  <si>
    <t>FlexPBX-1773942879.126325</t>
  </si>
  <si>
    <t>FlexPBX-1773942746.126281</t>
  </si>
  <si>
    <t>FlexPBX-1773942415.126259</t>
  </si>
  <si>
    <t>FlexPBX-1773942312.126191</t>
  </si>
  <si>
    <t>FlexPBX-1773942144.126151</t>
  </si>
  <si>
    <t>FlexPBX-1773942012.126133</t>
  </si>
  <si>
    <t>FlexPBX-1773941985.126125</t>
  </si>
  <si>
    <t>FlexPBX-1773941934.126107</t>
  </si>
  <si>
    <t>FlexPBX-1773941671.126074</t>
  </si>
  <si>
    <t>FlexPBX-1773941647.126065</t>
  </si>
  <si>
    <t>FlexPBX-1773941328.125919</t>
  </si>
  <si>
    <t>FlexPBX-1773941300.125888</t>
  </si>
  <si>
    <t>FlexPBX-1773941270.125873</t>
  </si>
  <si>
    <t>FlexPBX-1773940888.125817</t>
  </si>
  <si>
    <t>FlexPBX-1773940855.125794</t>
  </si>
  <si>
    <t>FlexPBX-1773940847.125778</t>
  </si>
  <si>
    <t>FlexPBX-1773940812.125763</t>
  </si>
  <si>
    <t>FlexPBX-1773940611.125658</t>
  </si>
  <si>
    <t>FlexPBX-1773940272.125626</t>
  </si>
  <si>
    <t>FlexPBX-1773940203.125612</t>
  </si>
  <si>
    <t>FlexPBX-1773939810.125582</t>
  </si>
  <si>
    <t>FlexPBX-1773939796.125574</t>
  </si>
  <si>
    <t>FlexPBX-1773939350.125524</t>
  </si>
  <si>
    <t>FlexPBX-1773939293.125480</t>
  </si>
  <si>
    <t>FlexPBX-1773939279.125469</t>
  </si>
  <si>
    <t>FlexPBX-1773939256.125462</t>
  </si>
  <si>
    <t>FlexPBX-1773939189.125435</t>
  </si>
  <si>
    <t>FlexPBX-1773939134.125377</t>
  </si>
  <si>
    <t>FlexPBX-1773939115.125370</t>
  </si>
  <si>
    <t>FlexPBX-1773939106.125366</t>
  </si>
  <si>
    <t>FlexPBX-1773938906.125336</t>
  </si>
  <si>
    <t>FlexPBX-1773938811.125300</t>
  </si>
  <si>
    <t>FlexPBX-1773938513.125246</t>
  </si>
  <si>
    <t>FlexPBX-1773938504.125243</t>
  </si>
  <si>
    <t>FlexPBX-1773938002.125209</t>
  </si>
  <si>
    <t>FlexPBX-1773937830.125087</t>
  </si>
  <si>
    <t>FlexPBX-1773937729.125079</t>
  </si>
  <si>
    <t>FlexPBX-1773937054.125074</t>
  </si>
  <si>
    <t>FlexPBX-1773936974.125069</t>
  </si>
  <si>
    <t>FlexPBX-1773936188.125064</t>
  </si>
  <si>
    <t>FlexPBX-1773933156.125059</t>
  </si>
  <si>
    <t>FlexPBX-1773933110.125054</t>
  </si>
  <si>
    <t>FlexPBX-1773931406.125034</t>
  </si>
  <si>
    <t>FlexPBX-1773930914.124970</t>
  </si>
  <si>
    <t>FlexPBX-1773930866.124962</t>
  </si>
  <si>
    <t>FlexPBX-1773930768.124954</t>
  </si>
  <si>
    <t>FlexPBX-1773930356.124896</t>
  </si>
  <si>
    <t>FlexPBX-1773929009.124866</t>
  </si>
  <si>
    <t>FlexPBX-1773928767.124801</t>
  </si>
  <si>
    <t>FlexPBX-1773928758.124798</t>
  </si>
  <si>
    <t>FlexPBX-1773928675.124772</t>
  </si>
  <si>
    <t>FlexPBX-1773928606.124758</t>
  </si>
  <si>
    <t>FlexPBX-1773928189.124702</t>
  </si>
  <si>
    <t>FlexPBX-1773928183.124696</t>
  </si>
  <si>
    <t>FlexPBX-1773928176.124691</t>
  </si>
  <si>
    <t>FlexPBX-1773928132.124669</t>
  </si>
  <si>
    <t>FlexPBX-1773928095.124662</t>
  </si>
  <si>
    <t>FlexPBX-1773928033.124638</t>
  </si>
  <si>
    <t>FlexPBX-1773927402.124608</t>
  </si>
  <si>
    <t>FlexPBX-1773927328.124577</t>
  </si>
  <si>
    <t>FlexPBX-1773927120.124553</t>
  </si>
  <si>
    <t>FlexPBX-1773926724.124486</t>
  </si>
  <si>
    <t>FlexPBX-1773926699.124473</t>
  </si>
  <si>
    <t>FlexPBX-1773926451.124421</t>
  </si>
  <si>
    <t>FlexPBX-1773926315.124369</t>
  </si>
  <si>
    <t>FlexPBX-1773925692.124301</t>
  </si>
  <si>
    <t>FlexPBX-1773925679.124285</t>
  </si>
  <si>
    <t>FlexPBX-1773925620.124224</t>
  </si>
  <si>
    <t>FlexPBX-1773925560.124181</t>
  </si>
  <si>
    <t>FlexPBX-1773925206.124139</t>
  </si>
  <si>
    <t>FlexPBX-1773924973.124081</t>
  </si>
  <si>
    <t>FlexPBX-1773924967.124070</t>
  </si>
  <si>
    <t>FlexPBX-1773924894.124031</t>
  </si>
  <si>
    <t>FlexPBX-1773923923.123969</t>
  </si>
  <si>
    <t>FlexPBX-1773923899.123964</t>
  </si>
  <si>
    <t>FlexPBX-1773923657.123934</t>
  </si>
  <si>
    <t>FlexPBX-1773923392.123910</t>
  </si>
  <si>
    <t>FlexPBX-1773922963.123853</t>
  </si>
  <si>
    <t>FlexPBX-1773922840.123832</t>
  </si>
  <si>
    <t>FlexPBX-1773922738.123820</t>
  </si>
  <si>
    <t>FlexPBX-1773922522.123780</t>
  </si>
  <si>
    <t>FlexPBX-1773922002.123726</t>
  </si>
  <si>
    <t>FlexPBX-1773921923.123698</t>
  </si>
  <si>
    <t>FlexPBX-1773921664.123650</t>
  </si>
  <si>
    <t>FlexPBX-1773921400.123614</t>
  </si>
  <si>
    <t>FlexPBX-1773921240.123586</t>
  </si>
  <si>
    <t>FlexPBX-1773921056.123534</t>
  </si>
  <si>
    <t>FlexPBX-1773920922.123508</t>
  </si>
  <si>
    <t>FlexPBX-1773920735.123488</t>
  </si>
  <si>
    <t>FlexPBX-1773920657.123465</t>
  </si>
  <si>
    <t>FlexPBX-1773920600.123411</t>
  </si>
  <si>
    <t>FlexPBX-1773920542.123366</t>
  </si>
  <si>
    <t>FlexPBX-1773920278.123310</t>
  </si>
  <si>
    <t>FlexPBX-1773920100.123258</t>
  </si>
  <si>
    <t>FlexPBX-1773920083.123236</t>
  </si>
  <si>
    <t>FlexPBX-1773920029.123186</t>
  </si>
  <si>
    <t>FlexPBX-1773919942.123104</t>
  </si>
  <si>
    <t>FlexPBX-1773919901.123071</t>
  </si>
  <si>
    <t>FlexPBX-1773919674.123057</t>
  </si>
  <si>
    <t>FlexPBX-1773866872.122931</t>
  </si>
  <si>
    <t>FlexPBX-1773865354.122810</t>
  </si>
  <si>
    <t>FlexPBX-1773864908.122788</t>
  </si>
  <si>
    <t>FlexPBX-1773864634.122768</t>
  </si>
  <si>
    <t>FlexPBX-1773864630.122760</t>
  </si>
  <si>
    <t>FlexPBX-1773864425.122696</t>
  </si>
  <si>
    <t>FlexPBX-1773864215.122691</t>
  </si>
  <si>
    <t>FlexPBX-1773863939.122683</t>
  </si>
  <si>
    <t>FlexPBX-1773863901.122671</t>
  </si>
  <si>
    <t>FlexPBX-1773863760.122659</t>
  </si>
  <si>
    <t>FlexPBX-1773863697.122639</t>
  </si>
  <si>
    <t>FlexPBX-1773863602.122631</t>
  </si>
  <si>
    <t>FlexPBX-1773863164.122603</t>
  </si>
  <si>
    <t>FlexPBX-1773863042.122595</t>
  </si>
  <si>
    <t>FlexPBX-1773863021.122581</t>
  </si>
  <si>
    <t>FlexPBX-1773862985.122573</t>
  </si>
  <si>
    <t>FlexPBX-1773862972.122565</t>
  </si>
  <si>
    <t>FlexPBX-1773862947.122551</t>
  </si>
  <si>
    <t>FlexPBX-1773862752.122501</t>
  </si>
  <si>
    <t>FlexPBX-1773862489.122425</t>
  </si>
  <si>
    <t>FlexPBX-1773861728.122379</t>
  </si>
  <si>
    <t>FlexPBX-1773861630.122371</t>
  </si>
  <si>
    <t>FlexPBX-1773861571.122363</t>
  </si>
  <si>
    <t>FlexPBX-1773861565.122355</t>
  </si>
  <si>
    <t>FlexPBX-1773860968.122304</t>
  </si>
  <si>
    <t>FlexPBX-1773860941.122289</t>
  </si>
  <si>
    <t>FlexPBX-1773860885.122271</t>
  </si>
  <si>
    <t>FlexPBX-1773860858.122263</t>
  </si>
  <si>
    <t>FlexPBX-1773860721.122251</t>
  </si>
  <si>
    <t>FlexPBX-1773860706.122243</t>
  </si>
  <si>
    <t>FlexPBX-1773860580.122235</t>
  </si>
  <si>
    <t>FlexPBX-1773860577.122227</t>
  </si>
  <si>
    <t>FlexPBX-1773860572.122219</t>
  </si>
  <si>
    <t>FlexPBX-1773860568.122211</t>
  </si>
  <si>
    <t>FlexPBX-1773860368.122195</t>
  </si>
  <si>
    <t>FlexPBX-1773860013.122111</t>
  </si>
  <si>
    <t>FlexPBX-1773859339.122100</t>
  </si>
  <si>
    <t>FlexPBX-1773859130.122055</t>
  </si>
  <si>
    <t>FlexPBX-1773859101.122052</t>
  </si>
  <si>
    <t>FlexPBX-1773858530.122014</t>
  </si>
  <si>
    <t>FlexPBX-1773858430.122000</t>
  </si>
  <si>
    <t>FlexPBX-1773858298.121961</t>
  </si>
  <si>
    <t>FlexPBX-1773858279.121954</t>
  </si>
  <si>
    <t>FlexPBX-1773858148.121914</t>
  </si>
  <si>
    <t>FlexPBX-1773857825.121888</t>
  </si>
  <si>
    <t>FlexPBX-1773857510.121871</t>
  </si>
  <si>
    <t>FlexPBX-1773857432.121857</t>
  </si>
  <si>
    <t>FlexPBX-1773857334.121849</t>
  </si>
  <si>
    <t>FlexPBX-1773857117.121821</t>
  </si>
  <si>
    <t>FlexPBX-1773856983.121802</t>
  </si>
  <si>
    <t>FlexPBX-1773856893.121770</t>
  </si>
  <si>
    <t>FlexPBX-1773856883.121767</t>
  </si>
  <si>
    <t>FlexPBX-1773856868.121762</t>
  </si>
  <si>
    <t>FlexPBX-1773856790.121748</t>
  </si>
  <si>
    <t>FlexPBX-1773856732.121731</t>
  </si>
  <si>
    <t>FlexPBX-1773856673.121674</t>
  </si>
  <si>
    <t>FlexPBX-1773856644.121655</t>
  </si>
  <si>
    <t>FlexPBX-1773856640.121639</t>
  </si>
  <si>
    <t>FlexPBX-1773856612.121636</t>
  </si>
  <si>
    <t>FlexPBX-1773856567.121628</t>
  </si>
  <si>
    <t>FlexPBX-1773856340.121527</t>
  </si>
  <si>
    <t>FlexPBX-1773855937.121512</t>
  </si>
  <si>
    <t>FlexPBX-1773855767.121496</t>
  </si>
  <si>
    <t>FlexPBX-1773855671.121485</t>
  </si>
  <si>
    <t>FlexPBX-1773855543.121471</t>
  </si>
  <si>
    <t>FlexPBX-1773855529.121450</t>
  </si>
  <si>
    <t>FlexPBX-1773855492.121410</t>
  </si>
  <si>
    <t>FlexPBX-1773855420.121337</t>
  </si>
  <si>
    <t>FlexPBX-1773855232.121227</t>
  </si>
  <si>
    <t>FlexPBX-1773855211.121218</t>
  </si>
  <si>
    <t>FlexPBX-1773854933.121142</t>
  </si>
  <si>
    <t>FlexPBX-1773854933.121146</t>
  </si>
  <si>
    <t>FlexPBX-1773854873.121128</t>
  </si>
  <si>
    <t>FlexPBX-1773854677.121120</t>
  </si>
  <si>
    <t>FlexPBX-1773854016.121094</t>
  </si>
  <si>
    <t>FlexPBX-1773853486.121030</t>
  </si>
  <si>
    <t>FlexPBX-1773853333.120994</t>
  </si>
  <si>
    <t>FlexPBX-1773853194.120950</t>
  </si>
  <si>
    <t>FlexPBX-1773851553.120836</t>
  </si>
  <si>
    <t>FlexPBX-1773851431.120816</t>
  </si>
  <si>
    <t>FlexPBX-1773847078.120797</t>
  </si>
  <si>
    <t>FlexPBX-1773845034.120773</t>
  </si>
  <si>
    <t>FlexPBX-1773844778.120752</t>
  </si>
  <si>
    <t>FlexPBX-1773843725.120724</t>
  </si>
  <si>
    <t>FlexPBX-1773843473.120710</t>
  </si>
  <si>
    <t>FlexPBX-1773843450.120702</t>
  </si>
  <si>
    <t>FlexPBX-1773842474.120572</t>
  </si>
  <si>
    <t>FlexPBX-1773842425.120553</t>
  </si>
  <si>
    <t>FlexPBX-1773841798.120457</t>
  </si>
  <si>
    <t>FlexPBX-1773841766.120446</t>
  </si>
  <si>
    <t>FlexPBX-1773841118.120438</t>
  </si>
  <si>
    <t>FlexPBX-1773841010.120425</t>
  </si>
  <si>
    <t>FlexPBX-1773841006.120422</t>
  </si>
  <si>
    <t>FlexPBX-1773840371.120342</t>
  </si>
  <si>
    <t>FlexPBX-1773840153.120297</t>
  </si>
  <si>
    <t>FlexPBX-1773840062.120230</t>
  </si>
  <si>
    <t>FlexPBX-1773840030.120225</t>
  </si>
  <si>
    <t>FlexPBX-1773839155.120179</t>
  </si>
  <si>
    <t>FlexPBX-1773838657.120123</t>
  </si>
  <si>
    <t>FlexPBX-1773838610.120103</t>
  </si>
  <si>
    <t>FlexPBX-1773838584.120083</t>
  </si>
  <si>
    <t>FlexPBX-1773838530.120069</t>
  </si>
  <si>
    <t>FlexPBX-1773838221.120033</t>
  </si>
  <si>
    <t>FlexPBX-1773837552.120005</t>
  </si>
  <si>
    <t>FlexPBX-1773837511.119985</t>
  </si>
  <si>
    <t>FlexPBX-1773837167.119911</t>
  </si>
  <si>
    <t>FlexPBX-1773836654.119897</t>
  </si>
  <si>
    <t>FlexPBX-1773836595.119890</t>
  </si>
  <si>
    <t>FlexPBX-1773836178.119834</t>
  </si>
  <si>
    <t>FlexPBX-1773836060.119814</t>
  </si>
  <si>
    <t>FlexPBX-1773836015.119806</t>
  </si>
  <si>
    <t>FlexPBX-1773835764.119753</t>
  </si>
  <si>
    <t>FlexPBX-1773834660.119695</t>
  </si>
  <si>
    <t>FlexPBX-1773834584.119658</t>
  </si>
  <si>
    <t>FlexPBX-1773834566.119653</t>
  </si>
  <si>
    <t>FlexPBX-1773833445.119549</t>
  </si>
  <si>
    <t>FlexPBX-1773780180.119466</t>
  </si>
  <si>
    <t>FlexPBX-1773779878.119458</t>
  </si>
  <si>
    <t>FlexPBX-1773779017.119426</t>
  </si>
  <si>
    <t>FlexPBX-1773778925.119384</t>
  </si>
  <si>
    <t>FlexPBX-1773778358.119373</t>
  </si>
  <si>
    <t>FlexPBX-1773778328.119365</t>
  </si>
  <si>
    <t>FlexPBX-1773778319.119357</t>
  </si>
  <si>
    <t>FlexPBX-1773778315.119349</t>
  </si>
  <si>
    <t>FlexPBX-1773777893.119319</t>
  </si>
  <si>
    <t>FlexPBX-1773777574.119303</t>
  </si>
  <si>
    <t>FlexPBX-1773777556.119291</t>
  </si>
  <si>
    <t>FlexPBX-1773776237.119193</t>
  </si>
  <si>
    <t>FlexPBX-1773775769.119097</t>
  </si>
  <si>
    <t>FlexPBX-1773775657.119045</t>
  </si>
  <si>
    <t>FlexPBX-1773775468.119031</t>
  </si>
  <si>
    <t>FlexPBX-1773775301.118997</t>
  </si>
  <si>
    <t>FlexPBX-1773774986.118886</t>
  </si>
  <si>
    <t>FlexPBX-1773774973.118883</t>
  </si>
  <si>
    <t>FlexPBX-1773774717.118853</t>
  </si>
  <si>
    <t>FlexPBX-1773774543.118837</t>
  </si>
  <si>
    <t>FlexPBX-1773774503.118815</t>
  </si>
  <si>
    <t>FlexPBX-1773774371.118807</t>
  </si>
  <si>
    <t>FlexPBX-1773774364.118799</t>
  </si>
  <si>
    <t>FlexPBX-1773774361.118791</t>
  </si>
  <si>
    <t>FlexPBX-1773774356.118783</t>
  </si>
  <si>
    <t>FlexPBX-1773773935.118763</t>
  </si>
  <si>
    <t>FlexPBX-1773773909.118750</t>
  </si>
  <si>
    <t>FlexPBX-1773773769.118683</t>
  </si>
  <si>
    <t>FlexPBX-1773773619.118584</t>
  </si>
  <si>
    <t>FlexPBX-1773773592.118577</t>
  </si>
  <si>
    <t>FlexPBX-1773773452.118565</t>
  </si>
  <si>
    <t>FlexPBX-1773773271.118538</t>
  </si>
  <si>
    <t>FlexPBX-1773772970.118486</t>
  </si>
  <si>
    <t>FlexPBX-1773772715.118478</t>
  </si>
  <si>
    <t>FlexPBX-1773772045.118348</t>
  </si>
  <si>
    <t>FlexPBX-1773771646.118320</t>
  </si>
  <si>
    <t>FlexPBX-1773771363.118292</t>
  </si>
  <si>
    <t>FlexPBX-1773771318.118271</t>
  </si>
  <si>
    <t>FlexPBX-1773771312.118268</t>
  </si>
  <si>
    <t>FlexPBX-1773771017.118240</t>
  </si>
  <si>
    <t>FlexPBX-1773770376.118204</t>
  </si>
  <si>
    <t>FlexPBX-1773770334.118196</t>
  </si>
  <si>
    <t>FlexPBX-1773769692.118140</t>
  </si>
  <si>
    <t>FlexPBX-1773769670.118136</t>
  </si>
  <si>
    <t>FlexPBX-1773769664.118128</t>
  </si>
  <si>
    <t>FlexPBX-1773769431.117996</t>
  </si>
  <si>
    <t>FlexPBX-1773769243.117932</t>
  </si>
  <si>
    <t>FlexPBX-1773768551.117882</t>
  </si>
  <si>
    <t>FlexPBX-1773767687.117810</t>
  </si>
  <si>
    <t>FlexPBX-1773767420.117767</t>
  </si>
  <si>
    <t>FlexPBX-1773767411.117755</t>
  </si>
  <si>
    <t>FlexPBX-1773767402.117752</t>
  </si>
  <si>
    <t>FlexPBX-1773767224.117668</t>
  </si>
  <si>
    <t>FlexPBX-1773766694.117530</t>
  </si>
  <si>
    <t>FlexPBX-1773766368.117472</t>
  </si>
  <si>
    <t>FlexPBX-1773766323.117467</t>
  </si>
  <si>
    <t>FlexPBX-1773765245.117361</t>
  </si>
  <si>
    <t>FlexPBX-1773765153.117297</t>
  </si>
  <si>
    <t>FlexPBX-1773764979.117292</t>
  </si>
  <si>
    <t>FlexPBX-1773760172.117287</t>
  </si>
  <si>
    <t>FlexPBX-1773759386.117257</t>
  </si>
  <si>
    <t>FlexPBX-1773758791.117187</t>
  </si>
  <si>
    <t>FlexPBX-1773757775.117158</t>
  </si>
  <si>
    <t>FlexPBX-1773757659.117136</t>
  </si>
  <si>
    <t>FlexPBX-1773756962.117100</t>
  </si>
  <si>
    <t>FlexPBX-1773756798.117016</t>
  </si>
  <si>
    <t>FlexPBX-1773756008.116970</t>
  </si>
  <si>
    <t>FlexPBX-1773755635.116950</t>
  </si>
  <si>
    <t>FlexPBX-1773755599.116942</t>
  </si>
  <si>
    <t>FlexPBX-1773755336.116898</t>
  </si>
  <si>
    <t>FlexPBX-1773754469.116870</t>
  </si>
  <si>
    <t>FlexPBX-1773753704.116800</t>
  </si>
  <si>
    <t>FlexPBX-1773753620.116769</t>
  </si>
  <si>
    <t>FlexPBX-1773753203.116739</t>
  </si>
  <si>
    <t>FlexPBX-1773753007.116715</t>
  </si>
  <si>
    <t>FlexPBX-1773752206.116701</t>
  </si>
  <si>
    <t>FlexPBX-1773751406.116567</t>
  </si>
  <si>
    <t>FlexPBX-1773751265.116515</t>
  </si>
  <si>
    <t>FlexPBX-1773751220.116507</t>
  </si>
  <si>
    <t>FlexPBX-1773751048.116479</t>
  </si>
  <si>
    <t>FlexPBX-1773750812.116465</t>
  </si>
  <si>
    <t>FlexPBX-1773750674.116439</t>
  </si>
  <si>
    <t>FlexPBX-1773750224.116427</t>
  </si>
  <si>
    <t>FlexPBX-1773749662.116377</t>
  </si>
  <si>
    <t>FlexPBX-1773749322.116343</t>
  </si>
  <si>
    <t>FlexPBX-1773749029.116325</t>
  </si>
  <si>
    <t>FlexPBX-1773748632.116298</t>
  </si>
  <si>
    <t>FlexPBX-1773748586.116264</t>
  </si>
  <si>
    <t>FlexPBX-1773748570.116255</t>
  </si>
  <si>
    <t>FlexPBX-1773748461.116188</t>
  </si>
  <si>
    <t>FlexPBX-1773748422.116171</t>
  </si>
  <si>
    <t>FlexPBX-1773748246.116157</t>
  </si>
  <si>
    <t>FlexPBX-1773748024.116131</t>
  </si>
  <si>
    <t>FlexPBX-1773747815.116095</t>
  </si>
  <si>
    <t>FlexPBX-1773747650.116011</t>
  </si>
  <si>
    <t>FlexPBX-1773747206.116006</t>
  </si>
  <si>
    <t>FlexPBX-1773746314.115998</t>
  </si>
  <si>
    <t>FlexPBX-1773745920.115993</t>
  </si>
  <si>
    <t>FlexPBX-1773745900.115988</t>
  </si>
  <si>
    <t>FlexPBX-1773696055.115969</t>
  </si>
  <si>
    <t>FlexPBX-1773694447.115895</t>
  </si>
  <si>
    <t>FlexPBX-1773693718.115733</t>
  </si>
  <si>
    <t>FlexPBX-1773693148.115725</t>
  </si>
  <si>
    <t>FlexPBX-1773692875.115705</t>
  </si>
  <si>
    <t>FlexPBX-1773692477.115693</t>
  </si>
  <si>
    <t>FlexPBX-1773692477.115689</t>
  </si>
  <si>
    <t>FlexPBX-1773692464.115675</t>
  </si>
  <si>
    <t>FlexPBX-1773692419.115661</t>
  </si>
  <si>
    <t>FlexPBX-1773692407.115647</t>
  </si>
  <si>
    <t>FlexPBX-1773692340.115639</t>
  </si>
  <si>
    <t>FlexPBX-1773692104.115475</t>
  </si>
  <si>
    <t>FlexPBX-1773692071.115450</t>
  </si>
  <si>
    <t>FlexPBX-1773691789.115400</t>
  </si>
  <si>
    <t>FlexPBX-1773690666.115334</t>
  </si>
  <si>
    <t>FlexPBX-1773690459.115267</t>
  </si>
  <si>
    <t>FlexPBX-1773690446.115264</t>
  </si>
  <si>
    <t>FlexPBX-1773690313.115140</t>
  </si>
  <si>
    <t>FlexPBX-1773689993.115126</t>
  </si>
  <si>
    <t>FlexPBX-1773689269.115100</t>
  </si>
  <si>
    <t>FlexPBX-1773689055.115016</t>
  </si>
  <si>
    <t>FlexPBX-1773688573.114906</t>
  </si>
  <si>
    <t>FlexPBX-1773687602.114856</t>
  </si>
  <si>
    <t>FlexPBX-1773687475.114842</t>
  </si>
  <si>
    <t>FlexPBX-1773687465.114834</t>
  </si>
  <si>
    <t>FlexPBX-1773687460.114826</t>
  </si>
  <si>
    <t>FlexPBX-1773685497.114798</t>
  </si>
  <si>
    <t>FlexPBX-1773685492.114790</t>
  </si>
  <si>
    <t>FlexPBX-1773685127.114739</t>
  </si>
  <si>
    <t>FlexPBX-1773684288.114675</t>
  </si>
  <si>
    <t>FlexPBX-1773684136.114645</t>
  </si>
  <si>
    <t>FlexPBX-1773683928.114597</t>
  </si>
  <si>
    <t>FlexPBX-1773683707.114572</t>
  </si>
  <si>
    <t>FlexPBX-1773683697.114569</t>
  </si>
  <si>
    <t>FlexPBX-1773683642.114539</t>
  </si>
  <si>
    <t>FlexPBX-1773683560.114480</t>
  </si>
  <si>
    <t>FlexPBX-1773682803.114384</t>
  </si>
  <si>
    <t>FlexPBX-1773682368.114350</t>
  </si>
  <si>
    <t>FlexPBX-1773682189.114301</t>
  </si>
  <si>
    <t>FlexPBX-1773682087.114193</t>
  </si>
  <si>
    <t>FlexPBX-1773682056.114184</t>
  </si>
  <si>
    <t>FlexPBX-1773681705.114150</t>
  </si>
  <si>
    <t>FlexPBX-1773681518.114126</t>
  </si>
  <si>
    <t>FlexPBX-1773681430.114098</t>
  </si>
  <si>
    <t>FlexPBX-1773680880.114050</t>
  </si>
  <si>
    <t>FlexPBX-1773680659.114032</t>
  </si>
  <si>
    <t>FlexPBX-1773680419.114000</t>
  </si>
  <si>
    <t>FlexPBX-1773680324.113943</t>
  </si>
  <si>
    <t>FlexPBX-1773680299.113932</t>
  </si>
  <si>
    <t>FlexPBX-1773680102.113888</t>
  </si>
  <si>
    <t>FlexPBX-1773679607.113838</t>
  </si>
  <si>
    <t>FlexPBX-1773679402.113814</t>
  </si>
  <si>
    <t>FlexPBX-1773679275.113792</t>
  </si>
  <si>
    <t>FlexPBX-1773679016.113728</t>
  </si>
  <si>
    <t>FlexPBX-1773678238.113717</t>
  </si>
  <si>
    <t>FlexPBX-1773678175.113712</t>
  </si>
  <si>
    <t>FlexPBX-1773678032.113707</t>
  </si>
  <si>
    <t>FlexPBX-1773678012.113699</t>
  </si>
  <si>
    <t>FlexPBX-1773677087.113694</t>
  </si>
  <si>
    <t>FlexPBX-1773677027.113689</t>
  </si>
  <si>
    <t>FlexPBX-1773676602.113684</t>
  </si>
  <si>
    <t>FlexPBX-1773672035.113656</t>
  </si>
  <si>
    <t>FlexPBX-1773671857.113506</t>
  </si>
  <si>
    <t>FlexPBX-1773671395.113394</t>
  </si>
  <si>
    <t>FlexPBX-1773670987.113380</t>
  </si>
  <si>
    <t>FlexPBX-1773670942.113372</t>
  </si>
  <si>
    <t>FlexPBX-1773670901.113327</t>
  </si>
  <si>
    <t>FlexPBX-1773670807.113252</t>
  </si>
  <si>
    <t>FlexPBX-1773670601.113228</t>
  </si>
  <si>
    <t>FlexPBX-1773670369.113214</t>
  </si>
  <si>
    <t>FlexPBX-1773669653.113194</t>
  </si>
  <si>
    <t>FlexPBX-1773669454.113174</t>
  </si>
  <si>
    <t>FlexPBX-1773669056.113148</t>
  </si>
  <si>
    <t>FlexPBX-1773668727.113074</t>
  </si>
  <si>
    <t>FlexPBX-1773668422.113032</t>
  </si>
  <si>
    <t>FlexPBX-1773668283.113008</t>
  </si>
  <si>
    <t>FlexPBX-1773666672.112924</t>
  </si>
  <si>
    <t>FlexPBX-1773665696.112876</t>
  </si>
  <si>
    <t>FlexPBX-1773665023.112850</t>
  </si>
  <si>
    <t>FlexPBX-1773664955.112836</t>
  </si>
  <si>
    <t>FlexPBX-1773664415.112698</t>
  </si>
  <si>
    <t>FlexPBX-1773663483.112657</t>
  </si>
  <si>
    <t>FlexPBX-1773663164.112637</t>
  </si>
  <si>
    <t>FlexPBX-1773663138.112623</t>
  </si>
  <si>
    <t>FlexPBX-1773663049.112606</t>
  </si>
  <si>
    <t>FlexPBX-1773662896.112595</t>
  </si>
  <si>
    <t>FlexPBX-1773662786.112579</t>
  </si>
  <si>
    <t>FlexPBX-1773662441.112565</t>
  </si>
  <si>
    <t>FlexPBX-1773661709.112539</t>
  </si>
  <si>
    <t>FlexPBX-1773661597.112525</t>
  </si>
  <si>
    <t>FlexPBX-1773661565.112508</t>
  </si>
  <si>
    <t>FlexPBX-1773661563.112505</t>
  </si>
  <si>
    <t>FlexPBX-1773661434.112485</t>
  </si>
  <si>
    <t>FlexPBX-1773661199.112423</t>
  </si>
  <si>
    <t>FlexPBX-1773661180.112412</t>
  </si>
  <si>
    <t>FlexPBX-1773660854.112404</t>
  </si>
  <si>
    <t>FlexPBX-1773505717.112355</t>
  </si>
  <si>
    <t>FlexPBX-1773495215.112350</t>
  </si>
  <si>
    <t>FlexPBX-1773488334.112331</t>
  </si>
  <si>
    <t>FlexPBX-1773487125.112326</t>
  </si>
  <si>
    <t>FlexPBX-1773434640.112286</t>
  </si>
  <si>
    <t>FlexPBX-1773434014.112249</t>
  </si>
  <si>
    <t>FlexPBX-1773433872.112241</t>
  </si>
  <si>
    <t>FlexPBX-1773433868.112233</t>
  </si>
  <si>
    <t>FlexPBX-1773432634.112160</t>
  </si>
  <si>
    <t>FlexPBX-1773432621.112157</t>
  </si>
  <si>
    <t>FlexPBX-1773431948.112087</t>
  </si>
  <si>
    <t>FlexPBX-1773431731.112044</t>
  </si>
  <si>
    <t>FlexPBX-1773431696.112021</t>
  </si>
  <si>
    <t>FlexPBX-1773431319.111995</t>
  </si>
  <si>
    <t>FlexPBX-1773431069.111975</t>
  </si>
  <si>
    <t>FlexPBX-1773430903.111864</t>
  </si>
  <si>
    <t>FlexPBX-1773430889.111847</t>
  </si>
  <si>
    <t>FlexPBX-1773430654.111833</t>
  </si>
  <si>
    <t>FlexPBX-1773430354.111807</t>
  </si>
  <si>
    <t>FlexPBX-1773430220.111799</t>
  </si>
  <si>
    <t>FlexPBX-1773430031.111779</t>
  </si>
  <si>
    <t>FlexPBX-1773429950.111774</t>
  </si>
  <si>
    <t>FlexPBX-1773429890.111738</t>
  </si>
  <si>
    <t>FlexPBX-1773429583.111695</t>
  </si>
  <si>
    <t>FlexPBX-1773429539.111647</t>
  </si>
  <si>
    <t>FlexPBX-1773429454.111568</t>
  </si>
  <si>
    <t>FlexPBX-1773429442.111560</t>
  </si>
  <si>
    <t>FlexPBX-1773429389.111552</t>
  </si>
  <si>
    <t>FlexPBX-1773429371.111544</t>
  </si>
  <si>
    <t>FlexPBX-1773429011.111524</t>
  </si>
  <si>
    <t>FlexPBX-1773428855.111484</t>
  </si>
  <si>
    <t>FlexPBX-1773428783.111448</t>
  </si>
  <si>
    <t>FlexPBX-1773428540.111428</t>
  </si>
  <si>
    <t>FlexPBX-1773428176.111376</t>
  </si>
  <si>
    <t>FlexPBX-1773427738.111300</t>
  </si>
  <si>
    <t>FlexPBX-1773427521.111230</t>
  </si>
  <si>
    <t>FlexPBX-1773427436.111133</t>
  </si>
  <si>
    <t>FlexPBX-1773427344.111060</t>
  </si>
  <si>
    <t>FlexPBX-1773426447.110972</t>
  </si>
  <si>
    <t>FlexPBX-1773426203.110947</t>
  </si>
  <si>
    <t>FlexPBX-1773426194.110936</t>
  </si>
  <si>
    <t>FlexPBX-1773426087.110897</t>
  </si>
  <si>
    <t>FlexPBX-1773426015.110853</t>
  </si>
  <si>
    <t>FlexPBX-1773425979.110840</t>
  </si>
  <si>
    <t>FlexPBX-1773425107.110766</t>
  </si>
  <si>
    <t>FlexPBX-1773424833.110676</t>
  </si>
  <si>
    <t>FlexPBX-1773424832.110672</t>
  </si>
  <si>
    <t>FlexPBX-1773424826.110667</t>
  </si>
  <si>
    <t>FlexPBX-1773424791.110609</t>
  </si>
  <si>
    <t>FlexPBX-1773424744.110576</t>
  </si>
  <si>
    <t>FlexPBX-1773424414.110562</t>
  </si>
  <si>
    <t>FlexPBX-1773423900.110542</t>
  </si>
  <si>
    <t>FlexPBX-1773423373.110528</t>
  </si>
  <si>
    <t>FlexPBX-1773422662.110430</t>
  </si>
  <si>
    <t>FlexPBX-1773422658.110419</t>
  </si>
  <si>
    <t>FlexPBX-1773422607.110392</t>
  </si>
  <si>
    <t>FlexPBX-1773422163.110364</t>
  </si>
  <si>
    <t>FlexPBX-1773421806.110331</t>
  </si>
  <si>
    <t>FlexPBX-1773421723.110282</t>
  </si>
  <si>
    <t>FlexPBX-1773421425.110271</t>
  </si>
  <si>
    <t>FlexPBX-1773421345.110235</t>
  </si>
  <si>
    <t>FlexPBX-1773420904.110221</t>
  </si>
  <si>
    <t>FlexPBX-1773420880.110213</t>
  </si>
  <si>
    <t>FlexPBX-1773420870.110205</t>
  </si>
  <si>
    <t>FlexPBX-1773420864.110197</t>
  </si>
  <si>
    <t>FlexPBX-1773420846.110189</t>
  </si>
  <si>
    <t>FlexPBX-1773420838.110181</t>
  </si>
  <si>
    <t>FlexPBX-1773420830.110173</t>
  </si>
  <si>
    <t>FlexPBX-1773420823.110165</t>
  </si>
  <si>
    <t>FlexPBX-1773420635.110119</t>
  </si>
  <si>
    <t>FlexPBX-1773420517.110105</t>
  </si>
  <si>
    <t>FlexPBX-1773420478.110097</t>
  </si>
  <si>
    <t>FlexPBX-1773420475.110089</t>
  </si>
  <si>
    <t>FlexPBX-1773420301.110075</t>
  </si>
  <si>
    <t>FlexPBX-1773420117.110051</t>
  </si>
  <si>
    <t>FlexPBX-1773419619.110037</t>
  </si>
  <si>
    <t>FlexPBX-1773419449.110013</t>
  </si>
  <si>
    <t>FlexPBX-1773419372.110008</t>
  </si>
  <si>
    <t>FlexPBX-1773419260.110003</t>
  </si>
  <si>
    <t>FlexPBX-1773418185.109998</t>
  </si>
  <si>
    <t>FlexPBX-1773413279.109906</t>
  </si>
  <si>
    <t>FlexPBX-1773412961.109886</t>
  </si>
  <si>
    <t>FlexPBX-1773412582.109842</t>
  </si>
  <si>
    <t>FlexPBX-1773411805.109796</t>
  </si>
  <si>
    <t>FlexPBX-1773411495.109714</t>
  </si>
  <si>
    <t>FlexPBX-1773411336.109666</t>
  </si>
  <si>
    <t>FlexPBX-1773411233.109661</t>
  </si>
  <si>
    <t>FlexPBX-1773411121.109606</t>
  </si>
  <si>
    <t>FlexPBX-1773411074.109577</t>
  </si>
  <si>
    <t>FlexPBX-1773410847.109549</t>
  </si>
  <si>
    <t>FlexPBX-1773410707.109533</t>
  </si>
  <si>
    <t>FlexPBX-1773410424.109503</t>
  </si>
  <si>
    <t>FlexPBX-1773410109.109476</t>
  </si>
  <si>
    <t>FlexPBX-1773410074.109456</t>
  </si>
  <si>
    <t>FlexPBX-1773410040.109441</t>
  </si>
  <si>
    <t>FlexPBX-1773409707.109413</t>
  </si>
  <si>
    <t>FlexPBX-1773409351.109349</t>
  </si>
  <si>
    <t>FlexPBX-1773409197.109281</t>
  </si>
  <si>
    <t>FlexPBX-1773409093.109207</t>
  </si>
  <si>
    <t>FlexPBX-1773409036.109194</t>
  </si>
  <si>
    <t>FlexPBX-1773408969.109183</t>
  </si>
  <si>
    <t>FlexPBX-1773408582.109134</t>
  </si>
  <si>
    <t>FlexPBX-1773408564.109129</t>
  </si>
  <si>
    <t>FlexPBX-1773408307.109117</t>
  </si>
  <si>
    <t>FlexPBX-1773408177.109103</t>
  </si>
  <si>
    <t>FlexPBX-1773407801.108968</t>
  </si>
  <si>
    <t>FlexPBX-1773407658.108859</t>
  </si>
  <si>
    <t>FlexPBX-1773407346.108785</t>
  </si>
  <si>
    <t>FlexPBX-1773407167.108741</t>
  </si>
  <si>
    <t>FlexPBX-1773405469.108709</t>
  </si>
  <si>
    <t>FlexPBX-1773405135.108695</t>
  </si>
  <si>
    <t>FlexPBX-1773405127.108687</t>
  </si>
  <si>
    <t>FlexPBX-1773405118.108672</t>
  </si>
  <si>
    <t>FlexPBX-1773405110.108658</t>
  </si>
  <si>
    <t>FlexPBX-1773405059.108606</t>
  </si>
  <si>
    <t>FlexPBX-1773405010.108579</t>
  </si>
  <si>
    <t>FlexPBX-1773404528.108473</t>
  </si>
  <si>
    <t>FlexPBX-1773404401.108459</t>
  </si>
  <si>
    <t>FlexPBX-1773404352.108445</t>
  </si>
  <si>
    <t>FlexPBX-1773403637.108393</t>
  </si>
  <si>
    <t>FlexPBX-1773403280.108335</t>
  </si>
  <si>
    <t>FlexPBX-1773402981.108235</t>
  </si>
  <si>
    <t>FlexPBX-1773402839.108230</t>
  </si>
  <si>
    <t>FlexPBX-1773402592.108124</t>
  </si>
  <si>
    <t>FlexPBX-1773402555.108119</t>
  </si>
  <si>
    <t>FlexPBX-1773402290.108082</t>
  </si>
  <si>
    <t>FlexPBX-1773401735.107887</t>
  </si>
  <si>
    <t>FlexPBX-1773401709.107876</t>
  </si>
  <si>
    <t>FlexPBX-1773401690.107868</t>
  </si>
  <si>
    <t>FlexPBX-1773400507.107854</t>
  </si>
  <si>
    <t>FlexPBX-1773348620.107796</t>
  </si>
  <si>
    <t>FlexPBX-1773348137.107789</t>
  </si>
  <si>
    <t>FlexPBX-1773348132.107786</t>
  </si>
  <si>
    <t>FlexPBX-1773347179.107692</t>
  </si>
  <si>
    <t>FlexPBX-1773346761.107640</t>
  </si>
  <si>
    <t>FlexPBX-1773346577.107559</t>
  </si>
  <si>
    <t>FlexPBX-1773346496.107500</t>
  </si>
  <si>
    <t>FlexPBX-1773345803.107339</t>
  </si>
  <si>
    <t>FlexPBX-1773345754.107304</t>
  </si>
  <si>
    <t>FlexPBX-1773345325.107299</t>
  </si>
  <si>
    <t>FlexPBX-1773344799.107175</t>
  </si>
  <si>
    <t>FlexPBX-1773344581.107149</t>
  </si>
  <si>
    <t>FlexPBX-1773344482.107133</t>
  </si>
  <si>
    <t>FlexPBX-1773344013.107080</t>
  </si>
  <si>
    <t>FlexPBX-1773344011.107076</t>
  </si>
  <si>
    <t>FlexPBX-1773343985.107073</t>
  </si>
  <si>
    <t>FlexPBX-1773343733.107015</t>
  </si>
  <si>
    <t>FlexPBX-1773343352.106929</t>
  </si>
  <si>
    <t>FlexPBX-1773342677.106891</t>
  </si>
  <si>
    <t>FlexPBX-1773342406.106873</t>
  </si>
  <si>
    <t>FlexPBX-1773342299.106833</t>
  </si>
  <si>
    <t>FlexPBX-1773341877.106797</t>
  </si>
  <si>
    <t>FlexPBX-1773341815.106776</t>
  </si>
  <si>
    <t>FlexPBX-1773341613.106716</t>
  </si>
  <si>
    <t>FlexPBX-1773341202.106616</t>
  </si>
  <si>
    <t>FlexPBX-1773341195.106613</t>
  </si>
  <si>
    <t>FlexPBX-1773340525.106591</t>
  </si>
  <si>
    <t>FlexPBX-1773339987.106491</t>
  </si>
  <si>
    <t>FlexPBX-1773339938.106483</t>
  </si>
  <si>
    <t>FlexPBX-1773339862.106473</t>
  </si>
  <si>
    <t>FlexPBX-1773339737.106455</t>
  </si>
  <si>
    <t>FlexPBX-1773339640.106441</t>
  </si>
  <si>
    <t>FlexPBX-1773338856.106385</t>
  </si>
  <si>
    <t>FlexPBX-1773338699.106377</t>
  </si>
  <si>
    <t>FlexPBX-1773338351.106337</t>
  </si>
  <si>
    <t>FlexPBX-1773338164.106310</t>
  </si>
  <si>
    <t>FlexPBX-1773338161.106302</t>
  </si>
  <si>
    <t>FlexPBX-1773338150.106283</t>
  </si>
  <si>
    <t>FlexPBX-1773338079.106228</t>
  </si>
  <si>
    <t>FlexPBX-1773338076.106225</t>
  </si>
  <si>
    <t>FlexPBX-1773337809.106186</t>
  </si>
  <si>
    <t>FlexPBX-1773337809.106183</t>
  </si>
  <si>
    <t>FlexPBX-1773337422.106154</t>
  </si>
  <si>
    <t>FlexPBX-1773337391.106146</t>
  </si>
  <si>
    <t>FlexPBX-1773337278.106087</t>
  </si>
  <si>
    <t>FlexPBX-1773337238.106074</t>
  </si>
  <si>
    <t>FlexPBX-1773336971.106044</t>
  </si>
  <si>
    <t>FlexPBX-1773336888.106010</t>
  </si>
  <si>
    <t>FlexPBX-1773336681.105964</t>
  </si>
  <si>
    <t>FlexPBX-1773336667.105940</t>
  </si>
  <si>
    <t>FlexPBX-1773336615.105883</t>
  </si>
  <si>
    <t>FlexPBX-1773336572.105872</t>
  </si>
  <si>
    <t>FlexPBX-1773336474.105840</t>
  </si>
  <si>
    <t>FlexPBX-1773336430.105827</t>
  </si>
  <si>
    <t>FlexPBX-1773335457.105819</t>
  </si>
  <si>
    <t>FlexPBX-1773335075.105778</t>
  </si>
  <si>
    <t>FlexPBX-1773334743.105749</t>
  </si>
  <si>
    <t>FlexPBX-1773334629.105702</t>
  </si>
  <si>
    <t>FlexPBX-1773334398.105590</t>
  </si>
  <si>
    <t>FlexPBX-1773334108.105562</t>
  </si>
  <si>
    <t>FlexPBX-1773334055.105558</t>
  </si>
  <si>
    <t>FlexPBX-1773334008.105545</t>
  </si>
  <si>
    <t>FlexPBX-1773333998.105542</t>
  </si>
  <si>
    <t>FlexPBX-1773333654.105514</t>
  </si>
  <si>
    <t>FlexPBX-1773333433.105463</t>
  </si>
  <si>
    <t>FlexPBX-1773333406.105452</t>
  </si>
  <si>
    <t>FlexPBX-1773333368.105408</t>
  </si>
  <si>
    <t>FlexPBX-1773333356.105405</t>
  </si>
  <si>
    <t>FlexPBX-1773333330.105396</t>
  </si>
  <si>
    <t>FlexPBX-1773333321.105376</t>
  </si>
  <si>
    <t>FlexPBX-1773333310.105348</t>
  </si>
  <si>
    <t>FlexPBX-1773333269.105335</t>
  </si>
  <si>
    <t>FlexPBX-1773333060.105305</t>
  </si>
  <si>
    <t>FlexPBX-1773332730.105291</t>
  </si>
  <si>
    <t>FlexPBX-1773331176.105286</t>
  </si>
  <si>
    <t>FlexPBX-1773328392.105267</t>
  </si>
  <si>
    <t>FlexPBX-1773327446.105233</t>
  </si>
  <si>
    <t>FlexPBX-1773327096.105175</t>
  </si>
  <si>
    <t>FlexPBX-1773326862.105167</t>
  </si>
  <si>
    <t>FlexPBX-1773326524.105131</t>
  </si>
  <si>
    <t>FlexPBX-1773326469.105115</t>
  </si>
  <si>
    <t>FlexPBX-1773326440.105103</t>
  </si>
  <si>
    <t>FlexPBX-1773326411.105095</t>
  </si>
  <si>
    <t>FlexPBX-1773326358.105090</t>
  </si>
  <si>
    <t>FlexPBX-1773326242.105056</t>
  </si>
  <si>
    <t>FlexPBX-1773326090.104988</t>
  </si>
  <si>
    <t>FlexPBX-1773325489.104866</t>
  </si>
  <si>
    <t>FlexPBX-1773325334.104846</t>
  </si>
  <si>
    <t>FlexPBX-1773325246.104832</t>
  </si>
  <si>
    <t>FlexPBX-1773325157.104818</t>
  </si>
  <si>
    <t>FlexPBX-1773325023.104779</t>
  </si>
  <si>
    <t>FlexPBX-1773324959.104715</t>
  </si>
  <si>
    <t>FlexPBX-1773324925.104700</t>
  </si>
  <si>
    <t>FlexPBX-1773324632.104656</t>
  </si>
  <si>
    <t>FlexPBX-1773324376.104603</t>
  </si>
  <si>
    <t>FlexPBX-1773324371.104600</t>
  </si>
  <si>
    <t>FlexPBX-1773324029.104560</t>
  </si>
  <si>
    <t>FlexPBX-1773323982.104546</t>
  </si>
  <si>
    <t>FlexPBX-1773323863.104518</t>
  </si>
  <si>
    <t>FlexPBX-1773323799.104483</t>
  </si>
  <si>
    <t>FlexPBX-1773323797.104480</t>
  </si>
  <si>
    <t>FlexPBX-1773323665.104452</t>
  </si>
  <si>
    <t>FlexPBX-1773323558.104436</t>
  </si>
  <si>
    <t>FlexPBX-1773323480.104419</t>
  </si>
  <si>
    <t>FlexPBX-1773323369.104399</t>
  </si>
  <si>
    <t>FlexPBX-1773322988.104275</t>
  </si>
  <si>
    <t>FlexPBX-1773322354.104202</t>
  </si>
  <si>
    <t>FlexPBX-1773322345.104199</t>
  </si>
  <si>
    <t>FlexPBX-1773322263.104185</t>
  </si>
  <si>
    <t>FlexPBX-1773321898.104147</t>
  </si>
  <si>
    <t>FlexPBX-1773321847.104127</t>
  </si>
  <si>
    <t>FlexPBX-1773321713.104063</t>
  </si>
  <si>
    <t>FlexPBX-1773321652.104027</t>
  </si>
  <si>
    <t>FlexPBX-1773320977.103981</t>
  </si>
  <si>
    <t>FlexPBX-1773320594.103925</t>
  </si>
  <si>
    <t>FlexPBX-1773320581.103917</t>
  </si>
  <si>
    <t>FlexPBX-1773320469.103897</t>
  </si>
  <si>
    <t>FlexPBX-1773320309.103834</t>
  </si>
  <si>
    <t>FlexPBX-1773320234.103780</t>
  </si>
  <si>
    <t>FlexPBX-1773320218.103763</t>
  </si>
  <si>
    <t>FlexPBX-1773320150.103755</t>
  </si>
  <si>
    <t>FlexPBX-1773319483.103711</t>
  </si>
  <si>
    <t>FlexPBX-1773319215.103681</t>
  </si>
  <si>
    <t>FlexPBX-1773319147.103673</t>
  </si>
  <si>
    <t>FlexPBX-1773319080.103665</t>
  </si>
  <si>
    <t>FlexPBX-1773318422.103613</t>
  </si>
  <si>
    <t>FlexPBX-1773318094.103508</t>
  </si>
  <si>
    <t>FlexPBX-1773318075.103495</t>
  </si>
  <si>
    <t>FlexPBX-1773317725.103481</t>
  </si>
  <si>
    <t>FlexPBX-1773316982.103435</t>
  </si>
  <si>
    <t>FlexPBX-1773316699.103419</t>
  </si>
  <si>
    <t>FlexPBX-1773316655.103386</t>
  </si>
  <si>
    <t>FlexPBX-1773316599.103343</t>
  </si>
  <si>
    <t>FlexPBX-1773316305.103332</t>
  </si>
  <si>
    <t>FlexPBX-1773316041.103305</t>
  </si>
  <si>
    <t>FlexPBX-1773316028.103301</t>
  </si>
  <si>
    <t>FlexPBX-1773315981.103283</t>
  </si>
  <si>
    <t>FlexPBX-1773315744.103203</t>
  </si>
  <si>
    <t>FlexPBX-1773315742.103200</t>
  </si>
  <si>
    <t>FlexPBX-1773315727.103183</t>
  </si>
  <si>
    <t>FlexPBX-1773315273.103117</t>
  </si>
  <si>
    <t>FlexPBX-1773315242.103101</t>
  </si>
  <si>
    <t>FlexPBX-1773315065.102985</t>
  </si>
  <si>
    <t>FlexPBX-1773314977.102980</t>
  </si>
  <si>
    <t>FlexPBX-1773314346.102966</t>
  </si>
  <si>
    <t>FlexPBX-1773314138.102961</t>
  </si>
  <si>
    <t>FlexPBX-1773260899.102947</t>
  </si>
  <si>
    <t>FlexPBX-1773260852.102939</t>
  </si>
  <si>
    <t>FlexPBX-1773260715.102925</t>
  </si>
  <si>
    <t>FlexPBX-1773260713.102921</t>
  </si>
  <si>
    <t>FlexPBX-1773260618.102905</t>
  </si>
  <si>
    <t>FlexPBX-1773260606.102901</t>
  </si>
  <si>
    <t>FlexPBX-1773260455.102893</t>
  </si>
  <si>
    <t>FlexPBX-1773260450.102885</t>
  </si>
  <si>
    <t>FlexPBX-1773260344.102865</t>
  </si>
  <si>
    <t>FlexPBX-1773260227.102857</t>
  </si>
  <si>
    <t>FlexPBX-1773259353.102811</t>
  </si>
  <si>
    <t>FlexPBX-1773258749.102727</t>
  </si>
  <si>
    <t>FlexPBX-1773258108.102716</t>
  </si>
  <si>
    <t>FlexPBX-1773257598.102686</t>
  </si>
  <si>
    <t>FlexPBX-1773257308.102630</t>
  </si>
  <si>
    <t>FlexPBX-1773256945.102584</t>
  </si>
  <si>
    <t>FlexPBX-1773256856.102564</t>
  </si>
  <si>
    <t>FlexPBX-1773256805.102531</t>
  </si>
  <si>
    <t>FlexPBX-1773256764.102472</t>
  </si>
  <si>
    <t>FlexPBX-1773256738.102448</t>
  </si>
  <si>
    <t>FlexPBX-1773256667.102403</t>
  </si>
  <si>
    <t>FlexPBX-1773256542.102357</t>
  </si>
  <si>
    <t>FlexPBX-1773255892.102317</t>
  </si>
  <si>
    <t>FlexPBX-1773255780.102303</t>
  </si>
  <si>
    <t>FlexPBX-1773255740.102289</t>
  </si>
  <si>
    <t>FlexPBX-1773255643.102232</t>
  </si>
  <si>
    <t>FlexPBX-1773255635.102227</t>
  </si>
  <si>
    <t>FlexPBX-1773255634.102221</t>
  </si>
  <si>
    <t>FlexPBX-1773255447.102195</t>
  </si>
  <si>
    <t>FlexPBX-1773255281.102185</t>
  </si>
  <si>
    <t>FlexPBX-1773255257.102173</t>
  </si>
  <si>
    <t>FlexPBX-1773254985.102147</t>
  </si>
  <si>
    <t>FlexPBX-1773254468.102048</t>
  </si>
  <si>
    <t>FlexPBX-1773254275.101905</t>
  </si>
  <si>
    <t>FlexPBX-1773254267.101901</t>
  </si>
  <si>
    <t>FlexPBX-1773253754.101881</t>
  </si>
  <si>
    <t>FlexPBX-1773253751.101873</t>
  </si>
  <si>
    <t>FlexPBX-1773253073.101831</t>
  </si>
  <si>
    <t>FlexPBX-1773252996.101808</t>
  </si>
  <si>
    <t>FlexPBX-1773252964.101797</t>
  </si>
  <si>
    <t>FlexPBX-1773252485.101684</t>
  </si>
  <si>
    <t>FlexPBX-1773252465.101667</t>
  </si>
  <si>
    <t>FlexPBX-1773252449.101649</t>
  </si>
  <si>
    <t>FlexPBX-1773252434.101627</t>
  </si>
  <si>
    <t>FlexPBX-1773252417.101614</t>
  </si>
  <si>
    <t>FlexPBX-1773252407.101600</t>
  </si>
  <si>
    <t>FlexPBX-1773252403.101593</t>
  </si>
  <si>
    <t>FlexPBX-1773252399.101584</t>
  </si>
  <si>
    <t>FlexPBX-1773252391.101559</t>
  </si>
  <si>
    <t>FlexPBX-1773252386.101547</t>
  </si>
  <si>
    <t>FlexPBX-1773252379.101533</t>
  </si>
  <si>
    <t>FlexPBX-1773252374.101530</t>
  </si>
  <si>
    <t>FlexPBX-1773252288.101519</t>
  </si>
  <si>
    <t>FlexPBX-1773252240.101498</t>
  </si>
  <si>
    <t>FlexPBX-1773252237.101495</t>
  </si>
  <si>
    <t>FlexPBX-1773252154.101461</t>
  </si>
  <si>
    <t>FlexPBX-1773251838.101385</t>
  </si>
  <si>
    <t>FlexPBX-1773251262.101327</t>
  </si>
  <si>
    <t>FlexPBX-1773250578.101239</t>
  </si>
  <si>
    <t>FlexPBX-1773250121.101160</t>
  </si>
  <si>
    <t>FlexPBX-1773250034.101121</t>
  </si>
  <si>
    <t>FlexPBX-1773249840.101093</t>
  </si>
  <si>
    <t>FlexPBX-1773249750.101078</t>
  </si>
  <si>
    <t>FlexPBX-1773249740.101059</t>
  </si>
  <si>
    <t>FlexPBX-1773249716.101045</t>
  </si>
  <si>
    <t>FlexPBX-1773249625.101037</t>
  </si>
  <si>
    <t>FlexPBX-1773249496.101003</t>
  </si>
  <si>
    <t>FlexPBX-1773249443.100995</t>
  </si>
  <si>
    <t>FlexPBX-1773249236.100962</t>
  </si>
  <si>
    <t>FlexPBX-1773248941.100925</t>
  </si>
  <si>
    <t>FlexPBX-1773248881.100917</t>
  </si>
  <si>
    <t>FlexPBX-1773248108.100845</t>
  </si>
  <si>
    <t>FlexPBX-1773247716.100801</t>
  </si>
  <si>
    <t>FlexPBX-1773247092.100762</t>
  </si>
  <si>
    <t>FlexPBX-1773247026.100694</t>
  </si>
  <si>
    <t>FlexPBX-1773247021.100691</t>
  </si>
  <si>
    <t>FlexPBX-1773246643.100641</t>
  </si>
  <si>
    <t>FlexPBX-1773246296.100636</t>
  </si>
  <si>
    <t>FlexPBX-1773245734.100631</t>
  </si>
  <si>
    <t>FlexPBX-1773245356.100626</t>
  </si>
  <si>
    <t>FlexPBX-1773241290.100615</t>
  </si>
  <si>
    <t>FlexPBX-1773240578.100565</t>
  </si>
  <si>
    <t>FlexPBX-1773240561.100552</t>
  </si>
  <si>
    <t>FlexPBX-1773240395.100544</t>
  </si>
  <si>
    <t>FlexPBX-1773240190.100518</t>
  </si>
  <si>
    <t>FlexPBX-1773240024.100494</t>
  </si>
  <si>
    <t>FlexPBX-1773240003.100486</t>
  </si>
  <si>
    <t>FlexPBX-1773239997.100478</t>
  </si>
  <si>
    <t>FlexPBX-1773239989.100470</t>
  </si>
  <si>
    <t>FlexPBX-1773239973.100462</t>
  </si>
  <si>
    <t>FlexPBX-1773239958.100454</t>
  </si>
  <si>
    <t>FlexPBX-1773239461.100418</t>
  </si>
  <si>
    <t>FlexPBX-1773239412.100338</t>
  </si>
  <si>
    <t>FlexPBX-1773239376.100289</t>
  </si>
  <si>
    <t>FlexPBX-1773239306.100234</t>
  </si>
  <si>
    <t>FlexPBX-1773238455.100166</t>
  </si>
  <si>
    <t>FlexPBX-1773238371.100112</t>
  </si>
  <si>
    <t>FlexPBX-1773238164.100068</t>
  </si>
  <si>
    <t>FlexPBX-1773238135.100060</t>
  </si>
  <si>
    <t>FlexPBX-1773238066.100040</t>
  </si>
  <si>
    <t>FlexPBX-1773237789.99996</t>
  </si>
  <si>
    <t>FlexPBX-1773237114.99951</t>
  </si>
  <si>
    <t>FlexPBX-1773237107.99943</t>
  </si>
  <si>
    <t>FlexPBX-1773237054.99881</t>
  </si>
  <si>
    <t>FlexPBX-1773237048.99859</t>
  </si>
  <si>
    <t>FlexPBX-1773237043.99845</t>
  </si>
  <si>
    <t>FlexPBX-1773236915.99732</t>
  </si>
  <si>
    <t>FlexPBX-1773236357.99698</t>
  </si>
  <si>
    <t>FlexPBX-1773236204.99646</t>
  </si>
  <si>
    <t>FlexPBX-1773235987.99588</t>
  </si>
  <si>
    <t>FlexPBX-1773234799.99558</t>
  </si>
  <si>
    <t>FlexPBX-1773234642.99488</t>
  </si>
  <si>
    <t>FlexPBX-1773234593.99439</t>
  </si>
  <si>
    <t>FlexPBX-1773234576.99426</t>
  </si>
  <si>
    <t>FlexPBX-1773234262.99370</t>
  </si>
  <si>
    <t>FlexPBX-1773234059.99294</t>
  </si>
  <si>
    <t>FlexPBX-1773234009.99274</t>
  </si>
  <si>
    <t>FlexPBX-1773233578.99236</t>
  </si>
  <si>
    <t>FlexPBX-1773233510.99199</t>
  </si>
  <si>
    <t>FlexPBX-1773233433.99148</t>
  </si>
  <si>
    <t>FlexPBX-1773233052.99108</t>
  </si>
  <si>
    <t>FlexPBX-1773232770.99064</t>
  </si>
  <si>
    <t>FlexPBX-1773232254.99059</t>
  </si>
  <si>
    <t>FlexPBX-1773231705.98994</t>
  </si>
  <si>
    <t>FlexPBX-1773231699.98991</t>
  </si>
  <si>
    <t>FlexPBX-1773231305.98917</t>
  </si>
  <si>
    <t>FlexPBX-1773231053.98903</t>
  </si>
  <si>
    <t>FlexPBX-1773230992.98889</t>
  </si>
  <si>
    <t>FlexPBX-1773230951.98866</t>
  </si>
  <si>
    <t>FlexPBX-1773230672.98832</t>
  </si>
  <si>
    <t>FlexPBX-1773230340.98722</t>
  </si>
  <si>
    <t>FlexPBX-1773230137.98664</t>
  </si>
  <si>
    <t>FlexPBX-1773230098.98655</t>
  </si>
  <si>
    <t>FlexPBX-1773229989.98619</t>
  </si>
  <si>
    <t>FlexPBX-1773229728.98555</t>
  </si>
  <si>
    <t>FlexPBX-1773229348.98493</t>
  </si>
  <si>
    <t>FlexPBX-1773229091.98431</t>
  </si>
  <si>
    <t>FlexPBX-1773228821.98367</t>
  </si>
  <si>
    <t>FlexPBX-1773227835.98339</t>
  </si>
  <si>
    <t>FlexPBX-1773227626.98334</t>
  </si>
  <si>
    <t>FlexPBX-1773227044.98273</t>
  </si>
  <si>
    <t>FlexPBX-1773176210.98259</t>
  </si>
  <si>
    <t>FlexPBX-1773175239.98209</t>
  </si>
  <si>
    <t>FlexPBX-1773173065.98139</t>
  </si>
  <si>
    <t>FlexPBX-1773172676.98109</t>
  </si>
  <si>
    <t>FlexPBX-1773172671.98105</t>
  </si>
  <si>
    <t>FlexPBX-1773172441.98061</t>
  </si>
  <si>
    <t>FlexPBX-1773172016.98047</t>
  </si>
  <si>
    <t>FlexPBX-1773170923.98003</t>
  </si>
  <si>
    <t>FlexPBX-1773170868.97975</t>
  </si>
  <si>
    <t>FlexPBX-1773170757.97907</t>
  </si>
  <si>
    <t>FlexPBX-1773170390.97832</t>
  </si>
  <si>
    <t>FlexPBX-1773170389.97829</t>
  </si>
  <si>
    <t>FlexPBX-1773169947.97797</t>
  </si>
  <si>
    <t>FlexPBX-1773169896.97792</t>
  </si>
  <si>
    <t>FlexPBX-1773169882.97787</t>
  </si>
  <si>
    <t>FlexPBX-1773169839.97766</t>
  </si>
  <si>
    <t>FlexPBX-1773169498.97731</t>
  </si>
  <si>
    <t>FlexPBX-1773169484.97719</t>
  </si>
  <si>
    <t>FlexPBX-1773169479.97716</t>
  </si>
  <si>
    <t>FlexPBX-1773169271.97650</t>
  </si>
  <si>
    <t>FlexPBX-1773169265.97645</t>
  </si>
  <si>
    <t>FlexPBX-1773169228.97612</t>
  </si>
  <si>
    <t>FlexPBX-1773169224.97609</t>
  </si>
  <si>
    <t>FlexPBX-1773168590.97565</t>
  </si>
  <si>
    <t>FlexPBX-1773167829.97507</t>
  </si>
  <si>
    <t>FlexPBX-1773167432.97431</t>
  </si>
  <si>
    <t>FlexPBX-1773167333.97377</t>
  </si>
  <si>
    <t>FlexPBX-1773167199.97365</t>
  </si>
  <si>
    <t>FlexPBX-1773166971.97341</t>
  </si>
  <si>
    <t>FlexPBX-1773166136.97321</t>
  </si>
  <si>
    <t>FlexPBX-1773165610.97293</t>
  </si>
  <si>
    <t>FlexPBX-1773165564.97263</t>
  </si>
  <si>
    <t>FlexPBX-1773165535.97253</t>
  </si>
  <si>
    <t>FlexPBX-1773165516.97241</t>
  </si>
  <si>
    <t>FlexPBX-1773165510.97233</t>
  </si>
  <si>
    <t>FlexPBX-1773165503.97217</t>
  </si>
  <si>
    <t>FlexPBX-1773165496.97209</t>
  </si>
  <si>
    <t>FlexPBX-1773165495.97205</t>
  </si>
  <si>
    <t>FlexPBX-1773165136.97181</t>
  </si>
  <si>
    <t>FlexPBX-1773164990.97169</t>
  </si>
  <si>
    <t>FlexPBX-1773164703.97161</t>
  </si>
  <si>
    <t>FlexPBX-1773164417.97120</t>
  </si>
  <si>
    <t>FlexPBX-1773164413.97117</t>
  </si>
  <si>
    <t>FlexPBX-1773163666.97083</t>
  </si>
  <si>
    <t>FlexPBX-1773163471.97069</t>
  </si>
  <si>
    <t>FlexPBX-1773163462.97061</t>
  </si>
  <si>
    <t>FlexPBX-1773163139.97041</t>
  </si>
  <si>
    <t>FlexPBX-1773163136.97036</t>
  </si>
  <si>
    <t>FlexPBX-1773162573.96990</t>
  </si>
  <si>
    <t>FlexPBX-1773162391.96954</t>
  </si>
  <si>
    <t>FlexPBX-1773162340.96946</t>
  </si>
  <si>
    <t>FlexPBX-1773162052.96816</t>
  </si>
  <si>
    <t>FlexPBX-1773161874.96790</t>
  </si>
  <si>
    <t>FlexPBX-1773161444.96756</t>
  </si>
  <si>
    <t>FlexPBX-1773161330.96675</t>
  </si>
  <si>
    <t>FlexPBX-1773161325.96670</t>
  </si>
  <si>
    <t>FlexPBX-1773161322.96662</t>
  </si>
  <si>
    <t>FlexPBX-1773161321.96656</t>
  </si>
  <si>
    <t>FlexPBX-1773161318.96648</t>
  </si>
  <si>
    <t>FlexPBX-1773161315.96640</t>
  </si>
  <si>
    <t>FlexPBX-1773161309.96632</t>
  </si>
  <si>
    <t>FlexPBX-1773161305.96624</t>
  </si>
  <si>
    <t>FlexPBX-1773161273.96612</t>
  </si>
  <si>
    <t>FlexPBX-1773161259.96604</t>
  </si>
  <si>
    <t>FlexPBX-1773161239.96600</t>
  </si>
  <si>
    <t>FlexPBX-1773160773.96580</t>
  </si>
  <si>
    <t>FlexPBX-1773160770.96572</t>
  </si>
  <si>
    <t>FlexPBX-1773160766.96564</t>
  </si>
  <si>
    <t>FlexPBX-1773160761.96556</t>
  </si>
  <si>
    <t>FlexPBX-1773160752.96548</t>
  </si>
  <si>
    <t>FlexPBX-1773160744.96540</t>
  </si>
  <si>
    <t>FlexPBX-1773160533.96465</t>
  </si>
  <si>
    <t>FlexPBX-1773160525.96452</t>
  </si>
  <si>
    <t>FlexPBX-1773160127.96447</t>
  </si>
  <si>
    <t>FlexPBX-1773157689.96442</t>
  </si>
  <si>
    <t>FlexPBX-1773157515.96437</t>
  </si>
  <si>
    <t>FlexPBX-1773157475.96432</t>
  </si>
  <si>
    <t>FlexPBX-1773154561.96412</t>
  </si>
  <si>
    <t>FlexPBX-1773154535.96390</t>
  </si>
  <si>
    <t>FlexPBX-1773152520.96302</t>
  </si>
  <si>
    <t>FlexPBX-1773152265.96220</t>
  </si>
  <si>
    <t>FlexPBX-1773151575.96175</t>
  </si>
  <si>
    <t>FlexPBX-1773151573.96172</t>
  </si>
  <si>
    <t>FlexPBX-1773151556.96158</t>
  </si>
  <si>
    <t>FlexPBX-1773151503.96144</t>
  </si>
  <si>
    <t>FlexPBX-1773151478.96132</t>
  </si>
  <si>
    <t>FlexPBX-1773151259.96054</t>
  </si>
  <si>
    <t>FlexPBX-1773151077.95962</t>
  </si>
  <si>
    <t>FlexPBX-1773150122.95914</t>
  </si>
  <si>
    <t>FlexPBX-1773150055.95832</t>
  </si>
  <si>
    <t>FlexPBX-1773150024.95809</t>
  </si>
  <si>
    <t>FlexPBX-1773149588.95757</t>
  </si>
  <si>
    <t>FlexPBX-1773149176.95729</t>
  </si>
  <si>
    <t>FlexPBX-1773148454.95578</t>
  </si>
  <si>
    <t>FlexPBX-1773148313.95473</t>
  </si>
  <si>
    <t>FlexPBX-1773148248.95432</t>
  </si>
  <si>
    <t>FlexPBX-1773148143.95418</t>
  </si>
  <si>
    <t>FlexPBX-1773147760.95392</t>
  </si>
  <si>
    <t>FlexPBX-1773147515.95352</t>
  </si>
  <si>
    <t>FlexPBX-1773147413.95332</t>
  </si>
  <si>
    <t>FlexPBX-1773146208.95315</t>
  </si>
  <si>
    <t>FlexPBX-1773146197.95301</t>
  </si>
  <si>
    <t>FlexPBX-1773146073.95261</t>
  </si>
  <si>
    <t>FlexPBX-1773146055.95253</t>
  </si>
  <si>
    <t>FlexPBX-1773145985.95237</t>
  </si>
  <si>
    <t>FlexPBX-1773145962.95223</t>
  </si>
  <si>
    <t>FlexPBX-1773145289.95165</t>
  </si>
  <si>
    <t>FlexPBX-1773145177.95156</t>
  </si>
  <si>
    <t>FlexPBX-1773145143.95149</t>
  </si>
  <si>
    <t>FlexPBX-1773144993.95123</t>
  </si>
  <si>
    <t>FlexPBX-1773144929.95115</t>
  </si>
  <si>
    <t>FlexPBX-1773144769.95107</t>
  </si>
  <si>
    <t>FlexPBX-1773144396.95074</t>
  </si>
  <si>
    <t>FlexPBX-1773144381.95065</t>
  </si>
  <si>
    <t>FlexPBX-1773144144.95039</t>
  </si>
  <si>
    <t>FlexPBX-1773143941.94971</t>
  </si>
  <si>
    <t>FlexPBX-1773143921.94966</t>
  </si>
  <si>
    <t>FlexPBX-1773143772.94958</t>
  </si>
  <si>
    <t>FlexPBX-1773143592.94938</t>
  </si>
  <si>
    <t>FlexPBX-1773143061.94914</t>
  </si>
  <si>
    <t>FlexPBX-1773142896.94838</t>
  </si>
  <si>
    <t>FlexPBX-1773142667.94802</t>
  </si>
  <si>
    <t>FlexPBX-1773142553.94736</t>
  </si>
  <si>
    <t>FlexPBX-1773142100.94722</t>
  </si>
  <si>
    <t>FlexPBX-1773088535.94664</t>
  </si>
  <si>
    <t>FlexPBX-1773088441.94636</t>
  </si>
  <si>
    <t>FlexPBX-1773088207.94584</t>
  </si>
  <si>
    <t>FlexPBX-1773087853.94558</t>
  </si>
  <si>
    <t>FlexPBX-1773087703.94438</t>
  </si>
  <si>
    <t>FlexPBX-1773087188.94386</t>
  </si>
  <si>
    <t>FlexPBX-1773087057.94311</t>
  </si>
  <si>
    <t>FlexPBX-1773086867.94291</t>
  </si>
  <si>
    <t>FlexPBX-1773086796.94267</t>
  </si>
  <si>
    <t>FlexPBX-1773085319.94172</t>
  </si>
  <si>
    <t>FlexPBX-1773085275.94163</t>
  </si>
  <si>
    <t>FlexPBX-1773084987.94122</t>
  </si>
  <si>
    <t>FlexPBX-1773084839.94040</t>
  </si>
  <si>
    <t>FlexPBX-1773084424.93897</t>
  </si>
  <si>
    <t>FlexPBX-1773084422.93894</t>
  </si>
  <si>
    <t>FlexPBX-1773083793.93800</t>
  </si>
  <si>
    <t>FlexPBX-1773083680.93792</t>
  </si>
  <si>
    <t>FlexPBX-1773083624.93784</t>
  </si>
  <si>
    <t>FlexPBX-1773083532.93709</t>
  </si>
  <si>
    <t>FlexPBX-1773083420.93634</t>
  </si>
  <si>
    <t>FlexPBX-1773083081.93582</t>
  </si>
  <si>
    <t>FlexPBX-1773082674.93525</t>
  </si>
  <si>
    <t>FlexPBX-1773082638.93504</t>
  </si>
  <si>
    <t>FlexPBX-1773082418.93468</t>
  </si>
  <si>
    <t>FlexPBX-1773082310.93452</t>
  </si>
  <si>
    <t>FlexPBX-1773082247.93440</t>
  </si>
  <si>
    <t>FlexPBX-1773082207.93432</t>
  </si>
  <si>
    <t>FlexPBX-1773081636.93372</t>
  </si>
  <si>
    <t>FlexPBX-1773081591.93358</t>
  </si>
  <si>
    <t>FlexPBX-1773081477.93323</t>
  </si>
  <si>
    <t>FlexPBX-1773081454.93314</t>
  </si>
  <si>
    <t>FlexPBX-1773081050.93262</t>
  </si>
  <si>
    <t>FlexPBX-1773080900.93254</t>
  </si>
  <si>
    <t>FlexPBX-1773080598.93173</t>
  </si>
  <si>
    <t>FlexPBX-1773080456.93030</t>
  </si>
  <si>
    <t>FlexPBX-1773080281.92980</t>
  </si>
  <si>
    <t>FlexPBX-1773079959.92918</t>
  </si>
  <si>
    <t>FlexPBX-1773079876.92910</t>
  </si>
  <si>
    <t>FlexPBX-1773079255.92819</t>
  </si>
  <si>
    <t>FlexPBX-1773079248.92811</t>
  </si>
  <si>
    <t>FlexPBX-1773079221.92776</t>
  </si>
  <si>
    <t>FlexPBX-1773079142.92718</t>
  </si>
  <si>
    <t>FlexPBX-1773079128.92715</t>
  </si>
  <si>
    <t>FlexPBX-1773079070.92711</t>
  </si>
  <si>
    <t>FlexPBX-1773078981.92675</t>
  </si>
  <si>
    <t>FlexPBX-1773078748.92589</t>
  </si>
  <si>
    <t>FlexPBX-1773078357.92438</t>
  </si>
  <si>
    <t>FlexPBX-1773078306.92401</t>
  </si>
  <si>
    <t>FlexPBX-1773078288.92390</t>
  </si>
  <si>
    <t>FlexPBX-1773078067.92306</t>
  </si>
  <si>
    <t>FlexPBX-1773077173.92269</t>
  </si>
  <si>
    <t>FlexPBX-1773077089.92198</t>
  </si>
  <si>
    <t>FlexPBX-1773076683.92146</t>
  </si>
  <si>
    <t>FlexPBX-1773076515.92039</t>
  </si>
  <si>
    <t>FlexPBX-1773076488.92032</t>
  </si>
  <si>
    <t>FlexPBX-1773076461.92012</t>
  </si>
  <si>
    <t>FlexPBX-1773076062.91970</t>
  </si>
  <si>
    <t>FlexPBX-1773076028.91962</t>
  </si>
  <si>
    <t>FlexPBX-1773076007.91954</t>
  </si>
  <si>
    <t>FlexPBX-1773076004.91946</t>
  </si>
  <si>
    <t>FlexPBX-1773075921.91932</t>
  </si>
  <si>
    <t>FlexPBX-1773075258.91882</t>
  </si>
  <si>
    <t>FlexPBX-1773074748.91841</t>
  </si>
  <si>
    <t>FlexPBX-1773074714.91833</t>
  </si>
  <si>
    <t>FlexPBX-1773074669.91787</t>
  </si>
  <si>
    <t>FlexPBX-1773074232.91761</t>
  </si>
  <si>
    <t>FlexPBX-1773073934.91717</t>
  </si>
  <si>
    <t>FlexPBX-1773073614.91712</t>
  </si>
  <si>
    <t>FlexPBX-1773073353.91707</t>
  </si>
  <si>
    <t>FlexPBX-1773072894.91702</t>
  </si>
  <si>
    <t>FlexPBX-1773068028.91638</t>
  </si>
  <si>
    <t>FlexPBX-1773067844.91624</t>
  </si>
  <si>
    <t>FlexPBX-1773067760.91616</t>
  </si>
  <si>
    <t>FlexPBX-1773067613.91602</t>
  </si>
  <si>
    <t>FlexPBX-1773067570.91594</t>
  </si>
  <si>
    <t>FlexPBX-1773067398.91586</t>
  </si>
  <si>
    <t>FlexPBX-1773066582.91556</t>
  </si>
  <si>
    <t>FlexPBX-1773066008.91522</t>
  </si>
  <si>
    <t>FlexPBX-1773066004.91518</t>
  </si>
  <si>
    <t>FlexPBX-1773065727.91469</t>
  </si>
  <si>
    <t>FlexPBX-1773065716.91466</t>
  </si>
  <si>
    <t>FlexPBX-1773065372.91420</t>
  </si>
  <si>
    <t>FlexPBX-1773065362.91416</t>
  </si>
  <si>
    <t>FlexPBX-1773065194.91366</t>
  </si>
  <si>
    <t>FlexPBX-1773064803.91354</t>
  </si>
  <si>
    <t>FlexPBX-1773064663.91331</t>
  </si>
  <si>
    <t>FlexPBX-1773064641.91324</t>
  </si>
  <si>
    <t>FlexPBX-1773064555.91262</t>
  </si>
  <si>
    <t>FlexPBX-1773064554.91259</t>
  </si>
  <si>
    <t>FlexPBX-1773064538.91242</t>
  </si>
  <si>
    <t>FlexPBX-1773064118.91142</t>
  </si>
  <si>
    <t>FlexPBX-1773063648.91092</t>
  </si>
  <si>
    <t>FlexPBX-1773063625.91078</t>
  </si>
  <si>
    <t>FlexPBX-1773063593.91064</t>
  </si>
  <si>
    <t>FlexPBX-1773063513.91048</t>
  </si>
  <si>
    <t>FlexPBX-1773063335.90976</t>
  </si>
  <si>
    <t>FlexPBX-1773062956.90892</t>
  </si>
  <si>
    <t>FlexPBX-1773062422.90846</t>
  </si>
  <si>
    <t>FlexPBX-1773062029.90760</t>
  </si>
  <si>
    <t>FlexPBX-1773061692.90709</t>
  </si>
  <si>
    <t>FlexPBX-1773061610.90664</t>
  </si>
  <si>
    <t>FlexPBX-1773061437.90659</t>
  </si>
  <si>
    <t>FlexPBX-1773061282.90591</t>
  </si>
  <si>
    <t>FlexPBX-1773060063.90549</t>
  </si>
  <si>
    <t>FlexPBX-1773059584.90501</t>
  </si>
  <si>
    <t>FlexPBX-1773059494.90483</t>
  </si>
  <si>
    <t>FlexPBX-1773059395.90434</t>
  </si>
  <si>
    <t>FlexPBX-1773059369.90423</t>
  </si>
  <si>
    <t>FlexPBX-1773059091.90415</t>
  </si>
  <si>
    <t>FlexPBX-1773057996.90373</t>
  </si>
  <si>
    <t>FlexPBX-1773057992.90369</t>
  </si>
  <si>
    <t>FlexPBX-1773057700.90343</t>
  </si>
  <si>
    <t>FlexPBX-1773057459.90327</t>
  </si>
  <si>
    <t>FlexPBX-1773057396.90291</t>
  </si>
  <si>
    <t>FlexPBX-1773057063.90227</t>
  </si>
  <si>
    <t>FlexPBX-1773056967.90208</t>
  </si>
  <si>
    <t>FlexPBX-1773055978.90128</t>
  </si>
  <si>
    <t>FlexPBX-1773055777.90114</t>
  </si>
  <si>
    <t>FlexPBX-1773055688.90106</t>
  </si>
  <si>
    <t>FlexPBX-1773055600.90098</t>
  </si>
  <si>
    <t>FlexPBX-1773054576.90093</t>
  </si>
  <si>
    <t>FlexPBX-1773054387.90088</t>
  </si>
  <si>
    <t>FlexPBX-1772830515.90022</t>
  </si>
  <si>
    <t>FlexPBX-1772829803.90008</t>
  </si>
  <si>
    <t>FlexPBX-1772829524.89994</t>
  </si>
  <si>
    <t>FlexPBX-1772829004.89964</t>
  </si>
  <si>
    <t>FlexPBX-1772827255.89956</t>
  </si>
  <si>
    <t>FlexPBX-1772826554.89928</t>
  </si>
  <si>
    <t>FlexPBX-1772826202.89908</t>
  </si>
  <si>
    <t>FlexPBX-1772824558.89894</t>
  </si>
  <si>
    <t>FlexPBX-1772823194.89880</t>
  </si>
  <si>
    <t>FlexPBX-1772822810.89775</t>
  </si>
  <si>
    <t>FlexPBX-1772821896.89755</t>
  </si>
  <si>
    <t>FlexPBX-1772821834.89729</t>
  </si>
  <si>
    <t>FlexPBX-1772821356.89636</t>
  </si>
  <si>
    <t>FlexPBX-1772821249.89543</t>
  </si>
  <si>
    <t>FlexPBX-1772820649.89532</t>
  </si>
  <si>
    <t>FlexPBX-1772820434.89490</t>
  </si>
  <si>
    <t>FlexPBX-1772820194.89482</t>
  </si>
  <si>
    <t>FlexPBX-1772820157.89474</t>
  </si>
  <si>
    <t>FlexPBX-1772820120.89466</t>
  </si>
  <si>
    <t>FlexPBX-1772819988.89458</t>
  </si>
  <si>
    <t>FlexPBX-1772819165.89424</t>
  </si>
  <si>
    <t>FlexPBX-1772819070.89372</t>
  </si>
  <si>
    <t>FlexPBX-1772819039.89364</t>
  </si>
  <si>
    <t>FlexPBX-1772818713.89268</t>
  </si>
  <si>
    <t>FlexPBX-1772818176.89216</t>
  </si>
  <si>
    <t>FlexPBX-1772817948.89183</t>
  </si>
  <si>
    <t>FlexPBX-1772817943.89175</t>
  </si>
  <si>
    <t>FlexPBX-1772817885.89109</t>
  </si>
  <si>
    <t>FlexPBX-1772817862.89096</t>
  </si>
  <si>
    <t>FlexPBX-1772817784.89088</t>
  </si>
  <si>
    <t>FlexPBX-1772817740.89080</t>
  </si>
  <si>
    <t>FlexPBX-1772816732.89022</t>
  </si>
  <si>
    <t>FlexPBX-1772816723.89014</t>
  </si>
  <si>
    <t>FlexPBX-1772816691.89006</t>
  </si>
  <si>
    <t>FlexPBX-1772816688.88998</t>
  </si>
  <si>
    <t>FlexPBX-1772816662.88990</t>
  </si>
  <si>
    <t>FlexPBX-1772816655.88982</t>
  </si>
  <si>
    <t>FlexPBX-1772816648.88974</t>
  </si>
  <si>
    <t>FlexPBX-1772816542.88948</t>
  </si>
  <si>
    <t>FlexPBX-1772816054.88914</t>
  </si>
  <si>
    <t>FlexPBX-1772815992.88882</t>
  </si>
  <si>
    <t>FlexPBX-1772815971.88852</t>
  </si>
  <si>
    <t>FlexPBX-1772815956.88837</t>
  </si>
  <si>
    <t>FlexPBX-1772815896.88814</t>
  </si>
  <si>
    <t>FlexPBX-1772815689.88794</t>
  </si>
  <si>
    <t>FlexPBX-1772815560.88710</t>
  </si>
  <si>
    <t>FlexPBX-1772814682.88640</t>
  </si>
  <si>
    <t>FlexPBX-1772808470.88441</t>
  </si>
  <si>
    <t>FlexPBX-1772808435.88430</t>
  </si>
  <si>
    <t>FlexPBX-1772807846.88353</t>
  </si>
  <si>
    <t>FlexPBX-1772807835.88350</t>
  </si>
  <si>
    <t>FlexPBX-1772807778.88330</t>
  </si>
  <si>
    <t>FlexPBX-1772807616.88316</t>
  </si>
  <si>
    <t>FlexPBX-1772807608.88308</t>
  </si>
  <si>
    <t>FlexPBX-1772807349.88280</t>
  </si>
  <si>
    <t>FlexPBX-1772807173.88182</t>
  </si>
  <si>
    <t>FlexPBX-1772807061.88142</t>
  </si>
  <si>
    <t>FlexPBX-1772806878.88044</t>
  </si>
  <si>
    <t>FlexPBX-1772806873.88040</t>
  </si>
  <si>
    <t>FlexPBX-1772806598.88009</t>
  </si>
  <si>
    <t>FlexPBX-1772806466.87886</t>
  </si>
  <si>
    <t>FlexPBX-1772806417.87881</t>
  </si>
  <si>
    <t>FlexPBX-1772805925.87855</t>
  </si>
  <si>
    <t>FlexPBX-1772805898.87843</t>
  </si>
  <si>
    <t>FlexPBX-1772805895.87839</t>
  </si>
  <si>
    <t>FlexPBX-1772805707.87787</t>
  </si>
  <si>
    <t>FlexPBX-1772805428.87737</t>
  </si>
  <si>
    <t>FlexPBX-1772805276.87645</t>
  </si>
  <si>
    <t>FlexPBX-1772805181.87633</t>
  </si>
  <si>
    <t>FlexPBX-1772805177.87625</t>
  </si>
  <si>
    <t>FlexPBX-1772804451.87583</t>
  </si>
  <si>
    <t>FlexPBX-1772804344.87537</t>
  </si>
  <si>
    <t>FlexPBX-1772804281.87529</t>
  </si>
  <si>
    <t>FlexPBX-1772804204.87521</t>
  </si>
  <si>
    <t>FlexPBX-1772804167.87516</t>
  </si>
  <si>
    <t>FlexPBX-1772804082.87502</t>
  </si>
  <si>
    <t>FlexPBX-1772804003.87441</t>
  </si>
  <si>
    <t>FlexPBX-1772803990.87438</t>
  </si>
  <si>
    <t>FlexPBX-1772803971.87434</t>
  </si>
  <si>
    <t>FlexPBX-1772803872.87420</t>
  </si>
  <si>
    <t>FlexPBX-1772803839.87411</t>
  </si>
  <si>
    <t>FlexPBX-1772803824.87405</t>
  </si>
  <si>
    <t>FlexPBX-1772803815.87397</t>
  </si>
  <si>
    <t>FlexPBX-1772803722.87379</t>
  </si>
  <si>
    <t>FlexPBX-1772803609.87352</t>
  </si>
  <si>
    <t>FlexPBX-1772803583.87335</t>
  </si>
  <si>
    <t>FlexPBX-1772803578.87332</t>
  </si>
  <si>
    <t>FlexPBX-1772803439.87303</t>
  </si>
  <si>
    <t>FlexPBX-1772803375.87288</t>
  </si>
  <si>
    <t>FlexPBX-1772803318.87267</t>
  </si>
  <si>
    <t>FlexPBX-1772803287.87256</t>
  </si>
  <si>
    <t>FlexPBX-1772802776.87126</t>
  </si>
  <si>
    <t>FlexPBX-1772802650.87118</t>
  </si>
  <si>
    <t>FlexPBX-1772802272.87104</t>
  </si>
  <si>
    <t>FlexPBX-1772802228.87096</t>
  </si>
  <si>
    <t>FlexPBX-1772802201.87088</t>
  </si>
  <si>
    <t>FlexPBX-1772802027.87066</t>
  </si>
  <si>
    <t>FlexPBX-1772802015.87058</t>
  </si>
  <si>
    <t>FlexPBX-1772801450.86972</t>
  </si>
  <si>
    <t>FlexPBX-1772801199.86888</t>
  </si>
  <si>
    <t>FlexPBX-1772800715.86847</t>
  </si>
  <si>
    <t>FlexPBX-1772800697.86834</t>
  </si>
  <si>
    <t>FlexPBX-1772800318.86796</t>
  </si>
  <si>
    <t>FlexPBX-1772799386.86642</t>
  </si>
  <si>
    <t>FlexPBX-1772799237.86622</t>
  </si>
  <si>
    <t>FlexPBX-1772799051.86596</t>
  </si>
  <si>
    <t>FlexPBX-1772798710.86527</t>
  </si>
  <si>
    <t>FlexPBX-1772798682.86516</t>
  </si>
  <si>
    <t>FlexPBX-1772798514.86480</t>
  </si>
  <si>
    <t>FlexPBX-1772798487.86458</t>
  </si>
  <si>
    <t>FlexPBX-1772798333.86345</t>
  </si>
  <si>
    <t>FlexPBX-1772798069.86321</t>
  </si>
  <si>
    <t>FlexPBX-1772797882.86296</t>
  </si>
  <si>
    <t>FlexPBX-1772797841.86269</t>
  </si>
  <si>
    <t>FlexPBX-1772797674.86249</t>
  </si>
  <si>
    <t>FlexPBX-1772797481.86187</t>
  </si>
  <si>
    <t>FlexPBX-1772797356.86167</t>
  </si>
  <si>
    <t>FlexPBX-1772797251.86159</t>
  </si>
  <si>
    <t>FlexPBX-1772797197.86122</t>
  </si>
  <si>
    <t>FlexPBX-1772797133.86060</t>
  </si>
  <si>
    <t>FlexPBX-1772797128.86052</t>
  </si>
  <si>
    <t>FlexPBX-1772797120.86042</t>
  </si>
  <si>
    <t>FlexPBX-1772797114.86028</t>
  </si>
  <si>
    <t>FlexPBX-1772797111.86014</t>
  </si>
  <si>
    <t>FlexPBX-1772797105.86006</t>
  </si>
  <si>
    <t>FlexPBX-1772797084.85987</t>
  </si>
  <si>
    <t>FlexPBX-1772797077.85983</t>
  </si>
  <si>
    <t>FlexPBX-1772796960.85975</t>
  </si>
  <si>
    <t>FlexPBX-1772796839.85955</t>
  </si>
  <si>
    <t>FlexPBX-1772796774.85924</t>
  </si>
  <si>
    <t>FlexPBX-1772796769.85910</t>
  </si>
  <si>
    <t>FlexPBX-1772796742.85905</t>
  </si>
  <si>
    <t>FlexPBX-1772796739.85899</t>
  </si>
  <si>
    <t>FlexPBX-1772796592.85885</t>
  </si>
  <si>
    <t>FlexPBX-1772796581.85877</t>
  </si>
  <si>
    <t>FlexPBX-1772796570.85869</t>
  </si>
  <si>
    <t>FlexPBX-1772796473.85853</t>
  </si>
  <si>
    <t>FlexPBX-1772796469.85845</t>
  </si>
  <si>
    <t>FlexPBX-1772796451.85842</t>
  </si>
  <si>
    <t>FlexPBX-1772796132.85793</t>
  </si>
  <si>
    <t>FlexPBX-1772795815.85695</t>
  </si>
  <si>
    <t>FlexPBX-1772795809.85687</t>
  </si>
  <si>
    <t>FlexPBX-1772795714.85679</t>
  </si>
  <si>
    <t>FlexPBX-1772743760.85663</t>
  </si>
  <si>
    <t>FlexPBX-1772743747.85651</t>
  </si>
  <si>
    <t>FlexPBX-1772743639.85567</t>
  </si>
  <si>
    <t>FlexPBX-1772742873.85533</t>
  </si>
  <si>
    <t>FlexPBX-1772742719.85467</t>
  </si>
  <si>
    <t>FlexPBX-1772742639.85415</t>
  </si>
  <si>
    <t>FlexPBX-1772742088.85346</t>
  </si>
  <si>
    <t>FlexPBX-1772742032.85313</t>
  </si>
  <si>
    <t>FlexPBX-1772741967.85293</t>
  </si>
  <si>
    <t>FlexPBX-1772741458.85279</t>
  </si>
  <si>
    <t>FlexPBX-1772741418.85269</t>
  </si>
  <si>
    <t>FlexPBX-1772741205.85227</t>
  </si>
  <si>
    <t>FlexPBX-1772740842.85176</t>
  </si>
  <si>
    <t>FlexPBX-1772740830.85173</t>
  </si>
  <si>
    <t>FlexPBX-1772740448.85102</t>
  </si>
  <si>
    <t>FlexPBX-1772740427.85087</t>
  </si>
  <si>
    <t>FlexPBX-1772740416.85083</t>
  </si>
  <si>
    <t>FlexPBX-1772740396.85069</t>
  </si>
  <si>
    <t>FlexPBX-1772740393.85061</t>
  </si>
  <si>
    <t>FlexPBX-1772740390.85053</t>
  </si>
  <si>
    <t>FlexPBX-1772740386.85045</t>
  </si>
  <si>
    <t>FlexPBX-1772740383.85037</t>
  </si>
  <si>
    <t>FlexPBX-1772740374.85029</t>
  </si>
  <si>
    <t>FlexPBX-1772740143.84884</t>
  </si>
  <si>
    <t>FlexPBX-1772740031.84764</t>
  </si>
  <si>
    <t>FlexPBX-1772739978.84721</t>
  </si>
  <si>
    <t>FlexPBX-1772739629.84695</t>
  </si>
  <si>
    <t>FlexPBX-1772739316.84657</t>
  </si>
  <si>
    <t>FlexPBX-1772738873.84617</t>
  </si>
  <si>
    <t>FlexPBX-1772738132.84581</t>
  </si>
  <si>
    <t>FlexPBX-1772738107.84572</t>
  </si>
  <si>
    <t>FlexPBX-1772738007.84531</t>
  </si>
  <si>
    <t>FlexPBX-1772737993.84528</t>
  </si>
  <si>
    <t>FlexPBX-1772737863.84494</t>
  </si>
  <si>
    <t>FlexPBX-1772737665.84394</t>
  </si>
  <si>
    <t>FlexPBX-1772737654.84391</t>
  </si>
  <si>
    <t>FlexPBX-1772737601.84348</t>
  </si>
  <si>
    <t>FlexPBX-1772737546.84340</t>
  </si>
  <si>
    <t>FlexPBX-1772737428.84287</t>
  </si>
  <si>
    <t>FlexPBX-1772737423.84271</t>
  </si>
  <si>
    <t>FlexPBX-1772737353.84224</t>
  </si>
  <si>
    <t>FlexPBX-1772737301.84216</t>
  </si>
  <si>
    <t>FlexPBX-1772737185.84192</t>
  </si>
  <si>
    <t>FlexPBX-1772737062.84096</t>
  </si>
  <si>
    <t>FlexPBX-1772737047.84093</t>
  </si>
  <si>
    <t>FlexPBX-1772736296.84079</t>
  </si>
  <si>
    <t>FlexPBX-1772736161.84071</t>
  </si>
  <si>
    <t>FlexPBX-1772735928.84051</t>
  </si>
  <si>
    <t>FlexPBX-1772735901.84041</t>
  </si>
  <si>
    <t>FlexPBX-1772735686.84023</t>
  </si>
  <si>
    <t>FlexPBX-1772735519.83939</t>
  </si>
  <si>
    <t>FlexPBX-1772735115.83916</t>
  </si>
  <si>
    <t>FlexPBX-1772735047.83873</t>
  </si>
  <si>
    <t>FlexPBX-1772734434.83724</t>
  </si>
  <si>
    <t>FlexPBX-1772734432.83721</t>
  </si>
  <si>
    <t>FlexPBX-1772734397.83679</t>
  </si>
  <si>
    <t>FlexPBX-1772734362.83660</t>
  </si>
  <si>
    <t>FlexPBX-1772734110.83577</t>
  </si>
  <si>
    <t>FlexPBX-1772734029.83518</t>
  </si>
  <si>
    <t>FlexPBX-1772733905.83405</t>
  </si>
  <si>
    <t>FlexPBX-1772733633.83293</t>
  </si>
  <si>
    <t>FlexPBX-1772733178.83177</t>
  </si>
  <si>
    <t>FlexPBX-1772732869.83132</t>
  </si>
  <si>
    <t>FlexPBX-1772732860.83125</t>
  </si>
  <si>
    <t>FlexPBX-1772732847.83121</t>
  </si>
  <si>
    <t>FlexPBX-1772732829.83113</t>
  </si>
  <si>
    <t>FlexPBX-1772732450.83050</t>
  </si>
  <si>
    <t>FlexPBX-1772732448.83047</t>
  </si>
  <si>
    <t>FlexPBX-1772732274.82971</t>
  </si>
  <si>
    <t>FlexPBX-1772732121.82925</t>
  </si>
  <si>
    <t>FlexPBX-1772731771.82905</t>
  </si>
  <si>
    <t>FlexPBX-1772731688.82865</t>
  </si>
  <si>
    <t>FlexPBX-1772731678.82845</t>
  </si>
  <si>
    <t>FlexPBX-1772731624.82804</t>
  </si>
  <si>
    <t>FlexPBX-1772731607.82795</t>
  </si>
  <si>
    <t>FlexPBX-1772731579.82776</t>
  </si>
  <si>
    <t>FlexPBX-1772731405.82724</t>
  </si>
  <si>
    <t>FlexPBX-1772731057.82669</t>
  </si>
  <si>
    <t>FlexPBX-1772731037.82653</t>
  </si>
  <si>
    <t>FlexPBX-1772731010.82642</t>
  </si>
  <si>
    <t>FlexPBX-1772730767.82600</t>
  </si>
  <si>
    <t>FlexPBX-1772730500.82576</t>
  </si>
  <si>
    <t>FlexPBX-1772730420.82483</t>
  </si>
  <si>
    <t>FlexPBX-1772729747.82457</t>
  </si>
  <si>
    <t>FlexPBX-1772729613.82435</t>
  </si>
  <si>
    <t>FlexPBX-1772729410.82409</t>
  </si>
  <si>
    <t>FlexPBX-1772729374.82389</t>
  </si>
  <si>
    <t>FlexPBX-1772729329.82379</t>
  </si>
  <si>
    <t>FlexPBX-1772729282.82360</t>
  </si>
  <si>
    <t>FlexPBX-1772729248.82351</t>
  </si>
  <si>
    <t>FlexPBX-1772729150.82343</t>
  </si>
  <si>
    <t>FlexPBX-1772728697.82279</t>
  </si>
  <si>
    <t>FlexPBX-1772728467.82195</t>
  </si>
  <si>
    <t>FlexPBX-1772728287.82151</t>
  </si>
  <si>
    <t>FlexPBX-1772728050.82146</t>
  </si>
  <si>
    <t>FlexPBX-1772723009.82132</t>
  </si>
  <si>
    <t>FlexPBX-1772721513.82096</t>
  </si>
  <si>
    <t>FlexPBX-1772721076.82028</t>
  </si>
  <si>
    <t>FlexPBX-1772721066.82020</t>
  </si>
  <si>
    <t>FlexPBX-1772720956.82012</t>
  </si>
  <si>
    <t>FlexPBX-1772720903.82004</t>
  </si>
  <si>
    <t>FlexPBX-1772720859.81996</t>
  </si>
  <si>
    <t>FlexPBX-1772720734.81908</t>
  </si>
  <si>
    <t>FlexPBX-1772720058.81872</t>
  </si>
  <si>
    <t>FlexPBX-1772719897.81829</t>
  </si>
  <si>
    <t>FlexPBX-1772719892.81817</t>
  </si>
  <si>
    <t>FlexPBX-1772719786.81738</t>
  </si>
  <si>
    <t>FlexPBX-1772719641.81654</t>
  </si>
  <si>
    <t>FlexPBX-1772719344.81555</t>
  </si>
  <si>
    <t>FlexPBX-1772719332.81552</t>
  </si>
  <si>
    <t>FlexPBX-1772719325.81544</t>
  </si>
  <si>
    <t>FlexPBX-1772719317.81532</t>
  </si>
  <si>
    <t>FlexPBX-1772719282.81522</t>
  </si>
  <si>
    <t>FlexPBX-1772719241.81510</t>
  </si>
  <si>
    <t>FlexPBX-1772719237.81502</t>
  </si>
  <si>
    <t>FlexPBX-1772719215.81494</t>
  </si>
  <si>
    <t>FlexPBX-1772719002.81449</t>
  </si>
  <si>
    <t>FlexPBX-1772718992.81434</t>
  </si>
  <si>
    <t>FlexPBX-1772718909.81378</t>
  </si>
  <si>
    <t>FlexPBX-1772718835.81338</t>
  </si>
  <si>
    <t>FlexPBX-1772718727.81281</t>
  </si>
  <si>
    <t>FlexPBX-1772718668.81262</t>
  </si>
  <si>
    <t>FlexPBX-1772718472.81223</t>
  </si>
  <si>
    <t>FlexPBX-1772718429.81188</t>
  </si>
  <si>
    <t>FlexPBX-1772718404.81146</t>
  </si>
  <si>
    <t>FlexPBX-1772718376.81129</t>
  </si>
  <si>
    <t>FlexPBX-1772718373.81125</t>
  </si>
  <si>
    <t>FlexPBX-1772718281.81114</t>
  </si>
  <si>
    <t>FlexPBX-1772718070.81036</t>
  </si>
  <si>
    <t>FlexPBX-1772717915.80997</t>
  </si>
  <si>
    <t>FlexPBX-1772717898.80974</t>
  </si>
  <si>
    <t>FlexPBX-1772717895.80970</t>
  </si>
  <si>
    <t>FlexPBX-1772717838.80922</t>
  </si>
  <si>
    <t>FlexPBX-1772717820.80909</t>
  </si>
  <si>
    <t>FlexPBX-1772717807.80898</t>
  </si>
  <si>
    <t>FlexPBX-1772717647.80868</t>
  </si>
  <si>
    <t>FlexPBX-1772717603.80865</t>
  </si>
  <si>
    <t>FlexPBX-1772717508.80853</t>
  </si>
  <si>
    <t>FlexPBX-1772717481.80848</t>
  </si>
  <si>
    <t>FlexPBX-1772717333.80813</t>
  </si>
  <si>
    <t>FlexPBX-1772717304.80789</t>
  </si>
  <si>
    <t>FlexPBX-1772717300.80786</t>
  </si>
  <si>
    <t>FlexPBX-1772717291.80783</t>
  </si>
  <si>
    <t>FlexPBX-1772717143.80775</t>
  </si>
  <si>
    <t>FlexPBX-1772717117.80767</t>
  </si>
  <si>
    <t>FlexPBX-1772717103.80759</t>
  </si>
  <si>
    <t>FlexPBX-1772717074.80750</t>
  </si>
  <si>
    <t>FlexPBX-1772717007.80746</t>
  </si>
  <si>
    <t>FlexPBX-1772716896.80728</t>
  </si>
  <si>
    <t>FlexPBX-1772716825.80690</t>
  </si>
  <si>
    <t>FlexPBX-1772716545.80676</t>
  </si>
  <si>
    <t>FlexPBX-1772716539.80668</t>
  </si>
  <si>
    <t>FlexPBX-1772716452.80660</t>
  </si>
  <si>
    <t>FlexPBX-1772716349.80640</t>
  </si>
  <si>
    <t>FlexPBX-1772716241.80570</t>
  </si>
  <si>
    <t>FlexPBX-1772716209.80562</t>
  </si>
  <si>
    <t>FlexPBX-1772715748.80460</t>
  </si>
  <si>
    <t>FlexPBX-1772715591.80422</t>
  </si>
  <si>
    <t>FlexPBX-1772715560.80410</t>
  </si>
  <si>
    <t>FlexPBX-1772715521.80398</t>
  </si>
  <si>
    <t>FlexPBX-1772715411.80376</t>
  </si>
  <si>
    <t>FlexPBX-1772715293.80354</t>
  </si>
  <si>
    <t>FlexPBX-1772715237.80329</t>
  </si>
  <si>
    <t>FlexPBX-1772715227.80326</t>
  </si>
  <si>
    <t>FlexPBX-1772714709.80288</t>
  </si>
  <si>
    <t>FlexPBX-1772714693.80274</t>
  </si>
  <si>
    <t>FlexPBX-1772714625.80203</t>
  </si>
  <si>
    <t>FlexPBX-1772714545.80111</t>
  </si>
  <si>
    <t>FlexPBX-1772714516.80094</t>
  </si>
  <si>
    <t>FlexPBX-1772714394.80074</t>
  </si>
  <si>
    <t>FlexPBX-1772714167.80030</t>
  </si>
  <si>
    <t>FlexPBX-1772713487.80016</t>
  </si>
  <si>
    <t>FlexPBX-1772713480.80008</t>
  </si>
  <si>
    <t>FlexPBX-1772713107.79916</t>
  </si>
  <si>
    <t>FlexPBX-1772712970.79888</t>
  </si>
  <si>
    <t>FlexPBX-1772712081.79818</t>
  </si>
  <si>
    <t>FlexPBX-1772711644.79810</t>
  </si>
  <si>
    <t>FlexPBX-1772711481.79770</t>
  </si>
  <si>
    <t>FlexPBX-1772711345.79757</t>
  </si>
  <si>
    <t>FlexPBX-1772711030.79735</t>
  </si>
  <si>
    <t>FlexPBX-1772710729.79673</t>
  </si>
  <si>
    <t>FlexPBX-1772710583.79645</t>
  </si>
  <si>
    <t>FlexPBX-1772710483.79621</t>
  </si>
  <si>
    <t>FlexPBX-1772710418.79613</t>
  </si>
  <si>
    <t>FlexPBX-1772710314.79578</t>
  </si>
  <si>
    <t>FlexPBX-1772710270.79532</t>
  </si>
  <si>
    <t>FlexPBX-1772710256.79529</t>
  </si>
  <si>
    <t>FlexPBX-1772709868.79524</t>
  </si>
  <si>
    <t>FlexPBX-1772709050.79519</t>
  </si>
  <si>
    <t>FlexPBX-1772657437.79437</t>
  </si>
  <si>
    <t>FlexPBX-1772656454.79321</t>
  </si>
  <si>
    <t>FlexPBX-1772656184.79307</t>
  </si>
  <si>
    <t>FlexPBX-1772656080.79293</t>
  </si>
  <si>
    <t>FlexPBX-1772655549.79282</t>
  </si>
  <si>
    <t>FlexPBX-1772655021.79268</t>
  </si>
  <si>
    <t>FlexPBX-1772655010.79260</t>
  </si>
  <si>
    <t>FlexPBX-1772654751.79240</t>
  </si>
  <si>
    <t>FlexPBX-1772654738.79232</t>
  </si>
  <si>
    <t>FlexPBX-1772654724.79224</t>
  </si>
  <si>
    <t>FlexPBX-1772654568.79196</t>
  </si>
  <si>
    <t>FlexPBX-1772654254.79186</t>
  </si>
  <si>
    <t>FlexPBX-1772653766.79174</t>
  </si>
  <si>
    <t>FlexPBX-1772653539.79160</t>
  </si>
  <si>
    <t>FlexPBX-1772653436.79141</t>
  </si>
  <si>
    <t>FlexPBX-1772653266.79121</t>
  </si>
  <si>
    <t>FlexPBX-1772653175.79108</t>
  </si>
  <si>
    <t>FlexPBX-1772653023.79003</t>
  </si>
  <si>
    <t>FlexPBX-1772652968.78954</t>
  </si>
  <si>
    <t>FlexPBX-1772652865.78933</t>
  </si>
  <si>
    <t>FlexPBX-1772652469.78928</t>
  </si>
  <si>
    <t>FlexPBX-1772652211.78877</t>
  </si>
  <si>
    <t>FlexPBX-1772652178.78868</t>
  </si>
  <si>
    <t>FlexPBX-1772652008.78834</t>
  </si>
  <si>
    <t>FlexPBX-1772651927.78789</t>
  </si>
  <si>
    <t>FlexPBX-1772651876.78784</t>
  </si>
  <si>
    <t>FlexPBX-1772651226.78744</t>
  </si>
  <si>
    <t>FlexPBX-1772651164.78728</t>
  </si>
  <si>
    <t>FlexPBX-1772651097.78720</t>
  </si>
  <si>
    <t>FlexPBX-1772650932.78700</t>
  </si>
  <si>
    <t>FlexPBX-1772650311.78625</t>
  </si>
  <si>
    <t>FlexPBX-1772650174.78566</t>
  </si>
  <si>
    <t>FlexPBX-1772650046.78524</t>
  </si>
  <si>
    <t>FlexPBX-1772649798.78498</t>
  </si>
  <si>
    <t>FlexPBX-1772649410.78451</t>
  </si>
  <si>
    <t>FlexPBX-1772649368.78442</t>
  </si>
  <si>
    <t>FlexPBX-1772648979.78420</t>
  </si>
  <si>
    <t>FlexPBX-1772648704.78406</t>
  </si>
  <si>
    <t>FlexPBX-1772648649.78367</t>
  </si>
  <si>
    <t>FlexPBX-1772648626.78350</t>
  </si>
  <si>
    <t>FlexPBX-1772648527.78333</t>
  </si>
  <si>
    <t>FlexPBX-1772648137.78297</t>
  </si>
  <si>
    <t>FlexPBX-1772647896.78259</t>
  </si>
  <si>
    <t>FlexPBX-1772647776.78201</t>
  </si>
  <si>
    <t>FlexPBX-1772647469.78159</t>
  </si>
  <si>
    <t>FlexPBX-1772647210.78145</t>
  </si>
  <si>
    <t>FlexPBX-1772646986.78098</t>
  </si>
  <si>
    <t>FlexPBX-1772646958.78089</t>
  </si>
  <si>
    <t>FlexPBX-1772646916.78072</t>
  </si>
  <si>
    <t>FlexPBX-1772646771.77988</t>
  </si>
  <si>
    <t>FlexPBX-1772646736.77964</t>
  </si>
  <si>
    <t>FlexPBX-1772646183.77959</t>
  </si>
  <si>
    <t>FlexPBX-1772645557.77939</t>
  </si>
  <si>
    <t>FlexPBX-1772645537.77931</t>
  </si>
  <si>
    <t>FlexPBX-1772645493.77923</t>
  </si>
  <si>
    <t>FlexPBX-1772645017.77865</t>
  </si>
  <si>
    <t>FlexPBX-1772644506.77851</t>
  </si>
  <si>
    <t>FlexPBX-1772643600.77746</t>
  </si>
  <si>
    <t>FlexPBX-1772643532.77688</t>
  </si>
  <si>
    <t>FlexPBX-1772643512.77668</t>
  </si>
  <si>
    <t>FlexPBX-1772643511.77665</t>
  </si>
  <si>
    <t>FlexPBX-1772642948.77615</t>
  </si>
  <si>
    <t>FlexPBX-1772642930.77608</t>
  </si>
  <si>
    <t>FlexPBX-1772642923.77605</t>
  </si>
  <si>
    <t>FlexPBX-1772642697.77569</t>
  </si>
  <si>
    <t>FlexPBX-1772642464.77452</t>
  </si>
  <si>
    <t>FlexPBX-1772642410.77417</t>
  </si>
  <si>
    <t>FlexPBX-1772642287.77331</t>
  </si>
  <si>
    <t>FlexPBX-1772642105.77305</t>
  </si>
  <si>
    <t>FlexPBX-1772641998.77287</t>
  </si>
  <si>
    <t>FlexPBX-1772641917.77263</t>
  </si>
  <si>
    <t>FlexPBX-1772641399.77249</t>
  </si>
  <si>
    <t>FlexPBX-1772641267.77244</t>
  </si>
  <si>
    <t>FlexPBX-1772641212.77239</t>
  </si>
  <si>
    <t>FlexPBX-1772636253.77115</t>
  </si>
  <si>
    <t>FlexPBX-1772635815.76971</t>
  </si>
  <si>
    <t>FlexPBX-1772635388.76961</t>
  </si>
  <si>
    <t>FlexPBX-1772635373.76949</t>
  </si>
  <si>
    <t>FlexPBX-1772635236.76941</t>
  </si>
  <si>
    <t>FlexPBX-1772634911.76927</t>
  </si>
  <si>
    <t>FlexPBX-1772634873.76919</t>
  </si>
  <si>
    <t>FlexPBX-1772634855.76911</t>
  </si>
  <si>
    <t>FlexPBX-1772634576.76891</t>
  </si>
  <si>
    <t>FlexPBX-1772634492.76879</t>
  </si>
  <si>
    <t>FlexPBX-1772634479.76875</t>
  </si>
  <si>
    <t>FlexPBX-1772633774.76827</t>
  </si>
  <si>
    <t>FlexPBX-1772633646.76813</t>
  </si>
  <si>
    <t>FlexPBX-1772633492.76745</t>
  </si>
  <si>
    <t>FlexPBX-1772633315.76705</t>
  </si>
  <si>
    <t>FlexPBX-1772633026.76677</t>
  </si>
  <si>
    <t>FlexPBX-1772632889.76630</t>
  </si>
  <si>
    <t>FlexPBX-1772632836.76609</t>
  </si>
  <si>
    <t>FlexPBX-1772632413.76542</t>
  </si>
  <si>
    <t>FlexPBX-1772632308.76505</t>
  </si>
  <si>
    <t>FlexPBX-1772632221.76485</t>
  </si>
  <si>
    <t>FlexPBX-1772631705.76414</t>
  </si>
  <si>
    <t>FlexPBX-1772631660.76382</t>
  </si>
  <si>
    <t>FlexPBX-1772631640.76379</t>
  </si>
  <si>
    <t>FlexPBX-1772631377.76343</t>
  </si>
  <si>
    <t>FlexPBX-1772631280.76307</t>
  </si>
  <si>
    <t>FlexPBX-1772631205.76294</t>
  </si>
  <si>
    <t>FlexPBX-1772630616.76232</t>
  </si>
  <si>
    <t>FlexPBX-1772630586.76219</t>
  </si>
  <si>
    <t>FlexPBX-1772630537.76204</t>
  </si>
  <si>
    <t>FlexPBX-1772630231.76176</t>
  </si>
  <si>
    <t>FlexPBX-1772630121.76128</t>
  </si>
  <si>
    <t>FlexPBX-1772629723.76086</t>
  </si>
  <si>
    <t>FlexPBX-1772629627.76072</t>
  </si>
  <si>
    <t>FlexPBX-1772629603.76056</t>
  </si>
  <si>
    <t>FlexPBX-1772629304.76001</t>
  </si>
  <si>
    <t>FlexPBX-1772629297.75998</t>
  </si>
  <si>
    <t>FlexPBX-1772629281.75980</t>
  </si>
  <si>
    <t>FlexPBX-1772629118.75880</t>
  </si>
  <si>
    <t>FlexPBX-1772629085.75859</t>
  </si>
  <si>
    <t>FlexPBX-1772628897.75815</t>
  </si>
  <si>
    <t>FlexPBX-1772628526.75796</t>
  </si>
  <si>
    <t>FlexPBX-1772628448.75782</t>
  </si>
  <si>
    <t>FlexPBX-1772628266.75769</t>
  </si>
  <si>
    <t>FlexPBX-1772628201.75735</t>
  </si>
  <si>
    <t>FlexPBX-1772628093.75719</t>
  </si>
  <si>
    <t>FlexPBX-1772627858.75632</t>
  </si>
  <si>
    <t>FlexPBX-1772627802.75583</t>
  </si>
  <si>
    <t>FlexPBX-1772627787.75568</t>
  </si>
  <si>
    <t>FlexPBX-1772627785.75564</t>
  </si>
  <si>
    <t>FlexPBX-1772627626.75538</t>
  </si>
  <si>
    <t>FlexPBX-1772627504.75514</t>
  </si>
  <si>
    <t>FlexPBX-1772626767.75464</t>
  </si>
  <si>
    <t>FlexPBX-1772626618.75412</t>
  </si>
  <si>
    <t>FlexPBX-1772626460.75397</t>
  </si>
  <si>
    <t>FlexPBX-1772626185.75371</t>
  </si>
  <si>
    <t>FlexPBX-1772626070.75337</t>
  </si>
  <si>
    <t>FlexPBX-1772625960.75294</t>
  </si>
  <si>
    <t>FlexPBX-1772625880.75277</t>
  </si>
  <si>
    <t>FlexPBX-1772625558.75257</t>
  </si>
  <si>
    <t>FlexPBX-1772625422.75229</t>
  </si>
  <si>
    <t>FlexPBX-1772624997.75195</t>
  </si>
  <si>
    <t>FlexPBX-1772624933.75175</t>
  </si>
  <si>
    <t>FlexPBX-1772624517.75162</t>
  </si>
  <si>
    <t>FlexPBX-1772624360.75153</t>
  </si>
  <si>
    <t>FlexPBX-1772624264.75145</t>
  </si>
  <si>
    <t>FlexPBX-1772624251.75137</t>
  </si>
  <si>
    <t>FlexPBX-1772624246.75129</t>
  </si>
  <si>
    <t>FlexPBX-1772624236.75114</t>
  </si>
  <si>
    <t>FlexPBX-1772624200.75101</t>
  </si>
  <si>
    <t>FlexPBX-1772624173.75052</t>
  </si>
  <si>
    <t>FlexPBX-1772624168.75044</t>
  </si>
  <si>
    <t>FlexPBX-1772624158.75041</t>
  </si>
  <si>
    <t>FlexPBX-1772623622.75022</t>
  </si>
  <si>
    <t>FlexPBX-1772623514.75008</t>
  </si>
  <si>
    <t>FlexPBX-1772623408.75003</t>
  </si>
  <si>
    <t>FlexPBX-1772623355.74998</t>
  </si>
  <si>
    <t>FlexPBX-1772623305.74993</t>
  </si>
  <si>
    <t>FlexPBX-1772571635.74970</t>
  </si>
  <si>
    <t>FlexPBX-1772571442.74902</t>
  </si>
  <si>
    <t>FlexPBX-1772570730.74872</t>
  </si>
  <si>
    <t>FlexPBX-1772570718.74859</t>
  </si>
  <si>
    <t>FlexPBX-1772570548.74784</t>
  </si>
  <si>
    <t>FlexPBX-1772570440.74691</t>
  </si>
  <si>
    <t>FlexPBX-1772570382.74686</t>
  </si>
  <si>
    <t>FlexPBX-1772570206.74672</t>
  </si>
  <si>
    <t>FlexPBX-1772569828.74617</t>
  </si>
  <si>
    <t>FlexPBX-1772569826.74614</t>
  </si>
  <si>
    <t>FlexPBX-1772569756.74606</t>
  </si>
  <si>
    <t>FlexPBX-1772569376.74539</t>
  </si>
  <si>
    <t>FlexPBX-1772569355.74527</t>
  </si>
  <si>
    <t>FlexPBX-1772569348.74519</t>
  </si>
  <si>
    <t>FlexPBX-1772569229.74494</t>
  </si>
  <si>
    <t>FlexPBX-1772569124.74491</t>
  </si>
  <si>
    <t>FlexPBX-1772569084.74477</t>
  </si>
  <si>
    <t>FlexPBX-1772569069.74474</t>
  </si>
  <si>
    <t>FlexPBX-1772569037.74460</t>
  </si>
  <si>
    <t>FlexPBX-1772569009.74457</t>
  </si>
  <si>
    <t>FlexPBX-1772568911.74402</t>
  </si>
  <si>
    <t>FlexPBX-1772568833.74379</t>
  </si>
  <si>
    <t>FlexPBX-1772568780.74351</t>
  </si>
  <si>
    <t>FlexPBX-1772568603.74253</t>
  </si>
  <si>
    <t>FlexPBX-1772568601.74250</t>
  </si>
  <si>
    <t>FlexPBX-1772568541.74207</t>
  </si>
  <si>
    <t>FlexPBX-1772568362.74181</t>
  </si>
  <si>
    <t>FlexPBX-1772568292.74162</t>
  </si>
  <si>
    <t>FlexPBX-1772568255.74155</t>
  </si>
  <si>
    <t>FlexPBX-1772568225.74147</t>
  </si>
  <si>
    <t>FlexPBX-1772568174.74139</t>
  </si>
  <si>
    <t>FlexPBX-1772568167.74131</t>
  </si>
  <si>
    <t>FlexPBX-1772568103.74079</t>
  </si>
  <si>
    <t>FlexPBX-1772567706.74071</t>
  </si>
  <si>
    <t>FlexPBX-1772567133.74013</t>
  </si>
  <si>
    <t>FlexPBX-1772567067.74005</t>
  </si>
  <si>
    <t>FlexPBX-1772566618.73957</t>
  </si>
  <si>
    <t>FlexPBX-1772566613.73953</t>
  </si>
  <si>
    <t>FlexPBX-1772566496.73887</t>
  </si>
  <si>
    <t>FlexPBX-1772566264.73781</t>
  </si>
  <si>
    <t>FlexPBX-1772565608.73763</t>
  </si>
  <si>
    <t>FlexPBX-1772565500.73665</t>
  </si>
  <si>
    <t>FlexPBX-1772565475.73650</t>
  </si>
  <si>
    <t>FlexPBX-1772565052.73610</t>
  </si>
  <si>
    <t>FlexPBX-1772564964.73594</t>
  </si>
  <si>
    <t>FlexPBX-1772564928.73582</t>
  </si>
  <si>
    <t>FlexPBX-1772564840.73566</t>
  </si>
  <si>
    <t>FlexPBX-1772564119.73493</t>
  </si>
  <si>
    <t>FlexPBX-1772564069.73479</t>
  </si>
  <si>
    <t>FlexPBX-1772563952.73471</t>
  </si>
  <si>
    <t>FlexPBX-1772563348.73407</t>
  </si>
  <si>
    <t>FlexPBX-1772563285.73376</t>
  </si>
  <si>
    <t>FlexPBX-1772563244.73339</t>
  </si>
  <si>
    <t>FlexPBX-1772563228.73322</t>
  </si>
  <si>
    <t>FlexPBX-1772563153.73308</t>
  </si>
  <si>
    <t>FlexPBX-1772562976.73246</t>
  </si>
  <si>
    <t>FlexPBX-1772562942.73238</t>
  </si>
  <si>
    <t>FlexPBX-1772562776.73199</t>
  </si>
  <si>
    <t>FlexPBX-1772562738.73168</t>
  </si>
  <si>
    <t>FlexPBX-1772562729.73164</t>
  </si>
  <si>
    <t>FlexPBX-1772562622.73156</t>
  </si>
  <si>
    <t>FlexPBX-1772562464.73136</t>
  </si>
  <si>
    <t>FlexPBX-1772562313.73110</t>
  </si>
  <si>
    <t>FlexPBX-1772562306.73102</t>
  </si>
  <si>
    <t>FlexPBX-1772562254.73036</t>
  </si>
  <si>
    <t>FlexPBX-1772562229.73024</t>
  </si>
  <si>
    <t>FlexPBX-1772562106.73016</t>
  </si>
  <si>
    <t>FlexPBX-1772561939.73008</t>
  </si>
  <si>
    <t>FlexPBX-1772561762.72958</t>
  </si>
  <si>
    <t>FlexPBX-1772561442.72873</t>
  </si>
  <si>
    <t>FlexPBX-1772561436.72870</t>
  </si>
  <si>
    <t>FlexPBX-1772561218.72862</t>
  </si>
  <si>
    <t>FlexPBX-1772560908.72842</t>
  </si>
  <si>
    <t>FlexPBX-1772560445.72824</t>
  </si>
  <si>
    <t>FlexPBX-1772560329.72816</t>
  </si>
  <si>
    <t>FlexPBX-1772560183.72800</t>
  </si>
  <si>
    <t>FlexPBX-1772559508.72709</t>
  </si>
  <si>
    <t>FlexPBX-1772559438.72656</t>
  </si>
  <si>
    <t>FlexPBX-1772559024.72607</t>
  </si>
  <si>
    <t>FlexPBX-1772558968.72570</t>
  </si>
  <si>
    <t>FlexPBX-1772558926.72563</t>
  </si>
  <si>
    <t>FlexPBX-1772558594.72499</t>
  </si>
  <si>
    <t>FlexPBX-1772558372.72419</t>
  </si>
  <si>
    <t>FlexPBX-1772558091.72375</t>
  </si>
  <si>
    <t>FlexPBX-1772557816.72339</t>
  </si>
  <si>
    <t>FlexPBX-1772556647.72313</t>
  </si>
  <si>
    <t>FlexPBX-1772556405.72283</t>
  </si>
  <si>
    <t>FlexPBX-1772556377.72263</t>
  </si>
  <si>
    <t>FlexPBX-1772556339.72224</t>
  </si>
  <si>
    <t>FlexPBX-1772556331.72215</t>
  </si>
  <si>
    <t>FlexPBX-1772556180.72087</t>
  </si>
  <si>
    <t>FlexPBX-1772556150.72068</t>
  </si>
  <si>
    <t>FlexPBX-1772555972.72031</t>
  </si>
  <si>
    <t>FlexPBX-1772555935.72023</t>
  </si>
  <si>
    <t>FlexPBX-1772555424.71993</t>
  </si>
  <si>
    <t>FlexPBX-1772555141.71985</t>
  </si>
  <si>
    <t>FlexPBX-1772554023.71980</t>
  </si>
  <si>
    <t>FlexPBX-1772551851.71952</t>
  </si>
  <si>
    <t>FlexPBX-1772551844.71944</t>
  </si>
  <si>
    <t>FlexPBX-1772549617.71854</t>
  </si>
  <si>
    <t>FlexPBX-1772548994.71814</t>
  </si>
  <si>
    <t>FlexPBX-1772548894.71772</t>
  </si>
  <si>
    <t>FlexPBX-1772548829.71764</t>
  </si>
  <si>
    <t>FlexPBX-1772548735.71712</t>
  </si>
  <si>
    <t>FlexPBX-1772548297.71686</t>
  </si>
  <si>
    <t>FlexPBX-1772548035.71670</t>
  </si>
  <si>
    <t>FlexPBX-1772547560.71662</t>
  </si>
  <si>
    <t>FlexPBX-1772546866.71634</t>
  </si>
  <si>
    <t>FlexPBX-1772546825.71604</t>
  </si>
  <si>
    <t>FlexPBX-1772546684.71496</t>
  </si>
  <si>
    <t>FlexPBX-1772546632.71476</t>
  </si>
  <si>
    <t>FlexPBX-1772546459.71468</t>
  </si>
  <si>
    <t>FlexPBX-1772546187.71378</t>
  </si>
  <si>
    <t>FlexPBX-1772545491.71314</t>
  </si>
  <si>
    <t>FlexPBX-1772545102.71176</t>
  </si>
  <si>
    <t>FlexPBX-1772544724.71116</t>
  </si>
  <si>
    <t>FlexPBX-1772544659.71104</t>
  </si>
  <si>
    <t>FlexPBX-1772544454.71029</t>
  </si>
  <si>
    <t>FlexPBX-1772544386.71016</t>
  </si>
  <si>
    <t>FlexPBX-1772544110.70996</t>
  </si>
  <si>
    <t>FlexPBX-1772544057.70988</t>
  </si>
  <si>
    <t>FlexPBX-1772543844.70927</t>
  </si>
  <si>
    <t>FlexPBX-1772543796.70906</t>
  </si>
  <si>
    <t>FlexPBX-1772543455.70835</t>
  </si>
  <si>
    <t>FlexPBX-1772543139.70805</t>
  </si>
  <si>
    <t>FlexPBX-1772543037.70793</t>
  </si>
  <si>
    <t>FlexPBX-1772542980.70780</t>
  </si>
  <si>
    <t>FlexPBX-1772542763.70723</t>
  </si>
  <si>
    <t>FlexPBX-1772542758.70718</t>
  </si>
  <si>
    <t>FlexPBX-1772542736.70695</t>
  </si>
  <si>
    <t>FlexPBX-1772542724.70659</t>
  </si>
  <si>
    <t>FlexPBX-1772542673.70604</t>
  </si>
  <si>
    <t>FlexPBX-1772542649.70583</t>
  </si>
  <si>
    <t>FlexPBX-1772542629.70554</t>
  </si>
  <si>
    <t>FlexPBX-1772542627.70550</t>
  </si>
  <si>
    <t>FlexPBX-1772542622.70530</t>
  </si>
  <si>
    <t>FlexPBX-1772542566.70473</t>
  </si>
  <si>
    <t>FlexPBX-1772542547.70462</t>
  </si>
  <si>
    <t>FlexPBX-1772541899.70402</t>
  </si>
  <si>
    <t>FlexPBX-1772541631.70338</t>
  </si>
  <si>
    <t>FlexPBX-1772541472.70296</t>
  </si>
  <si>
    <t>FlexPBX-1772541249.70247</t>
  </si>
  <si>
    <t>FlexPBX-1772541227.70244</t>
  </si>
  <si>
    <t>FlexPBX-1772540843.70214</t>
  </si>
  <si>
    <t>FlexPBX-1772540795.70188</t>
  </si>
  <si>
    <t>FlexPBX-1772540540.70170</t>
  </si>
  <si>
    <t>FlexPBX-1772540410.70144</t>
  </si>
  <si>
    <t>FlexPBX-1772540245.70124</t>
  </si>
  <si>
    <t>FlexPBX-1772539854.70100</t>
  </si>
  <si>
    <t>FlexPBX-1772539692.70092</t>
  </si>
  <si>
    <t>FlexPBX-1772539339.70049</t>
  </si>
  <si>
    <t>FlexPBX-1772539158.69959</t>
  </si>
  <si>
    <t>FlexPBX-1772539132.69952</t>
  </si>
  <si>
    <t>FlexPBX-1772539010.69924</t>
  </si>
  <si>
    <t>FlexPBX-1772538930.69904</t>
  </si>
  <si>
    <t>FlexPBX-1772538424.69884</t>
  </si>
  <si>
    <t>FlexPBX-1772538067.69856</t>
  </si>
  <si>
    <t>FlexPBX-1772537959.69785</t>
  </si>
  <si>
    <t>FlexPBX-1772537866.69724</t>
  </si>
  <si>
    <t>FlexPBX-1772537700.69712</t>
  </si>
  <si>
    <t>FlexPBX-1772537452.69682</t>
  </si>
  <si>
    <t>FlexPBX-1772537126.69677</t>
  </si>
  <si>
    <t>FlexPBX-1772537066.69670</t>
  </si>
  <si>
    <t>FlexPBX-1772536873.69658</t>
  </si>
  <si>
    <t>FlexPBX-1772536571.69644</t>
  </si>
  <si>
    <t>FlexPBX-1772536566.69636</t>
  </si>
  <si>
    <t>FlexPBX-1772536532.69628</t>
  </si>
  <si>
    <t>FlexPBX-1772536324.69620</t>
  </si>
  <si>
    <t>FlexPBX-1772484398.69590</t>
  </si>
  <si>
    <t>FlexPBX-1772484067.69540</t>
  </si>
  <si>
    <t>FlexPBX-1772483585.69492</t>
  </si>
  <si>
    <t>FlexPBX-1772483314.69468</t>
  </si>
  <si>
    <t>FlexPBX-1772482898.69405</t>
  </si>
  <si>
    <t>FlexPBX-1772482875.69392</t>
  </si>
  <si>
    <t>FlexPBX-1772482829.69388</t>
  </si>
  <si>
    <t>FlexPBX-1772482813.69384</t>
  </si>
  <si>
    <t>FlexPBX-1772482797.69380</t>
  </si>
  <si>
    <t>FlexPBX-1772482717.69370</t>
  </si>
  <si>
    <t>FlexPBX-1772482702.69366</t>
  </si>
  <si>
    <t>FlexPBX-1772482671.69358</t>
  </si>
  <si>
    <t>FlexPBX-1772482283.69301</t>
  </si>
  <si>
    <t>FlexPBX-1772482182.69208</t>
  </si>
  <si>
    <t>FlexPBX-1772481831.69194</t>
  </si>
  <si>
    <t>FlexPBX-1772480782.69180</t>
  </si>
  <si>
    <t>FlexPBX-1772480757.69172</t>
  </si>
  <si>
    <t>FlexPBX-1772480573.69140</t>
  </si>
  <si>
    <t>FlexPBX-1772480411.69090</t>
  </si>
  <si>
    <t>FlexPBX-1772480117.69059</t>
  </si>
  <si>
    <t>FlexPBX-1772480112.69051</t>
  </si>
  <si>
    <t>FlexPBX-1772480104.69033</t>
  </si>
  <si>
    <t>FlexPBX-1772480037.68998</t>
  </si>
  <si>
    <t>FlexPBX-1772479563.68982</t>
  </si>
  <si>
    <t>FlexPBX-1772479475.68920</t>
  </si>
  <si>
    <t>FlexPBX-1772479398.68904</t>
  </si>
  <si>
    <t>FlexPBX-1772479011.68823</t>
  </si>
  <si>
    <t>FlexPBX-1772478992.68814</t>
  </si>
  <si>
    <t>FlexPBX-1772478849.68806</t>
  </si>
  <si>
    <t>FlexPBX-1772478839.68798</t>
  </si>
  <si>
    <t>FlexPBX-1772478807.68790</t>
  </si>
  <si>
    <t>FlexPBX-1772478559.68678</t>
  </si>
  <si>
    <t>FlexPBX-1772478295.68632</t>
  </si>
  <si>
    <t>FlexPBX-1772478054.68603</t>
  </si>
  <si>
    <t>FlexPBX-1772477686.68504</t>
  </si>
  <si>
    <t>FlexPBX-1772477543.68397</t>
  </si>
  <si>
    <t>FlexPBX-1772476887.68324</t>
  </si>
  <si>
    <t>FlexPBX-1772476763.68220</t>
  </si>
  <si>
    <t>FlexPBX-1772476677.68181</t>
  </si>
  <si>
    <t>FlexPBX-1772476348.68153</t>
  </si>
  <si>
    <t>FlexPBX-1772476251.68085</t>
  </si>
  <si>
    <t>FlexPBX-1772475908.68077</t>
  </si>
  <si>
    <t>FlexPBX-1772475894.68069</t>
  </si>
  <si>
    <t>FlexPBX-1772475799.68064</t>
  </si>
  <si>
    <t>FlexPBX-1772475726.68002</t>
  </si>
  <si>
    <t>FlexPBX-1772475174.67976</t>
  </si>
  <si>
    <t>FlexPBX-1772475030.67872</t>
  </si>
  <si>
    <t>FlexPBX-1772474893.67858</t>
  </si>
  <si>
    <t>FlexPBX-1772474136.67808</t>
  </si>
  <si>
    <t>FlexPBX-1772473331.67730</t>
  </si>
  <si>
    <t>FlexPBX-1772473199.67671</t>
  </si>
  <si>
    <t>FlexPBX-1772473158.67662</t>
  </si>
  <si>
    <t>FlexPBX-1772472717.67604</t>
  </si>
  <si>
    <t>FlexPBX-1772472417.67472</t>
  </si>
  <si>
    <t>FlexPBX-1772472232.67458</t>
  </si>
  <si>
    <t>FlexPBX-1772472219.67450</t>
  </si>
  <si>
    <t>FlexPBX-1772472212.67442</t>
  </si>
  <si>
    <t>FlexPBX-1772471979.67384</t>
  </si>
  <si>
    <t>FlexPBX-1772471789.67342</t>
  </si>
  <si>
    <t>FlexPBX-1772471648.67316</t>
  </si>
  <si>
    <t>FlexPBX-1772471453.67251</t>
  </si>
  <si>
    <t>FlexPBX-1772471441.67248</t>
  </si>
  <si>
    <t>FlexPBX-1772471365.67232</t>
  </si>
  <si>
    <t>FlexPBX-1772470820.67198</t>
  </si>
  <si>
    <t>FlexPBX-1772470330.67158</t>
  </si>
  <si>
    <t>FlexPBX-1772470096.67142</t>
  </si>
  <si>
    <t>FlexPBX-1772470034.67108</t>
  </si>
  <si>
    <t>FlexPBX-1772470013.67099</t>
  </si>
  <si>
    <t>FlexPBX-1772469792.67077</t>
  </si>
  <si>
    <t>FlexPBX-1772469408.67015</t>
  </si>
  <si>
    <t>FlexPBX-1772469313.67007</t>
  </si>
  <si>
    <t>FlexPBX-1772469198.66935</t>
  </si>
  <si>
    <t>FlexPBX-1772469179.66909</t>
  </si>
  <si>
    <t>FlexPBX-1772469173.66906</t>
  </si>
  <si>
    <t>FlexPBX-1772469034.66821</t>
  </si>
  <si>
    <t>FlexPBX-1772461499.66711</t>
  </si>
  <si>
    <t>FlexPBX-1772461338.66642</t>
  </si>
  <si>
    <t>FlexPBX-1772461257.66587</t>
  </si>
  <si>
    <t>FlexPBX-1772461099.66567</t>
  </si>
  <si>
    <t>FlexPBX-1772461089.66559</t>
  </si>
  <si>
    <t>FlexPBX-1772460779.66499</t>
  </si>
  <si>
    <t>FlexPBX-1772460737.66481</t>
  </si>
  <si>
    <t>FlexPBX-1772460645.66464</t>
  </si>
  <si>
    <t>FlexPBX-1772460644.66461</t>
  </si>
  <si>
    <t>FlexPBX-1772460538.66435</t>
  </si>
  <si>
    <t>FlexPBX-1772460274.66362</t>
  </si>
  <si>
    <t>FlexPBX-1772460231.66341</t>
  </si>
  <si>
    <t>FlexPBX-1772459737.66241</t>
  </si>
  <si>
    <t>FlexPBX-1772459344.66183</t>
  </si>
  <si>
    <t>FlexPBX-1772459221.66153</t>
  </si>
  <si>
    <t>FlexPBX-1772458977.66145</t>
  </si>
  <si>
    <t>FlexPBX-1772458953.66137</t>
  </si>
  <si>
    <t>FlexPBX-1772458940.66129</t>
  </si>
  <si>
    <t>FlexPBX-1772458553.66035</t>
  </si>
  <si>
    <t>FlexPBX-1772458330.66015</t>
  </si>
  <si>
    <t>FlexPBX-1772458125.65951</t>
  </si>
  <si>
    <t>FlexPBX-1772457763.65881</t>
  </si>
  <si>
    <t>FlexPBX-1772457109.65871</t>
  </si>
  <si>
    <t>FlexPBX-1772457070.65853</t>
  </si>
  <si>
    <t>FlexPBX-1772456144.65783</t>
  </si>
  <si>
    <t>FlexPBX-1772456033.65771</t>
  </si>
  <si>
    <t>FlexPBX-1772455908.65763</t>
  </si>
  <si>
    <t>FlexPBX-1772455687.65733</t>
  </si>
  <si>
    <t>FlexPBX-1772455611.65665</t>
  </si>
  <si>
    <t>FlexPBX-1772455242.65625</t>
  </si>
  <si>
    <t>FlexPBX-1772454960.65551</t>
  </si>
  <si>
    <t>FlexPBX-1772454791.65543</t>
  </si>
  <si>
    <t>FlexPBX-1772454787.65535</t>
  </si>
  <si>
    <t>FlexPBX-1772454782.65527</t>
  </si>
  <si>
    <t>FlexPBX-1772454543.65477</t>
  </si>
  <si>
    <t>FlexPBX-1772454273.65463</t>
  </si>
  <si>
    <t>FlexPBX-1772454074.65426</t>
  </si>
  <si>
    <t>FlexPBX-1772454051.65413</t>
  </si>
  <si>
    <t>FlexPBX-1772453671.65357</t>
  </si>
  <si>
    <t>FlexPBX-1772452924.65313</t>
  </si>
  <si>
    <t>FlexPBX-1772452859.65277</t>
  </si>
  <si>
    <t>FlexPBX-1772452615.65257</t>
  </si>
  <si>
    <t>FlexPBX-1772452171.65212</t>
  </si>
  <si>
    <t>FlexPBX-1772452135.65197</t>
  </si>
  <si>
    <t>FlexPBX-1772451966.65143</t>
  </si>
  <si>
    <t>FlexPBX-1772451614.65125</t>
  </si>
  <si>
    <t>FlexPBX-1772451587.65117</t>
  </si>
  <si>
    <t>FlexPBX-1772451503.65109</t>
  </si>
  <si>
    <t>FlexPBX-1772451104.65063</t>
  </si>
  <si>
    <t>FlexPBX-1772450879.65049</t>
  </si>
  <si>
    <t>FlexPBX-1772450876.65041</t>
  </si>
  <si>
    <t>FlexPBX-1772450860.65033</t>
  </si>
  <si>
    <t>FlexPBX-1772450828.65025</t>
  </si>
  <si>
    <t>FlexPBX-1772450730.65016</t>
  </si>
  <si>
    <t>FlexPBX-1772450726.65012</t>
  </si>
  <si>
    <t>FlexPBX-1772449640.65007</t>
  </si>
  <si>
    <t>2 - Fabiane Bisi, só repasse de telefone, nota indevida</t>
  </si>
  <si>
    <t>1 - Mateus Clodoaldo Silverio -  duvidas sped com valores de fcp</t>
  </si>
  <si>
    <t>1 - Daniel Takeo Kikushi - Duvidas sobre automação do MIT, atualmente não temos, atendimento atual</t>
  </si>
  <si>
    <t>1 - Fabio Viginia Santana liberação de acesso a rotina de relatorio da reinf</t>
  </si>
  <si>
    <t xml:space="preserve">1 - Mara EBPO - Erro no s-1210 em transmissão, normal </t>
  </si>
  <si>
    <t xml:space="preserve">1 - Marcos Machado Contabilidade - duvidas fechamento do movimento e-social, </t>
  </si>
  <si>
    <t>1 - Solução Contabilidade, desligamento de funcionário, nota 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</si>
</sst>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18" fillId="0" borderId="13" xfId="42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9" fontId="19" fillId="36" borderId="13" xfId="0" applyNumberFormat="1" applyFont="1" applyFill="1" applyBorder="1" applyAlignment="1">
      <alignment horizontal="center" vertical="center"/>
    </xf>
    <xf numFmtId="2" fontId="16" fillId="36" borderId="13" xfId="0" applyNumberFormat="1" applyFont="1" applyFill="1" applyBorder="1" applyAlignment="1">
      <alignment horizontal="center" vertical="center"/>
    </xf>
    <xf numFmtId="2" fontId="19" fillId="36" borderId="13" xfId="0" applyNumberFormat="1" applyFont="1" applyFill="1" applyBorder="1" applyAlignment="1">
      <alignment horizontal="center" vertical="center"/>
    </xf>
    <xf numFmtId="1" fontId="16" fillId="36" borderId="13" xfId="0" applyNumberFormat="1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9" fontId="18" fillId="37" borderId="13" xfId="42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" fontId="20" fillId="34" borderId="13" xfId="0" applyNumberFormat="1" applyFont="1" applyFill="1" applyBorder="1" applyAlignment="1">
      <alignment horizontal="center" vertical="center"/>
    </xf>
    <xf numFmtId="44" fontId="16" fillId="36" borderId="13" xfId="43" applyFont="1" applyFill="1" applyBorder="1" applyAlignment="1">
      <alignment horizontal="center" vertical="center"/>
    </xf>
    <xf numFmtId="44" fontId="14" fillId="34" borderId="13" xfId="4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37" borderId="1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3" fillId="39" borderId="0" xfId="0" applyFont="1" applyFill="1" applyAlignment="1">
      <alignment horizontal="center" vertical="center"/>
    </xf>
    <xf numFmtId="0" fontId="13" fillId="39" borderId="13" xfId="0" applyFont="1" applyFill="1" applyBorder="1" applyAlignment="1">
      <alignment horizontal="center" vertical="center"/>
    </xf>
    <xf numFmtId="2" fontId="19" fillId="37" borderId="13" xfId="0" applyNumberFormat="1" applyFont="1" applyFill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9" fontId="18" fillId="0" borderId="13" xfId="4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38" borderId="0" xfId="0" applyFill="1" applyAlignment="1">
      <alignment horizontal="center"/>
    </xf>
    <xf numFmtId="1" fontId="20" fillId="38" borderId="13" xfId="0" applyNumberFormat="1" applyFont="1" applyFill="1" applyBorder="1" applyAlignment="1">
      <alignment horizontal="center" vertical="center"/>
    </xf>
    <xf numFmtId="22" fontId="0" fillId="0" borderId="0" xfId="0" applyNumberFormat="1" applyAlignment="1">
      <alignment horizontal="center"/>
    </xf>
    <xf numFmtId="0" fontId="13" fillId="39" borderId="0" xfId="0" applyFont="1" applyFill="1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erson  - Power System Maringá" id="{3840E4B0-465B-48F6-9F9B-207362B89881}" userId="82b8a10d02ff96ae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15285D58-5CF7-487B-A15C-2F69373C1023}">
    <text>Notas 1 - Abate 0,40 da média
Notas 2 - Abate 0,20 da média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D5D8FF36-B8D9-4E15-9BA1-F833C961D28C}">
    <text>Notas 1 - Abate 0,40 da média
Notas 2 - Abate 0,20 da média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FD9A6698-8DD3-48E4-A0E6-D993563D9CA4}">
    <text>Notas 1 - Abate 0,40 da média
Notas 2 - Abate 0,20 da média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ABB3DEC3-6C15-4FC5-A025-1349A878ACC4}">
    <text>Notas 1 - Abate 0,40 da média
Notas 2 - Abate 0,20 da média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5727-7AB2-49C6-8590-B73660D451D8}">
  <dimension ref="A1:M2529"/>
  <sheetViews>
    <sheetView topLeftCell="A2" zoomScale="71" workbookViewId="0">
      <selection activeCell="B239" sqref="B239"/>
    </sheetView>
  </sheetViews>
  <sheetFormatPr defaultColWidth="8.88671875" defaultRowHeight="14.4" x14ac:dyDescent="0.3"/>
  <cols>
    <col min="1" max="1" width="54.5546875" style="33" bestFit="1" customWidth="1"/>
    <col min="2" max="2" width="18.44140625" style="33" bestFit="1" customWidth="1"/>
    <col min="3" max="3" width="13.44140625" style="33" bestFit="1" customWidth="1"/>
    <col min="4" max="4" width="11" style="33" bestFit="1" customWidth="1"/>
    <col min="5" max="5" width="14" style="33" bestFit="1" customWidth="1"/>
    <col min="6" max="6" width="9.6640625" style="33" bestFit="1" customWidth="1"/>
    <col min="7" max="7" width="12.109375" style="33" bestFit="1" customWidth="1"/>
    <col min="8" max="8" width="25.33203125" style="33" bestFit="1" customWidth="1"/>
    <col min="9" max="9" width="14.5546875" style="33" bestFit="1" customWidth="1"/>
    <col min="10" max="10" width="26.109375" style="33" bestFit="1" customWidth="1"/>
    <col min="11" max="11" width="19.5546875" style="33" bestFit="1" customWidth="1"/>
    <col min="12" max="12" width="9.6640625" style="33" bestFit="1" customWidth="1"/>
    <col min="13" max="13" width="115.44140625" style="34" bestFit="1" customWidth="1"/>
    <col min="14" max="16384" width="8.88671875" style="1"/>
  </cols>
  <sheetData>
    <row r="1" spans="1:13" s="26" customFormat="1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34"/>
    </row>
    <row r="2" spans="1:13" s="33" customFormat="1" x14ac:dyDescent="0.3">
      <c r="A2" s="33" t="s">
        <v>53</v>
      </c>
      <c r="B2" s="33">
        <v>44997687156</v>
      </c>
      <c r="C2" s="33" t="s">
        <v>44</v>
      </c>
      <c r="D2" s="33">
        <v>4430265054</v>
      </c>
      <c r="E2" s="33">
        <v>458</v>
      </c>
      <c r="F2" s="33">
        <v>297</v>
      </c>
      <c r="G2" s="33" t="s">
        <v>38</v>
      </c>
      <c r="H2" s="33" t="s">
        <v>54</v>
      </c>
      <c r="I2" s="33" t="s">
        <v>39</v>
      </c>
      <c r="J2" s="33" t="s">
        <v>40</v>
      </c>
      <c r="K2" s="33" t="s">
        <v>41</v>
      </c>
    </row>
    <row r="3" spans="1:13" s="33" customFormat="1" x14ac:dyDescent="0.3">
      <c r="A3" s="33" t="s">
        <v>55</v>
      </c>
      <c r="B3" s="33" t="s">
        <v>37</v>
      </c>
      <c r="C3" s="33">
        <v>44988067937</v>
      </c>
      <c r="E3" s="33">
        <v>142</v>
      </c>
      <c r="F3" s="33">
        <v>107</v>
      </c>
      <c r="G3" s="33" t="s">
        <v>38</v>
      </c>
      <c r="H3" s="33" t="s">
        <v>56</v>
      </c>
      <c r="I3" s="33" t="s">
        <v>46</v>
      </c>
      <c r="J3" s="33" t="s">
        <v>40</v>
      </c>
    </row>
    <row r="4" spans="1:13" s="33" customFormat="1" x14ac:dyDescent="0.3">
      <c r="A4" s="33" t="s">
        <v>57</v>
      </c>
      <c r="B4" s="33" t="s">
        <v>37</v>
      </c>
      <c r="C4" s="33">
        <v>44988067937</v>
      </c>
      <c r="E4" s="33">
        <v>8</v>
      </c>
      <c r="F4" s="33">
        <v>0</v>
      </c>
      <c r="G4" s="33" t="s">
        <v>47</v>
      </c>
      <c r="H4" s="33" t="s">
        <v>58</v>
      </c>
      <c r="I4" s="33" t="s">
        <v>46</v>
      </c>
      <c r="J4" s="33" t="s">
        <v>40</v>
      </c>
    </row>
    <row r="5" spans="1:13" s="33" customFormat="1" x14ac:dyDescent="0.3">
      <c r="A5" s="33" t="s">
        <v>59</v>
      </c>
      <c r="B5" s="33">
        <v>44988067937</v>
      </c>
      <c r="C5" s="33" t="s">
        <v>37</v>
      </c>
      <c r="D5" s="33">
        <v>4430265054</v>
      </c>
      <c r="E5" s="33">
        <v>193</v>
      </c>
      <c r="F5" s="33">
        <v>138</v>
      </c>
      <c r="G5" s="33" t="s">
        <v>38</v>
      </c>
      <c r="H5" s="33" t="s">
        <v>60</v>
      </c>
      <c r="I5" s="33" t="s">
        <v>39</v>
      </c>
      <c r="J5" s="33" t="s">
        <v>40</v>
      </c>
      <c r="K5" s="33" t="s">
        <v>41</v>
      </c>
    </row>
    <row r="6" spans="1:13" s="33" customFormat="1" x14ac:dyDescent="0.3">
      <c r="A6" s="33" t="s">
        <v>61</v>
      </c>
      <c r="B6" s="33" t="s">
        <v>44</v>
      </c>
      <c r="C6" s="33">
        <v>15997113760</v>
      </c>
      <c r="E6" s="33">
        <v>40</v>
      </c>
      <c r="F6" s="33">
        <v>0</v>
      </c>
      <c r="G6" s="33" t="s">
        <v>47</v>
      </c>
      <c r="H6" s="33" t="s">
        <v>62</v>
      </c>
      <c r="I6" s="33" t="s">
        <v>46</v>
      </c>
      <c r="J6" s="33" t="s">
        <v>40</v>
      </c>
    </row>
    <row r="7" spans="1:13" s="33" customFormat="1" x14ac:dyDescent="0.3">
      <c r="A7" s="33" t="s">
        <v>63</v>
      </c>
      <c r="B7" s="33" t="s">
        <v>44</v>
      </c>
      <c r="C7" s="33">
        <v>15997113760</v>
      </c>
      <c r="E7" s="33">
        <v>40</v>
      </c>
      <c r="F7" s="33">
        <v>0</v>
      </c>
      <c r="G7" s="33" t="s">
        <v>47</v>
      </c>
      <c r="H7" s="33" t="s">
        <v>64</v>
      </c>
      <c r="I7" s="33" t="s">
        <v>46</v>
      </c>
      <c r="J7" s="33" t="s">
        <v>40</v>
      </c>
    </row>
    <row r="8" spans="1:13" s="33" customFormat="1" x14ac:dyDescent="0.3">
      <c r="A8" s="33" t="s">
        <v>65</v>
      </c>
      <c r="B8" s="33">
        <v>4434531529</v>
      </c>
      <c r="C8" s="33" t="s">
        <v>45</v>
      </c>
      <c r="D8" s="33">
        <v>4430265054</v>
      </c>
      <c r="E8" s="33">
        <v>1179</v>
      </c>
      <c r="F8" s="33">
        <v>1136</v>
      </c>
      <c r="G8" s="33" t="s">
        <v>38</v>
      </c>
      <c r="H8" s="33" t="s">
        <v>66</v>
      </c>
      <c r="I8" s="33" t="s">
        <v>39</v>
      </c>
      <c r="J8" s="33" t="s">
        <v>40</v>
      </c>
      <c r="K8" s="33" t="s">
        <v>41</v>
      </c>
      <c r="L8" s="33">
        <v>5</v>
      </c>
    </row>
    <row r="9" spans="1:13" s="33" customFormat="1" x14ac:dyDescent="0.3">
      <c r="A9" s="33" t="s">
        <v>67</v>
      </c>
      <c r="B9" s="33">
        <v>4330333542</v>
      </c>
      <c r="C9" s="33" t="s">
        <v>37</v>
      </c>
      <c r="D9" s="33">
        <v>4430265054</v>
      </c>
      <c r="E9" s="33">
        <v>661</v>
      </c>
      <c r="F9" s="33">
        <v>631</v>
      </c>
      <c r="G9" s="33" t="s">
        <v>38</v>
      </c>
      <c r="H9" s="33" t="s">
        <v>68</v>
      </c>
      <c r="I9" s="33" t="s">
        <v>39</v>
      </c>
      <c r="J9" s="33" t="s">
        <v>40</v>
      </c>
      <c r="K9" s="33" t="s">
        <v>41</v>
      </c>
    </row>
    <row r="10" spans="1:13" s="33" customFormat="1" x14ac:dyDescent="0.3">
      <c r="A10" s="33" t="s">
        <v>69</v>
      </c>
      <c r="B10" s="33">
        <v>4430162376</v>
      </c>
      <c r="C10" s="33" t="s">
        <v>37</v>
      </c>
      <c r="D10" s="33">
        <v>4430265054</v>
      </c>
      <c r="E10" s="33">
        <v>240</v>
      </c>
      <c r="F10" s="33">
        <v>215</v>
      </c>
      <c r="G10" s="33" t="s">
        <v>38</v>
      </c>
      <c r="H10" s="33" t="s">
        <v>70</v>
      </c>
      <c r="I10" s="33" t="s">
        <v>39</v>
      </c>
      <c r="J10" s="33" t="s">
        <v>40</v>
      </c>
      <c r="K10" s="33" t="s">
        <v>41</v>
      </c>
      <c r="L10" s="33">
        <v>5</v>
      </c>
    </row>
    <row r="11" spans="1:13" s="33" customFormat="1" x14ac:dyDescent="0.3">
      <c r="A11" s="33" t="s">
        <v>71</v>
      </c>
      <c r="B11" s="33">
        <v>62992350286</v>
      </c>
      <c r="C11" s="33" t="s">
        <v>45</v>
      </c>
      <c r="D11" s="33">
        <v>4430265054</v>
      </c>
      <c r="E11" s="33">
        <v>263</v>
      </c>
      <c r="F11" s="33">
        <v>213</v>
      </c>
      <c r="G11" s="33" t="s">
        <v>38</v>
      </c>
      <c r="H11" s="33" t="s">
        <v>72</v>
      </c>
      <c r="I11" s="33" t="s">
        <v>39</v>
      </c>
      <c r="J11" s="33" t="s">
        <v>40</v>
      </c>
      <c r="K11" s="33" t="s">
        <v>41</v>
      </c>
      <c r="L11" s="33">
        <v>5</v>
      </c>
    </row>
    <row r="12" spans="1:13" s="33" customFormat="1" x14ac:dyDescent="0.3">
      <c r="A12" s="33" t="s">
        <v>73</v>
      </c>
      <c r="B12" s="33">
        <v>12997220975</v>
      </c>
      <c r="C12" s="33" t="s">
        <v>45</v>
      </c>
      <c r="D12" s="33">
        <v>4430265054</v>
      </c>
      <c r="E12" s="33">
        <v>312</v>
      </c>
      <c r="F12" s="33">
        <v>279</v>
      </c>
      <c r="G12" s="33" t="s">
        <v>38</v>
      </c>
      <c r="H12" s="33" t="s">
        <v>74</v>
      </c>
      <c r="I12" s="33" t="s">
        <v>39</v>
      </c>
      <c r="J12" s="33" t="s">
        <v>40</v>
      </c>
      <c r="K12" s="33" t="s">
        <v>41</v>
      </c>
      <c r="L12" s="33">
        <v>5</v>
      </c>
    </row>
    <row r="13" spans="1:13" s="33" customFormat="1" x14ac:dyDescent="0.3">
      <c r="A13" s="33" t="s">
        <v>75</v>
      </c>
      <c r="B13" s="33">
        <v>93991495484</v>
      </c>
      <c r="C13" s="33" t="s">
        <v>42</v>
      </c>
      <c r="D13" s="33">
        <v>4430265054</v>
      </c>
      <c r="E13" s="33">
        <v>540</v>
      </c>
      <c r="F13" s="33">
        <v>440</v>
      </c>
      <c r="G13" s="33" t="s">
        <v>38</v>
      </c>
      <c r="H13" s="33" t="s">
        <v>76</v>
      </c>
      <c r="I13" s="33" t="s">
        <v>39</v>
      </c>
      <c r="J13" s="33" t="s">
        <v>40</v>
      </c>
      <c r="K13" s="33" t="s">
        <v>41</v>
      </c>
      <c r="L13" s="33">
        <v>5</v>
      </c>
    </row>
    <row r="14" spans="1:13" s="33" customFormat="1" x14ac:dyDescent="0.3">
      <c r="A14" s="33" t="s">
        <v>77</v>
      </c>
      <c r="B14" s="33" t="s">
        <v>43</v>
      </c>
      <c r="C14" s="33">
        <v>4430414545</v>
      </c>
      <c r="E14" s="33">
        <v>372</v>
      </c>
      <c r="F14" s="33">
        <v>355</v>
      </c>
      <c r="G14" s="33" t="s">
        <v>38</v>
      </c>
      <c r="H14" s="33" t="s">
        <v>78</v>
      </c>
      <c r="I14" s="33" t="s">
        <v>46</v>
      </c>
      <c r="J14" s="33" t="s">
        <v>40</v>
      </c>
    </row>
    <row r="15" spans="1:13" s="33" customFormat="1" x14ac:dyDescent="0.3">
      <c r="A15" s="33" t="s">
        <v>79</v>
      </c>
      <c r="B15" s="33" t="s">
        <v>43</v>
      </c>
      <c r="C15" s="33">
        <v>4430414545</v>
      </c>
      <c r="E15" s="33">
        <v>5</v>
      </c>
      <c r="F15" s="33">
        <v>0</v>
      </c>
      <c r="G15" s="33" t="s">
        <v>47</v>
      </c>
      <c r="H15" s="33" t="s">
        <v>80</v>
      </c>
      <c r="I15" s="33" t="s">
        <v>46</v>
      </c>
      <c r="J15" s="33" t="s">
        <v>40</v>
      </c>
    </row>
    <row r="16" spans="1:13" s="33" customFormat="1" x14ac:dyDescent="0.3">
      <c r="A16" s="33" t="s">
        <v>81</v>
      </c>
      <c r="B16" s="33">
        <v>44984198651</v>
      </c>
      <c r="C16" s="33" t="s">
        <v>48</v>
      </c>
      <c r="D16" s="33">
        <v>4430265054</v>
      </c>
      <c r="E16" s="33">
        <v>680</v>
      </c>
      <c r="F16" s="33">
        <v>613</v>
      </c>
      <c r="G16" s="33" t="s">
        <v>38</v>
      </c>
      <c r="H16" s="33" t="s">
        <v>82</v>
      </c>
      <c r="I16" s="33" t="s">
        <v>39</v>
      </c>
      <c r="J16" s="33" t="s">
        <v>40</v>
      </c>
      <c r="K16" s="33" t="s">
        <v>41</v>
      </c>
    </row>
    <row r="17" spans="1:13" s="33" customFormat="1" x14ac:dyDescent="0.3">
      <c r="A17" s="33" t="s">
        <v>83</v>
      </c>
      <c r="B17" s="33">
        <v>44997400641</v>
      </c>
      <c r="C17" s="33" t="s">
        <v>45</v>
      </c>
      <c r="D17" s="33">
        <v>4430265054</v>
      </c>
      <c r="E17" s="33">
        <v>177</v>
      </c>
      <c r="F17" s="33">
        <v>142</v>
      </c>
      <c r="G17" s="33" t="s">
        <v>38</v>
      </c>
      <c r="H17" s="33" t="s">
        <v>84</v>
      </c>
      <c r="I17" s="33" t="s">
        <v>39</v>
      </c>
      <c r="J17" s="33" t="s">
        <v>40</v>
      </c>
      <c r="K17" s="33" t="s">
        <v>41</v>
      </c>
    </row>
    <row r="18" spans="1:13" s="33" customFormat="1" x14ac:dyDescent="0.3">
      <c r="A18" s="33" t="s">
        <v>85</v>
      </c>
      <c r="B18" s="33">
        <v>43999317663</v>
      </c>
      <c r="C18" s="33" t="s">
        <v>44</v>
      </c>
      <c r="D18" s="33">
        <v>4430265054</v>
      </c>
      <c r="E18" s="33">
        <v>301</v>
      </c>
      <c r="F18" s="33">
        <v>237</v>
      </c>
      <c r="G18" s="33" t="s">
        <v>38</v>
      </c>
      <c r="H18" s="33" t="s">
        <v>86</v>
      </c>
      <c r="I18" s="33" t="s">
        <v>39</v>
      </c>
      <c r="J18" s="33" t="s">
        <v>40</v>
      </c>
      <c r="K18" s="33" t="s">
        <v>41</v>
      </c>
    </row>
    <row r="19" spans="1:13" s="33" customFormat="1" x14ac:dyDescent="0.3">
      <c r="A19" s="33" t="s">
        <v>87</v>
      </c>
      <c r="B19" s="33">
        <v>11965990735</v>
      </c>
      <c r="C19" s="33" t="s">
        <v>43</v>
      </c>
      <c r="D19" s="33">
        <v>4430265054</v>
      </c>
      <c r="E19" s="33">
        <v>259</v>
      </c>
      <c r="F19" s="33">
        <v>168</v>
      </c>
      <c r="G19" s="33" t="s">
        <v>38</v>
      </c>
      <c r="H19" s="33" t="s">
        <v>88</v>
      </c>
      <c r="I19" s="33" t="s">
        <v>39</v>
      </c>
      <c r="J19" s="33" t="s">
        <v>40</v>
      </c>
      <c r="K19" s="33" t="s">
        <v>41</v>
      </c>
      <c r="L19" s="33">
        <v>5</v>
      </c>
    </row>
    <row r="20" spans="1:13" s="33" customFormat="1" x14ac:dyDescent="0.3">
      <c r="A20" s="33" t="s">
        <v>89</v>
      </c>
      <c r="B20" s="33">
        <v>4432522019</v>
      </c>
      <c r="C20" s="33" t="s">
        <v>44</v>
      </c>
      <c r="D20" s="33">
        <v>4430265054</v>
      </c>
      <c r="E20" s="33">
        <v>952</v>
      </c>
      <c r="F20" s="33">
        <v>928</v>
      </c>
      <c r="G20" s="33" t="s">
        <v>38</v>
      </c>
      <c r="H20" s="33" t="s">
        <v>90</v>
      </c>
      <c r="I20" s="33" t="s">
        <v>39</v>
      </c>
      <c r="J20" s="33" t="s">
        <v>40</v>
      </c>
      <c r="K20" s="33" t="s">
        <v>41</v>
      </c>
    </row>
    <row r="21" spans="1:13" s="33" customFormat="1" x14ac:dyDescent="0.3">
      <c r="A21" s="33" t="s">
        <v>91</v>
      </c>
      <c r="B21" s="33">
        <v>45999211357</v>
      </c>
      <c r="C21" s="33" t="s">
        <v>43</v>
      </c>
      <c r="D21" s="33">
        <v>4431268225</v>
      </c>
      <c r="E21" s="33">
        <v>588</v>
      </c>
      <c r="F21" s="33">
        <v>552</v>
      </c>
      <c r="G21" s="33" t="s">
        <v>38</v>
      </c>
      <c r="H21" s="33" t="s">
        <v>92</v>
      </c>
      <c r="I21" s="33" t="s">
        <v>39</v>
      </c>
      <c r="J21" s="33" t="s">
        <v>40</v>
      </c>
      <c r="K21" s="33" t="s">
        <v>41</v>
      </c>
      <c r="L21" s="33">
        <v>5</v>
      </c>
    </row>
    <row r="22" spans="1:13" s="33" customFormat="1" x14ac:dyDescent="0.3">
      <c r="A22" s="33" t="s">
        <v>93</v>
      </c>
      <c r="B22" s="33">
        <v>6234347959</v>
      </c>
      <c r="C22" s="33" t="s">
        <v>45</v>
      </c>
      <c r="D22" s="33">
        <v>4430265054</v>
      </c>
      <c r="E22" s="33">
        <v>812</v>
      </c>
      <c r="F22" s="33">
        <v>740</v>
      </c>
      <c r="G22" s="33" t="s">
        <v>38</v>
      </c>
      <c r="H22" s="33" t="s">
        <v>94</v>
      </c>
      <c r="I22" s="33" t="s">
        <v>39</v>
      </c>
      <c r="J22" s="33" t="s">
        <v>40</v>
      </c>
      <c r="K22" s="33" t="s">
        <v>41</v>
      </c>
    </row>
    <row r="23" spans="1:13" s="33" customFormat="1" x14ac:dyDescent="0.3">
      <c r="A23" s="33" t="s">
        <v>95</v>
      </c>
      <c r="B23" s="33">
        <v>43991519887</v>
      </c>
      <c r="C23" s="33" t="s">
        <v>37</v>
      </c>
      <c r="D23" s="33">
        <v>4430265054</v>
      </c>
      <c r="E23" s="33">
        <v>2089</v>
      </c>
      <c r="F23" s="33">
        <v>2075</v>
      </c>
      <c r="G23" s="33" t="s">
        <v>38</v>
      </c>
      <c r="H23" s="33" t="s">
        <v>96</v>
      </c>
      <c r="I23" s="33" t="s">
        <v>39</v>
      </c>
      <c r="J23" s="33" t="s">
        <v>40</v>
      </c>
      <c r="K23" s="33" t="s">
        <v>41</v>
      </c>
    </row>
    <row r="24" spans="1:13" s="33" customFormat="1" x14ac:dyDescent="0.3">
      <c r="A24" s="33" t="s">
        <v>97</v>
      </c>
      <c r="B24" s="33">
        <v>43991519887</v>
      </c>
      <c r="C24" s="33" t="s">
        <v>37</v>
      </c>
      <c r="D24" s="33">
        <v>4430265054</v>
      </c>
      <c r="E24" s="33">
        <v>92</v>
      </c>
      <c r="F24" s="33">
        <v>30</v>
      </c>
      <c r="G24" s="33" t="s">
        <v>38</v>
      </c>
      <c r="H24" s="33" t="s">
        <v>98</v>
      </c>
      <c r="I24" s="33" t="s">
        <v>39</v>
      </c>
      <c r="J24" s="33" t="s">
        <v>40</v>
      </c>
      <c r="K24" s="33" t="s">
        <v>41</v>
      </c>
      <c r="L24" s="37"/>
      <c r="M24" t="s">
        <v>3443</v>
      </c>
    </row>
    <row r="25" spans="1:13" s="33" customFormat="1" x14ac:dyDescent="0.3">
      <c r="A25" s="33" t="s">
        <v>99</v>
      </c>
      <c r="B25" s="33">
        <v>45999211357</v>
      </c>
      <c r="C25" s="33" t="s">
        <v>43</v>
      </c>
      <c r="D25" s="33">
        <v>4431268225</v>
      </c>
      <c r="E25" s="33">
        <v>92</v>
      </c>
      <c r="F25" s="33">
        <v>1</v>
      </c>
      <c r="G25" s="33" t="s">
        <v>38</v>
      </c>
      <c r="H25" s="33" t="s">
        <v>100</v>
      </c>
      <c r="I25" s="33" t="s">
        <v>39</v>
      </c>
      <c r="J25" s="33" t="s">
        <v>40</v>
      </c>
      <c r="K25" s="33" t="s">
        <v>41</v>
      </c>
    </row>
    <row r="26" spans="1:13" s="33" customFormat="1" x14ac:dyDescent="0.3">
      <c r="A26" s="33" t="s">
        <v>101</v>
      </c>
      <c r="B26" s="33">
        <v>44999670264</v>
      </c>
      <c r="C26" s="33" t="s">
        <v>42</v>
      </c>
      <c r="D26" s="33">
        <v>4430265054</v>
      </c>
      <c r="E26" s="33">
        <v>632</v>
      </c>
      <c r="F26" s="33">
        <v>614</v>
      </c>
      <c r="G26" s="33" t="s">
        <v>38</v>
      </c>
      <c r="H26" s="33" t="s">
        <v>102</v>
      </c>
      <c r="I26" s="33" t="s">
        <v>39</v>
      </c>
      <c r="J26" s="33" t="s">
        <v>40</v>
      </c>
      <c r="K26" s="33" t="s">
        <v>41</v>
      </c>
      <c r="L26" s="33">
        <v>5</v>
      </c>
    </row>
    <row r="27" spans="1:13" s="33" customFormat="1" x14ac:dyDescent="0.3">
      <c r="A27" s="33" t="s">
        <v>103</v>
      </c>
      <c r="B27" s="33" t="s">
        <v>45</v>
      </c>
      <c r="C27" s="33">
        <v>4431272549</v>
      </c>
      <c r="E27" s="33">
        <v>132</v>
      </c>
      <c r="F27" s="33">
        <v>131</v>
      </c>
      <c r="G27" s="33" t="s">
        <v>38</v>
      </c>
      <c r="H27" s="33" t="s">
        <v>104</v>
      </c>
      <c r="I27" s="33" t="s">
        <v>46</v>
      </c>
      <c r="J27" s="33" t="s">
        <v>40</v>
      </c>
    </row>
    <row r="28" spans="1:13" s="33" customFormat="1" x14ac:dyDescent="0.3">
      <c r="A28" s="33" t="s">
        <v>105</v>
      </c>
      <c r="B28" s="33" t="s">
        <v>45</v>
      </c>
      <c r="C28" s="33">
        <v>4432212549</v>
      </c>
      <c r="E28" s="33">
        <v>22</v>
      </c>
      <c r="F28" s="33">
        <v>21</v>
      </c>
      <c r="G28" s="33" t="s">
        <v>38</v>
      </c>
      <c r="H28" s="33" t="s">
        <v>106</v>
      </c>
      <c r="I28" s="33" t="s">
        <v>46</v>
      </c>
      <c r="J28" s="33" t="s">
        <v>40</v>
      </c>
    </row>
    <row r="29" spans="1:13" s="33" customFormat="1" x14ac:dyDescent="0.3">
      <c r="A29" s="33" t="s">
        <v>107</v>
      </c>
      <c r="B29" s="33">
        <v>1732146970</v>
      </c>
      <c r="C29" s="33" t="s">
        <v>44</v>
      </c>
      <c r="D29" s="33">
        <v>4431268225</v>
      </c>
      <c r="E29" s="33">
        <v>882</v>
      </c>
      <c r="F29" s="33">
        <v>810</v>
      </c>
      <c r="G29" s="33" t="s">
        <v>38</v>
      </c>
      <c r="H29" s="33" t="s">
        <v>108</v>
      </c>
      <c r="I29" s="33" t="s">
        <v>39</v>
      </c>
      <c r="J29" s="33" t="s">
        <v>40</v>
      </c>
      <c r="K29" s="33" t="s">
        <v>41</v>
      </c>
    </row>
    <row r="30" spans="1:13" s="33" customFormat="1" x14ac:dyDescent="0.3">
      <c r="A30" s="33" t="s">
        <v>109</v>
      </c>
      <c r="B30" s="33">
        <v>47999115463</v>
      </c>
      <c r="C30" s="33" t="s">
        <v>37</v>
      </c>
      <c r="D30" s="33">
        <v>4430265054</v>
      </c>
      <c r="E30" s="33">
        <v>134</v>
      </c>
      <c r="F30" s="33">
        <v>98</v>
      </c>
      <c r="G30" s="33" t="s">
        <v>38</v>
      </c>
      <c r="H30" s="33" t="s">
        <v>110</v>
      </c>
      <c r="I30" s="33" t="s">
        <v>39</v>
      </c>
      <c r="J30" s="33" t="s">
        <v>40</v>
      </c>
      <c r="K30" s="33" t="s">
        <v>41</v>
      </c>
      <c r="L30" s="33">
        <v>5</v>
      </c>
    </row>
    <row r="31" spans="1:13" s="33" customFormat="1" x14ac:dyDescent="0.3">
      <c r="A31" s="33" t="s">
        <v>111</v>
      </c>
      <c r="B31" s="33" t="s">
        <v>48</v>
      </c>
      <c r="C31" s="33">
        <v>44999844110</v>
      </c>
      <c r="E31" s="33">
        <v>52</v>
      </c>
      <c r="F31" s="33">
        <v>31</v>
      </c>
      <c r="G31" s="33" t="s">
        <v>38</v>
      </c>
      <c r="H31" s="33" t="s">
        <v>112</v>
      </c>
      <c r="I31" s="33" t="s">
        <v>46</v>
      </c>
      <c r="J31" s="33" t="s">
        <v>40</v>
      </c>
    </row>
    <row r="32" spans="1:13" s="33" customFormat="1" x14ac:dyDescent="0.3">
      <c r="A32" s="33" t="s">
        <v>113</v>
      </c>
      <c r="B32" s="33" t="s">
        <v>48</v>
      </c>
      <c r="C32" s="33">
        <v>4430271000</v>
      </c>
      <c r="E32" s="33">
        <v>230</v>
      </c>
      <c r="F32" s="33">
        <v>224</v>
      </c>
      <c r="G32" s="33" t="s">
        <v>38</v>
      </c>
      <c r="H32" s="33" t="s">
        <v>114</v>
      </c>
      <c r="I32" s="33" t="s">
        <v>46</v>
      </c>
      <c r="J32" s="33" t="s">
        <v>40</v>
      </c>
    </row>
    <row r="33" spans="1:12" s="33" customFormat="1" x14ac:dyDescent="0.3">
      <c r="A33" s="33" t="s">
        <v>115</v>
      </c>
      <c r="B33" s="33" t="s">
        <v>48</v>
      </c>
      <c r="C33" s="33">
        <v>4430271000</v>
      </c>
      <c r="E33" s="33">
        <v>71</v>
      </c>
      <c r="F33" s="33">
        <v>66</v>
      </c>
      <c r="G33" s="33" t="s">
        <v>38</v>
      </c>
      <c r="H33" s="33" t="s">
        <v>116</v>
      </c>
      <c r="I33" s="33" t="s">
        <v>46</v>
      </c>
      <c r="J33" s="33" t="s">
        <v>40</v>
      </c>
    </row>
    <row r="34" spans="1:12" s="33" customFormat="1" x14ac:dyDescent="0.3">
      <c r="A34" s="33" t="s">
        <v>117</v>
      </c>
      <c r="B34" s="33" t="s">
        <v>48</v>
      </c>
      <c r="C34" s="33">
        <v>4430271000</v>
      </c>
      <c r="E34" s="33">
        <v>51</v>
      </c>
      <c r="F34" s="33">
        <v>45</v>
      </c>
      <c r="G34" s="33" t="s">
        <v>38</v>
      </c>
      <c r="H34" s="33" t="s">
        <v>118</v>
      </c>
      <c r="I34" s="33" t="s">
        <v>46</v>
      </c>
      <c r="J34" s="33" t="s">
        <v>40</v>
      </c>
    </row>
    <row r="35" spans="1:12" s="33" customFormat="1" x14ac:dyDescent="0.3">
      <c r="A35" s="33" t="s">
        <v>119</v>
      </c>
      <c r="B35" s="33">
        <v>44991116911</v>
      </c>
      <c r="C35" s="33" t="s">
        <v>45</v>
      </c>
      <c r="D35" s="33">
        <v>4430265054</v>
      </c>
      <c r="E35" s="33">
        <v>2126</v>
      </c>
      <c r="F35" s="33">
        <v>2101</v>
      </c>
      <c r="G35" s="33" t="s">
        <v>38</v>
      </c>
      <c r="H35" s="33" t="s">
        <v>120</v>
      </c>
      <c r="I35" s="33" t="s">
        <v>39</v>
      </c>
      <c r="J35" s="33" t="s">
        <v>40</v>
      </c>
      <c r="K35" s="33" t="s">
        <v>41</v>
      </c>
      <c r="L35" s="33">
        <v>5</v>
      </c>
    </row>
    <row r="36" spans="1:12" s="33" customFormat="1" x14ac:dyDescent="0.3">
      <c r="A36" s="33" t="s">
        <v>121</v>
      </c>
      <c r="B36" s="33" t="s">
        <v>48</v>
      </c>
      <c r="C36" s="33">
        <v>4430266599</v>
      </c>
      <c r="E36" s="33">
        <v>1</v>
      </c>
      <c r="F36" s="33">
        <v>0</v>
      </c>
      <c r="G36" s="33" t="s">
        <v>47</v>
      </c>
      <c r="H36" s="33" t="s">
        <v>122</v>
      </c>
      <c r="I36" s="33" t="s">
        <v>46</v>
      </c>
      <c r="J36" s="33" t="s">
        <v>40</v>
      </c>
    </row>
    <row r="37" spans="1:12" s="33" customFormat="1" x14ac:dyDescent="0.3">
      <c r="A37" s="33" t="s">
        <v>123</v>
      </c>
      <c r="B37" s="33" t="s">
        <v>48</v>
      </c>
      <c r="C37" s="33">
        <v>4430266599</v>
      </c>
      <c r="E37" s="33">
        <v>1</v>
      </c>
      <c r="F37" s="33">
        <v>0</v>
      </c>
      <c r="G37" s="33" t="s">
        <v>47</v>
      </c>
      <c r="H37" s="33" t="s">
        <v>124</v>
      </c>
      <c r="I37" s="33" t="s">
        <v>46</v>
      </c>
      <c r="J37" s="33" t="s">
        <v>40</v>
      </c>
    </row>
    <row r="38" spans="1:12" s="33" customFormat="1" x14ac:dyDescent="0.3">
      <c r="A38" s="33" t="s">
        <v>125</v>
      </c>
      <c r="B38" s="33" t="s">
        <v>48</v>
      </c>
      <c r="C38" s="33">
        <v>4430266599</v>
      </c>
      <c r="E38" s="33">
        <v>2</v>
      </c>
      <c r="F38" s="33">
        <v>0</v>
      </c>
      <c r="G38" s="33" t="s">
        <v>47</v>
      </c>
      <c r="H38" s="33" t="s">
        <v>126</v>
      </c>
      <c r="I38" s="33" t="s">
        <v>46</v>
      </c>
      <c r="J38" s="33" t="s">
        <v>40</v>
      </c>
    </row>
    <row r="39" spans="1:12" s="33" customFormat="1" x14ac:dyDescent="0.3">
      <c r="A39" s="33" t="s">
        <v>127</v>
      </c>
      <c r="B39" s="33">
        <v>45999211357</v>
      </c>
      <c r="C39" s="33" t="s">
        <v>43</v>
      </c>
      <c r="D39" s="33">
        <v>4431268225</v>
      </c>
      <c r="E39" s="33">
        <v>1093</v>
      </c>
      <c r="F39" s="33">
        <v>992</v>
      </c>
      <c r="G39" s="33" t="s">
        <v>38</v>
      </c>
      <c r="H39" s="33" t="s">
        <v>128</v>
      </c>
      <c r="I39" s="33" t="s">
        <v>39</v>
      </c>
      <c r="J39" s="33" t="s">
        <v>40</v>
      </c>
      <c r="K39" s="33" t="s">
        <v>41</v>
      </c>
      <c r="L39" s="33">
        <v>4</v>
      </c>
    </row>
    <row r="40" spans="1:12" s="33" customFormat="1" x14ac:dyDescent="0.3">
      <c r="A40" s="33" t="s">
        <v>129</v>
      </c>
      <c r="B40" s="33">
        <v>44999147017</v>
      </c>
      <c r="C40" s="33" t="s">
        <v>43</v>
      </c>
      <c r="D40" s="33">
        <v>4430265054</v>
      </c>
      <c r="E40" s="33">
        <v>267</v>
      </c>
      <c r="F40" s="33">
        <v>157</v>
      </c>
      <c r="G40" s="33" t="s">
        <v>38</v>
      </c>
      <c r="H40" s="33" t="s">
        <v>130</v>
      </c>
      <c r="I40" s="33" t="s">
        <v>39</v>
      </c>
      <c r="J40" s="33" t="s">
        <v>40</v>
      </c>
      <c r="K40" s="33" t="s">
        <v>41</v>
      </c>
    </row>
    <row r="41" spans="1:12" s="33" customFormat="1" x14ac:dyDescent="0.3">
      <c r="A41" s="33" t="s">
        <v>131</v>
      </c>
      <c r="B41" s="33" t="s">
        <v>48</v>
      </c>
      <c r="C41" s="33">
        <v>4430153305</v>
      </c>
      <c r="E41" s="33">
        <v>137</v>
      </c>
      <c r="F41" s="33">
        <v>126</v>
      </c>
      <c r="G41" s="33" t="s">
        <v>38</v>
      </c>
      <c r="H41" s="33" t="s">
        <v>132</v>
      </c>
      <c r="I41" s="33" t="s">
        <v>46</v>
      </c>
      <c r="J41" s="33" t="s">
        <v>40</v>
      </c>
    </row>
    <row r="42" spans="1:12" s="33" customFormat="1" x14ac:dyDescent="0.3">
      <c r="A42" s="33" t="s">
        <v>133</v>
      </c>
      <c r="B42" s="33" t="s">
        <v>45</v>
      </c>
      <c r="C42" s="33">
        <v>1937562600</v>
      </c>
      <c r="E42" s="33">
        <v>1034</v>
      </c>
      <c r="F42" s="33">
        <v>1021</v>
      </c>
      <c r="G42" s="33" t="s">
        <v>38</v>
      </c>
      <c r="H42" s="33" t="s">
        <v>134</v>
      </c>
      <c r="I42" s="33" t="s">
        <v>46</v>
      </c>
      <c r="J42" s="33" t="s">
        <v>40</v>
      </c>
      <c r="L42" s="33">
        <v>5</v>
      </c>
    </row>
    <row r="43" spans="1:12" s="33" customFormat="1" x14ac:dyDescent="0.3">
      <c r="A43" s="33" t="s">
        <v>135</v>
      </c>
      <c r="B43" s="33">
        <v>45999211357</v>
      </c>
      <c r="C43" s="33" t="s">
        <v>42</v>
      </c>
      <c r="D43" s="33">
        <v>4431268225</v>
      </c>
      <c r="E43" s="33">
        <v>1073</v>
      </c>
      <c r="F43" s="33">
        <v>1045</v>
      </c>
      <c r="G43" s="33" t="s">
        <v>38</v>
      </c>
      <c r="H43" s="33" t="s">
        <v>136</v>
      </c>
      <c r="I43" s="33" t="s">
        <v>39</v>
      </c>
      <c r="J43" s="33" t="s">
        <v>40</v>
      </c>
      <c r="K43" s="33" t="s">
        <v>41</v>
      </c>
      <c r="L43" s="33">
        <v>4</v>
      </c>
    </row>
    <row r="44" spans="1:12" s="33" customFormat="1" x14ac:dyDescent="0.3">
      <c r="A44" s="33" t="s">
        <v>137</v>
      </c>
      <c r="B44" s="33">
        <v>44998636008</v>
      </c>
      <c r="C44" s="33" t="s">
        <v>45</v>
      </c>
      <c r="D44" s="33">
        <v>4430265054</v>
      </c>
      <c r="E44" s="33">
        <v>371</v>
      </c>
      <c r="F44" s="33">
        <v>330</v>
      </c>
      <c r="G44" s="33" t="s">
        <v>38</v>
      </c>
      <c r="H44" s="33" t="s">
        <v>138</v>
      </c>
      <c r="I44" s="33" t="s">
        <v>39</v>
      </c>
      <c r="J44" s="33" t="s">
        <v>40</v>
      </c>
      <c r="K44" s="33" t="s">
        <v>41</v>
      </c>
    </row>
    <row r="45" spans="1:12" s="33" customFormat="1" x14ac:dyDescent="0.3">
      <c r="A45" s="33" t="s">
        <v>139</v>
      </c>
      <c r="B45" s="33" t="s">
        <v>45</v>
      </c>
      <c r="C45" s="33">
        <v>44998006660</v>
      </c>
      <c r="E45" s="33">
        <v>63</v>
      </c>
      <c r="F45" s="33">
        <v>43</v>
      </c>
      <c r="G45" s="33" t="s">
        <v>38</v>
      </c>
      <c r="H45" s="33" t="s">
        <v>140</v>
      </c>
      <c r="I45" s="33" t="s">
        <v>46</v>
      </c>
      <c r="J45" s="33" t="s">
        <v>40</v>
      </c>
    </row>
    <row r="46" spans="1:12" s="33" customFormat="1" x14ac:dyDescent="0.3">
      <c r="A46" s="33" t="s">
        <v>141</v>
      </c>
      <c r="B46" s="33">
        <v>6434538540</v>
      </c>
      <c r="C46" s="33" t="s">
        <v>37</v>
      </c>
      <c r="D46" s="33">
        <v>4430265054</v>
      </c>
      <c r="E46" s="33">
        <v>438</v>
      </c>
      <c r="F46" s="33">
        <v>410</v>
      </c>
      <c r="G46" s="33" t="s">
        <v>38</v>
      </c>
      <c r="H46" s="33" t="s">
        <v>142</v>
      </c>
      <c r="I46" s="33" t="s">
        <v>39</v>
      </c>
      <c r="J46" s="33" t="s">
        <v>40</v>
      </c>
      <c r="K46" s="33" t="s">
        <v>41</v>
      </c>
      <c r="L46" s="33">
        <v>5</v>
      </c>
    </row>
    <row r="47" spans="1:12" s="33" customFormat="1" x14ac:dyDescent="0.3">
      <c r="A47" s="33" t="s">
        <v>143</v>
      </c>
      <c r="B47" s="33">
        <v>44999676986</v>
      </c>
      <c r="C47" s="33" t="s">
        <v>43</v>
      </c>
      <c r="D47" s="33">
        <v>4430265054</v>
      </c>
      <c r="E47" s="33">
        <v>858</v>
      </c>
      <c r="F47" s="33">
        <v>752</v>
      </c>
      <c r="G47" s="33" t="s">
        <v>38</v>
      </c>
      <c r="H47" s="33" t="s">
        <v>144</v>
      </c>
      <c r="I47" s="33" t="s">
        <v>39</v>
      </c>
      <c r="J47" s="33" t="s">
        <v>40</v>
      </c>
      <c r="K47" s="33" t="s">
        <v>41</v>
      </c>
      <c r="L47" s="33">
        <v>5</v>
      </c>
    </row>
    <row r="48" spans="1:12" s="33" customFormat="1" x14ac:dyDescent="0.3">
      <c r="A48" s="33" t="s">
        <v>145</v>
      </c>
      <c r="B48" s="33" t="s">
        <v>45</v>
      </c>
      <c r="C48" s="33">
        <v>44998006660</v>
      </c>
      <c r="E48" s="33">
        <v>71</v>
      </c>
      <c r="F48" s="33">
        <v>30</v>
      </c>
      <c r="G48" s="33" t="s">
        <v>38</v>
      </c>
      <c r="H48" s="33" t="s">
        <v>146</v>
      </c>
      <c r="I48" s="33" t="s">
        <v>46</v>
      </c>
      <c r="J48" s="33" t="s">
        <v>40</v>
      </c>
    </row>
    <row r="49" spans="1:12" s="33" customFormat="1" x14ac:dyDescent="0.3">
      <c r="A49" s="33" t="s">
        <v>147</v>
      </c>
      <c r="B49" s="33">
        <v>4430403880</v>
      </c>
      <c r="C49" s="33" t="s">
        <v>45</v>
      </c>
      <c r="D49" s="33">
        <v>4430265054</v>
      </c>
      <c r="E49" s="33">
        <v>1370</v>
      </c>
      <c r="F49" s="33">
        <v>1314</v>
      </c>
      <c r="G49" s="33" t="s">
        <v>38</v>
      </c>
      <c r="H49" s="33" t="s">
        <v>148</v>
      </c>
      <c r="I49" s="33" t="s">
        <v>39</v>
      </c>
      <c r="J49" s="33" t="s">
        <v>40</v>
      </c>
      <c r="K49" s="33" t="s">
        <v>41</v>
      </c>
    </row>
    <row r="50" spans="1:12" s="33" customFormat="1" x14ac:dyDescent="0.3">
      <c r="A50" s="33" t="s">
        <v>149</v>
      </c>
      <c r="B50" s="33" t="s">
        <v>44</v>
      </c>
      <c r="C50" s="33">
        <v>4436295470</v>
      </c>
      <c r="E50" s="33">
        <v>170</v>
      </c>
      <c r="F50" s="33">
        <v>163</v>
      </c>
      <c r="G50" s="33" t="s">
        <v>38</v>
      </c>
      <c r="H50" s="33" t="s">
        <v>150</v>
      </c>
      <c r="I50" s="33" t="s">
        <v>46</v>
      </c>
      <c r="J50" s="33" t="s">
        <v>40</v>
      </c>
      <c r="L50" s="33">
        <v>5</v>
      </c>
    </row>
    <row r="51" spans="1:12" s="33" customFormat="1" x14ac:dyDescent="0.3">
      <c r="A51" s="33" t="s">
        <v>151</v>
      </c>
      <c r="B51" s="33">
        <v>4436351835</v>
      </c>
      <c r="C51" s="33" t="s">
        <v>42</v>
      </c>
      <c r="D51" s="33">
        <v>4430265054</v>
      </c>
      <c r="E51" s="33">
        <v>211</v>
      </c>
      <c r="F51" s="33">
        <v>113</v>
      </c>
      <c r="G51" s="33" t="s">
        <v>38</v>
      </c>
      <c r="H51" s="33" t="s">
        <v>152</v>
      </c>
      <c r="I51" s="33" t="s">
        <v>39</v>
      </c>
      <c r="J51" s="33" t="s">
        <v>40</v>
      </c>
      <c r="K51" s="33" t="s">
        <v>41</v>
      </c>
    </row>
    <row r="52" spans="1:12" s="33" customFormat="1" x14ac:dyDescent="0.3">
      <c r="A52" s="33" t="s">
        <v>153</v>
      </c>
      <c r="B52" s="33">
        <v>44991116911</v>
      </c>
      <c r="C52" s="33" t="s">
        <v>42</v>
      </c>
      <c r="D52" s="33">
        <v>4430265054</v>
      </c>
      <c r="E52" s="33">
        <v>383</v>
      </c>
      <c r="F52" s="33">
        <v>365</v>
      </c>
      <c r="G52" s="33" t="s">
        <v>38</v>
      </c>
      <c r="H52" s="33" t="s">
        <v>154</v>
      </c>
      <c r="I52" s="33" t="s">
        <v>39</v>
      </c>
      <c r="J52" s="33" t="s">
        <v>40</v>
      </c>
      <c r="K52" s="33" t="s">
        <v>41</v>
      </c>
      <c r="L52" s="33">
        <v>5</v>
      </c>
    </row>
    <row r="53" spans="1:12" s="33" customFormat="1" x14ac:dyDescent="0.3">
      <c r="A53" s="33" t="s">
        <v>155</v>
      </c>
      <c r="B53" s="33">
        <v>15997113760</v>
      </c>
      <c r="C53" s="33" t="s">
        <v>44</v>
      </c>
      <c r="D53" s="33">
        <v>4430265054</v>
      </c>
      <c r="E53" s="33">
        <v>284</v>
      </c>
      <c r="F53" s="33">
        <v>249</v>
      </c>
      <c r="G53" s="33" t="s">
        <v>38</v>
      </c>
      <c r="H53" s="33" t="s">
        <v>156</v>
      </c>
      <c r="I53" s="33" t="s">
        <v>39</v>
      </c>
      <c r="J53" s="33" t="s">
        <v>40</v>
      </c>
      <c r="K53" s="33" t="s">
        <v>41</v>
      </c>
    </row>
    <row r="54" spans="1:12" s="33" customFormat="1" x14ac:dyDescent="0.3">
      <c r="A54" s="33" t="s">
        <v>157</v>
      </c>
      <c r="B54" s="33">
        <v>6234347959</v>
      </c>
      <c r="C54" s="33" t="s">
        <v>43</v>
      </c>
      <c r="D54" s="33">
        <v>4430265054</v>
      </c>
      <c r="E54" s="33">
        <v>875</v>
      </c>
      <c r="F54" s="33">
        <v>795</v>
      </c>
      <c r="G54" s="33" t="s">
        <v>38</v>
      </c>
      <c r="H54" s="33" t="s">
        <v>158</v>
      </c>
      <c r="I54" s="33" t="s">
        <v>39</v>
      </c>
      <c r="J54" s="33" t="s">
        <v>40</v>
      </c>
      <c r="K54" s="33" t="s">
        <v>41</v>
      </c>
      <c r="L54" s="33">
        <v>5</v>
      </c>
    </row>
    <row r="55" spans="1:12" s="33" customFormat="1" x14ac:dyDescent="0.3">
      <c r="A55" s="33" t="s">
        <v>159</v>
      </c>
      <c r="B55" s="33">
        <v>43999855301</v>
      </c>
      <c r="C55" s="33" t="s">
        <v>45</v>
      </c>
      <c r="D55" s="33">
        <v>4430265054</v>
      </c>
      <c r="E55" s="33">
        <v>1090</v>
      </c>
      <c r="F55" s="33">
        <v>1006</v>
      </c>
      <c r="G55" s="33" t="s">
        <v>38</v>
      </c>
      <c r="H55" s="33" t="s">
        <v>160</v>
      </c>
      <c r="I55" s="33" t="s">
        <v>39</v>
      </c>
      <c r="J55" s="33" t="s">
        <v>40</v>
      </c>
      <c r="K55" s="33" t="s">
        <v>41</v>
      </c>
      <c r="L55" s="33">
        <v>5</v>
      </c>
    </row>
    <row r="56" spans="1:12" s="33" customFormat="1" x14ac:dyDescent="0.3">
      <c r="A56" s="33" t="s">
        <v>161</v>
      </c>
      <c r="B56" s="33">
        <v>44997400641</v>
      </c>
      <c r="C56" s="33" t="s">
        <v>43</v>
      </c>
      <c r="D56" s="33">
        <v>4430265054</v>
      </c>
      <c r="E56" s="33">
        <v>333</v>
      </c>
      <c r="F56" s="33">
        <v>280</v>
      </c>
      <c r="G56" s="33" t="s">
        <v>38</v>
      </c>
      <c r="H56" s="33" t="s">
        <v>162</v>
      </c>
      <c r="I56" s="33" t="s">
        <v>39</v>
      </c>
      <c r="J56" s="33" t="s">
        <v>40</v>
      </c>
      <c r="K56" s="33" t="s">
        <v>41</v>
      </c>
    </row>
    <row r="57" spans="1:12" s="33" customFormat="1" x14ac:dyDescent="0.3">
      <c r="A57" s="33" t="s">
        <v>163</v>
      </c>
      <c r="B57" s="33">
        <v>44991381017</v>
      </c>
      <c r="C57" s="33" t="s">
        <v>37</v>
      </c>
      <c r="D57" s="33">
        <v>4430265054</v>
      </c>
      <c r="E57" s="33">
        <v>1433</v>
      </c>
      <c r="F57" s="33">
        <v>1392</v>
      </c>
      <c r="G57" s="33" t="s">
        <v>38</v>
      </c>
      <c r="H57" s="33" t="s">
        <v>164</v>
      </c>
      <c r="I57" s="33" t="s">
        <v>39</v>
      </c>
      <c r="J57" s="33" t="s">
        <v>40</v>
      </c>
      <c r="K57" s="33" t="s">
        <v>41</v>
      </c>
    </row>
    <row r="58" spans="1:12" s="33" customFormat="1" x14ac:dyDescent="0.3">
      <c r="A58" s="33" t="s">
        <v>165</v>
      </c>
      <c r="B58" s="33">
        <v>4436295470</v>
      </c>
      <c r="C58" s="33" t="s">
        <v>44</v>
      </c>
      <c r="D58" s="33">
        <v>4430265054</v>
      </c>
      <c r="E58" s="33">
        <v>523</v>
      </c>
      <c r="F58" s="33">
        <v>486</v>
      </c>
      <c r="G58" s="33" t="s">
        <v>38</v>
      </c>
      <c r="H58" s="33" t="s">
        <v>166</v>
      </c>
      <c r="I58" s="33" t="s">
        <v>39</v>
      </c>
      <c r="J58" s="33" t="s">
        <v>40</v>
      </c>
      <c r="K58" s="33" t="s">
        <v>41</v>
      </c>
    </row>
    <row r="59" spans="1:12" s="33" customFormat="1" x14ac:dyDescent="0.3">
      <c r="A59" s="33" t="s">
        <v>167</v>
      </c>
      <c r="B59" s="33">
        <v>44988255390</v>
      </c>
      <c r="C59" s="33" t="s">
        <v>37</v>
      </c>
      <c r="D59" s="33">
        <v>4430265054</v>
      </c>
      <c r="E59" s="33">
        <v>434</v>
      </c>
      <c r="F59" s="33">
        <v>362</v>
      </c>
      <c r="G59" s="33" t="s">
        <v>38</v>
      </c>
      <c r="H59" s="33" t="s">
        <v>168</v>
      </c>
      <c r="I59" s="33" t="s">
        <v>39</v>
      </c>
      <c r="J59" s="33" t="s">
        <v>40</v>
      </c>
      <c r="K59" s="33" t="s">
        <v>41</v>
      </c>
    </row>
    <row r="60" spans="1:12" s="33" customFormat="1" x14ac:dyDescent="0.3">
      <c r="A60" s="33" t="s">
        <v>169</v>
      </c>
      <c r="B60" s="33">
        <v>6434538540</v>
      </c>
      <c r="C60" s="33" t="s">
        <v>43</v>
      </c>
      <c r="D60" s="33">
        <v>4430265054</v>
      </c>
      <c r="E60" s="33">
        <v>168</v>
      </c>
      <c r="F60" s="33">
        <v>130</v>
      </c>
      <c r="G60" s="33" t="s">
        <v>38</v>
      </c>
      <c r="H60" s="33" t="s">
        <v>170</v>
      </c>
      <c r="I60" s="33" t="s">
        <v>39</v>
      </c>
      <c r="J60" s="33" t="s">
        <v>40</v>
      </c>
      <c r="K60" s="33" t="s">
        <v>41</v>
      </c>
    </row>
    <row r="61" spans="1:12" s="33" customFormat="1" x14ac:dyDescent="0.3">
      <c r="A61" s="33" t="s">
        <v>171</v>
      </c>
      <c r="B61" s="33">
        <v>45999211357</v>
      </c>
      <c r="C61" s="33" t="s">
        <v>44</v>
      </c>
      <c r="D61" s="33">
        <v>4431268225</v>
      </c>
      <c r="E61" s="33">
        <v>210</v>
      </c>
      <c r="F61" s="33">
        <v>165</v>
      </c>
      <c r="G61" s="33" t="s">
        <v>38</v>
      </c>
      <c r="H61" s="33" t="s">
        <v>172</v>
      </c>
      <c r="I61" s="33" t="s">
        <v>39</v>
      </c>
      <c r="J61" s="33" t="s">
        <v>40</v>
      </c>
      <c r="K61" s="33" t="s">
        <v>41</v>
      </c>
    </row>
    <row r="62" spans="1:12" s="33" customFormat="1" x14ac:dyDescent="0.3">
      <c r="A62" s="33" t="s">
        <v>173</v>
      </c>
      <c r="B62" s="33" t="s">
        <v>44</v>
      </c>
      <c r="C62" s="33">
        <v>45999211357</v>
      </c>
      <c r="E62" s="33">
        <v>36</v>
      </c>
      <c r="F62" s="33">
        <v>0</v>
      </c>
      <c r="G62" s="33" t="s">
        <v>47</v>
      </c>
      <c r="H62" s="33" t="s">
        <v>174</v>
      </c>
      <c r="I62" s="33" t="s">
        <v>46</v>
      </c>
      <c r="J62" s="33" t="s">
        <v>40</v>
      </c>
    </row>
    <row r="63" spans="1:12" s="33" customFormat="1" x14ac:dyDescent="0.3">
      <c r="A63" s="33" t="s">
        <v>175</v>
      </c>
      <c r="B63" s="33" t="s">
        <v>42</v>
      </c>
      <c r="C63" s="33">
        <v>11980176021</v>
      </c>
      <c r="E63" s="33">
        <v>539</v>
      </c>
      <c r="F63" s="33">
        <v>533</v>
      </c>
      <c r="G63" s="33" t="s">
        <v>38</v>
      </c>
      <c r="H63" s="33" t="s">
        <v>176</v>
      </c>
      <c r="I63" s="33" t="s">
        <v>46</v>
      </c>
      <c r="J63" s="33" t="s">
        <v>40</v>
      </c>
    </row>
    <row r="64" spans="1:12" s="33" customFormat="1" x14ac:dyDescent="0.3">
      <c r="A64" s="33" t="s">
        <v>177</v>
      </c>
      <c r="B64" s="33" t="s">
        <v>44</v>
      </c>
      <c r="C64" s="33">
        <v>45999211357</v>
      </c>
      <c r="E64" s="33">
        <v>36</v>
      </c>
      <c r="F64" s="33">
        <v>0</v>
      </c>
      <c r="G64" s="33" t="s">
        <v>47</v>
      </c>
      <c r="H64" s="33" t="s">
        <v>178</v>
      </c>
      <c r="I64" s="33" t="s">
        <v>46</v>
      </c>
      <c r="J64" s="33" t="s">
        <v>40</v>
      </c>
    </row>
    <row r="65" spans="1:12" s="33" customFormat="1" x14ac:dyDescent="0.3">
      <c r="A65" s="33" t="s">
        <v>179</v>
      </c>
      <c r="B65" s="33">
        <v>81983567163</v>
      </c>
      <c r="C65" s="33" t="s">
        <v>45</v>
      </c>
      <c r="D65" s="33">
        <v>4431268225</v>
      </c>
      <c r="E65" s="33">
        <v>961</v>
      </c>
      <c r="F65" s="33">
        <v>921</v>
      </c>
      <c r="G65" s="33" t="s">
        <v>38</v>
      </c>
      <c r="H65" s="33" t="s">
        <v>180</v>
      </c>
      <c r="I65" s="33" t="s">
        <v>39</v>
      </c>
      <c r="J65" s="33" t="s">
        <v>40</v>
      </c>
      <c r="K65" s="33" t="s">
        <v>41</v>
      </c>
      <c r="L65" s="33">
        <v>5</v>
      </c>
    </row>
    <row r="66" spans="1:12" s="33" customFormat="1" x14ac:dyDescent="0.3">
      <c r="A66" s="33" t="s">
        <v>181</v>
      </c>
      <c r="B66" s="33" t="s">
        <v>44</v>
      </c>
      <c r="C66" s="33">
        <v>45999211357</v>
      </c>
      <c r="E66" s="33">
        <v>36</v>
      </c>
      <c r="F66" s="33">
        <v>0</v>
      </c>
      <c r="G66" s="33" t="s">
        <v>47</v>
      </c>
      <c r="H66" s="33" t="s">
        <v>182</v>
      </c>
      <c r="I66" s="33" t="s">
        <v>46</v>
      </c>
      <c r="J66" s="33" t="s">
        <v>40</v>
      </c>
    </row>
    <row r="67" spans="1:12" s="33" customFormat="1" x14ac:dyDescent="0.3">
      <c r="A67" s="33" t="s">
        <v>183</v>
      </c>
      <c r="B67" s="33">
        <v>43999855301</v>
      </c>
      <c r="C67" s="33" t="s">
        <v>45</v>
      </c>
      <c r="D67" s="33">
        <v>4430265054</v>
      </c>
      <c r="E67" s="33">
        <v>73</v>
      </c>
      <c r="F67" s="33">
        <v>37</v>
      </c>
      <c r="G67" s="33" t="s">
        <v>38</v>
      </c>
      <c r="H67" s="33" t="s">
        <v>184</v>
      </c>
      <c r="I67" s="33" t="s">
        <v>39</v>
      </c>
      <c r="J67" s="33" t="s">
        <v>40</v>
      </c>
      <c r="K67" s="33" t="s">
        <v>41</v>
      </c>
    </row>
    <row r="68" spans="1:12" s="33" customFormat="1" x14ac:dyDescent="0.3">
      <c r="A68" s="33" t="s">
        <v>185</v>
      </c>
      <c r="B68" s="33">
        <v>44988067937</v>
      </c>
      <c r="C68" s="33" t="s">
        <v>43</v>
      </c>
      <c r="D68" s="33">
        <v>4430265054</v>
      </c>
      <c r="E68" s="33">
        <v>508</v>
      </c>
      <c r="F68" s="33">
        <v>453</v>
      </c>
      <c r="G68" s="33" t="s">
        <v>38</v>
      </c>
      <c r="H68" s="33" t="s">
        <v>186</v>
      </c>
      <c r="I68" s="33" t="s">
        <v>39</v>
      </c>
      <c r="J68" s="33" t="s">
        <v>40</v>
      </c>
      <c r="K68" s="33" t="s">
        <v>41</v>
      </c>
    </row>
    <row r="69" spans="1:12" s="33" customFormat="1" x14ac:dyDescent="0.3">
      <c r="A69" s="33" t="s">
        <v>187</v>
      </c>
      <c r="B69" s="33">
        <v>4432541200</v>
      </c>
      <c r="C69" s="33" t="s">
        <v>37</v>
      </c>
      <c r="D69" s="33">
        <v>4430265054</v>
      </c>
      <c r="E69" s="33">
        <v>757</v>
      </c>
      <c r="F69" s="33">
        <v>708</v>
      </c>
      <c r="G69" s="33" t="s">
        <v>38</v>
      </c>
      <c r="H69" s="33" t="s">
        <v>188</v>
      </c>
      <c r="I69" s="33" t="s">
        <v>39</v>
      </c>
      <c r="J69" s="33" t="s">
        <v>40</v>
      </c>
      <c r="K69" s="33" t="s">
        <v>41</v>
      </c>
    </row>
    <row r="70" spans="1:12" s="33" customFormat="1" x14ac:dyDescent="0.3">
      <c r="A70" s="33" t="s">
        <v>189</v>
      </c>
      <c r="B70" s="33" t="s">
        <v>42</v>
      </c>
      <c r="C70" s="33">
        <v>11980176021</v>
      </c>
      <c r="E70" s="33">
        <v>726</v>
      </c>
      <c r="F70" s="33">
        <v>720</v>
      </c>
      <c r="G70" s="33" t="s">
        <v>38</v>
      </c>
      <c r="H70" s="33" t="s">
        <v>190</v>
      </c>
      <c r="I70" s="33" t="s">
        <v>46</v>
      </c>
      <c r="J70" s="33" t="s">
        <v>40</v>
      </c>
    </row>
    <row r="71" spans="1:12" s="33" customFormat="1" x14ac:dyDescent="0.3">
      <c r="A71" s="33" t="s">
        <v>191</v>
      </c>
      <c r="B71" s="33">
        <v>44991484476</v>
      </c>
      <c r="C71" s="33" t="s">
        <v>45</v>
      </c>
      <c r="D71" s="33">
        <v>4430265054</v>
      </c>
      <c r="E71" s="33">
        <v>716</v>
      </c>
      <c r="F71" s="33">
        <v>683</v>
      </c>
      <c r="G71" s="33" t="s">
        <v>38</v>
      </c>
      <c r="H71" s="33" t="s">
        <v>192</v>
      </c>
      <c r="I71" s="33" t="s">
        <v>39</v>
      </c>
      <c r="J71" s="33" t="s">
        <v>40</v>
      </c>
      <c r="K71" s="33" t="s">
        <v>41</v>
      </c>
    </row>
    <row r="72" spans="1:12" s="33" customFormat="1" x14ac:dyDescent="0.3">
      <c r="A72" s="33" t="s">
        <v>193</v>
      </c>
      <c r="B72" s="33">
        <v>4430152533</v>
      </c>
      <c r="C72" s="33" t="s">
        <v>37</v>
      </c>
      <c r="D72" s="33">
        <v>4430265054</v>
      </c>
      <c r="E72" s="33">
        <v>403</v>
      </c>
      <c r="F72" s="33">
        <v>365</v>
      </c>
      <c r="G72" s="33" t="s">
        <v>38</v>
      </c>
      <c r="H72" s="33" t="s">
        <v>194</v>
      </c>
      <c r="I72" s="33" t="s">
        <v>39</v>
      </c>
      <c r="J72" s="33" t="s">
        <v>40</v>
      </c>
      <c r="K72" s="33" t="s">
        <v>41</v>
      </c>
      <c r="L72" s="33">
        <v>5</v>
      </c>
    </row>
    <row r="73" spans="1:12" s="33" customFormat="1" x14ac:dyDescent="0.3">
      <c r="A73" s="33" t="s">
        <v>193</v>
      </c>
      <c r="B73" s="33" t="s">
        <v>44</v>
      </c>
      <c r="C73" s="33">
        <v>47992275601</v>
      </c>
      <c r="E73" s="33">
        <v>1142</v>
      </c>
      <c r="F73" s="33">
        <v>1124</v>
      </c>
      <c r="G73" s="33" t="s">
        <v>38</v>
      </c>
      <c r="H73" s="33" t="s">
        <v>195</v>
      </c>
      <c r="I73" s="33" t="s">
        <v>46</v>
      </c>
      <c r="J73" s="33" t="s">
        <v>40</v>
      </c>
    </row>
    <row r="74" spans="1:12" s="33" customFormat="1" x14ac:dyDescent="0.3">
      <c r="A74" s="33" t="s">
        <v>196</v>
      </c>
      <c r="B74" s="33" t="s">
        <v>42</v>
      </c>
      <c r="C74" s="33">
        <v>11980176021</v>
      </c>
      <c r="E74" s="33">
        <v>727</v>
      </c>
      <c r="F74" s="33">
        <v>721</v>
      </c>
      <c r="G74" s="33" t="s">
        <v>38</v>
      </c>
      <c r="H74" s="33" t="s">
        <v>197</v>
      </c>
      <c r="I74" s="33" t="s">
        <v>46</v>
      </c>
      <c r="J74" s="33" t="s">
        <v>40</v>
      </c>
    </row>
    <row r="75" spans="1:12" s="33" customFormat="1" x14ac:dyDescent="0.3">
      <c r="A75" s="33" t="s">
        <v>198</v>
      </c>
      <c r="B75" s="33">
        <v>4430141533</v>
      </c>
      <c r="C75" s="33" t="s">
        <v>43</v>
      </c>
      <c r="D75" s="33">
        <v>4430265054</v>
      </c>
      <c r="E75" s="33">
        <v>159</v>
      </c>
      <c r="F75" s="33">
        <v>97</v>
      </c>
      <c r="G75" s="33" t="s">
        <v>38</v>
      </c>
      <c r="H75" s="33" t="s">
        <v>199</v>
      </c>
      <c r="I75" s="33" t="s">
        <v>39</v>
      </c>
      <c r="J75" s="33" t="s">
        <v>40</v>
      </c>
      <c r="K75" s="33" t="s">
        <v>41</v>
      </c>
    </row>
    <row r="76" spans="1:12" s="33" customFormat="1" x14ac:dyDescent="0.3">
      <c r="A76" s="33" t="s">
        <v>200</v>
      </c>
      <c r="B76" s="33">
        <v>4436351138</v>
      </c>
      <c r="C76" s="33" t="s">
        <v>43</v>
      </c>
      <c r="D76" s="33">
        <v>4430265054</v>
      </c>
      <c r="E76" s="33">
        <v>194</v>
      </c>
      <c r="F76" s="33">
        <v>169</v>
      </c>
      <c r="G76" s="33" t="s">
        <v>38</v>
      </c>
      <c r="H76" s="33" t="s">
        <v>201</v>
      </c>
      <c r="I76" s="33" t="s">
        <v>39</v>
      </c>
      <c r="J76" s="33" t="s">
        <v>40</v>
      </c>
      <c r="K76" s="33" t="s">
        <v>41</v>
      </c>
    </row>
    <row r="77" spans="1:12" s="33" customFormat="1" x14ac:dyDescent="0.3">
      <c r="A77" s="33" t="s">
        <v>202</v>
      </c>
      <c r="B77" s="33" t="s">
        <v>42</v>
      </c>
      <c r="C77" s="33">
        <v>11980176021</v>
      </c>
      <c r="E77" s="33">
        <v>726</v>
      </c>
      <c r="F77" s="33">
        <v>720</v>
      </c>
      <c r="G77" s="33" t="s">
        <v>38</v>
      </c>
      <c r="H77" s="33" t="s">
        <v>203</v>
      </c>
      <c r="I77" s="33" t="s">
        <v>46</v>
      </c>
      <c r="J77" s="33" t="s">
        <v>40</v>
      </c>
    </row>
    <row r="78" spans="1:12" s="33" customFormat="1" x14ac:dyDescent="0.3">
      <c r="A78" s="33" t="s">
        <v>204</v>
      </c>
      <c r="B78" s="33">
        <v>45999211357</v>
      </c>
      <c r="C78" s="33" t="s">
        <v>44</v>
      </c>
      <c r="D78" s="33">
        <v>4431268225</v>
      </c>
      <c r="E78" s="33">
        <v>615</v>
      </c>
      <c r="F78" s="33">
        <v>589</v>
      </c>
      <c r="G78" s="33" t="s">
        <v>38</v>
      </c>
      <c r="H78" s="33" t="s">
        <v>205</v>
      </c>
      <c r="I78" s="33" t="s">
        <v>39</v>
      </c>
      <c r="J78" s="33" t="s">
        <v>40</v>
      </c>
      <c r="K78" s="33" t="s">
        <v>41</v>
      </c>
    </row>
    <row r="79" spans="1:12" s="33" customFormat="1" x14ac:dyDescent="0.3">
      <c r="A79" s="33" t="s">
        <v>206</v>
      </c>
      <c r="B79" s="33" t="s">
        <v>42</v>
      </c>
      <c r="C79" s="33">
        <v>11980176021</v>
      </c>
      <c r="E79" s="33">
        <v>366</v>
      </c>
      <c r="F79" s="33">
        <v>361</v>
      </c>
      <c r="G79" s="33" t="s">
        <v>38</v>
      </c>
      <c r="H79" s="33" t="s">
        <v>207</v>
      </c>
      <c r="I79" s="33" t="s">
        <v>46</v>
      </c>
      <c r="J79" s="33" t="s">
        <v>40</v>
      </c>
    </row>
    <row r="80" spans="1:12" s="33" customFormat="1" x14ac:dyDescent="0.3">
      <c r="A80" s="33" t="s">
        <v>208</v>
      </c>
      <c r="B80" s="33" t="s">
        <v>42</v>
      </c>
      <c r="C80" s="33">
        <v>11980176021</v>
      </c>
      <c r="E80" s="33">
        <v>731</v>
      </c>
      <c r="F80" s="33">
        <v>720</v>
      </c>
      <c r="G80" s="33" t="s">
        <v>38</v>
      </c>
      <c r="H80" s="33" t="s">
        <v>209</v>
      </c>
      <c r="I80" s="33" t="s">
        <v>46</v>
      </c>
      <c r="J80" s="33" t="s">
        <v>40</v>
      </c>
    </row>
    <row r="81" spans="1:12" s="33" customFormat="1" x14ac:dyDescent="0.3">
      <c r="A81" s="33" t="s">
        <v>210</v>
      </c>
      <c r="B81" s="33">
        <v>4432637197</v>
      </c>
      <c r="C81" s="33" t="s">
        <v>45</v>
      </c>
      <c r="D81" s="33">
        <v>4430265054</v>
      </c>
      <c r="E81" s="33">
        <v>2521</v>
      </c>
      <c r="F81" s="33">
        <v>2426</v>
      </c>
      <c r="G81" s="33" t="s">
        <v>38</v>
      </c>
      <c r="H81" s="33" t="s">
        <v>211</v>
      </c>
      <c r="I81" s="33" t="s">
        <v>39</v>
      </c>
      <c r="J81" s="33" t="s">
        <v>40</v>
      </c>
      <c r="K81" s="33" t="s">
        <v>41</v>
      </c>
      <c r="L81" s="33">
        <v>5</v>
      </c>
    </row>
    <row r="82" spans="1:12" s="33" customFormat="1" x14ac:dyDescent="0.3">
      <c r="A82" s="33" t="s">
        <v>212</v>
      </c>
      <c r="B82" s="33">
        <v>44988067937</v>
      </c>
      <c r="C82" s="33" t="s">
        <v>45</v>
      </c>
      <c r="D82" s="33">
        <v>4430265054</v>
      </c>
      <c r="E82" s="33">
        <v>252</v>
      </c>
      <c r="F82" s="33">
        <v>213</v>
      </c>
      <c r="G82" s="33" t="s">
        <v>38</v>
      </c>
      <c r="H82" s="33" t="s">
        <v>213</v>
      </c>
      <c r="I82" s="33" t="s">
        <v>39</v>
      </c>
      <c r="J82" s="33" t="s">
        <v>40</v>
      </c>
      <c r="K82" s="33" t="s">
        <v>41</v>
      </c>
      <c r="L82" s="33">
        <v>5</v>
      </c>
    </row>
    <row r="83" spans="1:12" s="33" customFormat="1" x14ac:dyDescent="0.3">
      <c r="A83" s="33" t="s">
        <v>214</v>
      </c>
      <c r="B83" s="33" t="s">
        <v>42</v>
      </c>
      <c r="C83" s="33">
        <v>11980176021</v>
      </c>
      <c r="E83" s="33">
        <v>731</v>
      </c>
      <c r="F83" s="33">
        <v>720</v>
      </c>
      <c r="G83" s="33" t="s">
        <v>38</v>
      </c>
      <c r="H83" s="33" t="s">
        <v>215</v>
      </c>
      <c r="I83" s="33" t="s">
        <v>46</v>
      </c>
      <c r="J83" s="33" t="s">
        <v>40</v>
      </c>
    </row>
    <row r="84" spans="1:12" s="33" customFormat="1" x14ac:dyDescent="0.3">
      <c r="A84" s="33" t="s">
        <v>216</v>
      </c>
      <c r="B84" s="33" t="s">
        <v>42</v>
      </c>
      <c r="C84" s="33">
        <v>11980176021</v>
      </c>
      <c r="E84" s="33">
        <v>20</v>
      </c>
      <c r="F84" s="33">
        <v>0</v>
      </c>
      <c r="G84" s="33" t="s">
        <v>47</v>
      </c>
      <c r="H84" s="33" t="s">
        <v>217</v>
      </c>
      <c r="I84" s="33" t="s">
        <v>46</v>
      </c>
      <c r="J84" s="33" t="s">
        <v>40</v>
      </c>
    </row>
    <row r="85" spans="1:12" s="33" customFormat="1" x14ac:dyDescent="0.3">
      <c r="A85" s="33" t="s">
        <v>218</v>
      </c>
      <c r="B85" s="33" t="s">
        <v>42</v>
      </c>
      <c r="C85" s="33">
        <v>11980176021</v>
      </c>
      <c r="E85" s="33">
        <v>56</v>
      </c>
      <c r="F85" s="33">
        <v>33</v>
      </c>
      <c r="G85" s="33" t="s">
        <v>38</v>
      </c>
      <c r="H85" s="33" t="s">
        <v>219</v>
      </c>
      <c r="I85" s="33" t="s">
        <v>46</v>
      </c>
      <c r="J85" s="33" t="s">
        <v>40</v>
      </c>
    </row>
    <row r="86" spans="1:12" s="33" customFormat="1" x14ac:dyDescent="0.3">
      <c r="A86" s="33" t="s">
        <v>220</v>
      </c>
      <c r="B86" s="33" t="s">
        <v>43</v>
      </c>
      <c r="C86" s="33">
        <v>4430191401</v>
      </c>
      <c r="E86" s="33">
        <v>88</v>
      </c>
      <c r="F86" s="33">
        <v>84</v>
      </c>
      <c r="G86" s="33" t="s">
        <v>38</v>
      </c>
      <c r="H86" s="33" t="s">
        <v>221</v>
      </c>
      <c r="I86" s="33" t="s">
        <v>46</v>
      </c>
      <c r="J86" s="33" t="s">
        <v>40</v>
      </c>
    </row>
    <row r="87" spans="1:12" s="33" customFormat="1" x14ac:dyDescent="0.3">
      <c r="A87" s="33" t="s">
        <v>222</v>
      </c>
      <c r="B87" s="33" t="s">
        <v>44</v>
      </c>
      <c r="C87" s="33">
        <v>44991116911</v>
      </c>
      <c r="E87" s="33">
        <v>110</v>
      </c>
      <c r="F87" s="33">
        <v>95</v>
      </c>
      <c r="G87" s="33" t="s">
        <v>38</v>
      </c>
      <c r="H87" s="33" t="s">
        <v>223</v>
      </c>
      <c r="I87" s="33" t="s">
        <v>46</v>
      </c>
      <c r="J87" s="33" t="s">
        <v>40</v>
      </c>
    </row>
    <row r="88" spans="1:12" s="33" customFormat="1" x14ac:dyDescent="0.3">
      <c r="A88" s="33" t="s">
        <v>224</v>
      </c>
      <c r="B88" s="33" t="s">
        <v>44</v>
      </c>
      <c r="C88" s="33">
        <v>1732146970</v>
      </c>
      <c r="E88" s="33">
        <v>107</v>
      </c>
      <c r="F88" s="33">
        <v>105</v>
      </c>
      <c r="G88" s="33" t="s">
        <v>38</v>
      </c>
      <c r="H88" s="33" t="s">
        <v>225</v>
      </c>
      <c r="I88" s="33" t="s">
        <v>46</v>
      </c>
      <c r="J88" s="33" t="s">
        <v>40</v>
      </c>
    </row>
    <row r="89" spans="1:12" s="33" customFormat="1" x14ac:dyDescent="0.3">
      <c r="A89" s="33" t="s">
        <v>226</v>
      </c>
      <c r="B89" s="33" t="s">
        <v>43</v>
      </c>
      <c r="C89" s="33">
        <v>4433511515</v>
      </c>
      <c r="E89" s="33">
        <v>369</v>
      </c>
      <c r="F89" s="33">
        <v>352</v>
      </c>
      <c r="G89" s="33" t="s">
        <v>38</v>
      </c>
      <c r="H89" s="33" t="s">
        <v>227</v>
      </c>
      <c r="I89" s="33" t="s">
        <v>46</v>
      </c>
      <c r="J89" s="33" t="s">
        <v>40</v>
      </c>
    </row>
    <row r="90" spans="1:12" s="33" customFormat="1" x14ac:dyDescent="0.3">
      <c r="A90" s="33" t="s">
        <v>228</v>
      </c>
      <c r="B90" s="33" t="s">
        <v>43</v>
      </c>
      <c r="C90" s="33">
        <v>4433511515</v>
      </c>
      <c r="E90" s="33">
        <v>5</v>
      </c>
      <c r="F90" s="33">
        <v>0</v>
      </c>
      <c r="G90" s="33" t="s">
        <v>47</v>
      </c>
      <c r="H90" s="33" t="s">
        <v>229</v>
      </c>
      <c r="I90" s="33" t="s">
        <v>46</v>
      </c>
      <c r="J90" s="33" t="s">
        <v>40</v>
      </c>
    </row>
    <row r="91" spans="1:12" s="33" customFormat="1" x14ac:dyDescent="0.3">
      <c r="A91" s="33" t="s">
        <v>230</v>
      </c>
      <c r="B91" s="33" t="s">
        <v>44</v>
      </c>
      <c r="C91" s="33">
        <v>44991116911</v>
      </c>
      <c r="E91" s="33">
        <v>50</v>
      </c>
      <c r="F91" s="33">
        <v>11</v>
      </c>
      <c r="G91" s="33" t="s">
        <v>38</v>
      </c>
      <c r="H91" s="33" t="s">
        <v>231</v>
      </c>
      <c r="I91" s="33" t="s">
        <v>46</v>
      </c>
      <c r="J91" s="33" t="s">
        <v>40</v>
      </c>
    </row>
    <row r="92" spans="1:12" s="33" customFormat="1" x14ac:dyDescent="0.3">
      <c r="A92" s="33" t="s">
        <v>232</v>
      </c>
      <c r="B92" s="33">
        <v>4430141533</v>
      </c>
      <c r="C92" s="33" t="s">
        <v>42</v>
      </c>
      <c r="D92" s="33">
        <v>4430265054</v>
      </c>
      <c r="E92" s="33">
        <v>594</v>
      </c>
      <c r="F92" s="33">
        <v>513</v>
      </c>
      <c r="G92" s="33" t="s">
        <v>38</v>
      </c>
      <c r="H92" s="33" t="s">
        <v>233</v>
      </c>
      <c r="I92" s="33" t="s">
        <v>39</v>
      </c>
      <c r="J92" s="33" t="s">
        <v>40</v>
      </c>
      <c r="K92" s="33" t="s">
        <v>41</v>
      </c>
      <c r="L92" s="33">
        <v>5</v>
      </c>
    </row>
    <row r="93" spans="1:12" s="33" customFormat="1" x14ac:dyDescent="0.3">
      <c r="A93" s="33" t="s">
        <v>234</v>
      </c>
      <c r="B93" s="33">
        <v>4435228300</v>
      </c>
      <c r="C93" s="33" t="s">
        <v>37</v>
      </c>
      <c r="D93" s="33">
        <v>4430265054</v>
      </c>
      <c r="E93" s="33">
        <v>1259</v>
      </c>
      <c r="F93" s="33">
        <v>1203</v>
      </c>
      <c r="G93" s="33" t="s">
        <v>38</v>
      </c>
      <c r="H93" s="33" t="s">
        <v>235</v>
      </c>
      <c r="I93" s="33" t="s">
        <v>39</v>
      </c>
      <c r="J93" s="33" t="s">
        <v>40</v>
      </c>
      <c r="K93" s="33" t="s">
        <v>41</v>
      </c>
    </row>
    <row r="94" spans="1:12" s="33" customFormat="1" x14ac:dyDescent="0.3">
      <c r="A94" s="33" t="s">
        <v>236</v>
      </c>
      <c r="B94" s="33" t="s">
        <v>44</v>
      </c>
      <c r="C94" s="33">
        <v>1732146970</v>
      </c>
      <c r="E94" s="33">
        <v>138</v>
      </c>
      <c r="F94" s="33">
        <v>136</v>
      </c>
      <c r="G94" s="33" t="s">
        <v>38</v>
      </c>
      <c r="H94" s="33" t="s">
        <v>237</v>
      </c>
      <c r="I94" s="33" t="s">
        <v>46</v>
      </c>
      <c r="J94" s="33" t="s">
        <v>40</v>
      </c>
    </row>
    <row r="95" spans="1:12" s="33" customFormat="1" x14ac:dyDescent="0.3">
      <c r="A95" s="33" t="s">
        <v>238</v>
      </c>
      <c r="B95" s="33">
        <v>4436292220</v>
      </c>
      <c r="C95" s="33" t="s">
        <v>48</v>
      </c>
      <c r="D95" s="33">
        <v>4430265054</v>
      </c>
      <c r="E95" s="33">
        <v>195</v>
      </c>
      <c r="F95" s="33">
        <v>138</v>
      </c>
      <c r="G95" s="33" t="s">
        <v>38</v>
      </c>
      <c r="H95" s="33" t="s">
        <v>239</v>
      </c>
      <c r="I95" s="33" t="s">
        <v>39</v>
      </c>
      <c r="J95" s="33" t="s">
        <v>40</v>
      </c>
      <c r="K95" s="33" t="s">
        <v>41</v>
      </c>
    </row>
    <row r="96" spans="1:12" s="33" customFormat="1" x14ac:dyDescent="0.3">
      <c r="A96" s="33" t="s">
        <v>240</v>
      </c>
      <c r="B96" s="33">
        <v>44997123083</v>
      </c>
      <c r="C96" s="33" t="s">
        <v>43</v>
      </c>
      <c r="D96" s="33">
        <v>4430265054</v>
      </c>
      <c r="E96" s="33">
        <v>850</v>
      </c>
      <c r="F96" s="33">
        <v>706</v>
      </c>
      <c r="G96" s="33" t="s">
        <v>38</v>
      </c>
      <c r="H96" s="33" t="s">
        <v>241</v>
      </c>
      <c r="I96" s="33" t="s">
        <v>39</v>
      </c>
      <c r="J96" s="33" t="s">
        <v>40</v>
      </c>
      <c r="K96" s="33" t="s">
        <v>41</v>
      </c>
    </row>
    <row r="97" spans="1:12" s="33" customFormat="1" x14ac:dyDescent="0.3">
      <c r="A97" s="33" t="s">
        <v>242</v>
      </c>
      <c r="B97" s="33">
        <v>44998601838</v>
      </c>
      <c r="C97" s="33" t="s">
        <v>42</v>
      </c>
      <c r="D97" s="33">
        <v>4430265054</v>
      </c>
      <c r="E97" s="33">
        <v>857</v>
      </c>
      <c r="F97" s="33">
        <v>717</v>
      </c>
      <c r="G97" s="33" t="s">
        <v>38</v>
      </c>
      <c r="H97" s="33" t="s">
        <v>243</v>
      </c>
      <c r="I97" s="33" t="s">
        <v>39</v>
      </c>
      <c r="J97" s="33" t="s">
        <v>40</v>
      </c>
      <c r="K97" s="33" t="s">
        <v>41</v>
      </c>
    </row>
    <row r="98" spans="1:12" s="33" customFormat="1" x14ac:dyDescent="0.3">
      <c r="A98" s="33" t="s">
        <v>244</v>
      </c>
      <c r="B98" s="33">
        <v>4432525112</v>
      </c>
      <c r="C98" s="33" t="s">
        <v>43</v>
      </c>
      <c r="D98" s="33">
        <v>4430265054</v>
      </c>
      <c r="E98" s="33">
        <v>291</v>
      </c>
      <c r="F98" s="33">
        <v>180</v>
      </c>
      <c r="G98" s="33" t="s">
        <v>38</v>
      </c>
      <c r="H98" s="33" t="s">
        <v>245</v>
      </c>
      <c r="I98" s="33" t="s">
        <v>39</v>
      </c>
      <c r="J98" s="33" t="s">
        <v>40</v>
      </c>
      <c r="K98" s="33" t="s">
        <v>41</v>
      </c>
    </row>
    <row r="99" spans="1:12" s="33" customFormat="1" x14ac:dyDescent="0.3">
      <c r="A99" s="33" t="s">
        <v>246</v>
      </c>
      <c r="B99" s="33">
        <v>44998636008</v>
      </c>
      <c r="C99" s="33" t="s">
        <v>42</v>
      </c>
      <c r="D99" s="33">
        <v>4430265054</v>
      </c>
      <c r="E99" s="33">
        <v>444</v>
      </c>
      <c r="F99" s="33">
        <v>357</v>
      </c>
      <c r="G99" s="33" t="s">
        <v>38</v>
      </c>
      <c r="H99" s="33" t="s">
        <v>247</v>
      </c>
      <c r="I99" s="33" t="s">
        <v>39</v>
      </c>
      <c r="J99" s="33" t="s">
        <v>40</v>
      </c>
      <c r="K99" s="33" t="s">
        <v>41</v>
      </c>
    </row>
    <row r="100" spans="1:12" s="33" customFormat="1" x14ac:dyDescent="0.3">
      <c r="A100" s="33" t="s">
        <v>248</v>
      </c>
      <c r="B100" s="33">
        <v>4330333542</v>
      </c>
      <c r="C100" s="33" t="s">
        <v>37</v>
      </c>
      <c r="D100" s="33">
        <v>4430265054</v>
      </c>
      <c r="E100" s="33">
        <v>1254</v>
      </c>
      <c r="F100" s="33">
        <v>1074</v>
      </c>
      <c r="G100" s="33" t="s">
        <v>38</v>
      </c>
      <c r="H100" s="33" t="s">
        <v>249</v>
      </c>
      <c r="I100" s="33" t="s">
        <v>39</v>
      </c>
      <c r="J100" s="33" t="s">
        <v>40</v>
      </c>
      <c r="K100" s="33" t="s">
        <v>41</v>
      </c>
    </row>
    <row r="101" spans="1:12" s="33" customFormat="1" x14ac:dyDescent="0.3">
      <c r="A101" s="33" t="s">
        <v>250</v>
      </c>
      <c r="B101" s="33">
        <v>44988255390</v>
      </c>
      <c r="C101" s="33" t="s">
        <v>37</v>
      </c>
      <c r="D101" s="33">
        <v>4430265054</v>
      </c>
      <c r="E101" s="33">
        <v>587</v>
      </c>
      <c r="F101" s="33">
        <v>513</v>
      </c>
      <c r="G101" s="33" t="s">
        <v>38</v>
      </c>
      <c r="H101" s="33" t="s">
        <v>251</v>
      </c>
      <c r="I101" s="33" t="s">
        <v>39</v>
      </c>
      <c r="J101" s="33" t="s">
        <v>40</v>
      </c>
      <c r="K101" s="33" t="s">
        <v>41</v>
      </c>
      <c r="L101" s="33">
        <v>5</v>
      </c>
    </row>
    <row r="102" spans="1:12" s="33" customFormat="1" x14ac:dyDescent="0.3">
      <c r="A102" s="33" t="s">
        <v>252</v>
      </c>
      <c r="B102" s="33">
        <v>4430152533</v>
      </c>
      <c r="C102" s="33" t="s">
        <v>42</v>
      </c>
      <c r="D102" s="33">
        <v>4430265054</v>
      </c>
      <c r="E102" s="33">
        <v>668</v>
      </c>
      <c r="F102" s="33">
        <v>596</v>
      </c>
      <c r="G102" s="33" t="s">
        <v>38</v>
      </c>
      <c r="H102" s="33" t="s">
        <v>253</v>
      </c>
      <c r="I102" s="33" t="s">
        <v>39</v>
      </c>
      <c r="J102" s="33" t="s">
        <v>40</v>
      </c>
      <c r="K102" s="33" t="s">
        <v>41</v>
      </c>
    </row>
    <row r="103" spans="1:12" s="33" customFormat="1" x14ac:dyDescent="0.3">
      <c r="A103" s="33" t="s">
        <v>254</v>
      </c>
      <c r="B103" s="33">
        <v>44988255390</v>
      </c>
      <c r="C103" s="33" t="s">
        <v>37</v>
      </c>
      <c r="D103" s="33">
        <v>4430265054</v>
      </c>
      <c r="E103" s="33">
        <v>111</v>
      </c>
      <c r="F103" s="33">
        <v>35</v>
      </c>
      <c r="G103" s="33" t="s">
        <v>38</v>
      </c>
      <c r="H103" s="33" t="s">
        <v>255</v>
      </c>
      <c r="I103" s="33" t="s">
        <v>39</v>
      </c>
      <c r="J103" s="33" t="s">
        <v>40</v>
      </c>
      <c r="K103" s="33" t="s">
        <v>41</v>
      </c>
    </row>
    <row r="104" spans="1:12" s="33" customFormat="1" x14ac:dyDescent="0.3">
      <c r="A104" s="33" t="s">
        <v>256</v>
      </c>
      <c r="B104" s="33">
        <v>44991116911</v>
      </c>
      <c r="C104" s="33" t="s">
        <v>44</v>
      </c>
      <c r="D104" s="33">
        <v>4430265054</v>
      </c>
      <c r="E104" s="33">
        <v>400</v>
      </c>
      <c r="F104" s="33">
        <v>302</v>
      </c>
      <c r="G104" s="33" t="s">
        <v>38</v>
      </c>
      <c r="H104" s="33" t="s">
        <v>257</v>
      </c>
      <c r="I104" s="33" t="s">
        <v>39</v>
      </c>
      <c r="J104" s="33" t="s">
        <v>40</v>
      </c>
      <c r="K104" s="33" t="s">
        <v>41</v>
      </c>
    </row>
    <row r="105" spans="1:12" s="33" customFormat="1" x14ac:dyDescent="0.3">
      <c r="A105" s="33" t="s">
        <v>258</v>
      </c>
      <c r="B105" s="33">
        <v>4432520077</v>
      </c>
      <c r="C105" s="33" t="s">
        <v>42</v>
      </c>
      <c r="D105" s="33">
        <v>4430265054</v>
      </c>
      <c r="E105" s="33">
        <v>594</v>
      </c>
      <c r="F105" s="33">
        <v>561</v>
      </c>
      <c r="G105" s="33" t="s">
        <v>38</v>
      </c>
      <c r="H105" s="33" t="s">
        <v>259</v>
      </c>
      <c r="I105" s="33" t="s">
        <v>39</v>
      </c>
      <c r="J105" s="33" t="s">
        <v>40</v>
      </c>
      <c r="K105" s="33" t="s">
        <v>41</v>
      </c>
      <c r="L105" s="33">
        <v>5</v>
      </c>
    </row>
    <row r="106" spans="1:12" s="33" customFormat="1" x14ac:dyDescent="0.3">
      <c r="A106" s="33" t="s">
        <v>260</v>
      </c>
      <c r="B106" s="33">
        <v>4433511515</v>
      </c>
      <c r="C106" s="33" t="s">
        <v>43</v>
      </c>
      <c r="D106" s="33">
        <v>4430265054</v>
      </c>
      <c r="E106" s="33">
        <v>933</v>
      </c>
      <c r="F106" s="33">
        <v>882</v>
      </c>
      <c r="G106" s="33" t="s">
        <v>38</v>
      </c>
      <c r="H106" s="33" t="s">
        <v>261</v>
      </c>
      <c r="I106" s="33" t="s">
        <v>39</v>
      </c>
      <c r="J106" s="33" t="s">
        <v>40</v>
      </c>
      <c r="K106" s="33" t="s">
        <v>41</v>
      </c>
    </row>
    <row r="107" spans="1:12" s="33" customFormat="1" x14ac:dyDescent="0.3">
      <c r="A107" s="33" t="s">
        <v>262</v>
      </c>
      <c r="B107" s="33">
        <v>4330332823</v>
      </c>
      <c r="C107" s="33" t="s">
        <v>44</v>
      </c>
      <c r="D107" s="33">
        <v>4430265054</v>
      </c>
      <c r="E107" s="33">
        <v>756</v>
      </c>
      <c r="F107" s="33">
        <v>708</v>
      </c>
      <c r="G107" s="33" t="s">
        <v>38</v>
      </c>
      <c r="H107" s="33" t="s">
        <v>263</v>
      </c>
      <c r="I107" s="33" t="s">
        <v>39</v>
      </c>
      <c r="J107" s="33" t="s">
        <v>40</v>
      </c>
      <c r="K107" s="33" t="s">
        <v>41</v>
      </c>
    </row>
    <row r="108" spans="1:12" s="33" customFormat="1" x14ac:dyDescent="0.3">
      <c r="A108" s="33" t="s">
        <v>264</v>
      </c>
      <c r="B108" s="33">
        <v>44988255390</v>
      </c>
      <c r="C108" s="33" t="s">
        <v>37</v>
      </c>
      <c r="D108" s="33">
        <v>4430265054</v>
      </c>
      <c r="E108" s="33">
        <v>385</v>
      </c>
      <c r="F108" s="33">
        <v>293</v>
      </c>
      <c r="G108" s="33" t="s">
        <v>38</v>
      </c>
      <c r="H108" s="33" t="s">
        <v>265</v>
      </c>
      <c r="I108" s="33" t="s">
        <v>39</v>
      </c>
      <c r="J108" s="33" t="s">
        <v>40</v>
      </c>
      <c r="K108" s="33" t="s">
        <v>41</v>
      </c>
    </row>
    <row r="109" spans="1:12" s="33" customFormat="1" x14ac:dyDescent="0.3">
      <c r="A109" s="33" t="s">
        <v>266</v>
      </c>
      <c r="B109" s="33">
        <v>4432268889</v>
      </c>
      <c r="C109" s="33" t="s">
        <v>43</v>
      </c>
      <c r="D109" s="33">
        <v>4430265054</v>
      </c>
      <c r="E109" s="33">
        <v>136</v>
      </c>
      <c r="F109" s="33">
        <v>67</v>
      </c>
      <c r="G109" s="33" t="s">
        <v>38</v>
      </c>
      <c r="H109" s="33" t="s">
        <v>267</v>
      </c>
      <c r="I109" s="33" t="s">
        <v>39</v>
      </c>
      <c r="J109" s="33" t="s">
        <v>40</v>
      </c>
      <c r="K109" s="33" t="s">
        <v>41</v>
      </c>
    </row>
    <row r="110" spans="1:12" s="33" customFormat="1" x14ac:dyDescent="0.3">
      <c r="A110" s="33" t="s">
        <v>268</v>
      </c>
      <c r="B110" s="33" t="s">
        <v>37</v>
      </c>
      <c r="C110" s="33">
        <v>4432541200</v>
      </c>
      <c r="E110" s="33">
        <v>287</v>
      </c>
      <c r="F110" s="33">
        <v>282</v>
      </c>
      <c r="G110" s="33" t="s">
        <v>38</v>
      </c>
      <c r="H110" s="33" t="s">
        <v>269</v>
      </c>
      <c r="I110" s="33" t="s">
        <v>46</v>
      </c>
      <c r="J110" s="33" t="s">
        <v>40</v>
      </c>
    </row>
    <row r="111" spans="1:12" s="33" customFormat="1" x14ac:dyDescent="0.3">
      <c r="A111" s="33" t="s">
        <v>270</v>
      </c>
      <c r="B111" s="33">
        <v>4430141533</v>
      </c>
      <c r="C111" s="33" t="s">
        <v>43</v>
      </c>
      <c r="D111" s="33">
        <v>4430265054</v>
      </c>
      <c r="E111" s="33">
        <v>253</v>
      </c>
      <c r="F111" s="33">
        <v>190</v>
      </c>
      <c r="G111" s="33" t="s">
        <v>38</v>
      </c>
      <c r="H111" s="33" t="s">
        <v>271</v>
      </c>
      <c r="I111" s="33" t="s">
        <v>39</v>
      </c>
      <c r="J111" s="33" t="s">
        <v>40</v>
      </c>
      <c r="K111" s="33" t="s">
        <v>41</v>
      </c>
      <c r="L111" s="33">
        <v>5</v>
      </c>
    </row>
    <row r="112" spans="1:12" s="33" customFormat="1" x14ac:dyDescent="0.3">
      <c r="A112" s="33" t="s">
        <v>272</v>
      </c>
      <c r="B112" s="33" t="s">
        <v>48</v>
      </c>
      <c r="C112" s="33">
        <v>4435235396</v>
      </c>
      <c r="E112" s="33">
        <v>139</v>
      </c>
      <c r="F112" s="33">
        <v>133</v>
      </c>
      <c r="G112" s="33" t="s">
        <v>38</v>
      </c>
      <c r="H112" s="33" t="s">
        <v>273</v>
      </c>
      <c r="I112" s="33" t="s">
        <v>46</v>
      </c>
      <c r="J112" s="33" t="s">
        <v>40</v>
      </c>
    </row>
    <row r="113" spans="1:12" s="33" customFormat="1" x14ac:dyDescent="0.3">
      <c r="A113" s="33" t="s">
        <v>274</v>
      </c>
      <c r="B113" s="33">
        <v>4334226481</v>
      </c>
      <c r="C113" s="33" t="s">
        <v>37</v>
      </c>
      <c r="D113" s="33">
        <v>4430265054</v>
      </c>
      <c r="E113" s="33">
        <v>87</v>
      </c>
      <c r="F113" s="33">
        <v>81</v>
      </c>
      <c r="G113" s="33" t="s">
        <v>38</v>
      </c>
      <c r="H113" s="33" t="s">
        <v>275</v>
      </c>
      <c r="I113" s="33" t="s">
        <v>39</v>
      </c>
      <c r="J113" s="33" t="s">
        <v>40</v>
      </c>
      <c r="K113" s="33" t="s">
        <v>41</v>
      </c>
      <c r="L113" s="33">
        <v>5</v>
      </c>
    </row>
    <row r="114" spans="1:12" s="33" customFormat="1" x14ac:dyDescent="0.3">
      <c r="A114" s="33" t="s">
        <v>276</v>
      </c>
      <c r="B114" s="33" t="s">
        <v>37</v>
      </c>
      <c r="C114" s="33">
        <v>4334226481</v>
      </c>
      <c r="E114" s="33">
        <v>1</v>
      </c>
      <c r="F114" s="33">
        <v>0</v>
      </c>
      <c r="G114" s="33" t="s">
        <v>47</v>
      </c>
      <c r="H114" s="33" t="s">
        <v>277</v>
      </c>
      <c r="I114" s="33" t="s">
        <v>46</v>
      </c>
      <c r="J114" s="33" t="s">
        <v>40</v>
      </c>
    </row>
    <row r="115" spans="1:12" s="33" customFormat="1" x14ac:dyDescent="0.3">
      <c r="A115" s="33" t="s">
        <v>278</v>
      </c>
      <c r="B115" s="33">
        <v>42998221810</v>
      </c>
      <c r="C115" s="33" t="s">
        <v>43</v>
      </c>
      <c r="D115" s="33">
        <v>4430265054</v>
      </c>
      <c r="E115" s="33">
        <v>426</v>
      </c>
      <c r="F115" s="33">
        <v>364</v>
      </c>
      <c r="G115" s="33" t="s">
        <v>38</v>
      </c>
      <c r="H115" s="33" t="s">
        <v>279</v>
      </c>
      <c r="I115" s="33" t="s">
        <v>39</v>
      </c>
      <c r="J115" s="33" t="s">
        <v>40</v>
      </c>
      <c r="K115" s="33" t="s">
        <v>41</v>
      </c>
      <c r="L115" s="33">
        <v>5</v>
      </c>
    </row>
    <row r="116" spans="1:12" s="33" customFormat="1" x14ac:dyDescent="0.3">
      <c r="A116" s="33" t="s">
        <v>280</v>
      </c>
      <c r="B116" s="33">
        <v>4334234629</v>
      </c>
      <c r="C116" s="33" t="s">
        <v>43</v>
      </c>
      <c r="D116" s="33">
        <v>4430265054</v>
      </c>
      <c r="E116" s="33">
        <v>169</v>
      </c>
      <c r="F116" s="33">
        <v>120</v>
      </c>
      <c r="G116" s="33" t="s">
        <v>38</v>
      </c>
      <c r="H116" s="33" t="s">
        <v>281</v>
      </c>
      <c r="I116" s="33" t="s">
        <v>39</v>
      </c>
      <c r="J116" s="33" t="s">
        <v>40</v>
      </c>
      <c r="K116" s="33" t="s">
        <v>41</v>
      </c>
    </row>
    <row r="117" spans="1:12" s="33" customFormat="1" x14ac:dyDescent="0.3">
      <c r="A117" s="33" t="s">
        <v>282</v>
      </c>
      <c r="B117" s="33">
        <v>4334226481</v>
      </c>
      <c r="C117" s="33" t="s">
        <v>37</v>
      </c>
      <c r="D117" s="33">
        <v>4430265054</v>
      </c>
      <c r="E117" s="33">
        <v>608</v>
      </c>
      <c r="F117" s="33">
        <v>481</v>
      </c>
      <c r="G117" s="33" t="s">
        <v>38</v>
      </c>
      <c r="H117" s="33" t="s">
        <v>283</v>
      </c>
      <c r="I117" s="33" t="s">
        <v>39</v>
      </c>
      <c r="J117" s="33" t="s">
        <v>40</v>
      </c>
      <c r="K117" s="33" t="s">
        <v>41</v>
      </c>
      <c r="L117" s="33">
        <v>5</v>
      </c>
    </row>
    <row r="118" spans="1:12" s="33" customFormat="1" x14ac:dyDescent="0.3">
      <c r="A118" s="33" t="s">
        <v>284</v>
      </c>
      <c r="B118" s="33">
        <v>4435228263</v>
      </c>
      <c r="C118" s="33" t="s">
        <v>43</v>
      </c>
      <c r="D118" s="33">
        <v>4430265054</v>
      </c>
      <c r="E118" s="33">
        <v>720</v>
      </c>
      <c r="F118" s="33">
        <v>695</v>
      </c>
      <c r="G118" s="33" t="s">
        <v>38</v>
      </c>
      <c r="H118" s="33" t="s">
        <v>285</v>
      </c>
      <c r="I118" s="33" t="s">
        <v>39</v>
      </c>
      <c r="J118" s="33" t="s">
        <v>40</v>
      </c>
      <c r="K118" s="33" t="s">
        <v>41</v>
      </c>
      <c r="L118" s="33">
        <v>5</v>
      </c>
    </row>
    <row r="119" spans="1:12" s="33" customFormat="1" x14ac:dyDescent="0.3">
      <c r="A119" s="33" t="s">
        <v>286</v>
      </c>
      <c r="B119" s="33" t="s">
        <v>43</v>
      </c>
      <c r="C119" s="33">
        <v>4430191401</v>
      </c>
      <c r="E119" s="33">
        <v>23</v>
      </c>
      <c r="F119" s="33">
        <v>19</v>
      </c>
      <c r="G119" s="33" t="s">
        <v>38</v>
      </c>
      <c r="H119" s="33" t="s">
        <v>287</v>
      </c>
      <c r="I119" s="33" t="s">
        <v>46</v>
      </c>
      <c r="J119" s="33" t="s">
        <v>40</v>
      </c>
    </row>
    <row r="120" spans="1:12" s="33" customFormat="1" x14ac:dyDescent="0.3">
      <c r="A120" s="33" t="s">
        <v>288</v>
      </c>
      <c r="B120" s="33" t="s">
        <v>43</v>
      </c>
      <c r="C120" s="33">
        <v>4520312689</v>
      </c>
      <c r="E120" s="33">
        <v>134</v>
      </c>
      <c r="F120" s="33">
        <v>124</v>
      </c>
      <c r="G120" s="33" t="s">
        <v>38</v>
      </c>
      <c r="H120" s="33" t="s">
        <v>289</v>
      </c>
      <c r="I120" s="33" t="s">
        <v>46</v>
      </c>
      <c r="J120" s="33" t="s">
        <v>40</v>
      </c>
    </row>
    <row r="121" spans="1:12" s="33" customFormat="1" x14ac:dyDescent="0.3">
      <c r="A121" s="33" t="s">
        <v>290</v>
      </c>
      <c r="B121" s="33">
        <v>43999388040</v>
      </c>
      <c r="C121" s="33" t="s">
        <v>42</v>
      </c>
      <c r="D121" s="33">
        <v>4430265054</v>
      </c>
      <c r="E121" s="33">
        <v>1558</v>
      </c>
      <c r="F121" s="33">
        <v>1476</v>
      </c>
      <c r="G121" s="33" t="s">
        <v>38</v>
      </c>
      <c r="H121" s="33" t="s">
        <v>291</v>
      </c>
      <c r="I121" s="33" t="s">
        <v>39</v>
      </c>
      <c r="J121" s="33" t="s">
        <v>40</v>
      </c>
      <c r="K121" s="33" t="s">
        <v>41</v>
      </c>
    </row>
    <row r="122" spans="1:12" s="33" customFormat="1" x14ac:dyDescent="0.3">
      <c r="A122" s="33" t="s">
        <v>292</v>
      </c>
      <c r="B122" s="33" t="s">
        <v>42</v>
      </c>
      <c r="C122" s="33">
        <v>4436313773</v>
      </c>
      <c r="E122" s="33">
        <v>189</v>
      </c>
      <c r="F122" s="33">
        <v>180</v>
      </c>
      <c r="G122" s="33" t="s">
        <v>38</v>
      </c>
      <c r="H122" s="33" t="s">
        <v>293</v>
      </c>
      <c r="I122" s="33" t="s">
        <v>46</v>
      </c>
      <c r="J122" s="33" t="s">
        <v>40</v>
      </c>
    </row>
    <row r="123" spans="1:12" s="33" customFormat="1" x14ac:dyDescent="0.3">
      <c r="A123" s="33" t="s">
        <v>294</v>
      </c>
      <c r="B123" s="33" t="s">
        <v>43</v>
      </c>
      <c r="C123" s="33">
        <v>4130263118</v>
      </c>
      <c r="E123" s="33">
        <v>1035</v>
      </c>
      <c r="F123" s="33">
        <v>1030</v>
      </c>
      <c r="G123" s="33" t="s">
        <v>38</v>
      </c>
      <c r="H123" s="33" t="s">
        <v>295</v>
      </c>
      <c r="I123" s="33" t="s">
        <v>46</v>
      </c>
      <c r="J123" s="33" t="s">
        <v>40</v>
      </c>
    </row>
    <row r="124" spans="1:12" s="33" customFormat="1" x14ac:dyDescent="0.3">
      <c r="A124" s="33" t="s">
        <v>296</v>
      </c>
      <c r="B124" s="33">
        <v>43991519887</v>
      </c>
      <c r="C124" s="33" t="s">
        <v>43</v>
      </c>
      <c r="D124" s="33">
        <v>4430265054</v>
      </c>
      <c r="E124" s="33">
        <v>695</v>
      </c>
      <c r="F124" s="33">
        <v>670</v>
      </c>
      <c r="G124" s="33" t="s">
        <v>38</v>
      </c>
      <c r="H124" s="33" t="s">
        <v>297</v>
      </c>
      <c r="I124" s="33" t="s">
        <v>39</v>
      </c>
      <c r="J124" s="33" t="s">
        <v>40</v>
      </c>
      <c r="K124" s="33" t="s">
        <v>41</v>
      </c>
      <c r="L124" s="33">
        <v>5</v>
      </c>
    </row>
    <row r="125" spans="1:12" s="33" customFormat="1" x14ac:dyDescent="0.3">
      <c r="A125" s="33" t="s">
        <v>298</v>
      </c>
      <c r="B125" s="33">
        <v>62994086124</v>
      </c>
      <c r="C125" s="33" t="s">
        <v>37</v>
      </c>
      <c r="D125" s="33">
        <v>4431268225</v>
      </c>
      <c r="E125" s="33">
        <v>340</v>
      </c>
      <c r="F125" s="33">
        <v>299</v>
      </c>
      <c r="G125" s="33" t="s">
        <v>38</v>
      </c>
      <c r="H125" s="33" t="s">
        <v>299</v>
      </c>
      <c r="I125" s="33" t="s">
        <v>39</v>
      </c>
      <c r="J125" s="33" t="s">
        <v>40</v>
      </c>
      <c r="K125" s="33" t="s">
        <v>41</v>
      </c>
    </row>
    <row r="126" spans="1:12" s="33" customFormat="1" x14ac:dyDescent="0.3">
      <c r="A126" s="33" t="s">
        <v>300</v>
      </c>
      <c r="B126" s="33" t="s">
        <v>43</v>
      </c>
      <c r="C126" s="33">
        <v>4430191401</v>
      </c>
      <c r="E126" s="33">
        <v>29</v>
      </c>
      <c r="F126" s="33">
        <v>25</v>
      </c>
      <c r="G126" s="33" t="s">
        <v>38</v>
      </c>
      <c r="H126" s="33" t="s">
        <v>301</v>
      </c>
      <c r="I126" s="33" t="s">
        <v>46</v>
      </c>
      <c r="J126" s="33" t="s">
        <v>40</v>
      </c>
    </row>
    <row r="127" spans="1:12" s="33" customFormat="1" x14ac:dyDescent="0.3">
      <c r="A127" s="33" t="s">
        <v>302</v>
      </c>
      <c r="B127" s="33">
        <v>1732146970</v>
      </c>
      <c r="C127" s="33" t="s">
        <v>44</v>
      </c>
      <c r="D127" s="33">
        <v>4431268225</v>
      </c>
      <c r="E127" s="33">
        <v>797</v>
      </c>
      <c r="F127" s="33">
        <v>686</v>
      </c>
      <c r="G127" s="33" t="s">
        <v>38</v>
      </c>
      <c r="H127" s="33" t="s">
        <v>303</v>
      </c>
      <c r="I127" s="33" t="s">
        <v>39</v>
      </c>
      <c r="J127" s="33" t="s">
        <v>40</v>
      </c>
      <c r="K127" s="33" t="s">
        <v>41</v>
      </c>
    </row>
    <row r="128" spans="1:12" s="33" customFormat="1" x14ac:dyDescent="0.3">
      <c r="A128" s="33" t="s">
        <v>304</v>
      </c>
      <c r="B128" s="33">
        <v>44999748684</v>
      </c>
      <c r="C128" s="33" t="s">
        <v>37</v>
      </c>
      <c r="D128" s="33">
        <v>4430265054</v>
      </c>
      <c r="E128" s="33">
        <v>322</v>
      </c>
      <c r="F128" s="33">
        <v>279</v>
      </c>
      <c r="G128" s="33" t="s">
        <v>38</v>
      </c>
      <c r="H128" s="33" t="s">
        <v>305</v>
      </c>
      <c r="I128" s="33" t="s">
        <v>39</v>
      </c>
      <c r="J128" s="33" t="s">
        <v>40</v>
      </c>
      <c r="K128" s="33" t="s">
        <v>41</v>
      </c>
      <c r="L128" s="33">
        <v>5</v>
      </c>
    </row>
    <row r="129" spans="1:12" s="33" customFormat="1" x14ac:dyDescent="0.3">
      <c r="A129" s="33" t="s">
        <v>306</v>
      </c>
      <c r="B129" s="33" t="s">
        <v>42</v>
      </c>
      <c r="C129" s="33">
        <v>4532541996</v>
      </c>
      <c r="E129" s="33">
        <v>1244</v>
      </c>
      <c r="F129" s="33">
        <v>1236</v>
      </c>
      <c r="G129" s="33" t="s">
        <v>38</v>
      </c>
      <c r="H129" s="33" t="s">
        <v>307</v>
      </c>
      <c r="I129" s="33" t="s">
        <v>46</v>
      </c>
      <c r="J129" s="33" t="s">
        <v>40</v>
      </c>
    </row>
    <row r="130" spans="1:12" s="33" customFormat="1" x14ac:dyDescent="0.3">
      <c r="A130" s="33" t="s">
        <v>308</v>
      </c>
      <c r="B130" s="33">
        <v>44984241715</v>
      </c>
      <c r="C130" s="33" t="s">
        <v>48</v>
      </c>
      <c r="D130" s="33">
        <v>4430265054</v>
      </c>
      <c r="E130" s="33">
        <v>354</v>
      </c>
      <c r="F130" s="33">
        <v>354</v>
      </c>
      <c r="G130" s="33" t="s">
        <v>38</v>
      </c>
      <c r="H130" s="33" t="s">
        <v>309</v>
      </c>
      <c r="I130" s="33" t="s">
        <v>39</v>
      </c>
      <c r="J130" s="33" t="s">
        <v>40</v>
      </c>
      <c r="K130" s="33" t="s">
        <v>41</v>
      </c>
    </row>
    <row r="131" spans="1:12" s="33" customFormat="1" x14ac:dyDescent="0.3">
      <c r="A131" s="33" t="s">
        <v>310</v>
      </c>
      <c r="B131" s="33">
        <v>4430191401</v>
      </c>
      <c r="C131" s="33" t="s">
        <v>43</v>
      </c>
      <c r="D131" s="33">
        <v>4430265054</v>
      </c>
      <c r="E131" s="33">
        <v>489</v>
      </c>
      <c r="F131" s="33">
        <v>414</v>
      </c>
      <c r="G131" s="33" t="s">
        <v>38</v>
      </c>
      <c r="H131" s="33" t="s">
        <v>311</v>
      </c>
      <c r="I131" s="33" t="s">
        <v>39</v>
      </c>
      <c r="J131" s="33" t="s">
        <v>40</v>
      </c>
      <c r="K131" s="33" t="s">
        <v>41</v>
      </c>
    </row>
    <row r="132" spans="1:12" s="33" customFormat="1" x14ac:dyDescent="0.3">
      <c r="A132" s="33" t="s">
        <v>312</v>
      </c>
      <c r="B132" s="33" t="s">
        <v>37</v>
      </c>
      <c r="C132" s="33">
        <v>89994229714</v>
      </c>
      <c r="E132" s="33">
        <v>24</v>
      </c>
      <c r="F132" s="33">
        <v>19</v>
      </c>
      <c r="G132" s="33" t="s">
        <v>38</v>
      </c>
      <c r="H132" s="33" t="s">
        <v>313</v>
      </c>
      <c r="I132" s="33" t="s">
        <v>46</v>
      </c>
      <c r="J132" s="33" t="s">
        <v>40</v>
      </c>
    </row>
    <row r="133" spans="1:12" s="33" customFormat="1" x14ac:dyDescent="0.3">
      <c r="A133" s="33" t="s">
        <v>314</v>
      </c>
      <c r="B133" s="33" t="s">
        <v>37</v>
      </c>
      <c r="C133" s="33">
        <v>89994229714</v>
      </c>
      <c r="E133" s="33">
        <v>34</v>
      </c>
      <c r="F133" s="33">
        <v>30</v>
      </c>
      <c r="G133" s="33" t="s">
        <v>38</v>
      </c>
      <c r="H133" s="33" t="s">
        <v>315</v>
      </c>
      <c r="I133" s="33" t="s">
        <v>46</v>
      </c>
      <c r="J133" s="33" t="s">
        <v>40</v>
      </c>
    </row>
    <row r="134" spans="1:12" s="33" customFormat="1" x14ac:dyDescent="0.3">
      <c r="A134" s="33" t="s">
        <v>316</v>
      </c>
      <c r="B134" s="33" t="s">
        <v>37</v>
      </c>
      <c r="C134" s="33">
        <v>89994229714</v>
      </c>
      <c r="E134" s="33">
        <v>23</v>
      </c>
      <c r="F134" s="33">
        <v>19</v>
      </c>
      <c r="G134" s="33" t="s">
        <v>38</v>
      </c>
      <c r="H134" s="33" t="s">
        <v>317</v>
      </c>
      <c r="I134" s="33" t="s">
        <v>46</v>
      </c>
      <c r="J134" s="33" t="s">
        <v>40</v>
      </c>
    </row>
    <row r="135" spans="1:12" s="33" customFormat="1" x14ac:dyDescent="0.3">
      <c r="A135" s="33" t="s">
        <v>318</v>
      </c>
      <c r="B135" s="33">
        <v>4432524652</v>
      </c>
      <c r="C135" s="33" t="s">
        <v>44</v>
      </c>
      <c r="D135" s="33">
        <v>4430265054</v>
      </c>
      <c r="E135" s="33">
        <v>1168</v>
      </c>
      <c r="F135" s="33">
        <v>1124</v>
      </c>
      <c r="G135" s="33" t="s">
        <v>38</v>
      </c>
      <c r="H135" s="33" t="s">
        <v>319</v>
      </c>
      <c r="I135" s="33" t="s">
        <v>39</v>
      </c>
      <c r="J135" s="33" t="s">
        <v>40</v>
      </c>
      <c r="K135" s="33" t="s">
        <v>41</v>
      </c>
      <c r="L135" s="33">
        <v>5</v>
      </c>
    </row>
    <row r="136" spans="1:12" s="33" customFormat="1" x14ac:dyDescent="0.3">
      <c r="A136" s="33" t="s">
        <v>320</v>
      </c>
      <c r="B136" s="33">
        <v>44984241715</v>
      </c>
      <c r="C136" s="33" t="s">
        <v>42</v>
      </c>
      <c r="D136" s="33">
        <v>4430265054</v>
      </c>
      <c r="E136" s="33">
        <v>1515</v>
      </c>
      <c r="F136" s="33">
        <v>1495</v>
      </c>
      <c r="G136" s="33" t="s">
        <v>38</v>
      </c>
      <c r="H136" s="33" t="s">
        <v>321</v>
      </c>
      <c r="I136" s="33" t="s">
        <v>39</v>
      </c>
      <c r="J136" s="33" t="s">
        <v>40</v>
      </c>
      <c r="K136" s="33" t="s">
        <v>41</v>
      </c>
    </row>
    <row r="137" spans="1:12" s="33" customFormat="1" x14ac:dyDescent="0.3">
      <c r="A137" s="33" t="s">
        <v>322</v>
      </c>
      <c r="B137" s="33" t="s">
        <v>43</v>
      </c>
      <c r="C137" s="33">
        <v>44997734943</v>
      </c>
      <c r="E137" s="33">
        <v>936</v>
      </c>
      <c r="F137" s="33">
        <v>919</v>
      </c>
      <c r="G137" s="33" t="s">
        <v>38</v>
      </c>
      <c r="H137" s="33" t="s">
        <v>323</v>
      </c>
      <c r="I137" s="33" t="s">
        <v>46</v>
      </c>
      <c r="J137" s="33" t="s">
        <v>40</v>
      </c>
    </row>
    <row r="138" spans="1:12" s="33" customFormat="1" x14ac:dyDescent="0.3">
      <c r="A138" s="33" t="s">
        <v>324</v>
      </c>
      <c r="B138" s="33" t="s">
        <v>43</v>
      </c>
      <c r="C138" s="33">
        <v>44997734943</v>
      </c>
      <c r="E138" s="33">
        <v>37</v>
      </c>
      <c r="F138" s="33">
        <v>26</v>
      </c>
      <c r="G138" s="33" t="s">
        <v>38</v>
      </c>
      <c r="H138" s="33" t="s">
        <v>325</v>
      </c>
      <c r="I138" s="33" t="s">
        <v>46</v>
      </c>
      <c r="J138" s="33" t="s">
        <v>40</v>
      </c>
    </row>
    <row r="139" spans="1:12" s="33" customFormat="1" x14ac:dyDescent="0.3">
      <c r="A139" s="33" t="s">
        <v>326</v>
      </c>
      <c r="B139" s="33">
        <v>44984241715</v>
      </c>
      <c r="C139" s="33" t="s">
        <v>42</v>
      </c>
      <c r="D139" s="33">
        <v>4430265054</v>
      </c>
      <c r="E139" s="33">
        <v>202</v>
      </c>
      <c r="F139" s="33">
        <v>44</v>
      </c>
      <c r="G139" s="33" t="s">
        <v>38</v>
      </c>
      <c r="H139" s="33" t="s">
        <v>327</v>
      </c>
      <c r="I139" s="33" t="s">
        <v>39</v>
      </c>
      <c r="J139" s="33" t="s">
        <v>40</v>
      </c>
      <c r="K139" s="33" t="s">
        <v>41</v>
      </c>
    </row>
    <row r="140" spans="1:12" s="33" customFormat="1" x14ac:dyDescent="0.3">
      <c r="A140" s="33" t="s">
        <v>328</v>
      </c>
      <c r="B140" s="33">
        <v>44998849102</v>
      </c>
      <c r="C140" s="33" t="s">
        <v>42</v>
      </c>
      <c r="D140" s="33">
        <v>4430265054</v>
      </c>
      <c r="E140" s="33">
        <v>1392</v>
      </c>
      <c r="F140" s="33">
        <v>1334</v>
      </c>
      <c r="G140" s="33" t="s">
        <v>38</v>
      </c>
      <c r="H140" s="33" t="s">
        <v>329</v>
      </c>
      <c r="I140" s="33" t="s">
        <v>39</v>
      </c>
      <c r="J140" s="33" t="s">
        <v>40</v>
      </c>
      <c r="K140" s="33" t="s">
        <v>41</v>
      </c>
      <c r="L140" s="33">
        <v>5</v>
      </c>
    </row>
    <row r="141" spans="1:12" s="33" customFormat="1" x14ac:dyDescent="0.3">
      <c r="A141" s="33" t="s">
        <v>330</v>
      </c>
      <c r="B141" s="33" t="s">
        <v>37</v>
      </c>
      <c r="C141" s="33">
        <v>4430290001</v>
      </c>
      <c r="E141" s="33">
        <v>1281</v>
      </c>
      <c r="F141" s="33">
        <v>1272</v>
      </c>
      <c r="G141" s="33" t="s">
        <v>38</v>
      </c>
      <c r="H141" s="33" t="s">
        <v>331</v>
      </c>
      <c r="I141" s="33" t="s">
        <v>46</v>
      </c>
      <c r="J141" s="33" t="s">
        <v>40</v>
      </c>
      <c r="L141" s="33">
        <v>5</v>
      </c>
    </row>
    <row r="142" spans="1:12" s="33" customFormat="1" x14ac:dyDescent="0.3">
      <c r="A142" s="33" t="s">
        <v>332</v>
      </c>
      <c r="B142" s="33">
        <v>1131043888</v>
      </c>
      <c r="C142" s="33" t="s">
        <v>43</v>
      </c>
      <c r="D142" s="33">
        <v>4430265054</v>
      </c>
      <c r="E142" s="33">
        <v>292</v>
      </c>
      <c r="F142" s="33">
        <v>245</v>
      </c>
      <c r="G142" s="33" t="s">
        <v>38</v>
      </c>
      <c r="H142" s="33" t="s">
        <v>333</v>
      </c>
      <c r="I142" s="33" t="s">
        <v>39</v>
      </c>
      <c r="J142" s="33" t="s">
        <v>40</v>
      </c>
      <c r="K142" s="33" t="s">
        <v>41</v>
      </c>
    </row>
    <row r="143" spans="1:12" s="33" customFormat="1" x14ac:dyDescent="0.3">
      <c r="A143" s="33" t="s">
        <v>334</v>
      </c>
      <c r="B143" s="33">
        <v>44999676986</v>
      </c>
      <c r="C143" s="33" t="s">
        <v>44</v>
      </c>
      <c r="D143" s="33">
        <v>4430265054</v>
      </c>
      <c r="E143" s="33">
        <v>427</v>
      </c>
      <c r="F143" s="33">
        <v>365</v>
      </c>
      <c r="G143" s="33" t="s">
        <v>38</v>
      </c>
      <c r="H143" s="33" t="s">
        <v>335</v>
      </c>
      <c r="I143" s="33" t="s">
        <v>39</v>
      </c>
      <c r="J143" s="33" t="s">
        <v>40</v>
      </c>
      <c r="K143" s="33" t="s">
        <v>41</v>
      </c>
    </row>
    <row r="144" spans="1:12" s="33" customFormat="1" x14ac:dyDescent="0.3">
      <c r="A144" s="33" t="s">
        <v>336</v>
      </c>
      <c r="B144" s="33">
        <v>44997177141</v>
      </c>
      <c r="C144" s="33" t="s">
        <v>37</v>
      </c>
      <c r="D144" s="33">
        <v>4430265054</v>
      </c>
      <c r="E144" s="33">
        <v>731</v>
      </c>
      <c r="F144" s="33">
        <v>685</v>
      </c>
      <c r="G144" s="33" t="s">
        <v>38</v>
      </c>
      <c r="H144" s="33" t="s">
        <v>337</v>
      </c>
      <c r="I144" s="33" t="s">
        <v>39</v>
      </c>
      <c r="J144" s="33" t="s">
        <v>40</v>
      </c>
      <c r="K144" s="33" t="s">
        <v>41</v>
      </c>
    </row>
    <row r="145" spans="1:12" s="33" customFormat="1" x14ac:dyDescent="0.3">
      <c r="A145" s="33" t="s">
        <v>338</v>
      </c>
      <c r="B145" s="33">
        <v>4430145899</v>
      </c>
      <c r="C145" s="33" t="s">
        <v>42</v>
      </c>
      <c r="D145" s="33">
        <v>4430265054</v>
      </c>
      <c r="E145" s="33">
        <v>1170</v>
      </c>
      <c r="F145" s="33">
        <v>1130</v>
      </c>
      <c r="G145" s="33" t="s">
        <v>38</v>
      </c>
      <c r="H145" s="33" t="s">
        <v>339</v>
      </c>
      <c r="I145" s="33" t="s">
        <v>39</v>
      </c>
      <c r="J145" s="33" t="s">
        <v>40</v>
      </c>
      <c r="K145" s="33" t="s">
        <v>41</v>
      </c>
    </row>
    <row r="146" spans="1:12" s="33" customFormat="1" x14ac:dyDescent="0.3">
      <c r="A146" s="33" t="s">
        <v>340</v>
      </c>
      <c r="B146" s="33">
        <v>44998107650</v>
      </c>
      <c r="C146" s="33" t="s">
        <v>44</v>
      </c>
      <c r="D146" s="33">
        <v>4431268225</v>
      </c>
      <c r="E146" s="33">
        <v>454</v>
      </c>
      <c r="F146" s="33">
        <v>356</v>
      </c>
      <c r="G146" s="33" t="s">
        <v>38</v>
      </c>
      <c r="H146" s="33" t="s">
        <v>341</v>
      </c>
      <c r="I146" s="33" t="s">
        <v>39</v>
      </c>
      <c r="J146" s="33" t="s">
        <v>40</v>
      </c>
      <c r="K146" s="33" t="s">
        <v>41</v>
      </c>
      <c r="L146" s="33">
        <v>5</v>
      </c>
    </row>
    <row r="147" spans="1:12" s="33" customFormat="1" x14ac:dyDescent="0.3">
      <c r="A147" s="33" t="s">
        <v>342</v>
      </c>
      <c r="B147" s="33">
        <v>4130263118</v>
      </c>
      <c r="C147" s="33" t="s">
        <v>43</v>
      </c>
      <c r="D147" s="33">
        <v>4430265054</v>
      </c>
      <c r="E147" s="33">
        <v>1484</v>
      </c>
      <c r="F147" s="33">
        <v>1352</v>
      </c>
      <c r="G147" s="33" t="s">
        <v>38</v>
      </c>
      <c r="H147" s="33" t="s">
        <v>343</v>
      </c>
      <c r="I147" s="33" t="s">
        <v>39</v>
      </c>
      <c r="J147" s="33" t="s">
        <v>40</v>
      </c>
      <c r="K147" s="33" t="s">
        <v>41</v>
      </c>
    </row>
    <row r="148" spans="1:12" s="33" customFormat="1" x14ac:dyDescent="0.3">
      <c r="A148" s="33" t="s">
        <v>344</v>
      </c>
      <c r="B148" s="33">
        <v>4430145172</v>
      </c>
      <c r="C148" s="33" t="s">
        <v>37</v>
      </c>
      <c r="D148" s="33">
        <v>4430265054</v>
      </c>
      <c r="E148" s="33">
        <v>417</v>
      </c>
      <c r="F148" s="33">
        <v>379</v>
      </c>
      <c r="G148" s="33" t="s">
        <v>38</v>
      </c>
      <c r="H148" s="33" t="s">
        <v>345</v>
      </c>
      <c r="I148" s="33" t="s">
        <v>39</v>
      </c>
      <c r="J148" s="33" t="s">
        <v>40</v>
      </c>
      <c r="K148" s="33" t="s">
        <v>41</v>
      </c>
      <c r="L148" s="33">
        <v>5</v>
      </c>
    </row>
    <row r="149" spans="1:12" s="33" customFormat="1" x14ac:dyDescent="0.3">
      <c r="A149" s="33" t="s">
        <v>346</v>
      </c>
      <c r="B149" s="33">
        <v>35998295948</v>
      </c>
      <c r="C149" s="33" t="s">
        <v>37</v>
      </c>
      <c r="D149" s="33">
        <v>4430265054</v>
      </c>
      <c r="E149" s="33">
        <v>241</v>
      </c>
      <c r="F149" s="33">
        <v>166</v>
      </c>
      <c r="G149" s="33" t="s">
        <v>38</v>
      </c>
      <c r="H149" s="33" t="s">
        <v>347</v>
      </c>
      <c r="I149" s="33" t="s">
        <v>39</v>
      </c>
      <c r="J149" s="33" t="s">
        <v>40</v>
      </c>
      <c r="K149" s="33" t="s">
        <v>41</v>
      </c>
      <c r="L149" s="33">
        <v>5</v>
      </c>
    </row>
    <row r="150" spans="1:12" s="33" customFormat="1" x14ac:dyDescent="0.3">
      <c r="A150" s="33" t="s">
        <v>348</v>
      </c>
      <c r="B150" s="33">
        <v>11972178961</v>
      </c>
      <c r="C150" s="33" t="s">
        <v>43</v>
      </c>
      <c r="D150" s="33">
        <v>4430265054</v>
      </c>
      <c r="E150" s="33">
        <v>417</v>
      </c>
      <c r="F150" s="33">
        <v>378</v>
      </c>
      <c r="G150" s="33" t="s">
        <v>38</v>
      </c>
      <c r="H150" s="33" t="s">
        <v>349</v>
      </c>
      <c r="I150" s="33" t="s">
        <v>39</v>
      </c>
      <c r="J150" s="33" t="s">
        <v>40</v>
      </c>
      <c r="K150" s="33" t="s">
        <v>41</v>
      </c>
    </row>
    <row r="151" spans="1:12" s="33" customFormat="1" x14ac:dyDescent="0.3">
      <c r="A151" s="33" t="s">
        <v>350</v>
      </c>
      <c r="B151" s="33">
        <v>43988030048</v>
      </c>
      <c r="C151" s="33" t="s">
        <v>44</v>
      </c>
      <c r="D151" s="33">
        <v>4430265054</v>
      </c>
      <c r="E151" s="33">
        <v>1108</v>
      </c>
      <c r="F151" s="33">
        <v>1067</v>
      </c>
      <c r="G151" s="33" t="s">
        <v>38</v>
      </c>
      <c r="H151" s="33" t="s">
        <v>351</v>
      </c>
      <c r="I151" s="33" t="s">
        <v>39</v>
      </c>
      <c r="J151" s="33" t="s">
        <v>40</v>
      </c>
      <c r="K151" s="33" t="s">
        <v>41</v>
      </c>
    </row>
    <row r="152" spans="1:12" s="33" customFormat="1" x14ac:dyDescent="0.3">
      <c r="A152" s="33" t="s">
        <v>352</v>
      </c>
      <c r="B152" s="33">
        <v>93991495484</v>
      </c>
      <c r="C152" s="33" t="s">
        <v>37</v>
      </c>
      <c r="D152" s="33">
        <v>4430265054</v>
      </c>
      <c r="E152" s="33">
        <v>1146</v>
      </c>
      <c r="F152" s="33">
        <v>1058</v>
      </c>
      <c r="G152" s="33" t="s">
        <v>38</v>
      </c>
      <c r="H152" s="33" t="s">
        <v>353</v>
      </c>
      <c r="I152" s="33" t="s">
        <v>39</v>
      </c>
      <c r="J152" s="33" t="s">
        <v>40</v>
      </c>
      <c r="K152" s="33" t="s">
        <v>41</v>
      </c>
      <c r="L152" s="33">
        <v>5</v>
      </c>
    </row>
    <row r="153" spans="1:12" s="33" customFormat="1" x14ac:dyDescent="0.3">
      <c r="A153" s="33" t="s">
        <v>354</v>
      </c>
      <c r="B153" s="33">
        <v>4520312689</v>
      </c>
      <c r="C153" s="33" t="s">
        <v>43</v>
      </c>
      <c r="D153" s="33">
        <v>4430265054</v>
      </c>
      <c r="E153" s="33">
        <v>647</v>
      </c>
      <c r="F153" s="33">
        <v>597</v>
      </c>
      <c r="G153" s="33" t="s">
        <v>38</v>
      </c>
      <c r="H153" s="33" t="s">
        <v>355</v>
      </c>
      <c r="I153" s="33" t="s">
        <v>39</v>
      </c>
      <c r="J153" s="33" t="s">
        <v>40</v>
      </c>
      <c r="K153" s="33" t="s">
        <v>41</v>
      </c>
    </row>
    <row r="154" spans="1:12" s="33" customFormat="1" x14ac:dyDescent="0.3">
      <c r="A154" s="33" t="s">
        <v>356</v>
      </c>
      <c r="B154" s="33">
        <v>43991364602</v>
      </c>
      <c r="C154" s="33" t="s">
        <v>37</v>
      </c>
      <c r="D154" s="33">
        <v>4430265054</v>
      </c>
      <c r="E154" s="33">
        <v>242</v>
      </c>
      <c r="F154" s="33">
        <v>204</v>
      </c>
      <c r="G154" s="33" t="s">
        <v>38</v>
      </c>
      <c r="H154" s="33" t="s">
        <v>357</v>
      </c>
      <c r="I154" s="33" t="s">
        <v>39</v>
      </c>
      <c r="J154" s="33" t="s">
        <v>40</v>
      </c>
      <c r="K154" s="33" t="s">
        <v>41</v>
      </c>
    </row>
    <row r="155" spans="1:12" s="33" customFormat="1" x14ac:dyDescent="0.3">
      <c r="A155" s="33" t="s">
        <v>358</v>
      </c>
      <c r="B155" s="33">
        <v>43999388040</v>
      </c>
      <c r="C155" s="33" t="s">
        <v>44</v>
      </c>
      <c r="D155" s="33">
        <v>4430265054</v>
      </c>
      <c r="E155" s="33">
        <v>1441</v>
      </c>
      <c r="F155" s="33">
        <v>1381</v>
      </c>
      <c r="G155" s="33" t="s">
        <v>38</v>
      </c>
      <c r="H155" s="33" t="s">
        <v>359</v>
      </c>
      <c r="I155" s="33" t="s">
        <v>39</v>
      </c>
      <c r="J155" s="33" t="s">
        <v>40</v>
      </c>
      <c r="K155" s="33" t="s">
        <v>41</v>
      </c>
    </row>
    <row r="156" spans="1:12" s="33" customFormat="1" x14ac:dyDescent="0.3">
      <c r="A156" s="33" t="s">
        <v>360</v>
      </c>
      <c r="B156" s="33" t="s">
        <v>44</v>
      </c>
      <c r="C156" s="33">
        <v>44999676705</v>
      </c>
      <c r="E156" s="33">
        <v>77</v>
      </c>
      <c r="F156" s="33">
        <v>41</v>
      </c>
      <c r="G156" s="33" t="s">
        <v>38</v>
      </c>
      <c r="H156" s="33" t="s">
        <v>361</v>
      </c>
      <c r="I156" s="33" t="s">
        <v>46</v>
      </c>
      <c r="J156" s="33" t="s">
        <v>40</v>
      </c>
    </row>
    <row r="157" spans="1:12" s="33" customFormat="1" x14ac:dyDescent="0.3">
      <c r="A157" s="33" t="s">
        <v>362</v>
      </c>
      <c r="B157" s="33" t="s">
        <v>42</v>
      </c>
      <c r="C157" s="33">
        <v>4532541996</v>
      </c>
      <c r="E157" s="33">
        <v>741</v>
      </c>
      <c r="F157" s="33">
        <v>733</v>
      </c>
      <c r="G157" s="33" t="s">
        <v>38</v>
      </c>
      <c r="H157" s="33" t="s">
        <v>363</v>
      </c>
      <c r="I157" s="33" t="s">
        <v>46</v>
      </c>
      <c r="J157" s="33" t="s">
        <v>40</v>
      </c>
    </row>
    <row r="158" spans="1:12" s="33" customFormat="1" x14ac:dyDescent="0.3">
      <c r="A158" s="33" t="s">
        <v>364</v>
      </c>
      <c r="B158" s="33" t="s">
        <v>44</v>
      </c>
      <c r="C158" s="33">
        <v>44999676705</v>
      </c>
      <c r="E158" s="33">
        <v>66</v>
      </c>
      <c r="F158" s="33">
        <v>29</v>
      </c>
      <c r="G158" s="33" t="s">
        <v>38</v>
      </c>
      <c r="H158" s="33" t="s">
        <v>365</v>
      </c>
      <c r="I158" s="33" t="s">
        <v>46</v>
      </c>
      <c r="J158" s="33" t="s">
        <v>40</v>
      </c>
    </row>
    <row r="159" spans="1:12" s="33" customFormat="1" x14ac:dyDescent="0.3">
      <c r="A159" s="33" t="s">
        <v>366</v>
      </c>
      <c r="B159" s="33" t="s">
        <v>42</v>
      </c>
      <c r="C159" s="33">
        <v>45999061818</v>
      </c>
      <c r="E159" s="33">
        <v>40</v>
      </c>
      <c r="F159" s="33">
        <v>29</v>
      </c>
      <c r="G159" s="33" t="s">
        <v>38</v>
      </c>
      <c r="H159" s="33" t="s">
        <v>367</v>
      </c>
      <c r="I159" s="33" t="s">
        <v>46</v>
      </c>
      <c r="J159" s="33" t="s">
        <v>40</v>
      </c>
    </row>
    <row r="160" spans="1:12" s="33" customFormat="1" x14ac:dyDescent="0.3">
      <c r="A160" s="33" t="s">
        <v>368</v>
      </c>
      <c r="B160" s="33" t="s">
        <v>42</v>
      </c>
      <c r="C160" s="33">
        <v>44999676705</v>
      </c>
      <c r="E160" s="33">
        <v>52</v>
      </c>
      <c r="F160" s="33">
        <v>0</v>
      </c>
      <c r="G160" s="33" t="s">
        <v>47</v>
      </c>
      <c r="H160" s="33" t="s">
        <v>369</v>
      </c>
      <c r="I160" s="33" t="s">
        <v>46</v>
      </c>
      <c r="J160" s="33" t="s">
        <v>40</v>
      </c>
    </row>
    <row r="161" spans="1:12" s="33" customFormat="1" x14ac:dyDescent="0.3">
      <c r="A161" s="33" t="s">
        <v>370</v>
      </c>
      <c r="B161" s="33">
        <v>44998717172</v>
      </c>
      <c r="C161" s="33" t="s">
        <v>44</v>
      </c>
      <c r="D161" s="33">
        <v>4430265054</v>
      </c>
      <c r="E161" s="33">
        <v>455</v>
      </c>
      <c r="F161" s="33">
        <v>394</v>
      </c>
      <c r="G161" s="33" t="s">
        <v>38</v>
      </c>
      <c r="H161" s="33" t="s">
        <v>371</v>
      </c>
      <c r="I161" s="33" t="s">
        <v>39</v>
      </c>
      <c r="J161" s="33" t="s">
        <v>40</v>
      </c>
      <c r="K161" s="33" t="s">
        <v>41</v>
      </c>
    </row>
    <row r="162" spans="1:12" s="33" customFormat="1" x14ac:dyDescent="0.3">
      <c r="A162" s="33" t="s">
        <v>372</v>
      </c>
      <c r="B162" s="33" t="s">
        <v>37</v>
      </c>
      <c r="C162" s="33">
        <v>4532840335</v>
      </c>
      <c r="E162" s="33">
        <v>3</v>
      </c>
      <c r="F162" s="33">
        <v>0</v>
      </c>
      <c r="G162" s="33" t="s">
        <v>47</v>
      </c>
      <c r="H162" s="33" t="s">
        <v>373</v>
      </c>
      <c r="I162" s="33" t="s">
        <v>46</v>
      </c>
      <c r="J162" s="33" t="s">
        <v>40</v>
      </c>
    </row>
    <row r="163" spans="1:12" s="33" customFormat="1" x14ac:dyDescent="0.3">
      <c r="A163" s="33" t="s">
        <v>374</v>
      </c>
      <c r="B163" s="33" t="s">
        <v>37</v>
      </c>
      <c r="C163" s="33">
        <v>4532840335</v>
      </c>
      <c r="E163" s="33">
        <v>1</v>
      </c>
      <c r="F163" s="33">
        <v>0</v>
      </c>
      <c r="G163" s="33" t="s">
        <v>47</v>
      </c>
      <c r="H163" s="33" t="s">
        <v>375</v>
      </c>
      <c r="I163" s="33" t="s">
        <v>46</v>
      </c>
      <c r="J163" s="33" t="s">
        <v>40</v>
      </c>
    </row>
    <row r="164" spans="1:12" s="33" customFormat="1" x14ac:dyDescent="0.3">
      <c r="A164" s="33" t="s">
        <v>376</v>
      </c>
      <c r="B164" s="33" t="s">
        <v>37</v>
      </c>
      <c r="C164" s="33">
        <v>4532840335</v>
      </c>
      <c r="E164" s="33">
        <v>9</v>
      </c>
      <c r="F164" s="33">
        <v>0</v>
      </c>
      <c r="G164" s="33" t="s">
        <v>47</v>
      </c>
      <c r="H164" s="33" t="s">
        <v>377</v>
      </c>
      <c r="I164" s="33" t="s">
        <v>46</v>
      </c>
      <c r="J164" s="33" t="s">
        <v>40</v>
      </c>
    </row>
    <row r="165" spans="1:12" s="33" customFormat="1" x14ac:dyDescent="0.3">
      <c r="A165" s="33" t="s">
        <v>378</v>
      </c>
      <c r="B165" s="33" t="s">
        <v>37</v>
      </c>
      <c r="C165" s="33">
        <v>4532840335</v>
      </c>
      <c r="E165" s="33">
        <v>2</v>
      </c>
      <c r="F165" s="33">
        <v>0</v>
      </c>
      <c r="G165" s="33" t="s">
        <v>47</v>
      </c>
      <c r="H165" s="33" t="s">
        <v>379</v>
      </c>
      <c r="I165" s="33" t="s">
        <v>46</v>
      </c>
      <c r="J165" s="33" t="s">
        <v>40</v>
      </c>
    </row>
    <row r="166" spans="1:12" s="33" customFormat="1" x14ac:dyDescent="0.3">
      <c r="A166" s="33" t="s">
        <v>380</v>
      </c>
      <c r="B166" s="33" t="s">
        <v>44</v>
      </c>
      <c r="C166" s="33">
        <v>44997366788</v>
      </c>
      <c r="E166" s="33">
        <v>49</v>
      </c>
      <c r="F166" s="33">
        <v>40</v>
      </c>
      <c r="G166" s="33" t="s">
        <v>38</v>
      </c>
      <c r="H166" s="33" t="s">
        <v>381</v>
      </c>
      <c r="I166" s="33" t="s">
        <v>46</v>
      </c>
      <c r="J166" s="33" t="s">
        <v>40</v>
      </c>
    </row>
    <row r="167" spans="1:12" s="33" customFormat="1" x14ac:dyDescent="0.3">
      <c r="A167" s="33" t="s">
        <v>382</v>
      </c>
      <c r="B167" s="33" t="s">
        <v>44</v>
      </c>
      <c r="C167" s="33">
        <v>44997366788</v>
      </c>
      <c r="E167" s="33">
        <v>7</v>
      </c>
      <c r="F167" s="33">
        <v>0</v>
      </c>
      <c r="G167" s="33" t="s">
        <v>47</v>
      </c>
      <c r="H167" s="33" t="s">
        <v>383</v>
      </c>
      <c r="I167" s="33" t="s">
        <v>46</v>
      </c>
      <c r="J167" s="33" t="s">
        <v>40</v>
      </c>
    </row>
    <row r="168" spans="1:12" s="33" customFormat="1" x14ac:dyDescent="0.3">
      <c r="A168" s="33" t="s">
        <v>384</v>
      </c>
      <c r="B168" s="33">
        <v>4330332823</v>
      </c>
      <c r="C168" s="33" t="s">
        <v>43</v>
      </c>
      <c r="D168" s="33">
        <v>4430265054</v>
      </c>
      <c r="E168" s="33">
        <v>597</v>
      </c>
      <c r="F168" s="33">
        <v>534</v>
      </c>
      <c r="G168" s="33" t="s">
        <v>38</v>
      </c>
      <c r="H168" s="33" t="s">
        <v>385</v>
      </c>
      <c r="I168" s="33" t="s">
        <v>39</v>
      </c>
      <c r="J168" s="33" t="s">
        <v>40</v>
      </c>
      <c r="K168" s="33" t="s">
        <v>41</v>
      </c>
    </row>
    <row r="169" spans="1:12" s="33" customFormat="1" x14ac:dyDescent="0.3">
      <c r="A169" s="33" t="s">
        <v>386</v>
      </c>
      <c r="B169" s="33">
        <v>44997366788</v>
      </c>
      <c r="C169" s="33" t="s">
        <v>44</v>
      </c>
      <c r="D169" s="33">
        <v>4430265054</v>
      </c>
      <c r="E169" s="33">
        <v>151</v>
      </c>
      <c r="F169" s="33">
        <v>67</v>
      </c>
      <c r="G169" s="33" t="s">
        <v>38</v>
      </c>
      <c r="H169" s="33" t="s">
        <v>387</v>
      </c>
      <c r="I169" s="33" t="s">
        <v>39</v>
      </c>
      <c r="J169" s="33" t="s">
        <v>40</v>
      </c>
      <c r="K169" s="33" t="s">
        <v>41</v>
      </c>
    </row>
    <row r="170" spans="1:12" s="33" customFormat="1" x14ac:dyDescent="0.3">
      <c r="A170" s="33" t="s">
        <v>388</v>
      </c>
      <c r="B170" s="33">
        <v>44997734943</v>
      </c>
      <c r="C170" s="33" t="s">
        <v>43</v>
      </c>
      <c r="D170" s="33">
        <v>4430265054</v>
      </c>
      <c r="E170" s="33">
        <v>927</v>
      </c>
      <c r="F170" s="33">
        <v>889</v>
      </c>
      <c r="G170" s="33" t="s">
        <v>38</v>
      </c>
      <c r="H170" s="33" t="s">
        <v>389</v>
      </c>
      <c r="I170" s="33" t="s">
        <v>39</v>
      </c>
      <c r="J170" s="33" t="s">
        <v>40</v>
      </c>
      <c r="K170" s="33" t="s">
        <v>41</v>
      </c>
    </row>
    <row r="171" spans="1:12" s="33" customFormat="1" x14ac:dyDescent="0.3">
      <c r="A171" s="33" t="s">
        <v>390</v>
      </c>
      <c r="B171" s="33">
        <v>4330333558</v>
      </c>
      <c r="C171" s="33" t="s">
        <v>42</v>
      </c>
      <c r="D171" s="33">
        <v>4430265054</v>
      </c>
      <c r="E171" s="33">
        <v>642</v>
      </c>
      <c r="F171" s="33">
        <v>600</v>
      </c>
      <c r="G171" s="33" t="s">
        <v>38</v>
      </c>
      <c r="H171" s="33" t="s">
        <v>391</v>
      </c>
      <c r="I171" s="33" t="s">
        <v>39</v>
      </c>
      <c r="J171" s="33" t="s">
        <v>40</v>
      </c>
      <c r="K171" s="33" t="s">
        <v>41</v>
      </c>
    </row>
    <row r="172" spans="1:12" s="33" customFormat="1" x14ac:dyDescent="0.3">
      <c r="A172" s="33" t="s">
        <v>392</v>
      </c>
      <c r="B172" s="33">
        <v>43999388040</v>
      </c>
      <c r="C172" s="33" t="s">
        <v>48</v>
      </c>
      <c r="D172" s="33">
        <v>4430265054</v>
      </c>
      <c r="E172" s="33">
        <v>671</v>
      </c>
      <c r="F172" s="33">
        <v>608</v>
      </c>
      <c r="G172" s="33" t="s">
        <v>38</v>
      </c>
      <c r="H172" s="33" t="s">
        <v>393</v>
      </c>
      <c r="I172" s="33" t="s">
        <v>39</v>
      </c>
      <c r="J172" s="33" t="s">
        <v>40</v>
      </c>
      <c r="K172" s="33" t="s">
        <v>41</v>
      </c>
    </row>
    <row r="173" spans="1:12" s="33" customFormat="1" x14ac:dyDescent="0.3">
      <c r="A173" s="33" t="s">
        <v>394</v>
      </c>
      <c r="B173" s="33">
        <v>44999670264</v>
      </c>
      <c r="C173" s="33" t="s">
        <v>44</v>
      </c>
      <c r="D173" s="33">
        <v>4430265054</v>
      </c>
      <c r="E173" s="33">
        <v>530</v>
      </c>
      <c r="F173" s="33">
        <v>484</v>
      </c>
      <c r="G173" s="33" t="s">
        <v>38</v>
      </c>
      <c r="H173" s="33" t="s">
        <v>395</v>
      </c>
      <c r="I173" s="33" t="s">
        <v>39</v>
      </c>
      <c r="J173" s="33" t="s">
        <v>40</v>
      </c>
      <c r="K173" s="33" t="s">
        <v>41</v>
      </c>
      <c r="L173" s="33">
        <v>5</v>
      </c>
    </row>
    <row r="174" spans="1:12" s="33" customFormat="1" x14ac:dyDescent="0.3">
      <c r="A174" s="33" t="s">
        <v>396</v>
      </c>
      <c r="B174" s="33">
        <v>4432321428</v>
      </c>
      <c r="C174" s="33" t="s">
        <v>37</v>
      </c>
      <c r="D174" s="33">
        <v>4430265054</v>
      </c>
      <c r="E174" s="33">
        <v>1465</v>
      </c>
      <c r="F174" s="33">
        <v>1436</v>
      </c>
      <c r="G174" s="33" t="s">
        <v>38</v>
      </c>
      <c r="H174" s="33" t="s">
        <v>397</v>
      </c>
      <c r="I174" s="33" t="s">
        <v>39</v>
      </c>
      <c r="J174" s="33" t="s">
        <v>40</v>
      </c>
      <c r="K174" s="33" t="s">
        <v>41</v>
      </c>
      <c r="L174" s="33">
        <v>5</v>
      </c>
    </row>
    <row r="175" spans="1:12" s="33" customFormat="1" x14ac:dyDescent="0.3">
      <c r="A175" s="33" t="s">
        <v>398</v>
      </c>
      <c r="B175" s="33" t="s">
        <v>43</v>
      </c>
      <c r="C175" s="33">
        <v>4430459032</v>
      </c>
      <c r="E175" s="33">
        <v>1203</v>
      </c>
      <c r="F175" s="33">
        <v>1202</v>
      </c>
      <c r="G175" s="33" t="s">
        <v>38</v>
      </c>
      <c r="H175" s="33" t="s">
        <v>399</v>
      </c>
      <c r="I175" s="33" t="s">
        <v>46</v>
      </c>
      <c r="J175" s="33" t="s">
        <v>40</v>
      </c>
      <c r="L175" s="33">
        <v>5</v>
      </c>
    </row>
    <row r="176" spans="1:12" s="33" customFormat="1" x14ac:dyDescent="0.3">
      <c r="A176" s="33" t="s">
        <v>400</v>
      </c>
      <c r="B176" s="33">
        <v>44997366788</v>
      </c>
      <c r="C176" s="33" t="s">
        <v>42</v>
      </c>
      <c r="D176" s="33">
        <v>4430265054</v>
      </c>
      <c r="E176" s="33">
        <v>619</v>
      </c>
      <c r="F176" s="33">
        <v>530</v>
      </c>
      <c r="G176" s="33" t="s">
        <v>38</v>
      </c>
      <c r="H176" s="33" t="s">
        <v>401</v>
      </c>
      <c r="I176" s="33" t="s">
        <v>39</v>
      </c>
      <c r="J176" s="33" t="s">
        <v>40</v>
      </c>
      <c r="K176" s="33" t="s">
        <v>41</v>
      </c>
      <c r="L176" s="33">
        <v>5</v>
      </c>
    </row>
    <row r="177" spans="1:12" s="33" customFormat="1" x14ac:dyDescent="0.3">
      <c r="A177" s="33" t="s">
        <v>402</v>
      </c>
      <c r="B177" s="33">
        <v>44997366788</v>
      </c>
      <c r="C177" s="33" t="s">
        <v>43</v>
      </c>
      <c r="D177" s="33">
        <v>4430265054</v>
      </c>
      <c r="E177" s="33">
        <v>427</v>
      </c>
      <c r="F177" s="33">
        <v>389</v>
      </c>
      <c r="G177" s="33" t="s">
        <v>38</v>
      </c>
      <c r="H177" s="33" t="s">
        <v>403</v>
      </c>
      <c r="I177" s="33" t="s">
        <v>39</v>
      </c>
      <c r="J177" s="33" t="s">
        <v>40</v>
      </c>
      <c r="K177" s="33" t="s">
        <v>41</v>
      </c>
      <c r="L177" s="33">
        <v>5</v>
      </c>
    </row>
    <row r="178" spans="1:12" s="33" customFormat="1" x14ac:dyDescent="0.3">
      <c r="A178" s="33" t="s">
        <v>404</v>
      </c>
      <c r="B178" s="33">
        <v>44988255390</v>
      </c>
      <c r="C178" s="33" t="s">
        <v>44</v>
      </c>
      <c r="D178" s="33">
        <v>4430265054</v>
      </c>
      <c r="E178" s="33">
        <v>443</v>
      </c>
      <c r="F178" s="33">
        <v>360</v>
      </c>
      <c r="G178" s="33" t="s">
        <v>38</v>
      </c>
      <c r="H178" s="33" t="s">
        <v>405</v>
      </c>
      <c r="I178" s="33" t="s">
        <v>39</v>
      </c>
      <c r="J178" s="33" t="s">
        <v>40</v>
      </c>
      <c r="K178" s="33" t="s">
        <v>41</v>
      </c>
    </row>
    <row r="179" spans="1:12" s="33" customFormat="1" x14ac:dyDescent="0.3">
      <c r="A179" s="33" t="s">
        <v>406</v>
      </c>
      <c r="B179" s="33">
        <v>43988030048</v>
      </c>
      <c r="C179" s="33" t="s">
        <v>42</v>
      </c>
      <c r="D179" s="33">
        <v>4430265054</v>
      </c>
      <c r="E179" s="33">
        <v>1650</v>
      </c>
      <c r="F179" s="33">
        <v>1591</v>
      </c>
      <c r="G179" s="33" t="s">
        <v>38</v>
      </c>
      <c r="H179" s="33" t="s">
        <v>407</v>
      </c>
      <c r="I179" s="33" t="s">
        <v>39</v>
      </c>
      <c r="J179" s="33" t="s">
        <v>40</v>
      </c>
      <c r="K179" s="33" t="s">
        <v>41</v>
      </c>
      <c r="L179" s="33">
        <v>5</v>
      </c>
    </row>
    <row r="180" spans="1:12" s="33" customFormat="1" x14ac:dyDescent="0.3">
      <c r="A180" s="33" t="s">
        <v>408</v>
      </c>
      <c r="B180" s="33" t="s">
        <v>43</v>
      </c>
      <c r="C180" s="33">
        <v>4130775695</v>
      </c>
      <c r="E180" s="33">
        <v>283</v>
      </c>
      <c r="F180" s="33">
        <v>272</v>
      </c>
      <c r="G180" s="33" t="s">
        <v>38</v>
      </c>
      <c r="H180" s="33" t="s">
        <v>409</v>
      </c>
      <c r="I180" s="33" t="s">
        <v>46</v>
      </c>
      <c r="J180" s="33" t="s">
        <v>40</v>
      </c>
      <c r="L180" s="33">
        <v>5</v>
      </c>
    </row>
    <row r="181" spans="1:12" s="33" customFormat="1" x14ac:dyDescent="0.3">
      <c r="A181" s="33" t="s">
        <v>410</v>
      </c>
      <c r="B181" s="33">
        <v>4432541200</v>
      </c>
      <c r="C181" s="33" t="s">
        <v>37</v>
      </c>
      <c r="D181" s="33">
        <v>4430265054</v>
      </c>
      <c r="E181" s="33">
        <v>1750</v>
      </c>
      <c r="F181" s="33">
        <v>1667</v>
      </c>
      <c r="G181" s="33" t="s">
        <v>38</v>
      </c>
      <c r="H181" s="33" t="s">
        <v>411</v>
      </c>
      <c r="I181" s="33" t="s">
        <v>39</v>
      </c>
      <c r="J181" s="33" t="s">
        <v>40</v>
      </c>
      <c r="K181" s="33" t="s">
        <v>41</v>
      </c>
      <c r="L181" s="33">
        <v>5</v>
      </c>
    </row>
    <row r="182" spans="1:12" s="33" customFormat="1" x14ac:dyDescent="0.3">
      <c r="A182" s="33" t="s">
        <v>412</v>
      </c>
      <c r="B182" s="33">
        <v>11965990735</v>
      </c>
      <c r="C182" s="33" t="s">
        <v>42</v>
      </c>
      <c r="D182" s="33">
        <v>4430265054</v>
      </c>
      <c r="E182" s="33">
        <v>152</v>
      </c>
      <c r="F182" s="33">
        <v>128</v>
      </c>
      <c r="G182" s="33" t="s">
        <v>38</v>
      </c>
      <c r="H182" s="33" t="s">
        <v>413</v>
      </c>
      <c r="I182" s="33" t="s">
        <v>39</v>
      </c>
      <c r="J182" s="33" t="s">
        <v>40</v>
      </c>
      <c r="K182" s="33" t="s">
        <v>41</v>
      </c>
    </row>
    <row r="183" spans="1:12" s="33" customFormat="1" x14ac:dyDescent="0.3">
      <c r="A183" s="33" t="s">
        <v>414</v>
      </c>
      <c r="B183" s="33">
        <v>47999115463</v>
      </c>
      <c r="C183" s="33" t="s">
        <v>37</v>
      </c>
      <c r="D183" s="33">
        <v>4430265054</v>
      </c>
      <c r="E183" s="33">
        <v>221</v>
      </c>
      <c r="F183" s="33">
        <v>179</v>
      </c>
      <c r="G183" s="33" t="s">
        <v>38</v>
      </c>
      <c r="H183" s="33" t="s">
        <v>415</v>
      </c>
      <c r="I183" s="33" t="s">
        <v>39</v>
      </c>
      <c r="J183" s="33" t="s">
        <v>40</v>
      </c>
      <c r="K183" s="33" t="s">
        <v>41</v>
      </c>
      <c r="L183" s="33">
        <v>5</v>
      </c>
    </row>
    <row r="184" spans="1:12" s="33" customFormat="1" x14ac:dyDescent="0.3">
      <c r="A184" s="33" t="s">
        <v>416</v>
      </c>
      <c r="B184" s="33">
        <v>91981481202</v>
      </c>
      <c r="C184" s="33" t="s">
        <v>43</v>
      </c>
      <c r="D184" s="33">
        <v>4430265054</v>
      </c>
      <c r="E184" s="33">
        <v>371</v>
      </c>
      <c r="F184" s="33">
        <v>338</v>
      </c>
      <c r="G184" s="33" t="s">
        <v>38</v>
      </c>
      <c r="H184" s="33" t="s">
        <v>417</v>
      </c>
      <c r="I184" s="33" t="s">
        <v>39</v>
      </c>
      <c r="J184" s="33" t="s">
        <v>40</v>
      </c>
      <c r="K184" s="33" t="s">
        <v>41</v>
      </c>
      <c r="L184" s="33">
        <v>5</v>
      </c>
    </row>
    <row r="185" spans="1:12" s="33" customFormat="1" x14ac:dyDescent="0.3">
      <c r="A185" s="33" t="s">
        <v>418</v>
      </c>
      <c r="B185" s="33">
        <v>44991116911</v>
      </c>
      <c r="C185" s="33" t="s">
        <v>43</v>
      </c>
      <c r="D185" s="33">
        <v>4430265054</v>
      </c>
      <c r="E185" s="33">
        <v>731</v>
      </c>
      <c r="F185" s="33">
        <v>690</v>
      </c>
      <c r="G185" s="33" t="s">
        <v>38</v>
      </c>
      <c r="H185" s="33" t="s">
        <v>419</v>
      </c>
      <c r="I185" s="33" t="s">
        <v>39</v>
      </c>
      <c r="J185" s="33" t="s">
        <v>40</v>
      </c>
      <c r="K185" s="33" t="s">
        <v>41</v>
      </c>
      <c r="L185" s="33">
        <v>5</v>
      </c>
    </row>
    <row r="186" spans="1:12" s="33" customFormat="1" x14ac:dyDescent="0.3">
      <c r="A186" s="33" t="s">
        <v>420</v>
      </c>
      <c r="B186" s="33">
        <v>4432520077</v>
      </c>
      <c r="C186" s="33" t="s">
        <v>44</v>
      </c>
      <c r="D186" s="33">
        <v>4430265054</v>
      </c>
      <c r="E186" s="33">
        <v>196</v>
      </c>
      <c r="F186" s="33">
        <v>145</v>
      </c>
      <c r="G186" s="33" t="s">
        <v>38</v>
      </c>
      <c r="H186" s="33" t="s">
        <v>421</v>
      </c>
      <c r="I186" s="33" t="s">
        <v>39</v>
      </c>
      <c r="J186" s="33" t="s">
        <v>40</v>
      </c>
      <c r="K186" s="33" t="s">
        <v>41</v>
      </c>
      <c r="L186" s="33">
        <v>5</v>
      </c>
    </row>
    <row r="187" spans="1:12" s="33" customFormat="1" x14ac:dyDescent="0.3">
      <c r="A187" s="33" t="s">
        <v>422</v>
      </c>
      <c r="B187" s="33">
        <v>4130775695</v>
      </c>
      <c r="C187" s="33" t="s">
        <v>43</v>
      </c>
      <c r="D187" s="33">
        <v>4430265054</v>
      </c>
      <c r="E187" s="33">
        <v>768</v>
      </c>
      <c r="F187" s="33">
        <v>686</v>
      </c>
      <c r="G187" s="33" t="s">
        <v>38</v>
      </c>
      <c r="H187" s="33" t="s">
        <v>423</v>
      </c>
      <c r="I187" s="33" t="s">
        <v>39</v>
      </c>
      <c r="J187" s="33" t="s">
        <v>40</v>
      </c>
      <c r="K187" s="33" t="s">
        <v>41</v>
      </c>
    </row>
    <row r="188" spans="1:12" s="33" customFormat="1" x14ac:dyDescent="0.3">
      <c r="A188" s="33" t="s">
        <v>424</v>
      </c>
      <c r="B188" s="33">
        <v>4435228263</v>
      </c>
      <c r="C188" s="33" t="s">
        <v>42</v>
      </c>
      <c r="D188" s="33">
        <v>4430265054</v>
      </c>
      <c r="E188" s="33">
        <v>2810</v>
      </c>
      <c r="F188" s="33">
        <v>2749</v>
      </c>
      <c r="G188" s="33" t="s">
        <v>38</v>
      </c>
      <c r="H188" s="33" t="s">
        <v>425</v>
      </c>
      <c r="I188" s="33" t="s">
        <v>39</v>
      </c>
      <c r="J188" s="33" t="s">
        <v>40</v>
      </c>
      <c r="K188" s="33" t="s">
        <v>41</v>
      </c>
      <c r="L188" s="33">
        <v>5</v>
      </c>
    </row>
    <row r="189" spans="1:12" s="33" customFormat="1" x14ac:dyDescent="0.3">
      <c r="A189" s="33" t="s">
        <v>426</v>
      </c>
      <c r="B189" s="33" t="s">
        <v>43</v>
      </c>
      <c r="C189" s="33">
        <v>4430191401</v>
      </c>
      <c r="E189" s="33">
        <v>102</v>
      </c>
      <c r="F189" s="33">
        <v>99</v>
      </c>
      <c r="G189" s="33" t="s">
        <v>38</v>
      </c>
      <c r="H189" s="33" t="s">
        <v>427</v>
      </c>
      <c r="I189" s="33" t="s">
        <v>46</v>
      </c>
      <c r="J189" s="33" t="s">
        <v>40</v>
      </c>
    </row>
    <row r="190" spans="1:12" s="33" customFormat="1" x14ac:dyDescent="0.3">
      <c r="A190" s="33" t="s">
        <v>428</v>
      </c>
      <c r="B190" s="33">
        <v>4430145172</v>
      </c>
      <c r="C190" s="33" t="s">
        <v>42</v>
      </c>
      <c r="D190" s="33">
        <v>4430265054</v>
      </c>
      <c r="E190" s="33">
        <v>473</v>
      </c>
      <c r="F190" s="33">
        <v>444</v>
      </c>
      <c r="G190" s="33" t="s">
        <v>38</v>
      </c>
      <c r="H190" s="33" t="s">
        <v>429</v>
      </c>
      <c r="I190" s="33" t="s">
        <v>39</v>
      </c>
      <c r="J190" s="33" t="s">
        <v>40</v>
      </c>
      <c r="K190" s="33" t="s">
        <v>41</v>
      </c>
    </row>
    <row r="191" spans="1:12" s="33" customFormat="1" x14ac:dyDescent="0.3">
      <c r="A191" s="33" t="s">
        <v>430</v>
      </c>
      <c r="B191" s="33" t="s">
        <v>37</v>
      </c>
      <c r="C191" s="33">
        <v>44997123083</v>
      </c>
      <c r="E191" s="33">
        <v>40</v>
      </c>
      <c r="F191" s="33">
        <v>0</v>
      </c>
      <c r="G191" s="33" t="s">
        <v>47</v>
      </c>
      <c r="H191" s="33" t="s">
        <v>431</v>
      </c>
      <c r="I191" s="33" t="s">
        <v>46</v>
      </c>
      <c r="J191" s="33" t="s">
        <v>40</v>
      </c>
    </row>
    <row r="192" spans="1:12" s="33" customFormat="1" x14ac:dyDescent="0.3">
      <c r="A192" s="33" t="s">
        <v>432</v>
      </c>
      <c r="B192" s="33" t="s">
        <v>37</v>
      </c>
      <c r="C192" s="33">
        <v>4430335076</v>
      </c>
      <c r="E192" s="33">
        <v>47</v>
      </c>
      <c r="F192" s="33">
        <v>0</v>
      </c>
      <c r="G192" s="33" t="s">
        <v>47</v>
      </c>
      <c r="H192" s="33" t="s">
        <v>433</v>
      </c>
      <c r="I192" s="33" t="s">
        <v>46</v>
      </c>
      <c r="J192" s="33" t="s">
        <v>40</v>
      </c>
    </row>
    <row r="193" spans="1:12" s="33" customFormat="1" x14ac:dyDescent="0.3">
      <c r="A193" s="33" t="s">
        <v>434</v>
      </c>
      <c r="B193" s="33">
        <v>4430191401</v>
      </c>
      <c r="C193" s="33" t="s">
        <v>43</v>
      </c>
      <c r="D193" s="33">
        <v>4430265054</v>
      </c>
      <c r="E193" s="33">
        <v>322</v>
      </c>
      <c r="F193" s="33">
        <v>208</v>
      </c>
      <c r="G193" s="33" t="s">
        <v>38</v>
      </c>
      <c r="H193" s="33" t="s">
        <v>435</v>
      </c>
      <c r="I193" s="33" t="s">
        <v>39</v>
      </c>
      <c r="J193" s="33" t="s">
        <v>40</v>
      </c>
      <c r="K193" s="33" t="s">
        <v>41</v>
      </c>
    </row>
    <row r="194" spans="1:12" s="33" customFormat="1" x14ac:dyDescent="0.3">
      <c r="A194" s="33" t="s">
        <v>436</v>
      </c>
      <c r="B194" s="33">
        <v>4435228263</v>
      </c>
      <c r="C194" s="33" t="s">
        <v>44</v>
      </c>
      <c r="D194" s="33">
        <v>4430265054</v>
      </c>
      <c r="E194" s="33">
        <v>416</v>
      </c>
      <c r="F194" s="33">
        <v>369</v>
      </c>
      <c r="G194" s="33" t="s">
        <v>38</v>
      </c>
      <c r="H194" s="33" t="s">
        <v>437</v>
      </c>
      <c r="I194" s="33" t="s">
        <v>39</v>
      </c>
      <c r="J194" s="33" t="s">
        <v>40</v>
      </c>
      <c r="K194" s="33" t="s">
        <v>41</v>
      </c>
      <c r="L194" s="33">
        <v>5</v>
      </c>
    </row>
    <row r="195" spans="1:12" s="33" customFormat="1" x14ac:dyDescent="0.3">
      <c r="A195" s="33" t="s">
        <v>438</v>
      </c>
      <c r="B195" s="33" t="s">
        <v>37</v>
      </c>
      <c r="C195" s="33">
        <v>4434229352</v>
      </c>
      <c r="E195" s="33">
        <v>214</v>
      </c>
      <c r="F195" s="33">
        <v>213</v>
      </c>
      <c r="G195" s="33" t="s">
        <v>38</v>
      </c>
      <c r="H195" s="33" t="s">
        <v>439</v>
      </c>
      <c r="I195" s="33" t="s">
        <v>46</v>
      </c>
      <c r="J195" s="33" t="s">
        <v>40</v>
      </c>
    </row>
    <row r="196" spans="1:12" s="33" customFormat="1" x14ac:dyDescent="0.3">
      <c r="A196" s="33" t="s">
        <v>440</v>
      </c>
      <c r="B196" s="33" t="s">
        <v>43</v>
      </c>
      <c r="C196" s="33">
        <v>4430459032</v>
      </c>
      <c r="E196" s="33">
        <v>54</v>
      </c>
      <c r="F196" s="33">
        <v>53</v>
      </c>
      <c r="G196" s="33" t="s">
        <v>38</v>
      </c>
      <c r="H196" s="33" t="s">
        <v>441</v>
      </c>
      <c r="I196" s="33" t="s">
        <v>46</v>
      </c>
      <c r="J196" s="33" t="s">
        <v>40</v>
      </c>
    </row>
    <row r="197" spans="1:12" s="33" customFormat="1" x14ac:dyDescent="0.3">
      <c r="A197" s="33" t="s">
        <v>442</v>
      </c>
      <c r="B197" s="33">
        <v>44988064675</v>
      </c>
      <c r="C197" s="33" t="s">
        <v>37</v>
      </c>
      <c r="D197" s="33">
        <v>4430265054</v>
      </c>
      <c r="E197" s="33">
        <v>417</v>
      </c>
      <c r="F197" s="33">
        <v>380</v>
      </c>
      <c r="G197" s="33" t="s">
        <v>38</v>
      </c>
      <c r="H197" s="33" t="s">
        <v>443</v>
      </c>
      <c r="I197" s="33" t="s">
        <v>39</v>
      </c>
      <c r="J197" s="33" t="s">
        <v>40</v>
      </c>
      <c r="K197" s="33" t="s">
        <v>41</v>
      </c>
      <c r="L197" s="33">
        <v>5</v>
      </c>
    </row>
    <row r="198" spans="1:12" s="33" customFormat="1" x14ac:dyDescent="0.3">
      <c r="A198" s="33" t="s">
        <v>444</v>
      </c>
      <c r="B198" s="33">
        <v>35998295948</v>
      </c>
      <c r="C198" s="33" t="s">
        <v>48</v>
      </c>
      <c r="D198" s="33">
        <v>4430265054</v>
      </c>
      <c r="E198" s="33">
        <v>89</v>
      </c>
      <c r="F198" s="33">
        <v>89</v>
      </c>
      <c r="G198" s="33" t="s">
        <v>38</v>
      </c>
      <c r="H198" s="33" t="s">
        <v>445</v>
      </c>
      <c r="I198" s="33" t="s">
        <v>39</v>
      </c>
      <c r="J198" s="33" t="s">
        <v>40</v>
      </c>
      <c r="K198" s="33" t="s">
        <v>41</v>
      </c>
    </row>
    <row r="199" spans="1:12" s="33" customFormat="1" x14ac:dyDescent="0.3">
      <c r="A199" s="33" t="s">
        <v>446</v>
      </c>
      <c r="B199" s="33">
        <v>4430141533</v>
      </c>
      <c r="C199" s="33" t="s">
        <v>43</v>
      </c>
      <c r="D199" s="33">
        <v>4430265054</v>
      </c>
      <c r="E199" s="33">
        <v>673</v>
      </c>
      <c r="F199" s="33">
        <v>635</v>
      </c>
      <c r="G199" s="33" t="s">
        <v>38</v>
      </c>
      <c r="H199" s="33" t="s">
        <v>447</v>
      </c>
      <c r="I199" s="33" t="s">
        <v>39</v>
      </c>
      <c r="J199" s="33" t="s">
        <v>40</v>
      </c>
      <c r="K199" s="33" t="s">
        <v>41</v>
      </c>
      <c r="L199" s="33">
        <v>5</v>
      </c>
    </row>
    <row r="200" spans="1:12" s="33" customFormat="1" x14ac:dyDescent="0.3">
      <c r="A200" s="33" t="s">
        <v>448</v>
      </c>
      <c r="B200" s="33">
        <v>35998295948</v>
      </c>
      <c r="C200" s="33" t="s">
        <v>37</v>
      </c>
      <c r="D200" s="33">
        <v>4430265054</v>
      </c>
      <c r="E200" s="33">
        <v>395</v>
      </c>
      <c r="F200" s="33">
        <v>373</v>
      </c>
      <c r="G200" s="33" t="s">
        <v>38</v>
      </c>
      <c r="H200" s="33" t="s">
        <v>449</v>
      </c>
      <c r="I200" s="33" t="s">
        <v>39</v>
      </c>
      <c r="J200" s="33" t="s">
        <v>40</v>
      </c>
      <c r="K200" s="33" t="s">
        <v>41</v>
      </c>
    </row>
    <row r="201" spans="1:12" s="33" customFormat="1" x14ac:dyDescent="0.3">
      <c r="A201" s="33" t="s">
        <v>450</v>
      </c>
      <c r="B201" s="33">
        <v>1732146970</v>
      </c>
      <c r="C201" s="33" t="s">
        <v>44</v>
      </c>
      <c r="D201" s="33">
        <v>4431268225</v>
      </c>
      <c r="E201" s="33">
        <v>513</v>
      </c>
      <c r="F201" s="33">
        <v>461</v>
      </c>
      <c r="G201" s="33" t="s">
        <v>38</v>
      </c>
      <c r="H201" s="33" t="s">
        <v>451</v>
      </c>
      <c r="I201" s="33" t="s">
        <v>39</v>
      </c>
      <c r="J201" s="33" t="s">
        <v>40</v>
      </c>
      <c r="K201" s="33" t="s">
        <v>41</v>
      </c>
    </row>
    <row r="202" spans="1:12" s="33" customFormat="1" x14ac:dyDescent="0.3">
      <c r="A202" s="33" t="s">
        <v>452</v>
      </c>
      <c r="B202" s="33">
        <v>4430191401</v>
      </c>
      <c r="C202" s="33" t="s">
        <v>37</v>
      </c>
      <c r="D202" s="33">
        <v>4430265054</v>
      </c>
      <c r="E202" s="33">
        <v>217</v>
      </c>
      <c r="F202" s="33">
        <v>140</v>
      </c>
      <c r="G202" s="33" t="s">
        <v>38</v>
      </c>
      <c r="H202" s="33" t="s">
        <v>453</v>
      </c>
      <c r="I202" s="33" t="s">
        <v>39</v>
      </c>
      <c r="J202" s="33" t="s">
        <v>40</v>
      </c>
      <c r="K202" s="33" t="s">
        <v>41</v>
      </c>
      <c r="L202" s="33">
        <v>5</v>
      </c>
    </row>
    <row r="203" spans="1:12" s="33" customFormat="1" x14ac:dyDescent="0.3">
      <c r="A203" s="33" t="s">
        <v>454</v>
      </c>
      <c r="B203" s="33">
        <v>44991174709</v>
      </c>
      <c r="C203" s="33" t="s">
        <v>43</v>
      </c>
      <c r="D203" s="33">
        <v>4430265054</v>
      </c>
      <c r="E203" s="33">
        <v>236</v>
      </c>
      <c r="F203" s="33">
        <v>177</v>
      </c>
      <c r="G203" s="33" t="s">
        <v>38</v>
      </c>
      <c r="H203" s="33" t="s">
        <v>455</v>
      </c>
      <c r="I203" s="33" t="s">
        <v>39</v>
      </c>
      <c r="J203" s="33" t="s">
        <v>40</v>
      </c>
      <c r="K203" s="33" t="s">
        <v>41</v>
      </c>
      <c r="L203" s="33">
        <v>5</v>
      </c>
    </row>
    <row r="204" spans="1:12" s="33" customFormat="1" x14ac:dyDescent="0.3">
      <c r="A204" s="33" t="s">
        <v>456</v>
      </c>
      <c r="B204" s="33">
        <v>4432464586</v>
      </c>
      <c r="C204" s="33" t="s">
        <v>42</v>
      </c>
      <c r="D204" s="33">
        <v>4430265054</v>
      </c>
      <c r="E204" s="33">
        <v>213</v>
      </c>
      <c r="F204" s="33">
        <v>196</v>
      </c>
      <c r="G204" s="33" t="s">
        <v>38</v>
      </c>
      <c r="H204" s="33" t="s">
        <v>457</v>
      </c>
      <c r="I204" s="33" t="s">
        <v>39</v>
      </c>
      <c r="J204" s="33" t="s">
        <v>40</v>
      </c>
      <c r="K204" s="33" t="s">
        <v>41</v>
      </c>
    </row>
    <row r="205" spans="1:12" s="33" customFormat="1" x14ac:dyDescent="0.3">
      <c r="A205" s="33" t="s">
        <v>458</v>
      </c>
      <c r="B205" s="33">
        <v>45999211357</v>
      </c>
      <c r="C205" s="33" t="s">
        <v>44</v>
      </c>
      <c r="D205" s="33">
        <v>4431268225</v>
      </c>
      <c r="E205" s="33">
        <v>392</v>
      </c>
      <c r="F205" s="33">
        <v>362</v>
      </c>
      <c r="G205" s="33" t="s">
        <v>38</v>
      </c>
      <c r="H205" s="33" t="s">
        <v>459</v>
      </c>
      <c r="I205" s="33" t="s">
        <v>39</v>
      </c>
      <c r="J205" s="33" t="s">
        <v>40</v>
      </c>
      <c r="K205" s="33" t="s">
        <v>41</v>
      </c>
    </row>
    <row r="206" spans="1:12" s="33" customFormat="1" x14ac:dyDescent="0.3">
      <c r="A206" s="33" t="s">
        <v>460</v>
      </c>
      <c r="B206" s="33">
        <v>4430141533</v>
      </c>
      <c r="C206" s="33" t="s">
        <v>37</v>
      </c>
      <c r="D206" s="33">
        <v>4430265054</v>
      </c>
      <c r="E206" s="33">
        <v>631</v>
      </c>
      <c r="F206" s="33">
        <v>579</v>
      </c>
      <c r="G206" s="33" t="s">
        <v>38</v>
      </c>
      <c r="H206" s="33" t="s">
        <v>461</v>
      </c>
      <c r="I206" s="33" t="s">
        <v>39</v>
      </c>
      <c r="J206" s="33" t="s">
        <v>40</v>
      </c>
      <c r="K206" s="33" t="s">
        <v>41</v>
      </c>
      <c r="L206" s="33">
        <v>5</v>
      </c>
    </row>
    <row r="207" spans="1:12" s="33" customFormat="1" x14ac:dyDescent="0.3">
      <c r="A207" s="33" t="s">
        <v>462</v>
      </c>
      <c r="B207" s="33">
        <v>45999211357</v>
      </c>
      <c r="C207" s="33" t="s">
        <v>44</v>
      </c>
      <c r="D207" s="33">
        <v>4431268225</v>
      </c>
      <c r="E207" s="33">
        <v>2362</v>
      </c>
      <c r="F207" s="33">
        <v>2323</v>
      </c>
      <c r="G207" s="33" t="s">
        <v>38</v>
      </c>
      <c r="H207" s="33" t="s">
        <v>463</v>
      </c>
      <c r="I207" s="33" t="s">
        <v>39</v>
      </c>
      <c r="J207" s="33" t="s">
        <v>40</v>
      </c>
      <c r="K207" s="33" t="s">
        <v>41</v>
      </c>
    </row>
    <row r="208" spans="1:12" s="33" customFormat="1" x14ac:dyDescent="0.3">
      <c r="A208" s="33" t="s">
        <v>464</v>
      </c>
      <c r="B208" s="33">
        <v>4430346845</v>
      </c>
      <c r="C208" s="33" t="s">
        <v>42</v>
      </c>
      <c r="D208" s="33">
        <v>4430265054</v>
      </c>
      <c r="E208" s="33">
        <v>576</v>
      </c>
      <c r="F208" s="33">
        <v>524</v>
      </c>
      <c r="G208" s="33" t="s">
        <v>38</v>
      </c>
      <c r="H208" s="33" t="s">
        <v>465</v>
      </c>
      <c r="I208" s="33" t="s">
        <v>39</v>
      </c>
      <c r="J208" s="33" t="s">
        <v>40</v>
      </c>
      <c r="K208" s="33" t="s">
        <v>41</v>
      </c>
    </row>
    <row r="209" spans="1:12" s="33" customFormat="1" x14ac:dyDescent="0.3">
      <c r="A209" s="33" t="s">
        <v>466</v>
      </c>
      <c r="B209" s="33" t="s">
        <v>37</v>
      </c>
      <c r="C209" s="33">
        <v>62994086124</v>
      </c>
      <c r="E209" s="33">
        <v>1724</v>
      </c>
      <c r="F209" s="33">
        <v>1714</v>
      </c>
      <c r="G209" s="33" t="s">
        <v>38</v>
      </c>
      <c r="H209" s="33" t="s">
        <v>467</v>
      </c>
      <c r="I209" s="33" t="s">
        <v>46</v>
      </c>
      <c r="J209" s="33" t="s">
        <v>40</v>
      </c>
    </row>
    <row r="210" spans="1:12" s="33" customFormat="1" x14ac:dyDescent="0.3">
      <c r="A210" s="33" t="s">
        <v>468</v>
      </c>
      <c r="B210" s="33">
        <v>4431230400</v>
      </c>
      <c r="C210" s="33" t="s">
        <v>48</v>
      </c>
      <c r="D210" s="33">
        <v>4430265054</v>
      </c>
      <c r="E210" s="33">
        <v>340</v>
      </c>
      <c r="F210" s="33">
        <v>291</v>
      </c>
      <c r="G210" s="33" t="s">
        <v>38</v>
      </c>
      <c r="H210" s="33" t="s">
        <v>469</v>
      </c>
      <c r="I210" s="33" t="s">
        <v>39</v>
      </c>
      <c r="J210" s="33" t="s">
        <v>40</v>
      </c>
      <c r="K210" s="33" t="s">
        <v>41</v>
      </c>
    </row>
    <row r="211" spans="1:12" s="33" customFormat="1" x14ac:dyDescent="0.3">
      <c r="A211" s="33" t="s">
        <v>470</v>
      </c>
      <c r="B211" s="33">
        <v>4432677399</v>
      </c>
      <c r="C211" s="33" t="s">
        <v>44</v>
      </c>
      <c r="D211" s="33">
        <v>4430265054</v>
      </c>
      <c r="E211" s="33">
        <v>431</v>
      </c>
      <c r="F211" s="33">
        <v>377</v>
      </c>
      <c r="G211" s="33" t="s">
        <v>38</v>
      </c>
      <c r="H211" s="33" t="s">
        <v>471</v>
      </c>
      <c r="I211" s="33" t="s">
        <v>39</v>
      </c>
      <c r="J211" s="33" t="s">
        <v>40</v>
      </c>
      <c r="K211" s="33" t="s">
        <v>41</v>
      </c>
    </row>
    <row r="212" spans="1:12" s="33" customFormat="1" x14ac:dyDescent="0.3">
      <c r="A212" s="33" t="s">
        <v>472</v>
      </c>
      <c r="B212" s="33">
        <v>44988064675</v>
      </c>
      <c r="C212" s="33" t="s">
        <v>42</v>
      </c>
      <c r="D212" s="33">
        <v>4430265054</v>
      </c>
      <c r="E212" s="33">
        <v>537</v>
      </c>
      <c r="F212" s="33">
        <v>478</v>
      </c>
      <c r="G212" s="33" t="s">
        <v>38</v>
      </c>
      <c r="H212" s="33" t="s">
        <v>473</v>
      </c>
      <c r="I212" s="33" t="s">
        <v>39</v>
      </c>
      <c r="J212" s="33" t="s">
        <v>40</v>
      </c>
      <c r="K212" s="33" t="s">
        <v>41</v>
      </c>
      <c r="L212" s="33">
        <v>5</v>
      </c>
    </row>
    <row r="213" spans="1:12" s="33" customFormat="1" x14ac:dyDescent="0.3">
      <c r="A213" s="33" t="s">
        <v>474</v>
      </c>
      <c r="B213" s="33" t="s">
        <v>42</v>
      </c>
      <c r="C213" s="33">
        <v>45999211357</v>
      </c>
      <c r="E213" s="33">
        <v>172</v>
      </c>
      <c r="F213" s="33">
        <v>151</v>
      </c>
      <c r="G213" s="33" t="s">
        <v>38</v>
      </c>
      <c r="H213" s="33" t="s">
        <v>475</v>
      </c>
      <c r="I213" s="33" t="s">
        <v>46</v>
      </c>
      <c r="J213" s="33" t="s">
        <v>40</v>
      </c>
    </row>
    <row r="214" spans="1:12" s="33" customFormat="1" x14ac:dyDescent="0.3">
      <c r="A214" s="33" t="s">
        <v>476</v>
      </c>
      <c r="B214" s="33">
        <v>11973545510</v>
      </c>
      <c r="C214" s="33" t="s">
        <v>43</v>
      </c>
      <c r="D214" s="33">
        <v>4430265054</v>
      </c>
      <c r="E214" s="33">
        <v>386</v>
      </c>
      <c r="F214" s="33">
        <v>355</v>
      </c>
      <c r="G214" s="33" t="s">
        <v>38</v>
      </c>
      <c r="H214" s="33" t="s">
        <v>477</v>
      </c>
      <c r="I214" s="33" t="s">
        <v>39</v>
      </c>
      <c r="J214" s="33" t="s">
        <v>40</v>
      </c>
      <c r="K214" s="33" t="s">
        <v>41</v>
      </c>
    </row>
    <row r="215" spans="1:12" s="33" customFormat="1" x14ac:dyDescent="0.3">
      <c r="A215" s="33" t="s">
        <v>478</v>
      </c>
      <c r="B215" s="33">
        <v>42998221810</v>
      </c>
      <c r="C215" s="33" t="s">
        <v>37</v>
      </c>
      <c r="D215" s="33">
        <v>4430265054</v>
      </c>
      <c r="E215" s="33">
        <v>971</v>
      </c>
      <c r="F215" s="33">
        <v>917</v>
      </c>
      <c r="G215" s="33" t="s">
        <v>38</v>
      </c>
      <c r="H215" s="33" t="s">
        <v>479</v>
      </c>
      <c r="I215" s="33" t="s">
        <v>39</v>
      </c>
      <c r="J215" s="33" t="s">
        <v>40</v>
      </c>
      <c r="K215" s="33" t="s">
        <v>41</v>
      </c>
    </row>
    <row r="216" spans="1:12" s="33" customFormat="1" x14ac:dyDescent="0.3">
      <c r="A216" s="33" t="s">
        <v>480</v>
      </c>
      <c r="B216" s="33">
        <v>45999211357</v>
      </c>
      <c r="C216" s="33" t="s">
        <v>44</v>
      </c>
      <c r="D216" s="33">
        <v>4431268225</v>
      </c>
      <c r="E216" s="33">
        <v>1224</v>
      </c>
      <c r="F216" s="33">
        <v>1166</v>
      </c>
      <c r="G216" s="33" t="s">
        <v>38</v>
      </c>
      <c r="H216" s="33" t="s">
        <v>481</v>
      </c>
      <c r="I216" s="33" t="s">
        <v>39</v>
      </c>
      <c r="J216" s="33" t="s">
        <v>40</v>
      </c>
      <c r="K216" s="33" t="s">
        <v>41</v>
      </c>
      <c r="L216" s="33">
        <v>4</v>
      </c>
    </row>
    <row r="217" spans="1:12" s="33" customFormat="1" x14ac:dyDescent="0.3">
      <c r="A217" s="33" t="s">
        <v>482</v>
      </c>
      <c r="B217" s="33" t="s">
        <v>37</v>
      </c>
      <c r="C217" s="33">
        <v>62994086124</v>
      </c>
      <c r="E217" s="33">
        <v>41</v>
      </c>
      <c r="F217" s="33">
        <v>32</v>
      </c>
      <c r="G217" s="33" t="s">
        <v>38</v>
      </c>
      <c r="H217" s="33" t="s">
        <v>483</v>
      </c>
      <c r="I217" s="33" t="s">
        <v>46</v>
      </c>
      <c r="J217" s="33" t="s">
        <v>40</v>
      </c>
    </row>
    <row r="218" spans="1:12" s="33" customFormat="1" x14ac:dyDescent="0.3">
      <c r="A218" s="33" t="s">
        <v>484</v>
      </c>
      <c r="B218" s="33">
        <v>81983567163</v>
      </c>
      <c r="C218" s="33" t="s">
        <v>42</v>
      </c>
      <c r="D218" s="33">
        <v>4431268225</v>
      </c>
      <c r="E218" s="33">
        <v>2181</v>
      </c>
      <c r="F218" s="33">
        <v>2162</v>
      </c>
      <c r="G218" s="33" t="s">
        <v>38</v>
      </c>
      <c r="H218" s="33" t="s">
        <v>485</v>
      </c>
      <c r="I218" s="33" t="s">
        <v>39</v>
      </c>
      <c r="J218" s="33" t="s">
        <v>40</v>
      </c>
      <c r="K218" s="33" t="s">
        <v>41</v>
      </c>
      <c r="L218" s="33">
        <v>5</v>
      </c>
    </row>
    <row r="219" spans="1:12" s="33" customFormat="1" x14ac:dyDescent="0.3">
      <c r="A219" s="33" t="s">
        <v>486</v>
      </c>
      <c r="B219" s="33">
        <v>4430459032</v>
      </c>
      <c r="C219" s="33" t="s">
        <v>43</v>
      </c>
      <c r="D219" s="33">
        <v>4430265054</v>
      </c>
      <c r="E219" s="33">
        <v>1278</v>
      </c>
      <c r="F219" s="33">
        <v>1228</v>
      </c>
      <c r="G219" s="33" t="s">
        <v>38</v>
      </c>
      <c r="H219" s="33" t="s">
        <v>487</v>
      </c>
      <c r="I219" s="33" t="s">
        <v>39</v>
      </c>
      <c r="J219" s="33" t="s">
        <v>40</v>
      </c>
      <c r="K219" s="33" t="s">
        <v>41</v>
      </c>
    </row>
    <row r="220" spans="1:12" s="33" customFormat="1" x14ac:dyDescent="0.3">
      <c r="A220" s="33" t="s">
        <v>488</v>
      </c>
      <c r="B220" s="33">
        <v>4432481225</v>
      </c>
      <c r="C220" s="33" t="s">
        <v>37</v>
      </c>
      <c r="D220" s="33">
        <v>4430265054</v>
      </c>
      <c r="E220" s="33">
        <v>163</v>
      </c>
      <c r="F220" s="33">
        <v>83</v>
      </c>
      <c r="G220" s="33" t="s">
        <v>38</v>
      </c>
      <c r="H220" s="33" t="s">
        <v>489</v>
      </c>
      <c r="I220" s="33" t="s">
        <v>39</v>
      </c>
      <c r="J220" s="33" t="s">
        <v>40</v>
      </c>
      <c r="K220" s="33" t="s">
        <v>41</v>
      </c>
    </row>
    <row r="221" spans="1:12" s="33" customFormat="1" x14ac:dyDescent="0.3">
      <c r="A221" s="33" t="s">
        <v>490</v>
      </c>
      <c r="B221" s="33">
        <v>11998030658</v>
      </c>
      <c r="C221" s="33" t="s">
        <v>44</v>
      </c>
      <c r="D221" s="33">
        <v>4430265054</v>
      </c>
      <c r="E221" s="33">
        <v>575</v>
      </c>
      <c r="F221" s="33">
        <v>553</v>
      </c>
      <c r="G221" s="33" t="s">
        <v>38</v>
      </c>
      <c r="H221" s="33" t="s">
        <v>491</v>
      </c>
      <c r="I221" s="33" t="s">
        <v>39</v>
      </c>
      <c r="J221" s="33" t="s">
        <v>40</v>
      </c>
      <c r="K221" s="33" t="s">
        <v>41</v>
      </c>
    </row>
    <row r="222" spans="1:12" s="33" customFormat="1" x14ac:dyDescent="0.3">
      <c r="A222" s="33" t="s">
        <v>492</v>
      </c>
      <c r="B222" s="33">
        <v>44998765093</v>
      </c>
      <c r="C222" s="33" t="s">
        <v>42</v>
      </c>
      <c r="D222" s="33">
        <v>4430265054</v>
      </c>
      <c r="E222" s="33">
        <v>337</v>
      </c>
      <c r="F222" s="33">
        <v>317</v>
      </c>
      <c r="G222" s="33" t="s">
        <v>38</v>
      </c>
      <c r="H222" s="33" t="s">
        <v>493</v>
      </c>
      <c r="I222" s="33" t="s">
        <v>39</v>
      </c>
      <c r="J222" s="33" t="s">
        <v>40</v>
      </c>
      <c r="K222" s="33" t="s">
        <v>41</v>
      </c>
    </row>
    <row r="223" spans="1:12" s="33" customFormat="1" x14ac:dyDescent="0.3">
      <c r="A223" s="33" t="s">
        <v>494</v>
      </c>
      <c r="B223" s="33" t="s">
        <v>44</v>
      </c>
      <c r="C223" s="33">
        <v>44988067937</v>
      </c>
      <c r="E223" s="33">
        <v>125</v>
      </c>
      <c r="F223" s="33">
        <v>113</v>
      </c>
      <c r="G223" s="33" t="s">
        <v>38</v>
      </c>
      <c r="H223" s="33" t="s">
        <v>495</v>
      </c>
      <c r="I223" s="33" t="s">
        <v>46</v>
      </c>
      <c r="J223" s="33" t="s">
        <v>40</v>
      </c>
    </row>
    <row r="224" spans="1:12" s="33" customFormat="1" x14ac:dyDescent="0.3">
      <c r="A224" s="33" t="s">
        <v>496</v>
      </c>
      <c r="B224" s="33" t="s">
        <v>44</v>
      </c>
      <c r="C224" s="33">
        <v>44988067937</v>
      </c>
      <c r="E224" s="33">
        <v>8</v>
      </c>
      <c r="F224" s="33">
        <v>0</v>
      </c>
      <c r="G224" s="33" t="s">
        <v>47</v>
      </c>
      <c r="H224" s="33" t="s">
        <v>497</v>
      </c>
      <c r="I224" s="33" t="s">
        <v>46</v>
      </c>
      <c r="J224" s="33" t="s">
        <v>40</v>
      </c>
    </row>
    <row r="225" spans="1:12" s="33" customFormat="1" x14ac:dyDescent="0.3">
      <c r="A225" s="33" t="s">
        <v>498</v>
      </c>
      <c r="B225" s="33" t="s">
        <v>48</v>
      </c>
      <c r="C225" s="33">
        <v>1131043888</v>
      </c>
      <c r="E225" s="33">
        <v>559</v>
      </c>
      <c r="F225" s="33">
        <v>557</v>
      </c>
      <c r="G225" s="33" t="s">
        <v>38</v>
      </c>
      <c r="H225" s="33" t="s">
        <v>499</v>
      </c>
      <c r="I225" s="33" t="s">
        <v>46</v>
      </c>
      <c r="J225" s="33" t="s">
        <v>40</v>
      </c>
    </row>
    <row r="226" spans="1:12" s="33" customFormat="1" x14ac:dyDescent="0.3">
      <c r="A226" s="33" t="s">
        <v>500</v>
      </c>
      <c r="B226" s="33">
        <v>11964449514</v>
      </c>
      <c r="C226" s="33" t="s">
        <v>37</v>
      </c>
      <c r="D226" s="33">
        <v>4431268225</v>
      </c>
      <c r="E226" s="33">
        <v>405</v>
      </c>
      <c r="F226" s="33">
        <v>352</v>
      </c>
      <c r="G226" s="33" t="s">
        <v>38</v>
      </c>
      <c r="H226" s="33" t="s">
        <v>501</v>
      </c>
      <c r="I226" s="33" t="s">
        <v>39</v>
      </c>
      <c r="J226" s="33" t="s">
        <v>40</v>
      </c>
      <c r="K226" s="33" t="s">
        <v>41</v>
      </c>
    </row>
    <row r="227" spans="1:12" s="33" customFormat="1" x14ac:dyDescent="0.3">
      <c r="A227" s="33" t="s">
        <v>502</v>
      </c>
      <c r="B227" s="33">
        <v>6236223830</v>
      </c>
      <c r="C227" s="33" t="s">
        <v>43</v>
      </c>
      <c r="D227" s="33">
        <v>4430265054</v>
      </c>
      <c r="E227" s="33">
        <v>866</v>
      </c>
      <c r="F227" s="33">
        <v>807</v>
      </c>
      <c r="G227" s="33" t="s">
        <v>38</v>
      </c>
      <c r="H227" s="33" t="s">
        <v>503</v>
      </c>
      <c r="I227" s="33" t="s">
        <v>39</v>
      </c>
      <c r="J227" s="33" t="s">
        <v>40</v>
      </c>
      <c r="K227" s="33" t="s">
        <v>41</v>
      </c>
    </row>
    <row r="228" spans="1:12" s="33" customFormat="1" x14ac:dyDescent="0.3">
      <c r="A228" s="33" t="s">
        <v>504</v>
      </c>
      <c r="B228" s="33">
        <v>44988067937</v>
      </c>
      <c r="C228" s="33" t="s">
        <v>44</v>
      </c>
      <c r="D228" s="33">
        <v>4430265054</v>
      </c>
      <c r="E228" s="33">
        <v>510</v>
      </c>
      <c r="F228" s="33">
        <v>457</v>
      </c>
      <c r="G228" s="33" t="s">
        <v>38</v>
      </c>
      <c r="H228" s="33" t="s">
        <v>505</v>
      </c>
      <c r="I228" s="33" t="s">
        <v>39</v>
      </c>
      <c r="J228" s="33" t="s">
        <v>40</v>
      </c>
      <c r="K228" s="33" t="s">
        <v>41</v>
      </c>
    </row>
    <row r="229" spans="1:12" s="33" customFormat="1" x14ac:dyDescent="0.3">
      <c r="A229" s="33" t="s">
        <v>506</v>
      </c>
      <c r="B229" s="33">
        <v>44998636008</v>
      </c>
      <c r="C229" s="33" t="s">
        <v>48</v>
      </c>
      <c r="D229" s="33">
        <v>4430265054</v>
      </c>
      <c r="E229" s="33">
        <v>284</v>
      </c>
      <c r="F229" s="33">
        <v>238</v>
      </c>
      <c r="G229" s="33" t="s">
        <v>38</v>
      </c>
      <c r="H229" s="33" t="s">
        <v>507</v>
      </c>
      <c r="I229" s="33" t="s">
        <v>39</v>
      </c>
      <c r="J229" s="33" t="s">
        <v>40</v>
      </c>
      <c r="K229" s="33" t="s">
        <v>41</v>
      </c>
    </row>
    <row r="230" spans="1:12" s="33" customFormat="1" x14ac:dyDescent="0.3">
      <c r="A230" s="33" t="s">
        <v>508</v>
      </c>
      <c r="B230" s="33" t="s">
        <v>48</v>
      </c>
      <c r="C230" s="33">
        <v>4430450100</v>
      </c>
      <c r="E230" s="33">
        <v>281</v>
      </c>
      <c r="F230" s="33">
        <v>265</v>
      </c>
      <c r="G230" s="33" t="s">
        <v>38</v>
      </c>
      <c r="H230" s="33" t="s">
        <v>509</v>
      </c>
      <c r="I230" s="33" t="s">
        <v>46</v>
      </c>
      <c r="J230" s="33" t="s">
        <v>40</v>
      </c>
    </row>
    <row r="231" spans="1:12" s="33" customFormat="1" x14ac:dyDescent="0.3">
      <c r="A231" s="33" t="s">
        <v>510</v>
      </c>
      <c r="B231" s="33">
        <v>4436281154</v>
      </c>
      <c r="C231" s="33" t="s">
        <v>43</v>
      </c>
      <c r="D231" s="33">
        <v>4430265054</v>
      </c>
      <c r="E231" s="33">
        <v>589</v>
      </c>
      <c r="F231" s="33">
        <v>510</v>
      </c>
      <c r="G231" s="33" t="s">
        <v>38</v>
      </c>
      <c r="H231" s="33" t="s">
        <v>511</v>
      </c>
      <c r="I231" s="33" t="s">
        <v>39</v>
      </c>
      <c r="J231" s="33" t="s">
        <v>40</v>
      </c>
      <c r="K231" s="33" t="s">
        <v>41</v>
      </c>
    </row>
    <row r="232" spans="1:12" s="33" customFormat="1" x14ac:dyDescent="0.3">
      <c r="A232" s="33" t="s">
        <v>512</v>
      </c>
      <c r="B232" s="33" t="s">
        <v>37</v>
      </c>
      <c r="C232" s="33">
        <v>62994086124</v>
      </c>
      <c r="E232" s="33">
        <v>51</v>
      </c>
      <c r="F232" s="33">
        <v>0</v>
      </c>
      <c r="G232" s="33" t="s">
        <v>47</v>
      </c>
      <c r="H232" s="33" t="s">
        <v>513</v>
      </c>
      <c r="I232" s="33" t="s">
        <v>46</v>
      </c>
      <c r="J232" s="33" t="s">
        <v>40</v>
      </c>
    </row>
    <row r="233" spans="1:12" s="33" customFormat="1" x14ac:dyDescent="0.3">
      <c r="A233" s="33" t="s">
        <v>514</v>
      </c>
      <c r="B233" s="33" t="s">
        <v>37</v>
      </c>
      <c r="C233" s="33">
        <v>62994086124</v>
      </c>
      <c r="E233" s="33">
        <v>12</v>
      </c>
      <c r="F233" s="33">
        <v>0</v>
      </c>
      <c r="G233" s="33" t="s">
        <v>47</v>
      </c>
      <c r="H233" s="33" t="s">
        <v>515</v>
      </c>
      <c r="I233" s="33" t="s">
        <v>46</v>
      </c>
      <c r="J233" s="33" t="s">
        <v>40</v>
      </c>
    </row>
    <row r="234" spans="1:12" s="33" customFormat="1" x14ac:dyDescent="0.3">
      <c r="A234" s="33" t="s">
        <v>516</v>
      </c>
      <c r="B234" s="33" t="s">
        <v>43</v>
      </c>
      <c r="C234" s="33">
        <v>4430414545</v>
      </c>
      <c r="E234" s="33">
        <v>70</v>
      </c>
      <c r="F234" s="33">
        <v>60</v>
      </c>
      <c r="G234" s="33" t="s">
        <v>38</v>
      </c>
      <c r="H234" s="33" t="s">
        <v>517</v>
      </c>
      <c r="I234" s="33" t="s">
        <v>46</v>
      </c>
      <c r="J234" s="33" t="s">
        <v>40</v>
      </c>
    </row>
    <row r="235" spans="1:12" s="33" customFormat="1" x14ac:dyDescent="0.3">
      <c r="A235" s="33" t="s">
        <v>518</v>
      </c>
      <c r="B235" s="33" t="s">
        <v>43</v>
      </c>
      <c r="C235" s="33">
        <v>4430414545</v>
      </c>
      <c r="E235" s="33">
        <v>6</v>
      </c>
      <c r="F235" s="33">
        <v>0</v>
      </c>
      <c r="G235" s="33" t="s">
        <v>47</v>
      </c>
      <c r="H235" s="33" t="s">
        <v>519</v>
      </c>
      <c r="I235" s="33" t="s">
        <v>46</v>
      </c>
      <c r="J235" s="33" t="s">
        <v>40</v>
      </c>
    </row>
    <row r="236" spans="1:12" s="33" customFormat="1" x14ac:dyDescent="0.3">
      <c r="A236" s="33" t="s">
        <v>520</v>
      </c>
      <c r="B236" s="33" t="s">
        <v>44</v>
      </c>
      <c r="C236" s="33">
        <v>44997343311</v>
      </c>
      <c r="E236" s="33">
        <v>107</v>
      </c>
      <c r="F236" s="33">
        <v>92</v>
      </c>
      <c r="G236" s="33" t="s">
        <v>38</v>
      </c>
      <c r="H236" s="33" t="s">
        <v>521</v>
      </c>
      <c r="I236" s="33" t="s">
        <v>46</v>
      </c>
      <c r="J236" s="33" t="s">
        <v>40</v>
      </c>
      <c r="L236" s="33">
        <v>5</v>
      </c>
    </row>
    <row r="237" spans="1:12" s="33" customFormat="1" x14ac:dyDescent="0.3">
      <c r="A237" s="33" t="s">
        <v>522</v>
      </c>
      <c r="B237" s="33" t="s">
        <v>37</v>
      </c>
      <c r="C237" s="33">
        <v>62994086124</v>
      </c>
      <c r="E237" s="33">
        <v>52</v>
      </c>
      <c r="F237" s="33">
        <v>31</v>
      </c>
      <c r="G237" s="33" t="s">
        <v>38</v>
      </c>
      <c r="H237" s="33" t="s">
        <v>523</v>
      </c>
      <c r="I237" s="33" t="s">
        <v>46</v>
      </c>
      <c r="J237" s="33" t="s">
        <v>40</v>
      </c>
    </row>
    <row r="238" spans="1:12" s="33" customFormat="1" x14ac:dyDescent="0.3">
      <c r="A238" s="33" t="s">
        <v>524</v>
      </c>
      <c r="B238" s="33">
        <v>44999903759</v>
      </c>
      <c r="C238" s="33" t="s">
        <v>37</v>
      </c>
      <c r="D238" s="33">
        <v>4430265054</v>
      </c>
      <c r="E238" s="33">
        <v>813</v>
      </c>
      <c r="F238" s="33">
        <v>732</v>
      </c>
      <c r="G238" s="33" t="s">
        <v>38</v>
      </c>
      <c r="H238" s="33" t="s">
        <v>525</v>
      </c>
      <c r="I238" s="33" t="s">
        <v>39</v>
      </c>
      <c r="J238" s="33" t="s">
        <v>40</v>
      </c>
      <c r="K238" s="33" t="s">
        <v>41</v>
      </c>
      <c r="L238" s="33">
        <v>5</v>
      </c>
    </row>
    <row r="239" spans="1:12" s="33" customFormat="1" x14ac:dyDescent="0.3">
      <c r="A239" s="33" t="s">
        <v>526</v>
      </c>
      <c r="B239" s="33">
        <v>4432520077</v>
      </c>
      <c r="C239" s="33" t="s">
        <v>42</v>
      </c>
      <c r="D239" s="33">
        <v>4430265054</v>
      </c>
      <c r="E239" s="33">
        <v>1267</v>
      </c>
      <c r="F239" s="33">
        <v>1234</v>
      </c>
      <c r="G239" s="33" t="s">
        <v>38</v>
      </c>
      <c r="H239" s="33" t="s">
        <v>527</v>
      </c>
      <c r="I239" s="33" t="s">
        <v>39</v>
      </c>
      <c r="J239" s="33" t="s">
        <v>40</v>
      </c>
      <c r="K239" s="33" t="s">
        <v>41</v>
      </c>
      <c r="L239" s="33">
        <v>5</v>
      </c>
    </row>
    <row r="240" spans="1:12" s="33" customFormat="1" x14ac:dyDescent="0.3">
      <c r="A240" s="33" t="s">
        <v>528</v>
      </c>
      <c r="B240" s="33">
        <v>44998849102</v>
      </c>
      <c r="C240" s="33" t="s">
        <v>37</v>
      </c>
      <c r="D240" s="33">
        <v>4430265054</v>
      </c>
      <c r="E240" s="33">
        <v>450</v>
      </c>
      <c r="F240" s="33">
        <v>439</v>
      </c>
      <c r="G240" s="33" t="s">
        <v>38</v>
      </c>
      <c r="H240" s="33" t="s">
        <v>529</v>
      </c>
      <c r="I240" s="33" t="s">
        <v>39</v>
      </c>
      <c r="J240" s="33" t="s">
        <v>40</v>
      </c>
      <c r="K240" s="33" t="s">
        <v>41</v>
      </c>
    </row>
    <row r="241" spans="1:12" s="33" customFormat="1" x14ac:dyDescent="0.3">
      <c r="A241" s="33" t="s">
        <v>530</v>
      </c>
      <c r="B241" s="33">
        <v>44998849102</v>
      </c>
      <c r="C241" s="33" t="s">
        <v>37</v>
      </c>
      <c r="D241" s="33">
        <v>4430265054</v>
      </c>
      <c r="E241" s="33">
        <v>242</v>
      </c>
      <c r="F241" s="33">
        <v>205</v>
      </c>
      <c r="G241" s="33" t="s">
        <v>38</v>
      </c>
      <c r="H241" s="33" t="s">
        <v>531</v>
      </c>
      <c r="I241" s="33" t="s">
        <v>39</v>
      </c>
      <c r="J241" s="33" t="s">
        <v>40</v>
      </c>
      <c r="K241" s="33" t="s">
        <v>41</v>
      </c>
    </row>
    <row r="242" spans="1:12" s="33" customFormat="1" x14ac:dyDescent="0.3">
      <c r="A242" s="33" t="s">
        <v>532</v>
      </c>
      <c r="B242" s="33">
        <v>45999211357</v>
      </c>
      <c r="C242" s="33" t="s">
        <v>44</v>
      </c>
      <c r="D242" s="33">
        <v>4431268225</v>
      </c>
      <c r="E242" s="33">
        <v>817</v>
      </c>
      <c r="F242" s="33">
        <v>755</v>
      </c>
      <c r="G242" s="33" t="s">
        <v>38</v>
      </c>
      <c r="H242" s="33" t="s">
        <v>533</v>
      </c>
      <c r="I242" s="33" t="s">
        <v>39</v>
      </c>
      <c r="J242" s="33" t="s">
        <v>40</v>
      </c>
      <c r="K242" s="33" t="s">
        <v>41</v>
      </c>
      <c r="L242" s="33">
        <v>5</v>
      </c>
    </row>
    <row r="243" spans="1:12" s="33" customFormat="1" x14ac:dyDescent="0.3">
      <c r="A243" s="33" t="s">
        <v>534</v>
      </c>
      <c r="B243" s="33" t="s">
        <v>43</v>
      </c>
      <c r="C243" s="33">
        <v>43991519887</v>
      </c>
      <c r="E243" s="33">
        <v>7</v>
      </c>
      <c r="F243" s="33">
        <v>0</v>
      </c>
      <c r="G243" s="33" t="s">
        <v>47</v>
      </c>
      <c r="H243" s="33" t="s">
        <v>535</v>
      </c>
      <c r="I243" s="33" t="s">
        <v>46</v>
      </c>
      <c r="J243" s="33" t="s">
        <v>40</v>
      </c>
    </row>
    <row r="244" spans="1:12" s="33" customFormat="1" x14ac:dyDescent="0.3">
      <c r="A244" s="33" t="s">
        <v>536</v>
      </c>
      <c r="B244" s="33">
        <v>44998849102</v>
      </c>
      <c r="C244" s="33" t="s">
        <v>44</v>
      </c>
      <c r="D244" s="33">
        <v>4430265054</v>
      </c>
      <c r="E244" s="33">
        <v>232</v>
      </c>
      <c r="F244" s="33">
        <v>165</v>
      </c>
      <c r="G244" s="33" t="s">
        <v>38</v>
      </c>
      <c r="H244" s="33" t="s">
        <v>537</v>
      </c>
      <c r="I244" s="33" t="s">
        <v>39</v>
      </c>
      <c r="J244" s="33" t="s">
        <v>40</v>
      </c>
      <c r="K244" s="33" t="s">
        <v>41</v>
      </c>
    </row>
    <row r="245" spans="1:12" s="33" customFormat="1" x14ac:dyDescent="0.3">
      <c r="A245" s="33" t="s">
        <v>538</v>
      </c>
      <c r="B245" s="33">
        <v>4430141092</v>
      </c>
      <c r="C245" s="33" t="s">
        <v>43</v>
      </c>
      <c r="D245" s="33">
        <v>4430265054</v>
      </c>
      <c r="E245" s="33">
        <v>447</v>
      </c>
      <c r="F245" s="33">
        <v>390</v>
      </c>
      <c r="G245" s="33" t="s">
        <v>38</v>
      </c>
      <c r="H245" s="33" t="s">
        <v>539</v>
      </c>
      <c r="I245" s="33" t="s">
        <v>39</v>
      </c>
      <c r="J245" s="33" t="s">
        <v>40</v>
      </c>
      <c r="K245" s="33" t="s">
        <v>41</v>
      </c>
      <c r="L245" s="33">
        <v>5</v>
      </c>
    </row>
    <row r="246" spans="1:12" s="33" customFormat="1" x14ac:dyDescent="0.3">
      <c r="A246" s="33" t="s">
        <v>540</v>
      </c>
      <c r="B246" s="33">
        <v>4436351835</v>
      </c>
      <c r="C246" s="33" t="s">
        <v>42</v>
      </c>
      <c r="D246" s="33">
        <v>4430265054</v>
      </c>
      <c r="E246" s="33">
        <v>735</v>
      </c>
      <c r="F246" s="33">
        <v>653</v>
      </c>
      <c r="G246" s="33" t="s">
        <v>38</v>
      </c>
      <c r="H246" s="33" t="s">
        <v>541</v>
      </c>
      <c r="I246" s="33" t="s">
        <v>39</v>
      </c>
      <c r="J246" s="33" t="s">
        <v>40</v>
      </c>
      <c r="K246" s="33" t="s">
        <v>41</v>
      </c>
    </row>
    <row r="247" spans="1:12" s="33" customFormat="1" x14ac:dyDescent="0.3">
      <c r="A247" s="33" t="s">
        <v>542</v>
      </c>
      <c r="B247" s="33" t="s">
        <v>44</v>
      </c>
      <c r="C247" s="33">
        <v>44997343311</v>
      </c>
      <c r="E247" s="33">
        <v>16</v>
      </c>
      <c r="F247" s="33">
        <v>0</v>
      </c>
      <c r="G247" s="33" t="s">
        <v>47</v>
      </c>
      <c r="H247" s="33" t="s">
        <v>543</v>
      </c>
      <c r="I247" s="33" t="s">
        <v>46</v>
      </c>
      <c r="J247" s="33" t="s">
        <v>40</v>
      </c>
    </row>
    <row r="248" spans="1:12" s="33" customFormat="1" x14ac:dyDescent="0.3">
      <c r="A248" s="33" t="s">
        <v>544</v>
      </c>
      <c r="B248" s="33" t="s">
        <v>44</v>
      </c>
      <c r="C248" s="33">
        <v>44997343311</v>
      </c>
      <c r="E248" s="33">
        <v>15</v>
      </c>
      <c r="F248" s="33">
        <v>0</v>
      </c>
      <c r="G248" s="33" t="s">
        <v>47</v>
      </c>
      <c r="H248" s="33" t="s">
        <v>545</v>
      </c>
      <c r="I248" s="33" t="s">
        <v>46</v>
      </c>
      <c r="J248" s="33" t="s">
        <v>40</v>
      </c>
    </row>
    <row r="249" spans="1:12" s="33" customFormat="1" x14ac:dyDescent="0.3">
      <c r="A249" s="33" t="s">
        <v>546</v>
      </c>
      <c r="B249" s="33">
        <v>4432522019</v>
      </c>
      <c r="C249" s="33" t="s">
        <v>42</v>
      </c>
      <c r="D249" s="33">
        <v>4430265054</v>
      </c>
      <c r="E249" s="33">
        <v>108</v>
      </c>
      <c r="F249" s="33">
        <v>73</v>
      </c>
      <c r="G249" s="33" t="s">
        <v>38</v>
      </c>
      <c r="H249" s="33" t="s">
        <v>547</v>
      </c>
      <c r="I249" s="33" t="s">
        <v>39</v>
      </c>
      <c r="J249" s="33" t="s">
        <v>40</v>
      </c>
      <c r="K249" s="33" t="s">
        <v>41</v>
      </c>
    </row>
    <row r="250" spans="1:12" s="33" customFormat="1" x14ac:dyDescent="0.3">
      <c r="A250" s="33" t="s">
        <v>548</v>
      </c>
      <c r="B250" s="33">
        <v>4430152533</v>
      </c>
      <c r="C250" s="33" t="s">
        <v>37</v>
      </c>
      <c r="D250" s="33">
        <v>4430265054</v>
      </c>
      <c r="E250" s="33">
        <v>778</v>
      </c>
      <c r="F250" s="33">
        <v>736</v>
      </c>
      <c r="G250" s="33" t="s">
        <v>38</v>
      </c>
      <c r="H250" s="33" t="s">
        <v>549</v>
      </c>
      <c r="I250" s="33" t="s">
        <v>39</v>
      </c>
      <c r="J250" s="33" t="s">
        <v>40</v>
      </c>
      <c r="K250" s="33" t="s">
        <v>41</v>
      </c>
      <c r="L250" s="33">
        <v>5</v>
      </c>
    </row>
    <row r="251" spans="1:12" s="33" customFormat="1" x14ac:dyDescent="0.3">
      <c r="A251" s="33" t="s">
        <v>550</v>
      </c>
      <c r="B251" s="33">
        <v>91981481202</v>
      </c>
      <c r="C251" s="33" t="s">
        <v>43</v>
      </c>
      <c r="D251" s="33">
        <v>4430265054</v>
      </c>
      <c r="E251" s="33">
        <v>222</v>
      </c>
      <c r="F251" s="33">
        <v>148</v>
      </c>
      <c r="G251" s="33" t="s">
        <v>38</v>
      </c>
      <c r="H251" s="33" t="s">
        <v>551</v>
      </c>
      <c r="I251" s="33" t="s">
        <v>39</v>
      </c>
      <c r="J251" s="33" t="s">
        <v>40</v>
      </c>
      <c r="K251" s="33" t="s">
        <v>41</v>
      </c>
    </row>
    <row r="252" spans="1:12" s="33" customFormat="1" x14ac:dyDescent="0.3">
      <c r="A252" s="33" t="s">
        <v>552</v>
      </c>
      <c r="B252" s="33">
        <v>11965990735</v>
      </c>
      <c r="C252" s="33" t="s">
        <v>42</v>
      </c>
      <c r="D252" s="33">
        <v>4430265054</v>
      </c>
      <c r="E252" s="33">
        <v>1401</v>
      </c>
      <c r="F252" s="33">
        <v>1307</v>
      </c>
      <c r="G252" s="33" t="s">
        <v>38</v>
      </c>
      <c r="H252" s="33" t="s">
        <v>553</v>
      </c>
      <c r="I252" s="33" t="s">
        <v>39</v>
      </c>
      <c r="J252" s="33" t="s">
        <v>40</v>
      </c>
      <c r="K252" s="33" t="s">
        <v>41</v>
      </c>
    </row>
    <row r="253" spans="1:12" s="33" customFormat="1" x14ac:dyDescent="0.3">
      <c r="A253" s="33" t="s">
        <v>554</v>
      </c>
      <c r="B253" s="33">
        <v>43999317663</v>
      </c>
      <c r="C253" s="33" t="s">
        <v>44</v>
      </c>
      <c r="D253" s="33">
        <v>4430265054</v>
      </c>
      <c r="E253" s="33">
        <v>306</v>
      </c>
      <c r="F253" s="33">
        <v>261</v>
      </c>
      <c r="G253" s="33" t="s">
        <v>38</v>
      </c>
      <c r="H253" s="33" t="s">
        <v>555</v>
      </c>
      <c r="I253" s="33" t="s">
        <v>39</v>
      </c>
      <c r="J253" s="33" t="s">
        <v>40</v>
      </c>
      <c r="K253" s="33" t="s">
        <v>41</v>
      </c>
    </row>
    <row r="254" spans="1:12" s="33" customFormat="1" x14ac:dyDescent="0.3">
      <c r="A254" s="33" t="s">
        <v>556</v>
      </c>
      <c r="B254" s="33">
        <v>4330333558</v>
      </c>
      <c r="C254" s="33" t="s">
        <v>42</v>
      </c>
      <c r="D254" s="33">
        <v>4430265054</v>
      </c>
      <c r="E254" s="33">
        <v>114</v>
      </c>
      <c r="F254" s="33">
        <v>63</v>
      </c>
      <c r="G254" s="33" t="s">
        <v>38</v>
      </c>
      <c r="H254" s="33" t="s">
        <v>557</v>
      </c>
      <c r="I254" s="33" t="s">
        <v>39</v>
      </c>
      <c r="J254" s="33" t="s">
        <v>40</v>
      </c>
      <c r="K254" s="33" t="s">
        <v>41</v>
      </c>
    </row>
    <row r="255" spans="1:12" s="33" customFormat="1" x14ac:dyDescent="0.3">
      <c r="A255" s="33" t="s">
        <v>558</v>
      </c>
      <c r="B255" s="33" t="s">
        <v>43</v>
      </c>
      <c r="C255" s="33">
        <v>4520312689</v>
      </c>
      <c r="E255" s="33">
        <v>311</v>
      </c>
      <c r="F255" s="33">
        <v>301</v>
      </c>
      <c r="G255" s="33" t="s">
        <v>38</v>
      </c>
      <c r="H255" s="33" t="s">
        <v>559</v>
      </c>
      <c r="I255" s="33" t="s">
        <v>46</v>
      </c>
      <c r="J255" s="33" t="s">
        <v>40</v>
      </c>
    </row>
    <row r="256" spans="1:12" s="33" customFormat="1" x14ac:dyDescent="0.3">
      <c r="A256" s="33" t="s">
        <v>560</v>
      </c>
      <c r="B256" s="33">
        <v>6234347959</v>
      </c>
      <c r="C256" s="33" t="s">
        <v>37</v>
      </c>
      <c r="D256" s="33">
        <v>4430265054</v>
      </c>
      <c r="E256" s="33">
        <v>722</v>
      </c>
      <c r="F256" s="33">
        <v>670</v>
      </c>
      <c r="G256" s="33" t="s">
        <v>38</v>
      </c>
      <c r="H256" s="33" t="s">
        <v>561</v>
      </c>
      <c r="I256" s="33" t="s">
        <v>39</v>
      </c>
      <c r="J256" s="33" t="s">
        <v>40</v>
      </c>
      <c r="K256" s="33" t="s">
        <v>41</v>
      </c>
    </row>
    <row r="257" spans="1:12" s="33" customFormat="1" x14ac:dyDescent="0.3">
      <c r="A257" s="33" t="s">
        <v>562</v>
      </c>
      <c r="B257" s="33" t="s">
        <v>43</v>
      </c>
      <c r="C257" s="33">
        <v>4430266599</v>
      </c>
      <c r="E257" s="33">
        <v>2</v>
      </c>
      <c r="F257" s="33">
        <v>0</v>
      </c>
      <c r="G257" s="33" t="s">
        <v>47</v>
      </c>
      <c r="H257" s="33" t="s">
        <v>563</v>
      </c>
      <c r="I257" s="33" t="s">
        <v>46</v>
      </c>
      <c r="J257" s="33" t="s">
        <v>40</v>
      </c>
    </row>
    <row r="258" spans="1:12" s="33" customFormat="1" x14ac:dyDescent="0.3">
      <c r="A258" s="33" t="s">
        <v>564</v>
      </c>
      <c r="B258" s="33" t="s">
        <v>43</v>
      </c>
      <c r="C258" s="33">
        <v>4430266599</v>
      </c>
      <c r="E258" s="33">
        <v>3</v>
      </c>
      <c r="F258" s="33">
        <v>0</v>
      </c>
      <c r="G258" s="33" t="s">
        <v>47</v>
      </c>
      <c r="H258" s="33" t="s">
        <v>565</v>
      </c>
      <c r="I258" s="33" t="s">
        <v>46</v>
      </c>
      <c r="J258" s="33" t="s">
        <v>40</v>
      </c>
    </row>
    <row r="259" spans="1:12" s="33" customFormat="1" x14ac:dyDescent="0.3">
      <c r="A259" s="33" t="s">
        <v>566</v>
      </c>
      <c r="B259" s="33" t="s">
        <v>43</v>
      </c>
      <c r="C259" s="33">
        <v>4430414545</v>
      </c>
      <c r="E259" s="33">
        <v>1</v>
      </c>
      <c r="F259" s="33">
        <v>0</v>
      </c>
      <c r="G259" s="33" t="s">
        <v>47</v>
      </c>
      <c r="H259" s="33" t="s">
        <v>567</v>
      </c>
      <c r="I259" s="33" t="s">
        <v>46</v>
      </c>
      <c r="J259" s="33" t="s">
        <v>40</v>
      </c>
    </row>
    <row r="260" spans="1:12" s="33" customFormat="1" x14ac:dyDescent="0.3">
      <c r="A260" s="33" t="s">
        <v>568</v>
      </c>
      <c r="B260" s="33" t="s">
        <v>43</v>
      </c>
      <c r="C260" s="33">
        <v>4430414545</v>
      </c>
      <c r="E260" s="33">
        <v>3</v>
      </c>
      <c r="F260" s="33">
        <v>0</v>
      </c>
      <c r="G260" s="33" t="s">
        <v>47</v>
      </c>
      <c r="H260" s="33" t="s">
        <v>569</v>
      </c>
      <c r="I260" s="33" t="s">
        <v>46</v>
      </c>
      <c r="J260" s="33" t="s">
        <v>40</v>
      </c>
    </row>
    <row r="261" spans="1:12" s="33" customFormat="1" x14ac:dyDescent="0.3">
      <c r="A261" s="33" t="s">
        <v>570</v>
      </c>
      <c r="B261" s="33" t="s">
        <v>43</v>
      </c>
      <c r="C261" s="33">
        <v>4430414545</v>
      </c>
      <c r="E261" s="33">
        <v>1</v>
      </c>
      <c r="F261" s="33">
        <v>0</v>
      </c>
      <c r="G261" s="33" t="s">
        <v>47</v>
      </c>
      <c r="H261" s="33" t="s">
        <v>571</v>
      </c>
      <c r="I261" s="33" t="s">
        <v>46</v>
      </c>
      <c r="J261" s="33" t="s">
        <v>40</v>
      </c>
    </row>
    <row r="262" spans="1:12" s="33" customFormat="1" x14ac:dyDescent="0.3">
      <c r="A262" s="33" t="s">
        <v>572</v>
      </c>
      <c r="B262" s="33" t="s">
        <v>43</v>
      </c>
      <c r="C262" s="33">
        <v>4430414545</v>
      </c>
      <c r="E262" s="33">
        <v>1</v>
      </c>
      <c r="F262" s="33">
        <v>0</v>
      </c>
      <c r="G262" s="33" t="s">
        <v>47</v>
      </c>
      <c r="H262" s="33" t="s">
        <v>573</v>
      </c>
      <c r="I262" s="33" t="s">
        <v>46</v>
      </c>
      <c r="J262" s="33" t="s">
        <v>40</v>
      </c>
    </row>
    <row r="263" spans="1:12" s="33" customFormat="1" x14ac:dyDescent="0.3">
      <c r="A263" s="33" t="s">
        <v>574</v>
      </c>
      <c r="B263" s="33" t="s">
        <v>43</v>
      </c>
      <c r="C263" s="33">
        <v>4430414545</v>
      </c>
      <c r="E263" s="33">
        <v>7</v>
      </c>
      <c r="F263" s="33">
        <v>0</v>
      </c>
      <c r="G263" s="33" t="s">
        <v>47</v>
      </c>
      <c r="H263" s="33" t="s">
        <v>575</v>
      </c>
      <c r="I263" s="33" t="s">
        <v>46</v>
      </c>
      <c r="J263" s="33" t="s">
        <v>40</v>
      </c>
    </row>
    <row r="264" spans="1:12" s="33" customFormat="1" x14ac:dyDescent="0.3">
      <c r="A264" s="33" t="s">
        <v>576</v>
      </c>
      <c r="B264" s="33">
        <v>44997343311</v>
      </c>
      <c r="C264" s="33" t="s">
        <v>44</v>
      </c>
      <c r="D264" s="33">
        <v>4430265054</v>
      </c>
      <c r="E264" s="33">
        <v>591</v>
      </c>
      <c r="F264" s="33">
        <v>556</v>
      </c>
      <c r="G264" s="33" t="s">
        <v>38</v>
      </c>
      <c r="H264" s="33" t="s">
        <v>577</v>
      </c>
      <c r="I264" s="33" t="s">
        <v>39</v>
      </c>
      <c r="J264" s="33" t="s">
        <v>40</v>
      </c>
      <c r="K264" s="33" t="s">
        <v>41</v>
      </c>
      <c r="L264" s="33">
        <v>5</v>
      </c>
    </row>
    <row r="265" spans="1:12" s="33" customFormat="1" x14ac:dyDescent="0.3">
      <c r="A265" s="33" t="s">
        <v>578</v>
      </c>
      <c r="B265" s="33" t="s">
        <v>42</v>
      </c>
      <c r="C265" s="33">
        <v>4432265534</v>
      </c>
      <c r="E265" s="33">
        <v>256</v>
      </c>
      <c r="F265" s="33">
        <v>240</v>
      </c>
      <c r="G265" s="33" t="s">
        <v>38</v>
      </c>
      <c r="H265" s="33" t="s">
        <v>579</v>
      </c>
      <c r="I265" s="33" t="s">
        <v>46</v>
      </c>
      <c r="J265" s="33" t="s">
        <v>40</v>
      </c>
    </row>
    <row r="266" spans="1:12" s="33" customFormat="1" x14ac:dyDescent="0.3">
      <c r="A266" s="33" t="s">
        <v>580</v>
      </c>
      <c r="B266" s="33">
        <v>45999211357</v>
      </c>
      <c r="C266" s="33" t="s">
        <v>37</v>
      </c>
      <c r="D266" s="33">
        <v>4431268225</v>
      </c>
      <c r="E266" s="33">
        <v>740</v>
      </c>
      <c r="F266" s="33">
        <v>612</v>
      </c>
      <c r="G266" s="33" t="s">
        <v>38</v>
      </c>
      <c r="H266" s="33" t="s">
        <v>581</v>
      </c>
      <c r="I266" s="33" t="s">
        <v>39</v>
      </c>
      <c r="J266" s="33" t="s">
        <v>40</v>
      </c>
      <c r="K266" s="33" t="s">
        <v>41</v>
      </c>
      <c r="L266" s="33">
        <v>3</v>
      </c>
    </row>
    <row r="267" spans="1:12" s="33" customFormat="1" x14ac:dyDescent="0.3">
      <c r="A267" s="33" t="s">
        <v>582</v>
      </c>
      <c r="B267" s="33">
        <v>44988303530</v>
      </c>
      <c r="C267" s="33" t="s">
        <v>37</v>
      </c>
      <c r="D267" s="33">
        <v>4430265054</v>
      </c>
      <c r="E267" s="33">
        <v>502</v>
      </c>
      <c r="F267" s="33">
        <v>438</v>
      </c>
      <c r="G267" s="33" t="s">
        <v>38</v>
      </c>
      <c r="H267" s="33" t="s">
        <v>583</v>
      </c>
      <c r="I267" s="33" t="s">
        <v>39</v>
      </c>
      <c r="J267" s="33" t="s">
        <v>40</v>
      </c>
      <c r="K267" s="33" t="s">
        <v>41</v>
      </c>
      <c r="L267" s="33">
        <v>5</v>
      </c>
    </row>
    <row r="268" spans="1:12" s="33" customFormat="1" x14ac:dyDescent="0.3">
      <c r="A268" s="33" t="s">
        <v>584</v>
      </c>
      <c r="B268" s="33">
        <v>4532541802</v>
      </c>
      <c r="C268" s="33" t="s">
        <v>37</v>
      </c>
      <c r="D268" s="33">
        <v>4430265054</v>
      </c>
      <c r="E268" s="33">
        <v>432</v>
      </c>
      <c r="F268" s="33">
        <v>394</v>
      </c>
      <c r="G268" s="33" t="s">
        <v>38</v>
      </c>
      <c r="H268" s="33" t="s">
        <v>585</v>
      </c>
      <c r="I268" s="33" t="s">
        <v>39</v>
      </c>
      <c r="J268" s="33" t="s">
        <v>40</v>
      </c>
      <c r="K268" s="33" t="s">
        <v>41</v>
      </c>
    </row>
    <row r="269" spans="1:12" s="33" customFormat="1" x14ac:dyDescent="0.3">
      <c r="A269" s="33" t="s">
        <v>586</v>
      </c>
      <c r="B269" s="33">
        <v>1131043888</v>
      </c>
      <c r="C269" s="33" t="s">
        <v>42</v>
      </c>
      <c r="D269" s="33">
        <v>4430265054</v>
      </c>
      <c r="E269" s="33">
        <v>947</v>
      </c>
      <c r="F269" s="33">
        <v>832</v>
      </c>
      <c r="G269" s="33" t="s">
        <v>38</v>
      </c>
      <c r="H269" s="33" t="s">
        <v>587</v>
      </c>
      <c r="I269" s="33" t="s">
        <v>39</v>
      </c>
      <c r="J269" s="33" t="s">
        <v>40</v>
      </c>
      <c r="K269" s="33" t="s">
        <v>41</v>
      </c>
      <c r="L269" s="33">
        <v>5</v>
      </c>
    </row>
    <row r="270" spans="1:12" s="33" customFormat="1" x14ac:dyDescent="0.3">
      <c r="A270" s="33" t="s">
        <v>588</v>
      </c>
      <c r="B270" s="33">
        <v>73988242055</v>
      </c>
      <c r="C270" s="33" t="s">
        <v>43</v>
      </c>
      <c r="D270" s="33">
        <v>4430265054</v>
      </c>
      <c r="E270" s="33">
        <v>1958</v>
      </c>
      <c r="F270" s="33">
        <v>1918</v>
      </c>
      <c r="G270" s="33" t="s">
        <v>38</v>
      </c>
      <c r="H270" s="33" t="s">
        <v>589</v>
      </c>
      <c r="I270" s="33" t="s">
        <v>39</v>
      </c>
      <c r="J270" s="33" t="s">
        <v>40</v>
      </c>
      <c r="K270" s="33" t="s">
        <v>41</v>
      </c>
      <c r="L270" s="33">
        <v>5</v>
      </c>
    </row>
    <row r="271" spans="1:12" s="33" customFormat="1" x14ac:dyDescent="0.3">
      <c r="A271" s="33" t="s">
        <v>590</v>
      </c>
      <c r="B271" s="33">
        <v>44988303530</v>
      </c>
      <c r="C271" s="33" t="s">
        <v>44</v>
      </c>
      <c r="D271" s="33">
        <v>4430265054</v>
      </c>
      <c r="E271" s="33">
        <v>998</v>
      </c>
      <c r="F271" s="33">
        <v>926</v>
      </c>
      <c r="G271" s="33" t="s">
        <v>38</v>
      </c>
      <c r="H271" s="33" t="s">
        <v>591</v>
      </c>
      <c r="I271" s="33" t="s">
        <v>39</v>
      </c>
      <c r="J271" s="33" t="s">
        <v>40</v>
      </c>
      <c r="K271" s="33" t="s">
        <v>41</v>
      </c>
      <c r="L271" s="33">
        <v>5</v>
      </c>
    </row>
    <row r="272" spans="1:12" s="33" customFormat="1" x14ac:dyDescent="0.3">
      <c r="A272" s="33" t="s">
        <v>592</v>
      </c>
      <c r="B272" s="33">
        <v>6436133762</v>
      </c>
      <c r="C272" s="33" t="s">
        <v>37</v>
      </c>
      <c r="D272" s="33">
        <v>4430265054</v>
      </c>
      <c r="E272" s="33">
        <v>492</v>
      </c>
      <c r="F272" s="33">
        <v>414</v>
      </c>
      <c r="G272" s="33" t="s">
        <v>38</v>
      </c>
      <c r="H272" s="33" t="s">
        <v>593</v>
      </c>
      <c r="I272" s="33" t="s">
        <v>39</v>
      </c>
      <c r="J272" s="33" t="s">
        <v>40</v>
      </c>
      <c r="K272" s="33" t="s">
        <v>41</v>
      </c>
    </row>
    <row r="273" spans="1:12" s="33" customFormat="1" x14ac:dyDescent="0.3">
      <c r="A273" s="33" t="s">
        <v>594</v>
      </c>
      <c r="B273" s="33">
        <v>4432541200</v>
      </c>
      <c r="C273" s="33" t="s">
        <v>44</v>
      </c>
      <c r="D273" s="33">
        <v>4430265054</v>
      </c>
      <c r="E273" s="33">
        <v>277</v>
      </c>
      <c r="F273" s="33">
        <v>205</v>
      </c>
      <c r="G273" s="33" t="s">
        <v>38</v>
      </c>
      <c r="H273" s="33" t="s">
        <v>595</v>
      </c>
      <c r="I273" s="33" t="s">
        <v>39</v>
      </c>
      <c r="J273" s="33" t="s">
        <v>40</v>
      </c>
      <c r="K273" s="33" t="s">
        <v>41</v>
      </c>
    </row>
    <row r="274" spans="1:12" s="33" customFormat="1" x14ac:dyDescent="0.3">
      <c r="A274" s="33" t="s">
        <v>596</v>
      </c>
      <c r="B274" s="33">
        <v>4432265534</v>
      </c>
      <c r="C274" s="33" t="s">
        <v>42</v>
      </c>
      <c r="D274" s="33">
        <v>4430265054</v>
      </c>
      <c r="E274" s="33">
        <v>1344</v>
      </c>
      <c r="F274" s="33">
        <v>1325</v>
      </c>
      <c r="G274" s="33" t="s">
        <v>38</v>
      </c>
      <c r="H274" s="33" t="s">
        <v>597</v>
      </c>
      <c r="I274" s="33" t="s">
        <v>39</v>
      </c>
      <c r="J274" s="33" t="s">
        <v>40</v>
      </c>
      <c r="K274" s="33" t="s">
        <v>41</v>
      </c>
    </row>
    <row r="275" spans="1:12" s="33" customFormat="1" x14ac:dyDescent="0.3">
      <c r="A275" s="33" t="s">
        <v>598</v>
      </c>
      <c r="B275" s="33">
        <v>4520312689</v>
      </c>
      <c r="C275" s="33" t="s">
        <v>43</v>
      </c>
      <c r="D275" s="33">
        <v>4430265054</v>
      </c>
      <c r="E275" s="33">
        <v>541</v>
      </c>
      <c r="F275" s="33">
        <v>504</v>
      </c>
      <c r="G275" s="33" t="s">
        <v>38</v>
      </c>
      <c r="H275" s="33" t="s">
        <v>599</v>
      </c>
      <c r="I275" s="33" t="s">
        <v>39</v>
      </c>
      <c r="J275" s="33" t="s">
        <v>40</v>
      </c>
      <c r="K275" s="33" t="s">
        <v>41</v>
      </c>
    </row>
    <row r="276" spans="1:12" s="33" customFormat="1" x14ac:dyDescent="0.3">
      <c r="A276" s="33" t="s">
        <v>600</v>
      </c>
      <c r="B276" s="33">
        <v>4430191401</v>
      </c>
      <c r="C276" s="33" t="s">
        <v>44</v>
      </c>
      <c r="D276" s="33">
        <v>4430265054</v>
      </c>
      <c r="E276" s="33">
        <v>148</v>
      </c>
      <c r="F276" s="33">
        <v>66</v>
      </c>
      <c r="G276" s="33" t="s">
        <v>38</v>
      </c>
      <c r="H276" s="33" t="s">
        <v>601</v>
      </c>
      <c r="I276" s="33" t="s">
        <v>39</v>
      </c>
      <c r="J276" s="33" t="s">
        <v>40</v>
      </c>
      <c r="K276" s="33" t="s">
        <v>41</v>
      </c>
    </row>
    <row r="277" spans="1:12" s="33" customFormat="1" x14ac:dyDescent="0.3">
      <c r="A277" s="33" t="s">
        <v>602</v>
      </c>
      <c r="B277" s="33">
        <v>43991364602</v>
      </c>
      <c r="C277" s="33" t="s">
        <v>37</v>
      </c>
      <c r="D277" s="33">
        <v>4430265054</v>
      </c>
      <c r="E277" s="33">
        <v>525</v>
      </c>
      <c r="F277" s="33">
        <v>428</v>
      </c>
      <c r="G277" s="33" t="s">
        <v>38</v>
      </c>
      <c r="H277" s="33" t="s">
        <v>603</v>
      </c>
      <c r="I277" s="33" t="s">
        <v>39</v>
      </c>
      <c r="J277" s="33" t="s">
        <v>40</v>
      </c>
      <c r="K277" s="33" t="s">
        <v>41</v>
      </c>
    </row>
    <row r="278" spans="1:12" s="33" customFormat="1" x14ac:dyDescent="0.3">
      <c r="A278" s="33" t="s">
        <v>604</v>
      </c>
      <c r="B278" s="33">
        <v>44999387742</v>
      </c>
      <c r="C278" s="33" t="s">
        <v>43</v>
      </c>
      <c r="D278" s="33">
        <v>4430265054</v>
      </c>
      <c r="E278" s="33">
        <v>125</v>
      </c>
      <c r="F278" s="33">
        <v>95</v>
      </c>
      <c r="G278" s="33" t="s">
        <v>38</v>
      </c>
      <c r="H278" s="33" t="s">
        <v>605</v>
      </c>
      <c r="I278" s="33" t="s">
        <v>39</v>
      </c>
      <c r="J278" s="33" t="s">
        <v>40</v>
      </c>
      <c r="K278" s="33" t="s">
        <v>41</v>
      </c>
    </row>
    <row r="279" spans="1:12" s="33" customFormat="1" x14ac:dyDescent="0.3">
      <c r="A279" s="33" t="s">
        <v>606</v>
      </c>
      <c r="B279" s="33">
        <v>44998717172</v>
      </c>
      <c r="C279" s="33" t="s">
        <v>44</v>
      </c>
      <c r="D279" s="33">
        <v>4430265054</v>
      </c>
      <c r="E279" s="33">
        <v>1193</v>
      </c>
      <c r="F279" s="33">
        <v>1156</v>
      </c>
      <c r="G279" s="33" t="s">
        <v>38</v>
      </c>
      <c r="H279" s="33" t="s">
        <v>607</v>
      </c>
      <c r="I279" s="33" t="s">
        <v>39</v>
      </c>
      <c r="J279" s="33" t="s">
        <v>40</v>
      </c>
      <c r="K279" s="33" t="s">
        <v>41</v>
      </c>
    </row>
    <row r="280" spans="1:12" s="33" customFormat="1" x14ac:dyDescent="0.3">
      <c r="A280" s="33" t="s">
        <v>608</v>
      </c>
      <c r="B280" s="33">
        <v>44999647912</v>
      </c>
      <c r="C280" s="33" t="s">
        <v>42</v>
      </c>
      <c r="D280" s="33">
        <v>4430265054</v>
      </c>
      <c r="E280" s="33">
        <v>2163</v>
      </c>
      <c r="F280" s="33">
        <v>2142</v>
      </c>
      <c r="G280" s="33" t="s">
        <v>38</v>
      </c>
      <c r="H280" s="33" t="s">
        <v>609</v>
      </c>
      <c r="I280" s="33" t="s">
        <v>39</v>
      </c>
      <c r="J280" s="33" t="s">
        <v>40</v>
      </c>
      <c r="K280" s="33" t="s">
        <v>41</v>
      </c>
    </row>
    <row r="281" spans="1:12" s="33" customFormat="1" x14ac:dyDescent="0.3">
      <c r="A281" s="33" t="s">
        <v>610</v>
      </c>
      <c r="B281" s="33">
        <v>4433543396</v>
      </c>
      <c r="C281" s="33" t="s">
        <v>43</v>
      </c>
      <c r="D281" s="33">
        <v>4430265054</v>
      </c>
      <c r="E281" s="33">
        <v>677</v>
      </c>
      <c r="F281" s="33">
        <v>610</v>
      </c>
      <c r="G281" s="33" t="s">
        <v>38</v>
      </c>
      <c r="H281" s="33" t="s">
        <v>611</v>
      </c>
      <c r="I281" s="33" t="s">
        <v>39</v>
      </c>
      <c r="J281" s="33" t="s">
        <v>40</v>
      </c>
      <c r="K281" s="33" t="s">
        <v>41</v>
      </c>
      <c r="L281" s="33">
        <v>5</v>
      </c>
    </row>
    <row r="282" spans="1:12" s="33" customFormat="1" x14ac:dyDescent="0.3">
      <c r="A282" s="33" t="s">
        <v>612</v>
      </c>
      <c r="B282" s="33">
        <v>44999449519</v>
      </c>
      <c r="C282" s="33" t="s">
        <v>42</v>
      </c>
      <c r="D282" s="33">
        <v>4430265054</v>
      </c>
      <c r="E282" s="33">
        <v>404</v>
      </c>
      <c r="F282" s="33">
        <v>246</v>
      </c>
      <c r="G282" s="33" t="s">
        <v>38</v>
      </c>
      <c r="H282" s="33" t="s">
        <v>613</v>
      </c>
      <c r="I282" s="33" t="s">
        <v>39</v>
      </c>
      <c r="J282" s="33" t="s">
        <v>40</v>
      </c>
      <c r="K282" s="33" t="s">
        <v>41</v>
      </c>
    </row>
    <row r="283" spans="1:12" s="33" customFormat="1" x14ac:dyDescent="0.3">
      <c r="A283" s="33" t="s">
        <v>614</v>
      </c>
      <c r="B283" s="33">
        <v>44998656522</v>
      </c>
      <c r="C283" s="33" t="s">
        <v>42</v>
      </c>
      <c r="D283" s="33">
        <v>4430265054</v>
      </c>
      <c r="E283" s="33">
        <v>307</v>
      </c>
      <c r="F283" s="33">
        <v>176</v>
      </c>
      <c r="G283" s="33" t="s">
        <v>38</v>
      </c>
      <c r="H283" s="33" t="s">
        <v>615</v>
      </c>
      <c r="I283" s="33" t="s">
        <v>39</v>
      </c>
      <c r="J283" s="33" t="s">
        <v>40</v>
      </c>
      <c r="K283" s="33" t="s">
        <v>41</v>
      </c>
    </row>
    <row r="284" spans="1:12" s="33" customFormat="1" x14ac:dyDescent="0.3">
      <c r="A284" s="33" t="s">
        <v>616</v>
      </c>
      <c r="B284" s="33">
        <v>4532541802</v>
      </c>
      <c r="C284" s="33" t="s">
        <v>44</v>
      </c>
      <c r="D284" s="33">
        <v>4430265054</v>
      </c>
      <c r="E284" s="33">
        <v>1540</v>
      </c>
      <c r="F284" s="33">
        <v>1438</v>
      </c>
      <c r="G284" s="33" t="s">
        <v>38</v>
      </c>
      <c r="H284" s="33" t="s">
        <v>617</v>
      </c>
      <c r="I284" s="33" t="s">
        <v>39</v>
      </c>
      <c r="J284" s="33" t="s">
        <v>40</v>
      </c>
      <c r="K284" s="33" t="s">
        <v>41</v>
      </c>
    </row>
    <row r="285" spans="1:12" s="33" customFormat="1" x14ac:dyDescent="0.3">
      <c r="A285" s="33" t="s">
        <v>618</v>
      </c>
      <c r="B285" s="33">
        <v>43991519887</v>
      </c>
      <c r="C285" s="33" t="s">
        <v>43</v>
      </c>
      <c r="D285" s="33">
        <v>4430265054</v>
      </c>
      <c r="E285" s="33">
        <v>366</v>
      </c>
      <c r="F285" s="33">
        <v>275</v>
      </c>
      <c r="G285" s="33" t="s">
        <v>38</v>
      </c>
      <c r="H285" s="33" t="s">
        <v>619</v>
      </c>
      <c r="I285" s="33" t="s">
        <v>39</v>
      </c>
      <c r="J285" s="33" t="s">
        <v>40</v>
      </c>
      <c r="K285" s="33" t="s">
        <v>41</v>
      </c>
    </row>
    <row r="286" spans="1:12" s="33" customFormat="1" x14ac:dyDescent="0.3">
      <c r="A286" s="33" t="s">
        <v>620</v>
      </c>
      <c r="B286" s="33">
        <v>44998717172</v>
      </c>
      <c r="C286" s="33" t="s">
        <v>43</v>
      </c>
      <c r="D286" s="33">
        <v>4430265054</v>
      </c>
      <c r="E286" s="33">
        <v>470</v>
      </c>
      <c r="F286" s="33">
        <v>447</v>
      </c>
      <c r="G286" s="33" t="s">
        <v>38</v>
      </c>
      <c r="H286" s="33" t="s">
        <v>621</v>
      </c>
      <c r="I286" s="33" t="s">
        <v>39</v>
      </c>
      <c r="J286" s="33" t="s">
        <v>40</v>
      </c>
      <c r="K286" s="33" t="s">
        <v>41</v>
      </c>
    </row>
    <row r="287" spans="1:12" s="33" customFormat="1" x14ac:dyDescent="0.3">
      <c r="A287" s="33" t="s">
        <v>622</v>
      </c>
      <c r="B287" s="33">
        <v>44998717172</v>
      </c>
      <c r="C287" s="33" t="s">
        <v>43</v>
      </c>
      <c r="D287" s="33">
        <v>4430265054</v>
      </c>
      <c r="E287" s="33">
        <v>420</v>
      </c>
      <c r="F287" s="33">
        <v>326</v>
      </c>
      <c r="G287" s="33" t="s">
        <v>38</v>
      </c>
      <c r="H287" s="33" t="s">
        <v>623</v>
      </c>
      <c r="I287" s="33" t="s">
        <v>39</v>
      </c>
      <c r="J287" s="33" t="s">
        <v>40</v>
      </c>
      <c r="K287" s="33" t="s">
        <v>41</v>
      </c>
    </row>
    <row r="288" spans="1:12" s="33" customFormat="1" x14ac:dyDescent="0.3">
      <c r="A288" s="33" t="s">
        <v>624</v>
      </c>
      <c r="B288" s="33">
        <v>44997079838</v>
      </c>
      <c r="C288" s="33" t="s">
        <v>42</v>
      </c>
      <c r="D288" s="33">
        <v>4430265054</v>
      </c>
      <c r="E288" s="33">
        <v>276</v>
      </c>
      <c r="F288" s="33">
        <v>197</v>
      </c>
      <c r="G288" s="33" t="s">
        <v>38</v>
      </c>
      <c r="H288" s="33" t="s">
        <v>625</v>
      </c>
      <c r="I288" s="33" t="s">
        <v>39</v>
      </c>
      <c r="J288" s="33" t="s">
        <v>40</v>
      </c>
      <c r="K288" s="33" t="s">
        <v>41</v>
      </c>
    </row>
    <row r="289" spans="1:12" s="33" customFormat="1" x14ac:dyDescent="0.3">
      <c r="A289" s="33" t="s">
        <v>626</v>
      </c>
      <c r="B289" s="33">
        <v>44997079838</v>
      </c>
      <c r="C289" s="33" t="s">
        <v>48</v>
      </c>
      <c r="D289" s="33">
        <v>4430265054</v>
      </c>
      <c r="E289" s="33">
        <v>154</v>
      </c>
      <c r="F289" s="33">
        <v>153</v>
      </c>
      <c r="G289" s="33" t="s">
        <v>38</v>
      </c>
      <c r="H289" s="33" t="s">
        <v>627</v>
      </c>
      <c r="I289" s="33" t="s">
        <v>39</v>
      </c>
      <c r="J289" s="33" t="s">
        <v>40</v>
      </c>
      <c r="K289" s="33" t="s">
        <v>41</v>
      </c>
    </row>
    <row r="290" spans="1:12" s="33" customFormat="1" x14ac:dyDescent="0.3">
      <c r="A290" s="33" t="s">
        <v>628</v>
      </c>
      <c r="B290" s="33">
        <v>44999449519</v>
      </c>
      <c r="C290" s="33" t="s">
        <v>42</v>
      </c>
      <c r="D290" s="33">
        <v>4430265054</v>
      </c>
      <c r="E290" s="33">
        <v>676</v>
      </c>
      <c r="F290" s="33">
        <v>585</v>
      </c>
      <c r="G290" s="33" t="s">
        <v>38</v>
      </c>
      <c r="H290" s="33" t="s">
        <v>629</v>
      </c>
      <c r="I290" s="33" t="s">
        <v>39</v>
      </c>
      <c r="J290" s="33" t="s">
        <v>40</v>
      </c>
      <c r="K290" s="33" t="s">
        <v>41</v>
      </c>
    </row>
    <row r="291" spans="1:12" s="33" customFormat="1" x14ac:dyDescent="0.3">
      <c r="A291" s="33" t="s">
        <v>630</v>
      </c>
      <c r="B291" s="33" t="s">
        <v>37</v>
      </c>
      <c r="C291" s="33">
        <v>62994086124</v>
      </c>
      <c r="E291" s="33">
        <v>12071</v>
      </c>
      <c r="F291" s="33">
        <v>12062</v>
      </c>
      <c r="G291" s="33" t="s">
        <v>38</v>
      </c>
      <c r="H291" s="33" t="s">
        <v>631</v>
      </c>
      <c r="I291" s="33" t="s">
        <v>46</v>
      </c>
      <c r="J291" s="33" t="s">
        <v>40</v>
      </c>
    </row>
    <row r="292" spans="1:12" s="33" customFormat="1" x14ac:dyDescent="0.3">
      <c r="A292" s="33" t="s">
        <v>632</v>
      </c>
      <c r="B292" s="33" t="s">
        <v>48</v>
      </c>
      <c r="C292" s="33">
        <v>4430265054</v>
      </c>
      <c r="E292" s="33">
        <v>41</v>
      </c>
      <c r="F292" s="33">
        <v>40</v>
      </c>
      <c r="G292" s="33" t="s">
        <v>38</v>
      </c>
      <c r="H292" s="33" t="s">
        <v>633</v>
      </c>
      <c r="I292" s="33" t="s">
        <v>46</v>
      </c>
      <c r="J292" s="33" t="s">
        <v>40</v>
      </c>
    </row>
    <row r="293" spans="1:12" s="33" customFormat="1" x14ac:dyDescent="0.3">
      <c r="A293" s="33" t="s">
        <v>632</v>
      </c>
      <c r="B293" s="33">
        <v>4431268225</v>
      </c>
      <c r="C293" s="33" t="s">
        <v>48</v>
      </c>
      <c r="D293" s="33">
        <v>4430265054</v>
      </c>
      <c r="E293" s="33">
        <v>41</v>
      </c>
      <c r="F293" s="33">
        <v>40</v>
      </c>
      <c r="G293" s="33" t="s">
        <v>38</v>
      </c>
      <c r="H293" s="33" t="s">
        <v>634</v>
      </c>
      <c r="I293" s="33" t="s">
        <v>39</v>
      </c>
      <c r="J293" s="33" t="s">
        <v>40</v>
      </c>
      <c r="K293" s="33" t="s">
        <v>41</v>
      </c>
    </row>
    <row r="294" spans="1:12" s="33" customFormat="1" x14ac:dyDescent="0.3">
      <c r="A294" s="33" t="s">
        <v>635</v>
      </c>
      <c r="B294" s="33" t="s">
        <v>48</v>
      </c>
      <c r="C294" s="33">
        <v>4430265054</v>
      </c>
      <c r="E294" s="33">
        <v>4</v>
      </c>
      <c r="F294" s="33">
        <v>0</v>
      </c>
      <c r="G294" s="33" t="s">
        <v>47</v>
      </c>
      <c r="H294" s="33" t="s">
        <v>636</v>
      </c>
      <c r="I294" s="33" t="s">
        <v>46</v>
      </c>
      <c r="J294" s="33" t="s">
        <v>40</v>
      </c>
    </row>
    <row r="295" spans="1:12" s="33" customFormat="1" x14ac:dyDescent="0.3">
      <c r="A295" s="33" t="s">
        <v>637</v>
      </c>
      <c r="B295" s="33">
        <v>4432677399</v>
      </c>
      <c r="C295" s="33" t="s">
        <v>44</v>
      </c>
      <c r="D295" s="33">
        <v>4430265054</v>
      </c>
      <c r="E295" s="33">
        <v>289</v>
      </c>
      <c r="F295" s="33">
        <v>178</v>
      </c>
      <c r="G295" s="33" t="s">
        <v>38</v>
      </c>
      <c r="H295" s="33" t="s">
        <v>638</v>
      </c>
      <c r="I295" s="33" t="s">
        <v>39</v>
      </c>
      <c r="J295" s="33" t="s">
        <v>40</v>
      </c>
      <c r="K295" s="33" t="s">
        <v>41</v>
      </c>
    </row>
    <row r="296" spans="1:12" s="33" customFormat="1" x14ac:dyDescent="0.3">
      <c r="A296" s="33" t="s">
        <v>639</v>
      </c>
      <c r="B296" s="33" t="s">
        <v>48</v>
      </c>
      <c r="C296" s="33">
        <v>44998267320</v>
      </c>
      <c r="E296" s="33">
        <v>33</v>
      </c>
      <c r="F296" s="33">
        <v>26</v>
      </c>
      <c r="G296" s="33" t="s">
        <v>38</v>
      </c>
      <c r="H296" s="33" t="s">
        <v>640</v>
      </c>
      <c r="I296" s="33" t="s">
        <v>46</v>
      </c>
      <c r="J296" s="33" t="s">
        <v>40</v>
      </c>
    </row>
    <row r="297" spans="1:12" s="33" customFormat="1" x14ac:dyDescent="0.3">
      <c r="A297" s="33" t="s">
        <v>641</v>
      </c>
      <c r="B297" s="33" t="s">
        <v>48</v>
      </c>
      <c r="C297" s="33">
        <v>44998267320</v>
      </c>
      <c r="E297" s="33">
        <v>5</v>
      </c>
      <c r="F297" s="33">
        <v>0</v>
      </c>
      <c r="G297" s="33" t="s">
        <v>47</v>
      </c>
      <c r="H297" s="33" t="s">
        <v>642</v>
      </c>
      <c r="I297" s="33" t="s">
        <v>46</v>
      </c>
      <c r="J297" s="33" t="s">
        <v>40</v>
      </c>
    </row>
    <row r="298" spans="1:12" s="33" customFormat="1" x14ac:dyDescent="0.3">
      <c r="A298" s="33" t="s">
        <v>643</v>
      </c>
      <c r="B298" s="33" t="s">
        <v>48</v>
      </c>
      <c r="C298" s="33">
        <v>44998267320</v>
      </c>
      <c r="E298" s="33">
        <v>34</v>
      </c>
      <c r="F298" s="33">
        <v>26</v>
      </c>
      <c r="G298" s="33" t="s">
        <v>38</v>
      </c>
      <c r="H298" s="33" t="s">
        <v>644</v>
      </c>
      <c r="I298" s="33" t="s">
        <v>46</v>
      </c>
      <c r="J298" s="33" t="s">
        <v>40</v>
      </c>
    </row>
    <row r="299" spans="1:12" s="33" customFormat="1" x14ac:dyDescent="0.3">
      <c r="A299" s="33" t="s">
        <v>645</v>
      </c>
      <c r="B299" s="33">
        <v>91981481202</v>
      </c>
      <c r="C299" s="33" t="s">
        <v>43</v>
      </c>
      <c r="D299" s="33">
        <v>4430265054</v>
      </c>
      <c r="E299" s="33">
        <v>677</v>
      </c>
      <c r="F299" s="33">
        <v>641</v>
      </c>
      <c r="G299" s="33" t="s">
        <v>38</v>
      </c>
      <c r="H299" s="33" t="s">
        <v>646</v>
      </c>
      <c r="I299" s="33" t="s">
        <v>39</v>
      </c>
      <c r="J299" s="33" t="s">
        <v>40</v>
      </c>
      <c r="K299" s="33" t="s">
        <v>41</v>
      </c>
      <c r="L299" s="33">
        <v>5</v>
      </c>
    </row>
    <row r="300" spans="1:12" s="33" customFormat="1" x14ac:dyDescent="0.3">
      <c r="A300" s="33" t="s">
        <v>647</v>
      </c>
      <c r="B300" s="33">
        <v>91981481202</v>
      </c>
      <c r="C300" s="33" t="s">
        <v>48</v>
      </c>
      <c r="D300" s="33">
        <v>4430265054</v>
      </c>
      <c r="E300" s="33">
        <v>65</v>
      </c>
      <c r="F300" s="33">
        <v>64</v>
      </c>
      <c r="G300" s="33" t="s">
        <v>38</v>
      </c>
      <c r="H300" s="33" t="s">
        <v>648</v>
      </c>
      <c r="I300" s="33" t="s">
        <v>39</v>
      </c>
      <c r="J300" s="33" t="s">
        <v>40</v>
      </c>
      <c r="K300" s="33" t="s">
        <v>41</v>
      </c>
    </row>
    <row r="301" spans="1:12" s="33" customFormat="1" x14ac:dyDescent="0.3">
      <c r="A301" s="33" t="s">
        <v>649</v>
      </c>
      <c r="B301" s="33">
        <v>91981481202</v>
      </c>
      <c r="C301" s="33" t="s">
        <v>48</v>
      </c>
      <c r="D301" s="33">
        <v>4430265054</v>
      </c>
      <c r="E301" s="33">
        <v>151</v>
      </c>
      <c r="F301" s="33">
        <v>81</v>
      </c>
      <c r="G301" s="33" t="s">
        <v>38</v>
      </c>
      <c r="H301" s="33" t="s">
        <v>650</v>
      </c>
      <c r="I301" s="33" t="s">
        <v>39</v>
      </c>
      <c r="J301" s="33" t="s">
        <v>40</v>
      </c>
      <c r="K301" s="33" t="s">
        <v>41</v>
      </c>
    </row>
    <row r="302" spans="1:12" s="33" customFormat="1" x14ac:dyDescent="0.3">
      <c r="A302" s="33" t="s">
        <v>651</v>
      </c>
      <c r="B302" s="33">
        <v>4430141533</v>
      </c>
      <c r="C302" s="33" t="s">
        <v>44</v>
      </c>
      <c r="D302" s="33">
        <v>4430265054</v>
      </c>
      <c r="E302" s="33">
        <v>398</v>
      </c>
      <c r="F302" s="33">
        <v>206</v>
      </c>
      <c r="G302" s="33" t="s">
        <v>38</v>
      </c>
      <c r="H302" s="33" t="s">
        <v>652</v>
      </c>
      <c r="I302" s="33" t="s">
        <v>39</v>
      </c>
      <c r="J302" s="33" t="s">
        <v>40</v>
      </c>
      <c r="K302" s="33" t="s">
        <v>41</v>
      </c>
      <c r="L302" s="33">
        <v>5</v>
      </c>
    </row>
    <row r="303" spans="1:12" s="33" customFormat="1" x14ac:dyDescent="0.3">
      <c r="A303" s="33" t="s">
        <v>653</v>
      </c>
      <c r="B303" s="33">
        <v>4436761185</v>
      </c>
      <c r="C303" s="33" t="s">
        <v>42</v>
      </c>
      <c r="D303" s="33">
        <v>4430265054</v>
      </c>
      <c r="E303" s="33">
        <v>811</v>
      </c>
      <c r="F303" s="33">
        <v>659</v>
      </c>
      <c r="G303" s="33" t="s">
        <v>38</v>
      </c>
      <c r="H303" s="33" t="s">
        <v>654</v>
      </c>
      <c r="I303" s="33" t="s">
        <v>39</v>
      </c>
      <c r="J303" s="33" t="s">
        <v>40</v>
      </c>
      <c r="K303" s="33" t="s">
        <v>41</v>
      </c>
    </row>
    <row r="304" spans="1:12" s="33" customFormat="1" x14ac:dyDescent="0.3">
      <c r="A304" s="33" t="s">
        <v>655</v>
      </c>
      <c r="B304" s="33">
        <v>4432226677</v>
      </c>
      <c r="C304" s="33" t="s">
        <v>44</v>
      </c>
      <c r="D304" s="33">
        <v>4430265054</v>
      </c>
      <c r="E304" s="33">
        <v>433</v>
      </c>
      <c r="F304" s="33">
        <v>398</v>
      </c>
      <c r="G304" s="33" t="s">
        <v>38</v>
      </c>
      <c r="H304" s="33" t="s">
        <v>656</v>
      </c>
      <c r="I304" s="33" t="s">
        <v>39</v>
      </c>
      <c r="J304" s="33" t="s">
        <v>40</v>
      </c>
      <c r="K304" s="33" t="s">
        <v>41</v>
      </c>
      <c r="L304" s="33">
        <v>5</v>
      </c>
    </row>
    <row r="305" spans="1:12" s="33" customFormat="1" x14ac:dyDescent="0.3">
      <c r="A305" s="33" t="s">
        <v>657</v>
      </c>
      <c r="B305" s="33">
        <v>4432325260</v>
      </c>
      <c r="C305" s="33" t="s">
        <v>43</v>
      </c>
      <c r="D305" s="33">
        <v>4430265054</v>
      </c>
      <c r="E305" s="33">
        <v>646</v>
      </c>
      <c r="F305" s="33">
        <v>509</v>
      </c>
      <c r="G305" s="33" t="s">
        <v>38</v>
      </c>
      <c r="H305" s="33" t="s">
        <v>658</v>
      </c>
      <c r="I305" s="33" t="s">
        <v>39</v>
      </c>
      <c r="J305" s="33" t="s">
        <v>40</v>
      </c>
      <c r="K305" s="33" t="s">
        <v>41</v>
      </c>
      <c r="L305" s="33">
        <v>5</v>
      </c>
    </row>
    <row r="306" spans="1:12" s="33" customFormat="1" x14ac:dyDescent="0.3">
      <c r="A306" s="33" t="s">
        <v>659</v>
      </c>
      <c r="B306" s="33">
        <v>44998069950</v>
      </c>
      <c r="C306" s="33" t="s">
        <v>44</v>
      </c>
      <c r="D306" s="33">
        <v>4430265054</v>
      </c>
      <c r="E306" s="33">
        <v>222</v>
      </c>
      <c r="F306" s="33">
        <v>181</v>
      </c>
      <c r="G306" s="33" t="s">
        <v>38</v>
      </c>
      <c r="H306" s="33" t="s">
        <v>660</v>
      </c>
      <c r="I306" s="33" t="s">
        <v>39</v>
      </c>
      <c r="J306" s="33" t="s">
        <v>40</v>
      </c>
      <c r="K306" s="33" t="s">
        <v>41</v>
      </c>
    </row>
    <row r="307" spans="1:12" s="33" customFormat="1" x14ac:dyDescent="0.3">
      <c r="A307" s="33" t="s">
        <v>661</v>
      </c>
      <c r="B307" s="33">
        <v>4430468268</v>
      </c>
      <c r="C307" s="33" t="s">
        <v>44</v>
      </c>
      <c r="D307" s="33">
        <v>4430265054</v>
      </c>
      <c r="E307" s="33">
        <v>198</v>
      </c>
      <c r="F307" s="33">
        <v>133</v>
      </c>
      <c r="G307" s="33" t="s">
        <v>38</v>
      </c>
      <c r="H307" s="33" t="s">
        <v>662</v>
      </c>
      <c r="I307" s="33" t="s">
        <v>39</v>
      </c>
      <c r="J307" s="33" t="s">
        <v>40</v>
      </c>
      <c r="K307" s="33" t="s">
        <v>41</v>
      </c>
    </row>
    <row r="308" spans="1:12" s="33" customFormat="1" x14ac:dyDescent="0.3">
      <c r="A308" s="33" t="s">
        <v>663</v>
      </c>
      <c r="B308" s="33" t="s">
        <v>49</v>
      </c>
      <c r="C308" s="33" t="s">
        <v>51</v>
      </c>
      <c r="E308" s="33">
        <v>108</v>
      </c>
      <c r="F308" s="33">
        <v>96</v>
      </c>
      <c r="G308" s="33" t="s">
        <v>38</v>
      </c>
      <c r="H308" s="33" t="s">
        <v>664</v>
      </c>
      <c r="I308" s="33" t="s">
        <v>52</v>
      </c>
      <c r="J308" s="33" t="s">
        <v>40</v>
      </c>
    </row>
    <row r="309" spans="1:12" s="33" customFormat="1" x14ac:dyDescent="0.3">
      <c r="A309" s="33" t="s">
        <v>665</v>
      </c>
      <c r="B309" s="33" t="s">
        <v>37</v>
      </c>
      <c r="C309" s="33">
        <v>4430285070</v>
      </c>
      <c r="E309" s="33">
        <v>683</v>
      </c>
      <c r="F309" s="33">
        <v>672</v>
      </c>
      <c r="G309" s="33" t="s">
        <v>38</v>
      </c>
      <c r="H309" s="33" t="s">
        <v>666</v>
      </c>
      <c r="I309" s="33" t="s">
        <v>46</v>
      </c>
      <c r="J309" s="33" t="s">
        <v>40</v>
      </c>
    </row>
    <row r="310" spans="1:12" s="33" customFormat="1" x14ac:dyDescent="0.3">
      <c r="A310" s="33" t="s">
        <v>667</v>
      </c>
      <c r="B310" s="33" t="s">
        <v>37</v>
      </c>
      <c r="C310" s="33">
        <v>44988135387</v>
      </c>
      <c r="E310" s="33">
        <v>57</v>
      </c>
      <c r="F310" s="33">
        <v>0</v>
      </c>
      <c r="G310" s="33" t="s">
        <v>47</v>
      </c>
      <c r="H310" s="33" t="s">
        <v>668</v>
      </c>
      <c r="I310" s="33" t="s">
        <v>46</v>
      </c>
      <c r="J310" s="33" t="s">
        <v>40</v>
      </c>
    </row>
    <row r="311" spans="1:12" s="33" customFormat="1" x14ac:dyDescent="0.3">
      <c r="A311" s="33" t="s">
        <v>669</v>
      </c>
      <c r="B311" s="33" t="s">
        <v>37</v>
      </c>
      <c r="C311" s="33">
        <v>44988135387</v>
      </c>
      <c r="E311" s="33">
        <v>60</v>
      </c>
      <c r="F311" s="33">
        <v>0</v>
      </c>
      <c r="G311" s="33" t="s">
        <v>47</v>
      </c>
      <c r="H311" s="33" t="s">
        <v>670</v>
      </c>
      <c r="I311" s="33" t="s">
        <v>46</v>
      </c>
      <c r="J311" s="33" t="s">
        <v>40</v>
      </c>
    </row>
    <row r="312" spans="1:12" s="33" customFormat="1" x14ac:dyDescent="0.3">
      <c r="A312" s="33" t="s">
        <v>671</v>
      </c>
      <c r="B312" s="33" t="s">
        <v>37</v>
      </c>
      <c r="C312" s="33">
        <v>44988135387</v>
      </c>
      <c r="E312" s="33">
        <v>61</v>
      </c>
      <c r="F312" s="33">
        <v>0</v>
      </c>
      <c r="G312" s="33" t="s">
        <v>47</v>
      </c>
      <c r="H312" s="33" t="s">
        <v>672</v>
      </c>
      <c r="I312" s="33" t="s">
        <v>46</v>
      </c>
      <c r="J312" s="33" t="s">
        <v>40</v>
      </c>
    </row>
    <row r="313" spans="1:12" s="33" customFormat="1" x14ac:dyDescent="0.3">
      <c r="A313" s="33" t="s">
        <v>673</v>
      </c>
      <c r="B313" s="33" t="s">
        <v>43</v>
      </c>
      <c r="C313" s="33">
        <v>4334728840</v>
      </c>
      <c r="E313" s="33">
        <v>526</v>
      </c>
      <c r="F313" s="33">
        <v>514</v>
      </c>
      <c r="G313" s="33" t="s">
        <v>38</v>
      </c>
      <c r="H313" s="33" t="s">
        <v>674</v>
      </c>
      <c r="I313" s="33" t="s">
        <v>46</v>
      </c>
      <c r="J313" s="33" t="s">
        <v>40</v>
      </c>
    </row>
    <row r="314" spans="1:12" s="33" customFormat="1" x14ac:dyDescent="0.3">
      <c r="A314" s="33" t="s">
        <v>675</v>
      </c>
      <c r="B314" s="33" t="s">
        <v>37</v>
      </c>
      <c r="C314" s="33">
        <v>44988135387</v>
      </c>
      <c r="E314" s="33">
        <v>61</v>
      </c>
      <c r="F314" s="33">
        <v>0</v>
      </c>
      <c r="G314" s="33" t="s">
        <v>47</v>
      </c>
      <c r="H314" s="33" t="s">
        <v>676</v>
      </c>
      <c r="I314" s="33" t="s">
        <v>46</v>
      </c>
      <c r="J314" s="33" t="s">
        <v>40</v>
      </c>
    </row>
    <row r="315" spans="1:12" s="33" customFormat="1" x14ac:dyDescent="0.3">
      <c r="A315" s="33" t="s">
        <v>677</v>
      </c>
      <c r="B315" s="33" t="s">
        <v>44</v>
      </c>
      <c r="C315" s="33">
        <v>44997426611</v>
      </c>
      <c r="E315" s="33">
        <v>385</v>
      </c>
      <c r="F315" s="33">
        <v>374</v>
      </c>
      <c r="G315" s="33" t="s">
        <v>38</v>
      </c>
      <c r="H315" s="33" t="s">
        <v>678</v>
      </c>
      <c r="I315" s="33" t="s">
        <v>46</v>
      </c>
      <c r="J315" s="33" t="s">
        <v>40</v>
      </c>
    </row>
    <row r="316" spans="1:12" s="33" customFormat="1" x14ac:dyDescent="0.3">
      <c r="A316" s="33" t="s">
        <v>679</v>
      </c>
      <c r="B316" s="33" t="s">
        <v>48</v>
      </c>
      <c r="C316" s="33">
        <v>44998267320</v>
      </c>
      <c r="E316" s="33">
        <v>39</v>
      </c>
      <c r="F316" s="33">
        <v>31</v>
      </c>
      <c r="G316" s="33" t="s">
        <v>38</v>
      </c>
      <c r="H316" s="33" t="s">
        <v>680</v>
      </c>
      <c r="I316" s="33" t="s">
        <v>46</v>
      </c>
      <c r="J316" s="33" t="s">
        <v>40</v>
      </c>
    </row>
    <row r="317" spans="1:12" s="33" customFormat="1" x14ac:dyDescent="0.3">
      <c r="A317" s="33" t="s">
        <v>681</v>
      </c>
      <c r="B317" s="33" t="s">
        <v>48</v>
      </c>
      <c r="C317" s="33">
        <v>44998267320</v>
      </c>
      <c r="E317" s="33">
        <v>34</v>
      </c>
      <c r="F317" s="33">
        <v>27</v>
      </c>
      <c r="G317" s="33" t="s">
        <v>38</v>
      </c>
      <c r="H317" s="33" t="s">
        <v>682</v>
      </c>
      <c r="I317" s="33" t="s">
        <v>46</v>
      </c>
      <c r="J317" s="33" t="s">
        <v>40</v>
      </c>
    </row>
    <row r="318" spans="1:12" s="33" customFormat="1" x14ac:dyDescent="0.3">
      <c r="A318" s="33" t="s">
        <v>683</v>
      </c>
      <c r="B318" s="33" t="s">
        <v>48</v>
      </c>
      <c r="C318" s="33">
        <v>44998267320</v>
      </c>
      <c r="E318" s="33">
        <v>38</v>
      </c>
      <c r="F318" s="33">
        <v>30</v>
      </c>
      <c r="G318" s="33" t="s">
        <v>38</v>
      </c>
      <c r="H318" s="33" t="s">
        <v>684</v>
      </c>
      <c r="I318" s="33" t="s">
        <v>46</v>
      </c>
      <c r="J318" s="33" t="s">
        <v>40</v>
      </c>
    </row>
    <row r="319" spans="1:12" s="33" customFormat="1" x14ac:dyDescent="0.3">
      <c r="A319" s="33" t="s">
        <v>685</v>
      </c>
      <c r="B319" s="33">
        <v>44997426611</v>
      </c>
      <c r="C319" s="33" t="s">
        <v>44</v>
      </c>
      <c r="D319" s="33">
        <v>4430265054</v>
      </c>
      <c r="E319" s="33">
        <v>625</v>
      </c>
      <c r="F319" s="33">
        <v>599</v>
      </c>
      <c r="G319" s="33" t="s">
        <v>38</v>
      </c>
      <c r="H319" s="33" t="s">
        <v>686</v>
      </c>
      <c r="I319" s="33" t="s">
        <v>39</v>
      </c>
      <c r="J319" s="33" t="s">
        <v>40</v>
      </c>
      <c r="K319" s="33" t="s">
        <v>41</v>
      </c>
    </row>
    <row r="320" spans="1:12" s="33" customFormat="1" x14ac:dyDescent="0.3">
      <c r="A320" s="33" t="s">
        <v>687</v>
      </c>
      <c r="B320" s="33">
        <v>44997426611</v>
      </c>
      <c r="C320" s="33" t="s">
        <v>48</v>
      </c>
      <c r="D320" s="33">
        <v>4430265054</v>
      </c>
      <c r="E320" s="33">
        <v>102</v>
      </c>
      <c r="F320" s="33">
        <v>102</v>
      </c>
      <c r="G320" s="33" t="s">
        <v>38</v>
      </c>
      <c r="H320" s="33" t="s">
        <v>688</v>
      </c>
      <c r="I320" s="33" t="s">
        <v>39</v>
      </c>
      <c r="J320" s="33" t="s">
        <v>40</v>
      </c>
      <c r="K320" s="33" t="s">
        <v>41</v>
      </c>
    </row>
    <row r="321" spans="1:12" s="33" customFormat="1" x14ac:dyDescent="0.3">
      <c r="A321" s="33" t="s">
        <v>689</v>
      </c>
      <c r="B321" s="33">
        <v>4432256273</v>
      </c>
      <c r="C321" s="33" t="s">
        <v>43</v>
      </c>
      <c r="D321" s="33">
        <v>4430265054</v>
      </c>
      <c r="E321" s="33">
        <v>738</v>
      </c>
      <c r="F321" s="33">
        <v>696</v>
      </c>
      <c r="G321" s="33" t="s">
        <v>38</v>
      </c>
      <c r="H321" s="33" t="s">
        <v>690</v>
      </c>
      <c r="I321" s="33" t="s">
        <v>39</v>
      </c>
      <c r="J321" s="33" t="s">
        <v>40</v>
      </c>
      <c r="K321" s="33" t="s">
        <v>41</v>
      </c>
      <c r="L321" s="33">
        <v>5</v>
      </c>
    </row>
    <row r="322" spans="1:12" s="33" customFormat="1" x14ac:dyDescent="0.3">
      <c r="A322" s="33" t="s">
        <v>691</v>
      </c>
      <c r="B322" s="33">
        <v>44997561804</v>
      </c>
      <c r="C322" s="33" t="s">
        <v>37</v>
      </c>
      <c r="D322" s="33">
        <v>4430265054</v>
      </c>
      <c r="E322" s="33">
        <v>980</v>
      </c>
      <c r="F322" s="33">
        <v>958</v>
      </c>
      <c r="G322" s="33" t="s">
        <v>38</v>
      </c>
      <c r="H322" s="33" t="s">
        <v>692</v>
      </c>
      <c r="I322" s="33" t="s">
        <v>39</v>
      </c>
      <c r="J322" s="33" t="s">
        <v>40</v>
      </c>
      <c r="K322" s="33" t="s">
        <v>41</v>
      </c>
    </row>
    <row r="323" spans="1:12" s="33" customFormat="1" x14ac:dyDescent="0.3">
      <c r="A323" s="33" t="s">
        <v>693</v>
      </c>
      <c r="B323" s="33">
        <v>4432525112</v>
      </c>
      <c r="C323" s="33" t="s">
        <v>44</v>
      </c>
      <c r="D323" s="33">
        <v>4430265054</v>
      </c>
      <c r="E323" s="33">
        <v>593</v>
      </c>
      <c r="F323" s="33">
        <v>550</v>
      </c>
      <c r="G323" s="33" t="s">
        <v>38</v>
      </c>
      <c r="H323" s="33" t="s">
        <v>694</v>
      </c>
      <c r="I323" s="33" t="s">
        <v>39</v>
      </c>
      <c r="J323" s="33" t="s">
        <v>40</v>
      </c>
      <c r="K323" s="33" t="s">
        <v>41</v>
      </c>
    </row>
    <row r="324" spans="1:12" s="33" customFormat="1" x14ac:dyDescent="0.3">
      <c r="A324" s="33" t="s">
        <v>695</v>
      </c>
      <c r="B324" s="33" t="s">
        <v>43</v>
      </c>
      <c r="C324" s="33">
        <v>11985836640</v>
      </c>
      <c r="E324" s="33">
        <v>442</v>
      </c>
      <c r="F324" s="33">
        <v>436</v>
      </c>
      <c r="G324" s="33" t="s">
        <v>38</v>
      </c>
      <c r="H324" s="33" t="s">
        <v>696</v>
      </c>
      <c r="I324" s="33" t="s">
        <v>46</v>
      </c>
      <c r="J324" s="33" t="s">
        <v>40</v>
      </c>
      <c r="L324" s="33">
        <v>5</v>
      </c>
    </row>
    <row r="325" spans="1:12" s="33" customFormat="1" x14ac:dyDescent="0.3">
      <c r="A325" s="33" t="s">
        <v>697</v>
      </c>
      <c r="B325" s="33" t="s">
        <v>44</v>
      </c>
      <c r="C325" s="33">
        <v>4432525112</v>
      </c>
      <c r="E325" s="33">
        <v>324</v>
      </c>
      <c r="F325" s="33">
        <v>308</v>
      </c>
      <c r="G325" s="33" t="s">
        <v>38</v>
      </c>
      <c r="H325" s="33" t="s">
        <v>698</v>
      </c>
      <c r="I325" s="33" t="s">
        <v>46</v>
      </c>
      <c r="J325" s="33" t="s">
        <v>40</v>
      </c>
    </row>
    <row r="326" spans="1:12" s="33" customFormat="1" x14ac:dyDescent="0.3">
      <c r="A326" s="33" t="s">
        <v>699</v>
      </c>
      <c r="B326" s="33">
        <v>91985176746</v>
      </c>
      <c r="C326" s="33" t="s">
        <v>37</v>
      </c>
      <c r="D326" s="33">
        <v>4430265054</v>
      </c>
      <c r="E326" s="33">
        <v>612</v>
      </c>
      <c r="F326" s="33">
        <v>532</v>
      </c>
      <c r="G326" s="33" t="s">
        <v>38</v>
      </c>
      <c r="H326" s="33" t="s">
        <v>700</v>
      </c>
      <c r="I326" s="33" t="s">
        <v>39</v>
      </c>
      <c r="J326" s="33" t="s">
        <v>40</v>
      </c>
      <c r="K326" s="33" t="s">
        <v>41</v>
      </c>
    </row>
    <row r="327" spans="1:12" s="33" customFormat="1" x14ac:dyDescent="0.3">
      <c r="A327" s="33" t="s">
        <v>701</v>
      </c>
      <c r="B327" s="33">
        <v>4532541802</v>
      </c>
      <c r="C327" s="33" t="s">
        <v>43</v>
      </c>
      <c r="D327" s="33">
        <v>4430265054</v>
      </c>
      <c r="E327" s="33">
        <v>961</v>
      </c>
      <c r="F327" s="33">
        <v>849</v>
      </c>
      <c r="G327" s="33" t="s">
        <v>38</v>
      </c>
      <c r="H327" s="33" t="s">
        <v>702</v>
      </c>
      <c r="I327" s="33" t="s">
        <v>39</v>
      </c>
      <c r="J327" s="33" t="s">
        <v>40</v>
      </c>
      <c r="K327" s="33" t="s">
        <v>41</v>
      </c>
    </row>
    <row r="328" spans="1:12" s="33" customFormat="1" x14ac:dyDescent="0.3">
      <c r="A328" s="33" t="s">
        <v>703</v>
      </c>
      <c r="B328" s="33">
        <v>19981194037</v>
      </c>
      <c r="C328" s="33" t="s">
        <v>42</v>
      </c>
      <c r="D328" s="33">
        <v>4430265054</v>
      </c>
      <c r="E328" s="33">
        <v>4113</v>
      </c>
      <c r="F328" s="33">
        <v>4029</v>
      </c>
      <c r="G328" s="33" t="s">
        <v>38</v>
      </c>
      <c r="H328" s="33" t="s">
        <v>704</v>
      </c>
      <c r="I328" s="33" t="s">
        <v>39</v>
      </c>
      <c r="J328" s="33" t="s">
        <v>40</v>
      </c>
      <c r="K328" s="33" t="s">
        <v>41</v>
      </c>
    </row>
    <row r="329" spans="1:12" s="33" customFormat="1" x14ac:dyDescent="0.3">
      <c r="A329" s="33" t="s">
        <v>705</v>
      </c>
      <c r="B329" s="33">
        <v>1128897100</v>
      </c>
      <c r="C329" s="33" t="s">
        <v>37</v>
      </c>
      <c r="D329" s="33">
        <v>4430265054</v>
      </c>
      <c r="E329" s="33">
        <v>227</v>
      </c>
      <c r="F329" s="33">
        <v>202</v>
      </c>
      <c r="G329" s="33" t="s">
        <v>38</v>
      </c>
      <c r="H329" s="33" t="s">
        <v>706</v>
      </c>
      <c r="I329" s="33" t="s">
        <v>39</v>
      </c>
      <c r="J329" s="33" t="s">
        <v>40</v>
      </c>
      <c r="K329" s="33" t="s">
        <v>50</v>
      </c>
    </row>
    <row r="330" spans="1:12" s="33" customFormat="1" x14ac:dyDescent="0.3">
      <c r="A330" s="33" t="s">
        <v>705</v>
      </c>
      <c r="B330" s="33">
        <v>1128897100</v>
      </c>
      <c r="C330" s="33" t="s">
        <v>37</v>
      </c>
      <c r="D330" s="33">
        <v>4430265054</v>
      </c>
      <c r="E330" s="33">
        <v>227</v>
      </c>
      <c r="F330" s="33">
        <v>202</v>
      </c>
      <c r="G330" s="33" t="s">
        <v>38</v>
      </c>
      <c r="H330" s="33" t="s">
        <v>706</v>
      </c>
      <c r="I330" s="33" t="s">
        <v>39</v>
      </c>
      <c r="J330" s="33" t="s">
        <v>40</v>
      </c>
      <c r="K330" s="33" t="s">
        <v>41</v>
      </c>
    </row>
    <row r="331" spans="1:12" s="33" customFormat="1" x14ac:dyDescent="0.3">
      <c r="A331" s="33" t="s">
        <v>707</v>
      </c>
      <c r="B331" s="33">
        <v>11985836640</v>
      </c>
      <c r="C331" s="33" t="s">
        <v>37</v>
      </c>
      <c r="D331" s="33">
        <v>4430265054</v>
      </c>
      <c r="E331" s="33">
        <v>244</v>
      </c>
      <c r="F331" s="33">
        <v>178</v>
      </c>
      <c r="G331" s="33" t="s">
        <v>38</v>
      </c>
      <c r="H331" s="33" t="s">
        <v>708</v>
      </c>
      <c r="I331" s="33" t="s">
        <v>39</v>
      </c>
      <c r="J331" s="33" t="s">
        <v>40</v>
      </c>
      <c r="K331" s="33" t="s">
        <v>41</v>
      </c>
    </row>
    <row r="332" spans="1:12" s="33" customFormat="1" x14ac:dyDescent="0.3">
      <c r="A332" s="33" t="s">
        <v>709</v>
      </c>
      <c r="B332" s="33" t="s">
        <v>48</v>
      </c>
      <c r="C332" s="33">
        <v>4430251444</v>
      </c>
      <c r="E332" s="33">
        <v>74</v>
      </c>
      <c r="F332" s="33">
        <v>69</v>
      </c>
      <c r="G332" s="33" t="s">
        <v>38</v>
      </c>
      <c r="H332" s="33" t="s">
        <v>710</v>
      </c>
      <c r="I332" s="33" t="s">
        <v>46</v>
      </c>
      <c r="J332" s="33" t="s">
        <v>40</v>
      </c>
    </row>
    <row r="333" spans="1:12" s="33" customFormat="1" x14ac:dyDescent="0.3">
      <c r="A333" s="33" t="s">
        <v>711</v>
      </c>
      <c r="B333" s="33" t="s">
        <v>48</v>
      </c>
      <c r="C333" s="33">
        <v>4430333851</v>
      </c>
      <c r="E333" s="33">
        <v>61</v>
      </c>
      <c r="F333" s="33">
        <v>52</v>
      </c>
      <c r="G333" s="33" t="s">
        <v>38</v>
      </c>
      <c r="H333" s="33" t="s">
        <v>712</v>
      </c>
      <c r="I333" s="33" t="s">
        <v>46</v>
      </c>
      <c r="J333" s="33" t="s">
        <v>40</v>
      </c>
    </row>
    <row r="334" spans="1:12" s="33" customFormat="1" x14ac:dyDescent="0.3">
      <c r="A334" s="33" t="s">
        <v>713</v>
      </c>
      <c r="B334" s="33" t="s">
        <v>42</v>
      </c>
      <c r="C334" s="33">
        <v>44998640313</v>
      </c>
      <c r="E334" s="33">
        <v>58</v>
      </c>
      <c r="F334" s="33">
        <v>49</v>
      </c>
      <c r="G334" s="33" t="s">
        <v>38</v>
      </c>
      <c r="H334" s="33" t="s">
        <v>714</v>
      </c>
      <c r="I334" s="33" t="s">
        <v>46</v>
      </c>
      <c r="J334" s="33" t="s">
        <v>40</v>
      </c>
    </row>
    <row r="335" spans="1:12" s="33" customFormat="1" x14ac:dyDescent="0.3">
      <c r="A335" s="33" t="s">
        <v>715</v>
      </c>
      <c r="B335" s="33">
        <v>44998267320</v>
      </c>
      <c r="C335" s="33" t="s">
        <v>42</v>
      </c>
      <c r="D335" s="33">
        <v>4430265054</v>
      </c>
      <c r="E335" s="33">
        <v>23</v>
      </c>
      <c r="F335" s="33">
        <v>7</v>
      </c>
      <c r="G335" s="33" t="s">
        <v>38</v>
      </c>
      <c r="H335" s="33" t="s">
        <v>716</v>
      </c>
      <c r="I335" s="33" t="s">
        <v>39</v>
      </c>
      <c r="J335" s="33" t="s">
        <v>40</v>
      </c>
      <c r="K335" s="33" t="s">
        <v>41</v>
      </c>
    </row>
    <row r="336" spans="1:12" s="33" customFormat="1" x14ac:dyDescent="0.3">
      <c r="A336" s="33" t="s">
        <v>717</v>
      </c>
      <c r="B336" s="33" t="s">
        <v>48</v>
      </c>
      <c r="C336" s="33">
        <v>4430333851</v>
      </c>
      <c r="E336" s="33">
        <v>58</v>
      </c>
      <c r="F336" s="33">
        <v>51</v>
      </c>
      <c r="G336" s="33" t="s">
        <v>38</v>
      </c>
      <c r="H336" s="33" t="s">
        <v>718</v>
      </c>
      <c r="I336" s="33" t="s">
        <v>46</v>
      </c>
      <c r="J336" s="33" t="s">
        <v>40</v>
      </c>
    </row>
    <row r="337" spans="1:12" s="33" customFormat="1" x14ac:dyDescent="0.3">
      <c r="A337" s="33" t="s">
        <v>719</v>
      </c>
      <c r="B337" s="33" t="s">
        <v>48</v>
      </c>
      <c r="C337" s="33">
        <v>4430333851</v>
      </c>
      <c r="E337" s="33">
        <v>57</v>
      </c>
      <c r="F337" s="33">
        <v>45</v>
      </c>
      <c r="G337" s="33" t="s">
        <v>38</v>
      </c>
      <c r="H337" s="33" t="s">
        <v>720</v>
      </c>
      <c r="I337" s="33" t="s">
        <v>46</v>
      </c>
      <c r="J337" s="33" t="s">
        <v>40</v>
      </c>
    </row>
    <row r="338" spans="1:12" s="33" customFormat="1" x14ac:dyDescent="0.3">
      <c r="A338" s="33" t="s">
        <v>721</v>
      </c>
      <c r="B338" s="33">
        <v>44998640313</v>
      </c>
      <c r="C338" s="33" t="s">
        <v>42</v>
      </c>
      <c r="D338" s="33">
        <v>4430265054</v>
      </c>
      <c r="E338" s="33">
        <v>90</v>
      </c>
      <c r="F338" s="33">
        <v>12</v>
      </c>
      <c r="G338" s="33" t="s">
        <v>38</v>
      </c>
      <c r="H338" s="33" t="s">
        <v>722</v>
      </c>
      <c r="I338" s="33" t="s">
        <v>39</v>
      </c>
      <c r="J338" s="33" t="s">
        <v>40</v>
      </c>
      <c r="K338" s="33" t="s">
        <v>41</v>
      </c>
    </row>
    <row r="339" spans="1:12" s="33" customFormat="1" x14ac:dyDescent="0.3">
      <c r="A339" s="33" t="s">
        <v>723</v>
      </c>
      <c r="B339" s="33">
        <v>44998640313</v>
      </c>
      <c r="C339" s="33" t="s">
        <v>42</v>
      </c>
      <c r="D339" s="33">
        <v>4430265054</v>
      </c>
      <c r="E339" s="33">
        <v>76</v>
      </c>
      <c r="F339" s="33">
        <v>33</v>
      </c>
      <c r="G339" s="33" t="s">
        <v>38</v>
      </c>
      <c r="H339" s="33" t="s">
        <v>724</v>
      </c>
      <c r="I339" s="33" t="s">
        <v>39</v>
      </c>
      <c r="J339" s="33" t="s">
        <v>40</v>
      </c>
      <c r="K339" s="33" t="s">
        <v>41</v>
      </c>
    </row>
    <row r="340" spans="1:12" s="33" customFormat="1" x14ac:dyDescent="0.3">
      <c r="A340" s="33" t="s">
        <v>725</v>
      </c>
      <c r="B340" s="33" t="s">
        <v>43</v>
      </c>
      <c r="C340" s="33">
        <v>11934552189</v>
      </c>
      <c r="E340" s="33">
        <v>5</v>
      </c>
      <c r="F340" s="33">
        <v>0</v>
      </c>
      <c r="G340" s="33" t="s">
        <v>47</v>
      </c>
      <c r="H340" s="33" t="s">
        <v>726</v>
      </c>
      <c r="I340" s="33" t="s">
        <v>46</v>
      </c>
      <c r="J340" s="33" t="s">
        <v>40</v>
      </c>
    </row>
    <row r="341" spans="1:12" s="33" customFormat="1" x14ac:dyDescent="0.3">
      <c r="A341" s="33" t="s">
        <v>727</v>
      </c>
      <c r="B341" s="33" t="s">
        <v>43</v>
      </c>
      <c r="C341" s="33">
        <v>11934552189</v>
      </c>
      <c r="E341" s="33">
        <v>9</v>
      </c>
      <c r="F341" s="33">
        <v>0</v>
      </c>
      <c r="G341" s="33" t="s">
        <v>47</v>
      </c>
      <c r="H341" s="33" t="s">
        <v>728</v>
      </c>
      <c r="I341" s="33" t="s">
        <v>46</v>
      </c>
      <c r="J341" s="33" t="s">
        <v>40</v>
      </c>
    </row>
    <row r="342" spans="1:12" s="33" customFormat="1" x14ac:dyDescent="0.3">
      <c r="A342" s="33" t="s">
        <v>729</v>
      </c>
      <c r="B342" s="33" t="s">
        <v>44</v>
      </c>
      <c r="C342" s="33">
        <v>4330333542</v>
      </c>
      <c r="E342" s="33">
        <v>293</v>
      </c>
      <c r="F342" s="33">
        <v>286</v>
      </c>
      <c r="G342" s="33" t="s">
        <v>38</v>
      </c>
      <c r="H342" s="33" t="s">
        <v>730</v>
      </c>
      <c r="I342" s="33" t="s">
        <v>46</v>
      </c>
      <c r="J342" s="33" t="s">
        <v>40</v>
      </c>
    </row>
    <row r="343" spans="1:12" s="33" customFormat="1" x14ac:dyDescent="0.3">
      <c r="A343" s="33" t="s">
        <v>731</v>
      </c>
      <c r="B343" s="33" t="s">
        <v>42</v>
      </c>
      <c r="C343" s="33">
        <v>62994086124</v>
      </c>
      <c r="E343" s="33">
        <v>193</v>
      </c>
      <c r="F343" s="33">
        <v>174</v>
      </c>
      <c r="G343" s="33" t="s">
        <v>38</v>
      </c>
      <c r="H343" s="33" t="s">
        <v>732</v>
      </c>
      <c r="I343" s="33" t="s">
        <v>46</v>
      </c>
      <c r="J343" s="33" t="s">
        <v>40</v>
      </c>
    </row>
    <row r="344" spans="1:12" s="33" customFormat="1" x14ac:dyDescent="0.3">
      <c r="A344" s="33" t="s">
        <v>733</v>
      </c>
      <c r="B344" s="33" t="s">
        <v>42</v>
      </c>
      <c r="C344" s="33">
        <v>62994086124</v>
      </c>
      <c r="E344" s="33">
        <v>19</v>
      </c>
      <c r="F344" s="33">
        <v>0</v>
      </c>
      <c r="G344" s="33" t="s">
        <v>47</v>
      </c>
      <c r="H344" s="33" t="s">
        <v>734</v>
      </c>
      <c r="I344" s="33" t="s">
        <v>46</v>
      </c>
      <c r="J344" s="33" t="s">
        <v>40</v>
      </c>
    </row>
    <row r="345" spans="1:12" s="33" customFormat="1" x14ac:dyDescent="0.3">
      <c r="A345" s="33" t="s">
        <v>735</v>
      </c>
      <c r="B345" s="33">
        <v>4430414545</v>
      </c>
      <c r="C345" s="33" t="s">
        <v>43</v>
      </c>
      <c r="D345" s="33">
        <v>4430265054</v>
      </c>
      <c r="E345" s="33">
        <v>1113</v>
      </c>
      <c r="F345" s="33">
        <v>1100</v>
      </c>
      <c r="G345" s="33" t="s">
        <v>38</v>
      </c>
      <c r="H345" s="33" t="s">
        <v>736</v>
      </c>
      <c r="I345" s="33" t="s">
        <v>39</v>
      </c>
      <c r="J345" s="33" t="s">
        <v>40</v>
      </c>
      <c r="K345" s="33" t="s">
        <v>41</v>
      </c>
    </row>
    <row r="346" spans="1:12" s="33" customFormat="1" x14ac:dyDescent="0.3">
      <c r="A346" s="33" t="s">
        <v>737</v>
      </c>
      <c r="B346" s="33">
        <v>4432525112</v>
      </c>
      <c r="C346" s="33" t="s">
        <v>37</v>
      </c>
      <c r="D346" s="33">
        <v>4430265054</v>
      </c>
      <c r="E346" s="33">
        <v>348</v>
      </c>
      <c r="F346" s="33">
        <v>320</v>
      </c>
      <c r="G346" s="33" t="s">
        <v>38</v>
      </c>
      <c r="H346" s="33" t="s">
        <v>738</v>
      </c>
      <c r="I346" s="33" t="s">
        <v>39</v>
      </c>
      <c r="J346" s="33" t="s">
        <v>40</v>
      </c>
      <c r="K346" s="33" t="s">
        <v>41</v>
      </c>
      <c r="L346" s="33">
        <v>5</v>
      </c>
    </row>
    <row r="347" spans="1:12" s="33" customFormat="1" x14ac:dyDescent="0.3">
      <c r="A347" s="33" t="s">
        <v>739</v>
      </c>
      <c r="B347" s="33">
        <v>4330333542</v>
      </c>
      <c r="C347" s="33" t="s">
        <v>44</v>
      </c>
      <c r="D347" s="33">
        <v>4430265054</v>
      </c>
      <c r="E347" s="33">
        <v>578</v>
      </c>
      <c r="F347" s="33">
        <v>492</v>
      </c>
      <c r="G347" s="33" t="s">
        <v>38</v>
      </c>
      <c r="H347" s="33" t="s">
        <v>740</v>
      </c>
      <c r="I347" s="33" t="s">
        <v>39</v>
      </c>
      <c r="J347" s="33" t="s">
        <v>40</v>
      </c>
      <c r="K347" s="33" t="s">
        <v>41</v>
      </c>
    </row>
    <row r="348" spans="1:12" s="33" customFormat="1" x14ac:dyDescent="0.3">
      <c r="A348" s="33" t="s">
        <v>741</v>
      </c>
      <c r="B348" s="33">
        <v>43999965552</v>
      </c>
      <c r="C348" s="33" t="s">
        <v>37</v>
      </c>
      <c r="D348" s="33">
        <v>4430265054</v>
      </c>
      <c r="E348" s="33">
        <v>695</v>
      </c>
      <c r="F348" s="33">
        <v>659</v>
      </c>
      <c r="G348" s="33" t="s">
        <v>38</v>
      </c>
      <c r="H348" s="33" t="s">
        <v>742</v>
      </c>
      <c r="I348" s="33" t="s">
        <v>39</v>
      </c>
      <c r="J348" s="33" t="s">
        <v>40</v>
      </c>
      <c r="K348" s="33" t="s">
        <v>41</v>
      </c>
      <c r="L348" s="33">
        <v>5</v>
      </c>
    </row>
    <row r="349" spans="1:12" s="33" customFormat="1" x14ac:dyDescent="0.3">
      <c r="A349" s="33" t="s">
        <v>743</v>
      </c>
      <c r="B349" s="33" t="s">
        <v>43</v>
      </c>
      <c r="C349" s="33">
        <v>11985836640</v>
      </c>
      <c r="E349" s="33">
        <v>22</v>
      </c>
      <c r="F349" s="33">
        <v>0</v>
      </c>
      <c r="G349" s="33" t="s">
        <v>47</v>
      </c>
      <c r="H349" s="33" t="s">
        <v>744</v>
      </c>
      <c r="I349" s="33" t="s">
        <v>46</v>
      </c>
      <c r="J349" s="33" t="s">
        <v>40</v>
      </c>
    </row>
    <row r="350" spans="1:12" s="33" customFormat="1" x14ac:dyDescent="0.3">
      <c r="A350" s="33" t="s">
        <v>745</v>
      </c>
      <c r="B350" s="33">
        <v>4435228263</v>
      </c>
      <c r="C350" s="33" t="s">
        <v>42</v>
      </c>
      <c r="D350" s="33">
        <v>4430265054</v>
      </c>
      <c r="E350" s="33">
        <v>489</v>
      </c>
      <c r="F350" s="33">
        <v>464</v>
      </c>
      <c r="G350" s="33" t="s">
        <v>38</v>
      </c>
      <c r="H350" s="33" t="s">
        <v>746</v>
      </c>
      <c r="I350" s="33" t="s">
        <v>39</v>
      </c>
      <c r="J350" s="33" t="s">
        <v>40</v>
      </c>
      <c r="K350" s="33" t="s">
        <v>41</v>
      </c>
      <c r="L350" s="33">
        <v>5</v>
      </c>
    </row>
    <row r="351" spans="1:12" s="33" customFormat="1" x14ac:dyDescent="0.3">
      <c r="A351" s="33" t="s">
        <v>747</v>
      </c>
      <c r="B351" s="33">
        <v>4432520627</v>
      </c>
      <c r="C351" s="33" t="s">
        <v>37</v>
      </c>
      <c r="D351" s="33">
        <v>4430265054</v>
      </c>
      <c r="E351" s="33">
        <v>370</v>
      </c>
      <c r="F351" s="33">
        <v>345</v>
      </c>
      <c r="G351" s="33" t="s">
        <v>38</v>
      </c>
      <c r="H351" s="33" t="s">
        <v>748</v>
      </c>
      <c r="I351" s="33" t="s">
        <v>39</v>
      </c>
      <c r="J351" s="33" t="s">
        <v>40</v>
      </c>
      <c r="K351" s="33" t="s">
        <v>41</v>
      </c>
      <c r="L351" s="33">
        <v>5</v>
      </c>
    </row>
    <row r="352" spans="1:12" s="33" customFormat="1" x14ac:dyDescent="0.3">
      <c r="A352" s="33" t="s">
        <v>749</v>
      </c>
      <c r="B352" s="33">
        <v>4334728840</v>
      </c>
      <c r="C352" s="33" t="s">
        <v>43</v>
      </c>
      <c r="D352" s="33">
        <v>4430265054</v>
      </c>
      <c r="E352" s="33">
        <v>1054</v>
      </c>
      <c r="F352" s="33">
        <v>975</v>
      </c>
      <c r="G352" s="33" t="s">
        <v>38</v>
      </c>
      <c r="H352" s="33" t="s">
        <v>750</v>
      </c>
      <c r="I352" s="33" t="s">
        <v>39</v>
      </c>
      <c r="J352" s="33" t="s">
        <v>40</v>
      </c>
      <c r="K352" s="33" t="s">
        <v>41</v>
      </c>
    </row>
    <row r="353" spans="1:13" s="33" customFormat="1" x14ac:dyDescent="0.3">
      <c r="A353" s="33" t="s">
        <v>751</v>
      </c>
      <c r="B353" s="33">
        <v>4430316847</v>
      </c>
      <c r="C353" s="33" t="s">
        <v>37</v>
      </c>
      <c r="D353" s="33">
        <v>4430265054</v>
      </c>
      <c r="E353" s="33">
        <v>406</v>
      </c>
      <c r="F353" s="33">
        <v>337</v>
      </c>
      <c r="G353" s="33" t="s">
        <v>38</v>
      </c>
      <c r="H353" s="33" t="s">
        <v>752</v>
      </c>
      <c r="I353" s="33" t="s">
        <v>39</v>
      </c>
      <c r="J353" s="33" t="s">
        <v>40</v>
      </c>
      <c r="K353" s="33" t="s">
        <v>41</v>
      </c>
      <c r="L353" s="33">
        <v>5</v>
      </c>
    </row>
    <row r="354" spans="1:13" s="33" customFormat="1" x14ac:dyDescent="0.3">
      <c r="A354" s="33" t="s">
        <v>753</v>
      </c>
      <c r="B354" s="33">
        <v>44998717172</v>
      </c>
      <c r="C354" s="33" t="s">
        <v>44</v>
      </c>
      <c r="D354" s="33">
        <v>4430265054</v>
      </c>
      <c r="E354" s="33">
        <v>435</v>
      </c>
      <c r="F354" s="33">
        <v>335</v>
      </c>
      <c r="G354" s="33" t="s">
        <v>38</v>
      </c>
      <c r="H354" s="33" t="s">
        <v>754</v>
      </c>
      <c r="I354" s="33" t="s">
        <v>39</v>
      </c>
      <c r="J354" s="33" t="s">
        <v>40</v>
      </c>
      <c r="K354" s="33" t="s">
        <v>41</v>
      </c>
    </row>
    <row r="355" spans="1:13" s="33" customFormat="1" x14ac:dyDescent="0.3">
      <c r="A355" s="33" t="s">
        <v>755</v>
      </c>
      <c r="B355" s="33">
        <v>44999743444</v>
      </c>
      <c r="C355" s="33" t="s">
        <v>37</v>
      </c>
      <c r="D355" s="33">
        <v>4430265054</v>
      </c>
      <c r="E355" s="33">
        <v>392</v>
      </c>
      <c r="F355" s="33">
        <v>370</v>
      </c>
      <c r="G355" s="33" t="s">
        <v>38</v>
      </c>
      <c r="H355" s="33" t="s">
        <v>756</v>
      </c>
      <c r="I355" s="33" t="s">
        <v>39</v>
      </c>
      <c r="J355" s="33" t="s">
        <v>40</v>
      </c>
      <c r="K355" s="33" t="s">
        <v>41</v>
      </c>
    </row>
    <row r="356" spans="1:13" s="33" customFormat="1" x14ac:dyDescent="0.3">
      <c r="A356" s="33" t="s">
        <v>757</v>
      </c>
      <c r="B356" s="33">
        <v>44998717172</v>
      </c>
      <c r="C356" s="33" t="s">
        <v>43</v>
      </c>
      <c r="D356" s="33">
        <v>4430265054</v>
      </c>
      <c r="E356" s="33">
        <v>385</v>
      </c>
      <c r="F356" s="33">
        <v>349</v>
      </c>
      <c r="G356" s="33" t="s">
        <v>38</v>
      </c>
      <c r="H356" s="33" t="s">
        <v>758</v>
      </c>
      <c r="I356" s="33" t="s">
        <v>39</v>
      </c>
      <c r="J356" s="33" t="s">
        <v>40</v>
      </c>
      <c r="K356" s="33" t="s">
        <v>41</v>
      </c>
    </row>
    <row r="357" spans="1:13" s="33" customFormat="1" x14ac:dyDescent="0.3">
      <c r="A357" s="33" t="s">
        <v>759</v>
      </c>
      <c r="B357" s="33">
        <v>44999743444</v>
      </c>
      <c r="C357" s="33" t="s">
        <v>44</v>
      </c>
      <c r="D357" s="33">
        <v>4430265054</v>
      </c>
      <c r="E357" s="33">
        <v>270</v>
      </c>
      <c r="F357" s="33">
        <v>230</v>
      </c>
      <c r="G357" s="33" t="s">
        <v>38</v>
      </c>
      <c r="H357" s="33" t="s">
        <v>760</v>
      </c>
      <c r="I357" s="33" t="s">
        <v>39</v>
      </c>
      <c r="J357" s="33" t="s">
        <v>40</v>
      </c>
      <c r="K357" s="33" t="s">
        <v>41</v>
      </c>
    </row>
    <row r="358" spans="1:13" s="33" customFormat="1" x14ac:dyDescent="0.3">
      <c r="A358" s="33" t="s">
        <v>761</v>
      </c>
      <c r="B358" s="33" t="s">
        <v>44</v>
      </c>
      <c r="C358" s="33">
        <v>4430191401</v>
      </c>
      <c r="E358" s="33">
        <v>270</v>
      </c>
      <c r="F358" s="33">
        <v>267</v>
      </c>
      <c r="G358" s="33" t="s">
        <v>38</v>
      </c>
      <c r="H358" s="33" t="s">
        <v>762</v>
      </c>
      <c r="I358" s="33" t="s">
        <v>46</v>
      </c>
      <c r="J358" s="33" t="s">
        <v>40</v>
      </c>
    </row>
    <row r="359" spans="1:13" s="33" customFormat="1" x14ac:dyDescent="0.3">
      <c r="A359" s="33" t="s">
        <v>763</v>
      </c>
      <c r="B359" s="33">
        <v>4532541802</v>
      </c>
      <c r="C359" s="33" t="s">
        <v>43</v>
      </c>
      <c r="D359" s="33">
        <v>4430265054</v>
      </c>
      <c r="E359" s="33">
        <v>384</v>
      </c>
      <c r="F359" s="33">
        <v>365</v>
      </c>
      <c r="G359" s="33" t="s">
        <v>38</v>
      </c>
      <c r="H359" s="33" t="s">
        <v>764</v>
      </c>
      <c r="I359" s="33" t="s">
        <v>39</v>
      </c>
      <c r="J359" s="33" t="s">
        <v>40</v>
      </c>
      <c r="K359" s="33" t="s">
        <v>41</v>
      </c>
    </row>
    <row r="360" spans="1:13" s="33" customFormat="1" x14ac:dyDescent="0.3">
      <c r="A360" s="33" t="s">
        <v>765</v>
      </c>
      <c r="B360" s="33">
        <v>81983567163</v>
      </c>
      <c r="C360" s="33" t="s">
        <v>43</v>
      </c>
      <c r="D360" s="33">
        <v>4431268225</v>
      </c>
      <c r="E360" s="33">
        <v>283</v>
      </c>
      <c r="F360" s="33">
        <v>268</v>
      </c>
      <c r="G360" s="33" t="s">
        <v>38</v>
      </c>
      <c r="H360" s="33" t="s">
        <v>766</v>
      </c>
      <c r="I360" s="33" t="s">
        <v>39</v>
      </c>
      <c r="J360" s="33" t="s">
        <v>40</v>
      </c>
      <c r="K360" s="33" t="s">
        <v>41</v>
      </c>
      <c r="L360" s="33">
        <v>5</v>
      </c>
    </row>
    <row r="361" spans="1:13" s="33" customFormat="1" x14ac:dyDescent="0.3">
      <c r="A361" s="33" t="s">
        <v>767</v>
      </c>
      <c r="B361" s="33">
        <v>44999827582</v>
      </c>
      <c r="C361" s="33" t="s">
        <v>44</v>
      </c>
      <c r="D361" s="33">
        <v>4430265054</v>
      </c>
      <c r="E361" s="33">
        <v>171</v>
      </c>
      <c r="F361" s="33">
        <v>137</v>
      </c>
      <c r="G361" s="33" t="s">
        <v>38</v>
      </c>
      <c r="H361" s="33" t="s">
        <v>768</v>
      </c>
      <c r="I361" s="33" t="s">
        <v>39</v>
      </c>
      <c r="J361" s="33" t="s">
        <v>40</v>
      </c>
      <c r="K361" s="33" t="s">
        <v>41</v>
      </c>
      <c r="L361" s="37">
        <v>3</v>
      </c>
      <c r="M361" t="s">
        <v>3444</v>
      </c>
    </row>
    <row r="362" spans="1:13" s="33" customFormat="1" x14ac:dyDescent="0.3">
      <c r="A362" s="33" t="s">
        <v>769</v>
      </c>
      <c r="B362" s="33">
        <v>4430191401</v>
      </c>
      <c r="C362" s="33" t="s">
        <v>44</v>
      </c>
      <c r="D362" s="33">
        <v>4430265054</v>
      </c>
      <c r="E362" s="33">
        <v>350</v>
      </c>
      <c r="F362" s="33">
        <v>299</v>
      </c>
      <c r="G362" s="33" t="s">
        <v>38</v>
      </c>
      <c r="H362" s="33" t="s">
        <v>770</v>
      </c>
      <c r="I362" s="33" t="s">
        <v>39</v>
      </c>
      <c r="J362" s="33" t="s">
        <v>40</v>
      </c>
      <c r="K362" s="33" t="s">
        <v>41</v>
      </c>
    </row>
    <row r="363" spans="1:13" s="33" customFormat="1" x14ac:dyDescent="0.3">
      <c r="A363" s="33" t="s">
        <v>771</v>
      </c>
      <c r="B363" s="33">
        <v>11985836640</v>
      </c>
      <c r="C363" s="33" t="s">
        <v>43</v>
      </c>
      <c r="D363" s="33">
        <v>4430265054</v>
      </c>
      <c r="E363" s="33">
        <v>1013</v>
      </c>
      <c r="F363" s="33">
        <v>973</v>
      </c>
      <c r="G363" s="33" t="s">
        <v>38</v>
      </c>
      <c r="H363" s="33" t="s">
        <v>772</v>
      </c>
      <c r="I363" s="33" t="s">
        <v>39</v>
      </c>
      <c r="J363" s="33" t="s">
        <v>40</v>
      </c>
      <c r="K363" s="33" t="s">
        <v>41</v>
      </c>
      <c r="L363" s="33">
        <v>5</v>
      </c>
    </row>
    <row r="364" spans="1:13" s="33" customFormat="1" x14ac:dyDescent="0.3">
      <c r="A364" s="33" t="s">
        <v>773</v>
      </c>
      <c r="B364" s="33">
        <v>44999827582</v>
      </c>
      <c r="C364" s="33" t="s">
        <v>37</v>
      </c>
      <c r="D364" s="33">
        <v>4430265054</v>
      </c>
      <c r="E364" s="33">
        <v>320</v>
      </c>
      <c r="F364" s="33">
        <v>290</v>
      </c>
      <c r="G364" s="33" t="s">
        <v>38</v>
      </c>
      <c r="H364" s="33" t="s">
        <v>774</v>
      </c>
      <c r="I364" s="33" t="s">
        <v>39</v>
      </c>
      <c r="J364" s="33" t="s">
        <v>40</v>
      </c>
      <c r="K364" s="33" t="s">
        <v>41</v>
      </c>
    </row>
    <row r="365" spans="1:13" s="33" customFormat="1" x14ac:dyDescent="0.3">
      <c r="A365" s="33" t="s">
        <v>775</v>
      </c>
      <c r="B365" s="33">
        <v>62994086124</v>
      </c>
      <c r="C365" s="33" t="s">
        <v>42</v>
      </c>
      <c r="D365" s="33">
        <v>4430265054</v>
      </c>
      <c r="E365" s="33">
        <v>3512</v>
      </c>
      <c r="F365" s="33">
        <v>3434</v>
      </c>
      <c r="G365" s="33" t="s">
        <v>38</v>
      </c>
      <c r="H365" s="33" t="s">
        <v>776</v>
      </c>
      <c r="I365" s="33" t="s">
        <v>39</v>
      </c>
      <c r="J365" s="33" t="s">
        <v>40</v>
      </c>
      <c r="K365" s="33" t="s">
        <v>41</v>
      </c>
    </row>
    <row r="366" spans="1:13" s="33" customFormat="1" x14ac:dyDescent="0.3">
      <c r="A366" s="33" t="s">
        <v>777</v>
      </c>
      <c r="B366" s="33">
        <v>4432272377</v>
      </c>
      <c r="C366" s="33" t="s">
        <v>43</v>
      </c>
      <c r="D366" s="33">
        <v>4430265054</v>
      </c>
      <c r="E366" s="33">
        <v>259</v>
      </c>
      <c r="F366" s="33">
        <v>208</v>
      </c>
      <c r="G366" s="33" t="s">
        <v>38</v>
      </c>
      <c r="H366" s="33" t="s">
        <v>778</v>
      </c>
      <c r="I366" s="33" t="s">
        <v>39</v>
      </c>
      <c r="J366" s="33" t="s">
        <v>40</v>
      </c>
      <c r="K366" s="33" t="s">
        <v>41</v>
      </c>
      <c r="L366" s="33">
        <v>5</v>
      </c>
    </row>
    <row r="367" spans="1:13" s="33" customFormat="1" x14ac:dyDescent="0.3">
      <c r="A367" s="33" t="s">
        <v>779</v>
      </c>
      <c r="B367" s="33">
        <v>44988255390</v>
      </c>
      <c r="C367" s="33" t="s">
        <v>37</v>
      </c>
      <c r="D367" s="33">
        <v>4430265054</v>
      </c>
      <c r="E367" s="33">
        <v>362</v>
      </c>
      <c r="F367" s="33">
        <v>308</v>
      </c>
      <c r="G367" s="33" t="s">
        <v>38</v>
      </c>
      <c r="H367" s="33" t="s">
        <v>780</v>
      </c>
      <c r="I367" s="33" t="s">
        <v>39</v>
      </c>
      <c r="J367" s="33" t="s">
        <v>40</v>
      </c>
      <c r="K367" s="33" t="s">
        <v>41</v>
      </c>
    </row>
    <row r="368" spans="1:13" s="33" customFormat="1" x14ac:dyDescent="0.3">
      <c r="A368" s="33" t="s">
        <v>781</v>
      </c>
      <c r="B368" s="33">
        <v>44988255390</v>
      </c>
      <c r="C368" s="33" t="s">
        <v>44</v>
      </c>
      <c r="D368" s="33">
        <v>4430265054</v>
      </c>
      <c r="E368" s="33">
        <v>493</v>
      </c>
      <c r="F368" s="33">
        <v>421</v>
      </c>
      <c r="G368" s="33" t="s">
        <v>38</v>
      </c>
      <c r="H368" s="33" t="s">
        <v>782</v>
      </c>
      <c r="I368" s="33" t="s">
        <v>39</v>
      </c>
      <c r="J368" s="33" t="s">
        <v>40</v>
      </c>
      <c r="K368" s="33" t="s">
        <v>41</v>
      </c>
    </row>
    <row r="369" spans="1:12" s="33" customFormat="1" x14ac:dyDescent="0.3">
      <c r="A369" s="33" t="s">
        <v>783</v>
      </c>
      <c r="B369" s="33">
        <v>43999965552</v>
      </c>
      <c r="C369" s="33" t="s">
        <v>43</v>
      </c>
      <c r="D369" s="33">
        <v>4430265054</v>
      </c>
      <c r="E369" s="33">
        <v>459</v>
      </c>
      <c r="F369" s="33">
        <v>394</v>
      </c>
      <c r="G369" s="33" t="s">
        <v>38</v>
      </c>
      <c r="H369" s="33" t="s">
        <v>784</v>
      </c>
      <c r="I369" s="33" t="s">
        <v>39</v>
      </c>
      <c r="J369" s="33" t="s">
        <v>40</v>
      </c>
      <c r="K369" s="33" t="s">
        <v>41</v>
      </c>
    </row>
    <row r="370" spans="1:12" s="33" customFormat="1" x14ac:dyDescent="0.3">
      <c r="A370" s="33" t="s">
        <v>785</v>
      </c>
      <c r="B370" s="33">
        <v>44998069950</v>
      </c>
      <c r="C370" s="33" t="s">
        <v>42</v>
      </c>
      <c r="D370" s="33">
        <v>4430265054</v>
      </c>
      <c r="E370" s="33">
        <v>1285</v>
      </c>
      <c r="F370" s="33">
        <v>1185</v>
      </c>
      <c r="G370" s="33" t="s">
        <v>38</v>
      </c>
      <c r="H370" s="33" t="s">
        <v>786</v>
      </c>
      <c r="I370" s="33" t="s">
        <v>39</v>
      </c>
      <c r="J370" s="33" t="s">
        <v>40</v>
      </c>
      <c r="K370" s="33" t="s">
        <v>41</v>
      </c>
    </row>
    <row r="371" spans="1:12" s="33" customFormat="1" x14ac:dyDescent="0.3">
      <c r="A371" s="33" t="s">
        <v>787</v>
      </c>
      <c r="B371" s="33">
        <v>4430145899</v>
      </c>
      <c r="C371" s="33" t="s">
        <v>37</v>
      </c>
      <c r="D371" s="33">
        <v>4430265054</v>
      </c>
      <c r="E371" s="33">
        <v>792</v>
      </c>
      <c r="F371" s="33">
        <v>700</v>
      </c>
      <c r="G371" s="33" t="s">
        <v>38</v>
      </c>
      <c r="H371" s="33" t="s">
        <v>788</v>
      </c>
      <c r="I371" s="33" t="s">
        <v>39</v>
      </c>
      <c r="J371" s="33" t="s">
        <v>40</v>
      </c>
      <c r="K371" s="33" t="s">
        <v>41</v>
      </c>
    </row>
    <row r="372" spans="1:12" s="33" customFormat="1" x14ac:dyDescent="0.3">
      <c r="A372" s="33" t="s">
        <v>789</v>
      </c>
      <c r="B372" s="33">
        <v>44991484476</v>
      </c>
      <c r="C372" s="33" t="s">
        <v>42</v>
      </c>
      <c r="D372" s="33">
        <v>4430265054</v>
      </c>
      <c r="E372" s="33">
        <v>397</v>
      </c>
      <c r="F372" s="33">
        <v>330</v>
      </c>
      <c r="G372" s="33" t="s">
        <v>38</v>
      </c>
      <c r="H372" s="33" t="s">
        <v>790</v>
      </c>
      <c r="I372" s="33" t="s">
        <v>39</v>
      </c>
      <c r="J372" s="33" t="s">
        <v>40</v>
      </c>
      <c r="K372" s="33" t="s">
        <v>41</v>
      </c>
    </row>
    <row r="373" spans="1:12" s="33" customFormat="1" x14ac:dyDescent="0.3">
      <c r="A373" s="33" t="s">
        <v>791</v>
      </c>
      <c r="B373" s="33">
        <v>4435228300</v>
      </c>
      <c r="C373" s="33" t="s">
        <v>43</v>
      </c>
      <c r="D373" s="33">
        <v>4430265054</v>
      </c>
      <c r="E373" s="33">
        <v>1809</v>
      </c>
      <c r="F373" s="33">
        <v>1713</v>
      </c>
      <c r="G373" s="33" t="s">
        <v>38</v>
      </c>
      <c r="H373" s="33" t="s">
        <v>792</v>
      </c>
      <c r="I373" s="33" t="s">
        <v>39</v>
      </c>
      <c r="J373" s="33" t="s">
        <v>40</v>
      </c>
      <c r="K373" s="33" t="s">
        <v>41</v>
      </c>
    </row>
    <row r="374" spans="1:12" s="33" customFormat="1" x14ac:dyDescent="0.3">
      <c r="A374" s="33" t="s">
        <v>793</v>
      </c>
      <c r="B374" s="33">
        <v>4435235396</v>
      </c>
      <c r="C374" s="33" t="s">
        <v>44</v>
      </c>
      <c r="D374" s="33">
        <v>4430265054</v>
      </c>
      <c r="E374" s="33">
        <v>2086</v>
      </c>
      <c r="F374" s="33">
        <v>2029</v>
      </c>
      <c r="G374" s="33" t="s">
        <v>38</v>
      </c>
      <c r="H374" s="33" t="s">
        <v>794</v>
      </c>
      <c r="I374" s="33" t="s">
        <v>39</v>
      </c>
      <c r="J374" s="33" t="s">
        <v>40</v>
      </c>
      <c r="K374" s="33" t="s">
        <v>41</v>
      </c>
    </row>
    <row r="375" spans="1:12" s="33" customFormat="1" x14ac:dyDescent="0.3">
      <c r="A375" s="33" t="s">
        <v>795</v>
      </c>
      <c r="B375" s="33" t="s">
        <v>44</v>
      </c>
      <c r="C375" s="33">
        <v>44991484476</v>
      </c>
      <c r="E375" s="33">
        <v>77</v>
      </c>
      <c r="F375" s="33">
        <v>72</v>
      </c>
      <c r="G375" s="33" t="s">
        <v>38</v>
      </c>
      <c r="H375" s="33" t="s">
        <v>796</v>
      </c>
      <c r="I375" s="33" t="s">
        <v>46</v>
      </c>
      <c r="J375" s="33" t="s">
        <v>40</v>
      </c>
    </row>
    <row r="376" spans="1:12" s="33" customFormat="1" x14ac:dyDescent="0.3">
      <c r="A376" s="33" t="s">
        <v>797</v>
      </c>
      <c r="B376" s="33">
        <v>4433543396</v>
      </c>
      <c r="C376" s="33" t="s">
        <v>43</v>
      </c>
      <c r="D376" s="33">
        <v>4430265054</v>
      </c>
      <c r="E376" s="33">
        <v>819</v>
      </c>
      <c r="F376" s="33">
        <v>791</v>
      </c>
      <c r="G376" s="33" t="s">
        <v>38</v>
      </c>
      <c r="H376" s="33" t="s">
        <v>798</v>
      </c>
      <c r="I376" s="33" t="s">
        <v>39</v>
      </c>
      <c r="J376" s="33" t="s">
        <v>40</v>
      </c>
      <c r="K376" s="33" t="s">
        <v>41</v>
      </c>
    </row>
    <row r="377" spans="1:12" s="33" customFormat="1" x14ac:dyDescent="0.3">
      <c r="A377" s="33" t="s">
        <v>799</v>
      </c>
      <c r="B377" s="33">
        <v>41992155919</v>
      </c>
      <c r="C377" s="33" t="s">
        <v>43</v>
      </c>
      <c r="D377" s="33">
        <v>4430265054</v>
      </c>
      <c r="E377" s="33">
        <v>161</v>
      </c>
      <c r="F377" s="33">
        <v>105</v>
      </c>
      <c r="G377" s="33" t="s">
        <v>38</v>
      </c>
      <c r="H377" s="33" t="s">
        <v>800</v>
      </c>
      <c r="I377" s="33" t="s">
        <v>39</v>
      </c>
      <c r="J377" s="33" t="s">
        <v>40</v>
      </c>
      <c r="K377" s="33" t="s">
        <v>41</v>
      </c>
    </row>
    <row r="378" spans="1:12" s="33" customFormat="1" x14ac:dyDescent="0.3">
      <c r="A378" s="33" t="s">
        <v>801</v>
      </c>
      <c r="B378" s="33" t="s">
        <v>44</v>
      </c>
      <c r="C378" s="33">
        <v>4432525112</v>
      </c>
      <c r="E378" s="33">
        <v>172</v>
      </c>
      <c r="F378" s="33">
        <v>155</v>
      </c>
      <c r="G378" s="33" t="s">
        <v>38</v>
      </c>
      <c r="H378" s="33" t="s">
        <v>802</v>
      </c>
      <c r="I378" s="33" t="s">
        <v>46</v>
      </c>
      <c r="J378" s="33" t="s">
        <v>40</v>
      </c>
    </row>
    <row r="379" spans="1:12" s="33" customFormat="1" x14ac:dyDescent="0.3">
      <c r="A379" s="33" t="s">
        <v>803</v>
      </c>
      <c r="B379" s="33">
        <v>4430152533</v>
      </c>
      <c r="C379" s="33" t="s">
        <v>43</v>
      </c>
      <c r="D379" s="33">
        <v>4430265054</v>
      </c>
      <c r="E379" s="33">
        <v>304</v>
      </c>
      <c r="F379" s="33">
        <v>266</v>
      </c>
      <c r="G379" s="33" t="s">
        <v>38</v>
      </c>
      <c r="H379" s="33" t="s">
        <v>804</v>
      </c>
      <c r="I379" s="33" t="s">
        <v>39</v>
      </c>
      <c r="J379" s="33" t="s">
        <v>40</v>
      </c>
      <c r="K379" s="33" t="s">
        <v>41</v>
      </c>
    </row>
    <row r="380" spans="1:12" s="33" customFormat="1" x14ac:dyDescent="0.3">
      <c r="A380" s="33" t="s">
        <v>805</v>
      </c>
      <c r="B380" s="33">
        <v>42998221810</v>
      </c>
      <c r="C380" s="33" t="s">
        <v>48</v>
      </c>
      <c r="D380" s="33">
        <v>4430265054</v>
      </c>
      <c r="E380" s="33">
        <v>416</v>
      </c>
      <c r="F380" s="33">
        <v>378</v>
      </c>
      <c r="G380" s="33" t="s">
        <v>38</v>
      </c>
      <c r="H380" s="33" t="s">
        <v>806</v>
      </c>
      <c r="I380" s="33" t="s">
        <v>39</v>
      </c>
      <c r="J380" s="33" t="s">
        <v>40</v>
      </c>
      <c r="K380" s="33" t="s">
        <v>41</v>
      </c>
    </row>
    <row r="381" spans="1:12" s="33" customFormat="1" x14ac:dyDescent="0.3">
      <c r="A381" s="33" t="s">
        <v>807</v>
      </c>
      <c r="B381" s="33">
        <v>4432525112</v>
      </c>
      <c r="C381" s="33" t="s">
        <v>44</v>
      </c>
      <c r="D381" s="33">
        <v>4430265054</v>
      </c>
      <c r="E381" s="33">
        <v>125</v>
      </c>
      <c r="F381" s="33">
        <v>85</v>
      </c>
      <c r="G381" s="33" t="s">
        <v>38</v>
      </c>
      <c r="H381" s="33" t="s">
        <v>808</v>
      </c>
      <c r="I381" s="33" t="s">
        <v>39</v>
      </c>
      <c r="J381" s="33" t="s">
        <v>40</v>
      </c>
      <c r="K381" s="33" t="s">
        <v>41</v>
      </c>
    </row>
    <row r="382" spans="1:12" s="33" customFormat="1" x14ac:dyDescent="0.3">
      <c r="A382" s="33" t="s">
        <v>809</v>
      </c>
      <c r="B382" s="33">
        <v>38991705057</v>
      </c>
      <c r="C382" s="33" t="s">
        <v>42</v>
      </c>
      <c r="D382" s="33">
        <v>4430265054</v>
      </c>
      <c r="E382" s="33">
        <v>1524</v>
      </c>
      <c r="F382" s="33">
        <v>1460</v>
      </c>
      <c r="G382" s="33" t="s">
        <v>38</v>
      </c>
      <c r="H382" s="33" t="s">
        <v>810</v>
      </c>
      <c r="I382" s="33" t="s">
        <v>39</v>
      </c>
      <c r="J382" s="33" t="s">
        <v>40</v>
      </c>
      <c r="K382" s="33" t="s">
        <v>41</v>
      </c>
      <c r="L382" s="33">
        <v>5</v>
      </c>
    </row>
    <row r="383" spans="1:12" s="33" customFormat="1" x14ac:dyDescent="0.3">
      <c r="A383" s="33" t="s">
        <v>811</v>
      </c>
      <c r="B383" s="33">
        <v>11934552189</v>
      </c>
      <c r="C383" s="33" t="s">
        <v>43</v>
      </c>
      <c r="D383" s="33">
        <v>4430265054</v>
      </c>
      <c r="E383" s="33">
        <v>1181</v>
      </c>
      <c r="F383" s="33">
        <v>1146</v>
      </c>
      <c r="G383" s="33" t="s">
        <v>38</v>
      </c>
      <c r="H383" s="33" t="s">
        <v>812</v>
      </c>
      <c r="I383" s="33" t="s">
        <v>39</v>
      </c>
      <c r="J383" s="33" t="s">
        <v>40</v>
      </c>
      <c r="K383" s="33" t="s">
        <v>41</v>
      </c>
      <c r="L383" s="33">
        <v>5</v>
      </c>
    </row>
    <row r="384" spans="1:12" s="33" customFormat="1" x14ac:dyDescent="0.3">
      <c r="A384" s="33" t="s">
        <v>813</v>
      </c>
      <c r="B384" s="33">
        <v>4431230400</v>
      </c>
      <c r="C384" s="33" t="s">
        <v>37</v>
      </c>
      <c r="D384" s="33">
        <v>4430265054</v>
      </c>
      <c r="E384" s="33">
        <v>1614</v>
      </c>
      <c r="F384" s="33">
        <v>1568</v>
      </c>
      <c r="G384" s="33" t="s">
        <v>38</v>
      </c>
      <c r="H384" s="33" t="s">
        <v>814</v>
      </c>
      <c r="I384" s="33" t="s">
        <v>39</v>
      </c>
      <c r="J384" s="33" t="s">
        <v>40</v>
      </c>
      <c r="K384" s="33" t="s">
        <v>41</v>
      </c>
      <c r="L384" s="33">
        <v>5</v>
      </c>
    </row>
    <row r="385" spans="1:12" s="33" customFormat="1" x14ac:dyDescent="0.3">
      <c r="A385" s="33" t="s">
        <v>815</v>
      </c>
      <c r="B385" s="33">
        <v>44991484476</v>
      </c>
      <c r="C385" s="33" t="s">
        <v>44</v>
      </c>
      <c r="D385" s="33">
        <v>4430265054</v>
      </c>
      <c r="E385" s="33">
        <v>805</v>
      </c>
      <c r="F385" s="33">
        <v>749</v>
      </c>
      <c r="G385" s="33" t="s">
        <v>38</v>
      </c>
      <c r="H385" s="33" t="s">
        <v>816</v>
      </c>
      <c r="I385" s="33" t="s">
        <v>39</v>
      </c>
      <c r="J385" s="33" t="s">
        <v>40</v>
      </c>
      <c r="K385" s="33" t="s">
        <v>41</v>
      </c>
    </row>
    <row r="386" spans="1:12" s="33" customFormat="1" x14ac:dyDescent="0.3">
      <c r="A386" s="33" t="s">
        <v>817</v>
      </c>
      <c r="B386" s="33" t="s">
        <v>42</v>
      </c>
      <c r="C386" s="33">
        <v>44991381017</v>
      </c>
      <c r="E386" s="33">
        <v>1297</v>
      </c>
      <c r="F386" s="33">
        <v>1283</v>
      </c>
      <c r="G386" s="33" t="s">
        <v>38</v>
      </c>
      <c r="H386" s="33" t="s">
        <v>818</v>
      </c>
      <c r="I386" s="33" t="s">
        <v>46</v>
      </c>
      <c r="J386" s="33" t="s">
        <v>40</v>
      </c>
    </row>
    <row r="387" spans="1:12" s="33" customFormat="1" x14ac:dyDescent="0.3">
      <c r="A387" s="33" t="s">
        <v>819</v>
      </c>
      <c r="B387" s="33">
        <v>4433543396</v>
      </c>
      <c r="C387" s="33" t="s">
        <v>37</v>
      </c>
      <c r="D387" s="33">
        <v>4430265054</v>
      </c>
      <c r="E387" s="33">
        <v>318</v>
      </c>
      <c r="F387" s="33">
        <v>246</v>
      </c>
      <c r="G387" s="33" t="s">
        <v>38</v>
      </c>
      <c r="H387" s="33" t="s">
        <v>820</v>
      </c>
      <c r="I387" s="33" t="s">
        <v>39</v>
      </c>
      <c r="J387" s="33" t="s">
        <v>40</v>
      </c>
      <c r="K387" s="33" t="s">
        <v>41</v>
      </c>
      <c r="L387" s="33">
        <v>5</v>
      </c>
    </row>
    <row r="388" spans="1:12" s="33" customFormat="1" x14ac:dyDescent="0.3">
      <c r="A388" s="33" t="s">
        <v>821</v>
      </c>
      <c r="B388" s="33">
        <v>4330261969</v>
      </c>
      <c r="C388" s="33" t="s">
        <v>43</v>
      </c>
      <c r="D388" s="33">
        <v>4430265054</v>
      </c>
      <c r="E388" s="33">
        <v>785</v>
      </c>
      <c r="F388" s="33">
        <v>727</v>
      </c>
      <c r="G388" s="33" t="s">
        <v>38</v>
      </c>
      <c r="H388" s="33" t="s">
        <v>822</v>
      </c>
      <c r="I388" s="33" t="s">
        <v>39</v>
      </c>
      <c r="J388" s="33" t="s">
        <v>40</v>
      </c>
      <c r="K388" s="33" t="s">
        <v>41</v>
      </c>
    </row>
    <row r="389" spans="1:12" s="33" customFormat="1" x14ac:dyDescent="0.3">
      <c r="A389" s="33" t="s">
        <v>823</v>
      </c>
      <c r="B389" s="33" t="s">
        <v>49</v>
      </c>
      <c r="C389" s="33" t="s">
        <v>51</v>
      </c>
      <c r="E389" s="33">
        <v>400</v>
      </c>
      <c r="F389" s="33">
        <v>392</v>
      </c>
      <c r="G389" s="33" t="s">
        <v>38</v>
      </c>
      <c r="H389" s="33" t="s">
        <v>824</v>
      </c>
      <c r="I389" s="33" t="s">
        <v>52</v>
      </c>
      <c r="J389" s="33" t="s">
        <v>40</v>
      </c>
    </row>
    <row r="390" spans="1:12" s="33" customFormat="1" x14ac:dyDescent="0.3">
      <c r="A390" s="33" t="s">
        <v>825</v>
      </c>
      <c r="B390" s="33">
        <v>44998860140</v>
      </c>
      <c r="C390" s="33" t="s">
        <v>37</v>
      </c>
      <c r="D390" s="33">
        <v>4430265054</v>
      </c>
      <c r="E390" s="33">
        <v>373</v>
      </c>
      <c r="F390" s="33">
        <v>331</v>
      </c>
      <c r="G390" s="33" t="s">
        <v>38</v>
      </c>
      <c r="H390" s="33" t="s">
        <v>826</v>
      </c>
      <c r="I390" s="33" t="s">
        <v>39</v>
      </c>
      <c r="J390" s="33" t="s">
        <v>40</v>
      </c>
      <c r="K390" s="33" t="s">
        <v>41</v>
      </c>
      <c r="L390" s="33">
        <v>5</v>
      </c>
    </row>
    <row r="391" spans="1:12" s="33" customFormat="1" x14ac:dyDescent="0.3">
      <c r="A391" s="33" t="s">
        <v>827</v>
      </c>
      <c r="B391" s="33">
        <v>44991388221</v>
      </c>
      <c r="C391" s="33" t="s">
        <v>44</v>
      </c>
      <c r="D391" s="33">
        <v>4430265054</v>
      </c>
      <c r="E391" s="33">
        <v>272</v>
      </c>
      <c r="F391" s="33">
        <v>203</v>
      </c>
      <c r="G391" s="33" t="s">
        <v>38</v>
      </c>
      <c r="H391" s="33" t="s">
        <v>828</v>
      </c>
      <c r="I391" s="33" t="s">
        <v>39</v>
      </c>
      <c r="J391" s="33" t="s">
        <v>40</v>
      </c>
      <c r="K391" s="33" t="s">
        <v>41</v>
      </c>
      <c r="L391" s="33">
        <v>5</v>
      </c>
    </row>
    <row r="392" spans="1:12" s="33" customFormat="1" x14ac:dyDescent="0.3">
      <c r="A392" s="33" t="s">
        <v>829</v>
      </c>
      <c r="B392" s="33">
        <v>42998221810</v>
      </c>
      <c r="C392" s="33" t="s">
        <v>37</v>
      </c>
      <c r="D392" s="33">
        <v>4430265054</v>
      </c>
      <c r="E392" s="33">
        <v>464</v>
      </c>
      <c r="F392" s="33">
        <v>413</v>
      </c>
      <c r="G392" s="33" t="s">
        <v>38</v>
      </c>
      <c r="H392" s="33" t="s">
        <v>830</v>
      </c>
      <c r="I392" s="33" t="s">
        <v>39</v>
      </c>
      <c r="J392" s="33" t="s">
        <v>40</v>
      </c>
      <c r="K392" s="33" t="s">
        <v>41</v>
      </c>
      <c r="L392" s="33">
        <v>5</v>
      </c>
    </row>
    <row r="393" spans="1:12" s="33" customFormat="1" x14ac:dyDescent="0.3">
      <c r="A393" s="33" t="s">
        <v>831</v>
      </c>
      <c r="B393" s="33">
        <v>38991705057</v>
      </c>
      <c r="C393" s="33" t="s">
        <v>42</v>
      </c>
      <c r="D393" s="33">
        <v>4430265054</v>
      </c>
      <c r="E393" s="33">
        <v>1524</v>
      </c>
      <c r="F393" s="33">
        <v>1491</v>
      </c>
      <c r="G393" s="33" t="s">
        <v>38</v>
      </c>
      <c r="H393" s="33" t="s">
        <v>832</v>
      </c>
      <c r="I393" s="33" t="s">
        <v>39</v>
      </c>
      <c r="J393" s="33" t="s">
        <v>40</v>
      </c>
      <c r="K393" s="33" t="s">
        <v>41</v>
      </c>
    </row>
    <row r="394" spans="1:12" s="33" customFormat="1" x14ac:dyDescent="0.3">
      <c r="A394" s="33" t="s">
        <v>833</v>
      </c>
      <c r="B394" s="33" t="s">
        <v>42</v>
      </c>
      <c r="C394" s="33">
        <v>38991705057</v>
      </c>
      <c r="E394" s="33">
        <v>6</v>
      </c>
      <c r="F394" s="33">
        <v>0</v>
      </c>
      <c r="G394" s="33" t="s">
        <v>47</v>
      </c>
      <c r="H394" s="33" t="s">
        <v>834</v>
      </c>
      <c r="I394" s="33" t="s">
        <v>46</v>
      </c>
      <c r="J394" s="33" t="s">
        <v>40</v>
      </c>
    </row>
    <row r="395" spans="1:12" s="33" customFormat="1" x14ac:dyDescent="0.3">
      <c r="A395" s="33" t="s">
        <v>835</v>
      </c>
      <c r="B395" s="33" t="s">
        <v>42</v>
      </c>
      <c r="C395" s="33">
        <v>38991705057</v>
      </c>
      <c r="E395" s="33">
        <v>8</v>
      </c>
      <c r="F395" s="33">
        <v>0</v>
      </c>
      <c r="G395" s="33" t="s">
        <v>47</v>
      </c>
      <c r="H395" s="33" t="s">
        <v>836</v>
      </c>
      <c r="I395" s="33" t="s">
        <v>46</v>
      </c>
      <c r="J395" s="33" t="s">
        <v>40</v>
      </c>
    </row>
    <row r="396" spans="1:12" s="33" customFormat="1" x14ac:dyDescent="0.3">
      <c r="A396" s="33" t="s">
        <v>837</v>
      </c>
      <c r="B396" s="33">
        <v>44988255390</v>
      </c>
      <c r="C396" s="33" t="s">
        <v>44</v>
      </c>
      <c r="D396" s="33">
        <v>4430265054</v>
      </c>
      <c r="E396" s="33">
        <v>347</v>
      </c>
      <c r="F396" s="33">
        <v>313</v>
      </c>
      <c r="G396" s="33" t="s">
        <v>38</v>
      </c>
      <c r="H396" s="33" t="s">
        <v>838</v>
      </c>
      <c r="I396" s="33" t="s">
        <v>39</v>
      </c>
      <c r="J396" s="33" t="s">
        <v>40</v>
      </c>
      <c r="K396" s="33" t="s">
        <v>41</v>
      </c>
    </row>
    <row r="397" spans="1:12" s="33" customFormat="1" x14ac:dyDescent="0.3">
      <c r="A397" s="33" t="s">
        <v>839</v>
      </c>
      <c r="B397" s="33">
        <v>11934552189</v>
      </c>
      <c r="C397" s="33" t="s">
        <v>43</v>
      </c>
      <c r="D397" s="33">
        <v>4430265054</v>
      </c>
      <c r="E397" s="33">
        <v>462</v>
      </c>
      <c r="F397" s="33">
        <v>427</v>
      </c>
      <c r="G397" s="33" t="s">
        <v>38</v>
      </c>
      <c r="H397" s="33" t="s">
        <v>840</v>
      </c>
      <c r="I397" s="33" t="s">
        <v>39</v>
      </c>
      <c r="J397" s="33" t="s">
        <v>40</v>
      </c>
      <c r="K397" s="33" t="s">
        <v>41</v>
      </c>
      <c r="L397" s="33">
        <v>5</v>
      </c>
    </row>
    <row r="398" spans="1:12" s="33" customFormat="1" x14ac:dyDescent="0.3">
      <c r="A398" s="33" t="s">
        <v>841</v>
      </c>
      <c r="B398" s="33" t="s">
        <v>48</v>
      </c>
      <c r="C398" s="33">
        <v>4436291629</v>
      </c>
      <c r="E398" s="33">
        <v>1373</v>
      </c>
      <c r="F398" s="33">
        <v>1352</v>
      </c>
      <c r="G398" s="33" t="s">
        <v>38</v>
      </c>
      <c r="H398" s="33" t="s">
        <v>842</v>
      </c>
      <c r="I398" s="33" t="s">
        <v>46</v>
      </c>
      <c r="J398" s="33" t="s">
        <v>40</v>
      </c>
    </row>
    <row r="399" spans="1:12" s="33" customFormat="1" x14ac:dyDescent="0.3">
      <c r="A399" s="33" t="s">
        <v>843</v>
      </c>
      <c r="B399" s="33">
        <v>11998030658</v>
      </c>
      <c r="C399" s="33" t="s">
        <v>44</v>
      </c>
      <c r="D399" s="33">
        <v>4430265054</v>
      </c>
      <c r="E399" s="33">
        <v>477</v>
      </c>
      <c r="F399" s="33">
        <v>436</v>
      </c>
      <c r="G399" s="33" t="s">
        <v>38</v>
      </c>
      <c r="H399" s="33" t="s">
        <v>844</v>
      </c>
      <c r="I399" s="33" t="s">
        <v>39</v>
      </c>
      <c r="J399" s="33" t="s">
        <v>40</v>
      </c>
      <c r="K399" s="33" t="s">
        <v>41</v>
      </c>
      <c r="L399" s="33">
        <v>5</v>
      </c>
    </row>
    <row r="400" spans="1:12" s="33" customFormat="1" x14ac:dyDescent="0.3">
      <c r="A400" s="33" t="s">
        <v>845</v>
      </c>
      <c r="B400" s="33">
        <v>44991381017</v>
      </c>
      <c r="C400" s="33" t="s">
        <v>42</v>
      </c>
      <c r="D400" s="33">
        <v>4430265054</v>
      </c>
      <c r="E400" s="33">
        <v>1387</v>
      </c>
      <c r="F400" s="33">
        <v>1353</v>
      </c>
      <c r="G400" s="33" t="s">
        <v>38</v>
      </c>
      <c r="H400" s="33" t="s">
        <v>846</v>
      </c>
      <c r="I400" s="33" t="s">
        <v>39</v>
      </c>
      <c r="J400" s="33" t="s">
        <v>40</v>
      </c>
      <c r="K400" s="33" t="s">
        <v>41</v>
      </c>
    </row>
    <row r="401" spans="1:12" s="33" customFormat="1" x14ac:dyDescent="0.3">
      <c r="A401" s="33" t="s">
        <v>847</v>
      </c>
      <c r="B401" s="33" t="s">
        <v>44</v>
      </c>
      <c r="C401" s="33">
        <v>91981481202</v>
      </c>
      <c r="E401" s="33">
        <v>262</v>
      </c>
      <c r="F401" s="33">
        <v>247</v>
      </c>
      <c r="G401" s="33" t="s">
        <v>38</v>
      </c>
      <c r="H401" s="33" t="s">
        <v>848</v>
      </c>
      <c r="I401" s="33" t="s">
        <v>46</v>
      </c>
      <c r="J401" s="33" t="s">
        <v>40</v>
      </c>
    </row>
    <row r="402" spans="1:12" s="33" customFormat="1" x14ac:dyDescent="0.3">
      <c r="A402" s="33" t="s">
        <v>849</v>
      </c>
      <c r="B402" s="33">
        <v>11934552189</v>
      </c>
      <c r="C402" s="33" t="s">
        <v>44</v>
      </c>
      <c r="D402" s="33">
        <v>4430265054</v>
      </c>
      <c r="E402" s="33">
        <v>245</v>
      </c>
      <c r="F402" s="33">
        <v>187</v>
      </c>
      <c r="G402" s="33" t="s">
        <v>38</v>
      </c>
      <c r="H402" s="33" t="s">
        <v>850</v>
      </c>
      <c r="I402" s="33" t="s">
        <v>39</v>
      </c>
      <c r="J402" s="33" t="s">
        <v>40</v>
      </c>
      <c r="K402" s="33" t="s">
        <v>41</v>
      </c>
    </row>
    <row r="403" spans="1:12" s="33" customFormat="1" x14ac:dyDescent="0.3">
      <c r="A403" s="33" t="s">
        <v>851</v>
      </c>
      <c r="B403" s="33">
        <v>44997134514</v>
      </c>
      <c r="C403" s="33" t="s">
        <v>43</v>
      </c>
      <c r="D403" s="33">
        <v>4430265054</v>
      </c>
      <c r="E403" s="33">
        <v>1676</v>
      </c>
      <c r="F403" s="33">
        <v>1649</v>
      </c>
      <c r="G403" s="33" t="s">
        <v>38</v>
      </c>
      <c r="H403" s="33" t="s">
        <v>852</v>
      </c>
      <c r="I403" s="33" t="s">
        <v>39</v>
      </c>
      <c r="J403" s="33" t="s">
        <v>40</v>
      </c>
      <c r="K403" s="33" t="s">
        <v>41</v>
      </c>
    </row>
    <row r="404" spans="1:12" s="33" customFormat="1" x14ac:dyDescent="0.3">
      <c r="A404" s="33" t="s">
        <v>853</v>
      </c>
      <c r="B404" s="33" t="s">
        <v>37</v>
      </c>
      <c r="C404" s="33">
        <v>44988135387</v>
      </c>
      <c r="E404" s="33">
        <v>798</v>
      </c>
      <c r="F404" s="33">
        <v>785</v>
      </c>
      <c r="G404" s="33" t="s">
        <v>38</v>
      </c>
      <c r="H404" s="33" t="s">
        <v>854</v>
      </c>
      <c r="I404" s="33" t="s">
        <v>46</v>
      </c>
      <c r="J404" s="33" t="s">
        <v>40</v>
      </c>
      <c r="L404" s="33">
        <v>5</v>
      </c>
    </row>
    <row r="405" spans="1:12" s="33" customFormat="1" x14ac:dyDescent="0.3">
      <c r="A405" s="33" t="s">
        <v>855</v>
      </c>
      <c r="B405" s="33" t="s">
        <v>37</v>
      </c>
      <c r="C405" s="33">
        <v>44988135387</v>
      </c>
      <c r="E405" s="33">
        <v>6</v>
      </c>
      <c r="F405" s="33">
        <v>0</v>
      </c>
      <c r="G405" s="33" t="s">
        <v>47</v>
      </c>
      <c r="H405" s="33" t="s">
        <v>856</v>
      </c>
      <c r="I405" s="33" t="s">
        <v>46</v>
      </c>
      <c r="J405" s="33" t="s">
        <v>40</v>
      </c>
    </row>
    <row r="406" spans="1:12" s="33" customFormat="1" x14ac:dyDescent="0.3">
      <c r="A406" s="33" t="s">
        <v>857</v>
      </c>
      <c r="B406" s="33">
        <v>44991116911</v>
      </c>
      <c r="C406" s="33" t="s">
        <v>37</v>
      </c>
      <c r="D406" s="33">
        <v>4430265054</v>
      </c>
      <c r="E406" s="33">
        <v>222</v>
      </c>
      <c r="F406" s="33">
        <v>158</v>
      </c>
      <c r="G406" s="33" t="s">
        <v>38</v>
      </c>
      <c r="H406" s="33" t="s">
        <v>858</v>
      </c>
      <c r="I406" s="33" t="s">
        <v>39</v>
      </c>
      <c r="J406" s="33" t="s">
        <v>40</v>
      </c>
      <c r="K406" s="33" t="s">
        <v>41</v>
      </c>
      <c r="L406" s="33">
        <v>5</v>
      </c>
    </row>
    <row r="407" spans="1:12" s="33" customFormat="1" x14ac:dyDescent="0.3">
      <c r="A407" s="33" t="s">
        <v>859</v>
      </c>
      <c r="B407" s="33">
        <v>91981481202</v>
      </c>
      <c r="C407" s="33" t="s">
        <v>44</v>
      </c>
      <c r="D407" s="33">
        <v>4430265054</v>
      </c>
      <c r="E407" s="33">
        <v>1781</v>
      </c>
      <c r="F407" s="33">
        <v>1745</v>
      </c>
      <c r="G407" s="33" t="s">
        <v>38</v>
      </c>
      <c r="H407" s="33" t="s">
        <v>860</v>
      </c>
      <c r="I407" s="33" t="s">
        <v>39</v>
      </c>
      <c r="J407" s="33" t="s">
        <v>40</v>
      </c>
      <c r="K407" s="33" t="s">
        <v>41</v>
      </c>
    </row>
    <row r="408" spans="1:12" s="33" customFormat="1" x14ac:dyDescent="0.3">
      <c r="A408" s="33" t="s">
        <v>861</v>
      </c>
      <c r="B408" s="33" t="s">
        <v>42</v>
      </c>
      <c r="C408" s="33">
        <v>1732146970</v>
      </c>
      <c r="E408" s="33">
        <v>788</v>
      </c>
      <c r="F408" s="33">
        <v>786</v>
      </c>
      <c r="G408" s="33" t="s">
        <v>38</v>
      </c>
      <c r="H408" s="33" t="s">
        <v>862</v>
      </c>
      <c r="I408" s="33" t="s">
        <v>46</v>
      </c>
      <c r="J408" s="33" t="s">
        <v>40</v>
      </c>
    </row>
    <row r="409" spans="1:12" s="33" customFormat="1" x14ac:dyDescent="0.3">
      <c r="A409" s="33" t="s">
        <v>863</v>
      </c>
      <c r="B409" s="33">
        <v>4430146402</v>
      </c>
      <c r="C409" s="33" t="s">
        <v>43</v>
      </c>
      <c r="D409" s="33">
        <v>4430265054</v>
      </c>
      <c r="E409" s="33">
        <v>847</v>
      </c>
      <c r="F409" s="33">
        <v>811</v>
      </c>
      <c r="G409" s="33" t="s">
        <v>38</v>
      </c>
      <c r="H409" s="33" t="s">
        <v>864</v>
      </c>
      <c r="I409" s="33" t="s">
        <v>39</v>
      </c>
      <c r="J409" s="33" t="s">
        <v>40</v>
      </c>
      <c r="K409" s="33" t="s">
        <v>41</v>
      </c>
    </row>
    <row r="410" spans="1:12" s="33" customFormat="1" x14ac:dyDescent="0.3">
      <c r="A410" s="33" t="s">
        <v>865</v>
      </c>
      <c r="B410" s="33">
        <v>4430414545</v>
      </c>
      <c r="C410" s="33" t="s">
        <v>37</v>
      </c>
      <c r="D410" s="33">
        <v>4430265054</v>
      </c>
      <c r="E410" s="33">
        <v>184</v>
      </c>
      <c r="F410" s="33">
        <v>124</v>
      </c>
      <c r="G410" s="33" t="s">
        <v>38</v>
      </c>
      <c r="H410" s="33" t="s">
        <v>866</v>
      </c>
      <c r="I410" s="33" t="s">
        <v>39</v>
      </c>
      <c r="J410" s="33" t="s">
        <v>40</v>
      </c>
      <c r="K410" s="33" t="s">
        <v>41</v>
      </c>
    </row>
    <row r="411" spans="1:12" s="33" customFormat="1" x14ac:dyDescent="0.3">
      <c r="A411" s="33" t="s">
        <v>867</v>
      </c>
      <c r="B411" s="33" t="s">
        <v>48</v>
      </c>
      <c r="C411" s="33">
        <v>1131043888</v>
      </c>
      <c r="E411" s="33">
        <v>411</v>
      </c>
      <c r="F411" s="33">
        <v>410</v>
      </c>
      <c r="G411" s="33" t="s">
        <v>38</v>
      </c>
      <c r="H411" s="33" t="s">
        <v>868</v>
      </c>
      <c r="I411" s="33" t="s">
        <v>46</v>
      </c>
      <c r="J411" s="33" t="s">
        <v>40</v>
      </c>
    </row>
    <row r="412" spans="1:12" s="33" customFormat="1" x14ac:dyDescent="0.3">
      <c r="A412" s="33" t="s">
        <v>869</v>
      </c>
      <c r="B412" s="33" t="s">
        <v>48</v>
      </c>
      <c r="C412" s="33">
        <v>1131043888</v>
      </c>
      <c r="E412" s="33">
        <v>212</v>
      </c>
      <c r="F412" s="33">
        <v>211</v>
      </c>
      <c r="G412" s="33" t="s">
        <v>38</v>
      </c>
      <c r="H412" s="33" t="s">
        <v>870</v>
      </c>
      <c r="I412" s="33" t="s">
        <v>46</v>
      </c>
      <c r="J412" s="33" t="s">
        <v>40</v>
      </c>
    </row>
    <row r="413" spans="1:12" s="33" customFormat="1" x14ac:dyDescent="0.3">
      <c r="A413" s="33" t="s">
        <v>871</v>
      </c>
      <c r="B413" s="33">
        <v>73982188717</v>
      </c>
      <c r="C413" s="33" t="s">
        <v>42</v>
      </c>
      <c r="D413" s="33">
        <v>4430265054</v>
      </c>
      <c r="E413" s="33">
        <v>507</v>
      </c>
      <c r="F413" s="33">
        <v>455</v>
      </c>
      <c r="G413" s="33" t="s">
        <v>38</v>
      </c>
      <c r="H413" s="33" t="s">
        <v>872</v>
      </c>
      <c r="I413" s="33" t="s">
        <v>39</v>
      </c>
      <c r="J413" s="33" t="s">
        <v>40</v>
      </c>
      <c r="K413" s="33" t="s">
        <v>41</v>
      </c>
    </row>
    <row r="414" spans="1:12" s="33" customFormat="1" x14ac:dyDescent="0.3">
      <c r="A414" s="33" t="s">
        <v>873</v>
      </c>
      <c r="B414" s="33">
        <v>44997343311</v>
      </c>
      <c r="C414" s="33" t="s">
        <v>37</v>
      </c>
      <c r="D414" s="33">
        <v>4430265054</v>
      </c>
      <c r="E414" s="33">
        <v>350</v>
      </c>
      <c r="F414" s="33">
        <v>308</v>
      </c>
      <c r="G414" s="33" t="s">
        <v>38</v>
      </c>
      <c r="H414" s="33" t="s">
        <v>874</v>
      </c>
      <c r="I414" s="33" t="s">
        <v>39</v>
      </c>
      <c r="J414" s="33" t="s">
        <v>40</v>
      </c>
      <c r="K414" s="33" t="s">
        <v>41</v>
      </c>
    </row>
    <row r="415" spans="1:12" s="33" customFormat="1" x14ac:dyDescent="0.3">
      <c r="A415" s="33" t="s">
        <v>875</v>
      </c>
      <c r="B415" s="33">
        <v>4432226677</v>
      </c>
      <c r="C415" s="33" t="s">
        <v>48</v>
      </c>
      <c r="D415" s="33">
        <v>4430265054</v>
      </c>
      <c r="E415" s="33">
        <v>121</v>
      </c>
      <c r="F415" s="33">
        <v>121</v>
      </c>
      <c r="G415" s="33" t="s">
        <v>38</v>
      </c>
      <c r="H415" s="33" t="s">
        <v>876</v>
      </c>
      <c r="I415" s="33" t="s">
        <v>39</v>
      </c>
      <c r="J415" s="33" t="s">
        <v>40</v>
      </c>
      <c r="K415" s="33" t="s">
        <v>41</v>
      </c>
    </row>
    <row r="416" spans="1:12" s="33" customFormat="1" x14ac:dyDescent="0.3">
      <c r="A416" s="33" t="s">
        <v>877</v>
      </c>
      <c r="B416" s="33">
        <v>4430315534</v>
      </c>
      <c r="C416" s="33" t="s">
        <v>37</v>
      </c>
      <c r="D416" s="33">
        <v>4430265054</v>
      </c>
      <c r="E416" s="33">
        <v>421</v>
      </c>
      <c r="F416" s="33">
        <v>393</v>
      </c>
      <c r="G416" s="33" t="s">
        <v>38</v>
      </c>
      <c r="H416" s="33" t="s">
        <v>878</v>
      </c>
      <c r="I416" s="33" t="s">
        <v>39</v>
      </c>
      <c r="J416" s="33" t="s">
        <v>40</v>
      </c>
      <c r="K416" s="33" t="s">
        <v>41</v>
      </c>
      <c r="L416" s="33">
        <v>5</v>
      </c>
    </row>
    <row r="417" spans="1:12" s="33" customFormat="1" x14ac:dyDescent="0.3">
      <c r="A417" s="33" t="s">
        <v>879</v>
      </c>
      <c r="B417" s="33" t="s">
        <v>43</v>
      </c>
      <c r="C417" s="33">
        <v>93984112869</v>
      </c>
      <c r="E417" s="33">
        <v>1308</v>
      </c>
      <c r="F417" s="33">
        <v>1293</v>
      </c>
      <c r="G417" s="33" t="s">
        <v>38</v>
      </c>
      <c r="H417" s="33" t="s">
        <v>880</v>
      </c>
      <c r="I417" s="33" t="s">
        <v>46</v>
      </c>
      <c r="J417" s="33" t="s">
        <v>40</v>
      </c>
      <c r="L417" s="33">
        <v>5</v>
      </c>
    </row>
    <row r="418" spans="1:12" s="33" customFormat="1" x14ac:dyDescent="0.3">
      <c r="A418" s="33" t="s">
        <v>881</v>
      </c>
      <c r="B418" s="33" t="s">
        <v>43</v>
      </c>
      <c r="C418" s="33">
        <v>93984112869</v>
      </c>
      <c r="E418" s="33">
        <v>61</v>
      </c>
      <c r="F418" s="33">
        <v>47</v>
      </c>
      <c r="G418" s="33" t="s">
        <v>38</v>
      </c>
      <c r="H418" s="33" t="s">
        <v>882</v>
      </c>
      <c r="I418" s="33" t="s">
        <v>46</v>
      </c>
      <c r="J418" s="33" t="s">
        <v>40</v>
      </c>
    </row>
    <row r="419" spans="1:12" s="33" customFormat="1" x14ac:dyDescent="0.3">
      <c r="A419" s="33" t="s">
        <v>883</v>
      </c>
      <c r="B419" s="33">
        <v>93984112869</v>
      </c>
      <c r="C419" s="33" t="s">
        <v>43</v>
      </c>
      <c r="D419" s="33">
        <v>4431268225</v>
      </c>
      <c r="E419" s="33">
        <v>402</v>
      </c>
      <c r="F419" s="33">
        <v>316</v>
      </c>
      <c r="G419" s="33" t="s">
        <v>38</v>
      </c>
      <c r="H419" s="33" t="s">
        <v>884</v>
      </c>
      <c r="I419" s="33" t="s">
        <v>39</v>
      </c>
      <c r="J419" s="33" t="s">
        <v>40</v>
      </c>
      <c r="K419" s="33" t="s">
        <v>41</v>
      </c>
    </row>
    <row r="420" spans="1:12" s="33" customFormat="1" x14ac:dyDescent="0.3">
      <c r="A420" s="33" t="s">
        <v>885</v>
      </c>
      <c r="B420" s="33">
        <v>4430162376</v>
      </c>
      <c r="C420" s="33" t="s">
        <v>44</v>
      </c>
      <c r="D420" s="33">
        <v>4430265054</v>
      </c>
      <c r="E420" s="33">
        <v>1855</v>
      </c>
      <c r="F420" s="33">
        <v>1835</v>
      </c>
      <c r="G420" s="33" t="s">
        <v>38</v>
      </c>
      <c r="H420" s="33" t="s">
        <v>886</v>
      </c>
      <c r="I420" s="33" t="s">
        <v>39</v>
      </c>
      <c r="J420" s="33" t="s">
        <v>40</v>
      </c>
      <c r="K420" s="33" t="s">
        <v>41</v>
      </c>
      <c r="L420" s="33">
        <v>5</v>
      </c>
    </row>
    <row r="421" spans="1:12" s="33" customFormat="1" x14ac:dyDescent="0.3">
      <c r="A421" s="33" t="s">
        <v>887</v>
      </c>
      <c r="B421" s="33">
        <v>4330261969</v>
      </c>
      <c r="C421" s="33" t="s">
        <v>37</v>
      </c>
      <c r="D421" s="33">
        <v>4430265054</v>
      </c>
      <c r="E421" s="33">
        <v>469</v>
      </c>
      <c r="F421" s="33">
        <v>433</v>
      </c>
      <c r="G421" s="33" t="s">
        <v>38</v>
      </c>
      <c r="H421" s="33" t="s">
        <v>888</v>
      </c>
      <c r="I421" s="33" t="s">
        <v>39</v>
      </c>
      <c r="J421" s="33" t="s">
        <v>40</v>
      </c>
      <c r="K421" s="33" t="s">
        <v>41</v>
      </c>
      <c r="L421" s="33">
        <v>5</v>
      </c>
    </row>
    <row r="422" spans="1:12" s="33" customFormat="1" x14ac:dyDescent="0.3">
      <c r="A422" s="33" t="s">
        <v>889</v>
      </c>
      <c r="B422" s="33" t="s">
        <v>42</v>
      </c>
      <c r="C422" s="33">
        <v>4430285070</v>
      </c>
      <c r="E422" s="33">
        <v>319</v>
      </c>
      <c r="F422" s="33">
        <v>300</v>
      </c>
      <c r="G422" s="33" t="s">
        <v>38</v>
      </c>
      <c r="H422" s="33" t="s">
        <v>890</v>
      </c>
      <c r="I422" s="33" t="s">
        <v>46</v>
      </c>
      <c r="J422" s="33" t="s">
        <v>40</v>
      </c>
      <c r="L422" s="33">
        <v>5</v>
      </c>
    </row>
    <row r="423" spans="1:12" s="33" customFormat="1" x14ac:dyDescent="0.3">
      <c r="A423" s="33" t="s">
        <v>891</v>
      </c>
      <c r="B423" s="33">
        <v>4430315826</v>
      </c>
      <c r="C423" s="33" t="s">
        <v>44</v>
      </c>
      <c r="D423" s="33">
        <v>4430265054</v>
      </c>
      <c r="E423" s="33">
        <v>80</v>
      </c>
      <c r="F423" s="33">
        <v>54</v>
      </c>
      <c r="G423" s="33" t="s">
        <v>38</v>
      </c>
      <c r="H423" s="33" t="s">
        <v>892</v>
      </c>
      <c r="I423" s="33" t="s">
        <v>39</v>
      </c>
      <c r="J423" s="33" t="s">
        <v>40</v>
      </c>
      <c r="K423" s="33" t="s">
        <v>41</v>
      </c>
    </row>
    <row r="424" spans="1:12" s="33" customFormat="1" x14ac:dyDescent="0.3">
      <c r="A424" s="33" t="s">
        <v>893</v>
      </c>
      <c r="B424" s="33">
        <v>1732146970</v>
      </c>
      <c r="C424" s="33" t="s">
        <v>42</v>
      </c>
      <c r="D424" s="33">
        <v>4431268225</v>
      </c>
      <c r="E424" s="33">
        <v>681</v>
      </c>
      <c r="F424" s="33">
        <v>605</v>
      </c>
      <c r="G424" s="33" t="s">
        <v>38</v>
      </c>
      <c r="H424" s="33" t="s">
        <v>894</v>
      </c>
      <c r="I424" s="33" t="s">
        <v>39</v>
      </c>
      <c r="J424" s="33" t="s">
        <v>40</v>
      </c>
      <c r="K424" s="33" t="s">
        <v>41</v>
      </c>
    </row>
    <row r="425" spans="1:12" s="33" customFormat="1" x14ac:dyDescent="0.3">
      <c r="A425" s="33" t="s">
        <v>895</v>
      </c>
      <c r="B425" s="33">
        <v>43991272536</v>
      </c>
      <c r="C425" s="33" t="s">
        <v>44</v>
      </c>
      <c r="D425" s="33">
        <v>4430265054</v>
      </c>
      <c r="E425" s="33">
        <v>1436</v>
      </c>
      <c r="F425" s="33">
        <v>1399</v>
      </c>
      <c r="G425" s="33" t="s">
        <v>38</v>
      </c>
      <c r="H425" s="33" t="s">
        <v>896</v>
      </c>
      <c r="I425" s="33" t="s">
        <v>39</v>
      </c>
      <c r="J425" s="33" t="s">
        <v>40</v>
      </c>
      <c r="K425" s="33" t="s">
        <v>41</v>
      </c>
    </row>
    <row r="426" spans="1:12" s="33" customFormat="1" x14ac:dyDescent="0.3">
      <c r="A426" s="33" t="s">
        <v>897</v>
      </c>
      <c r="B426" s="33">
        <v>44991213399</v>
      </c>
      <c r="C426" s="33" t="s">
        <v>42</v>
      </c>
      <c r="D426" s="33">
        <v>4430265054</v>
      </c>
      <c r="E426" s="33">
        <v>556</v>
      </c>
      <c r="F426" s="33">
        <v>536</v>
      </c>
      <c r="G426" s="33" t="s">
        <v>38</v>
      </c>
      <c r="H426" s="33" t="s">
        <v>898</v>
      </c>
      <c r="I426" s="33" t="s">
        <v>39</v>
      </c>
      <c r="J426" s="33" t="s">
        <v>40</v>
      </c>
      <c r="K426" s="33" t="s">
        <v>41</v>
      </c>
      <c r="L426" s="33">
        <v>5</v>
      </c>
    </row>
    <row r="427" spans="1:12" s="33" customFormat="1" x14ac:dyDescent="0.3">
      <c r="A427" s="33" t="s">
        <v>899</v>
      </c>
      <c r="B427" s="33" t="s">
        <v>42</v>
      </c>
      <c r="C427" s="33">
        <v>44991213399</v>
      </c>
      <c r="E427" s="33">
        <v>1</v>
      </c>
      <c r="F427" s="33">
        <v>0</v>
      </c>
      <c r="G427" s="33" t="s">
        <v>47</v>
      </c>
      <c r="H427" s="33" t="s">
        <v>900</v>
      </c>
      <c r="I427" s="33" t="s">
        <v>46</v>
      </c>
      <c r="J427" s="33" t="s">
        <v>40</v>
      </c>
    </row>
    <row r="428" spans="1:12" s="1" customFormat="1" x14ac:dyDescent="0.3">
      <c r="A428" s="33" t="s">
        <v>901</v>
      </c>
      <c r="B428" s="33" t="s">
        <v>42</v>
      </c>
      <c r="C428" s="33">
        <v>44991213399</v>
      </c>
      <c r="D428" s="33"/>
      <c r="E428" s="33">
        <v>2</v>
      </c>
      <c r="F428" s="33">
        <v>0</v>
      </c>
      <c r="G428" s="33" t="s">
        <v>47</v>
      </c>
      <c r="H428" s="33" t="s">
        <v>902</v>
      </c>
      <c r="I428" s="33" t="s">
        <v>46</v>
      </c>
      <c r="J428" s="33" t="s">
        <v>40</v>
      </c>
      <c r="K428" s="33"/>
      <c r="L428" s="33"/>
    </row>
    <row r="429" spans="1:12" s="1" customFormat="1" x14ac:dyDescent="0.3">
      <c r="A429" s="33" t="s">
        <v>903</v>
      </c>
      <c r="B429" s="33" t="s">
        <v>42</v>
      </c>
      <c r="C429" s="33">
        <v>44991213399</v>
      </c>
      <c r="D429" s="33"/>
      <c r="E429" s="33">
        <v>5</v>
      </c>
      <c r="F429" s="33">
        <v>0</v>
      </c>
      <c r="G429" s="33" t="s">
        <v>47</v>
      </c>
      <c r="H429" s="33" t="s">
        <v>904</v>
      </c>
      <c r="I429" s="33" t="s">
        <v>46</v>
      </c>
      <c r="J429" s="33" t="s">
        <v>40</v>
      </c>
      <c r="K429" s="33"/>
      <c r="L429" s="33"/>
    </row>
    <row r="430" spans="1:12" s="1" customFormat="1" x14ac:dyDescent="0.3">
      <c r="A430" s="33" t="s">
        <v>905</v>
      </c>
      <c r="B430" s="33">
        <v>44991213399</v>
      </c>
      <c r="C430" s="33" t="s">
        <v>42</v>
      </c>
      <c r="D430" s="33">
        <v>4430265054</v>
      </c>
      <c r="E430" s="33">
        <v>89</v>
      </c>
      <c r="F430" s="33">
        <v>61</v>
      </c>
      <c r="G430" s="33" t="s">
        <v>38</v>
      </c>
      <c r="H430" s="33" t="s">
        <v>906</v>
      </c>
      <c r="I430" s="33" t="s">
        <v>39</v>
      </c>
      <c r="J430" s="33" t="s">
        <v>40</v>
      </c>
      <c r="K430" s="33" t="s">
        <v>41</v>
      </c>
      <c r="L430" s="33"/>
    </row>
    <row r="431" spans="1:12" s="1" customFormat="1" x14ac:dyDescent="0.3">
      <c r="A431" s="33" t="s">
        <v>907</v>
      </c>
      <c r="B431" s="33">
        <v>4435226025</v>
      </c>
      <c r="C431" s="33" t="s">
        <v>37</v>
      </c>
      <c r="D431" s="33">
        <v>4430265054</v>
      </c>
      <c r="E431" s="33">
        <v>287</v>
      </c>
      <c r="F431" s="33">
        <v>249</v>
      </c>
      <c r="G431" s="33" t="s">
        <v>38</v>
      </c>
      <c r="H431" s="33" t="s">
        <v>908</v>
      </c>
      <c r="I431" s="33" t="s">
        <v>39</v>
      </c>
      <c r="J431" s="33" t="s">
        <v>40</v>
      </c>
      <c r="K431" s="33" t="s">
        <v>41</v>
      </c>
      <c r="L431" s="33"/>
    </row>
    <row r="432" spans="1:12" s="1" customFormat="1" x14ac:dyDescent="0.3">
      <c r="A432" s="33" t="s">
        <v>909</v>
      </c>
      <c r="B432" s="33" t="s">
        <v>49</v>
      </c>
      <c r="C432" s="33" t="s">
        <v>51</v>
      </c>
      <c r="D432" s="33"/>
      <c r="E432" s="33">
        <v>1</v>
      </c>
      <c r="F432" s="33">
        <v>0</v>
      </c>
      <c r="G432" s="33" t="s">
        <v>47</v>
      </c>
      <c r="H432" s="33" t="s">
        <v>910</v>
      </c>
      <c r="I432" s="33" t="s">
        <v>52</v>
      </c>
      <c r="J432" s="33" t="s">
        <v>40</v>
      </c>
      <c r="K432" s="33"/>
      <c r="L432" s="33"/>
    </row>
    <row r="433" spans="1:12" s="1" customFormat="1" x14ac:dyDescent="0.3">
      <c r="A433" s="33" t="s">
        <v>909</v>
      </c>
      <c r="B433" s="33">
        <v>41999853283</v>
      </c>
      <c r="C433" s="33" t="s">
        <v>44</v>
      </c>
      <c r="D433" s="33">
        <v>4430265054</v>
      </c>
      <c r="E433" s="33">
        <v>326</v>
      </c>
      <c r="F433" s="33">
        <v>225</v>
      </c>
      <c r="G433" s="33" t="s">
        <v>38</v>
      </c>
      <c r="H433" s="33" t="s">
        <v>911</v>
      </c>
      <c r="I433" s="33" t="s">
        <v>39</v>
      </c>
      <c r="J433" s="33" t="s">
        <v>40</v>
      </c>
      <c r="K433" s="33" t="s">
        <v>41</v>
      </c>
      <c r="L433" s="33">
        <v>5</v>
      </c>
    </row>
    <row r="434" spans="1:12" s="1" customFormat="1" x14ac:dyDescent="0.3">
      <c r="A434" s="33" t="s">
        <v>912</v>
      </c>
      <c r="B434" s="33" t="s">
        <v>49</v>
      </c>
      <c r="C434" s="33" t="s">
        <v>51</v>
      </c>
      <c r="D434" s="33"/>
      <c r="E434" s="33">
        <v>1</v>
      </c>
      <c r="F434" s="33">
        <v>0</v>
      </c>
      <c r="G434" s="33" t="s">
        <v>47</v>
      </c>
      <c r="H434" s="33" t="s">
        <v>913</v>
      </c>
      <c r="I434" s="33" t="s">
        <v>52</v>
      </c>
      <c r="J434" s="33" t="s">
        <v>40</v>
      </c>
      <c r="K434" s="33"/>
      <c r="L434" s="33"/>
    </row>
    <row r="435" spans="1:12" s="1" customFormat="1" x14ac:dyDescent="0.3">
      <c r="A435" s="33" t="s">
        <v>914</v>
      </c>
      <c r="B435" s="33" t="s">
        <v>49</v>
      </c>
      <c r="C435" s="33" t="s">
        <v>51</v>
      </c>
      <c r="D435" s="33"/>
      <c r="E435" s="33">
        <v>3</v>
      </c>
      <c r="F435" s="33">
        <v>0</v>
      </c>
      <c r="G435" s="33" t="s">
        <v>47</v>
      </c>
      <c r="H435" s="33" t="s">
        <v>915</v>
      </c>
      <c r="I435" s="33" t="s">
        <v>52</v>
      </c>
      <c r="J435" s="33" t="s">
        <v>40</v>
      </c>
      <c r="K435" s="33"/>
      <c r="L435" s="33"/>
    </row>
    <row r="436" spans="1:12" s="1" customFormat="1" x14ac:dyDescent="0.3">
      <c r="A436" s="33" t="s">
        <v>916</v>
      </c>
      <c r="B436" s="33">
        <v>44991113954</v>
      </c>
      <c r="C436" s="33" t="s">
        <v>43</v>
      </c>
      <c r="D436" s="33">
        <v>4430265054</v>
      </c>
      <c r="E436" s="33">
        <v>533</v>
      </c>
      <c r="F436" s="33">
        <v>489</v>
      </c>
      <c r="G436" s="33" t="s">
        <v>38</v>
      </c>
      <c r="H436" s="33" t="s">
        <v>917</v>
      </c>
      <c r="I436" s="33" t="s">
        <v>39</v>
      </c>
      <c r="J436" s="33" t="s">
        <v>40</v>
      </c>
      <c r="K436" s="33" t="s">
        <v>41</v>
      </c>
      <c r="L436" s="33"/>
    </row>
    <row r="437" spans="1:12" s="1" customFormat="1" x14ac:dyDescent="0.3">
      <c r="A437" s="33" t="s">
        <v>918</v>
      </c>
      <c r="B437" s="33">
        <v>4532541802</v>
      </c>
      <c r="C437" s="33" t="s">
        <v>37</v>
      </c>
      <c r="D437" s="33">
        <v>4430265054</v>
      </c>
      <c r="E437" s="33">
        <v>199</v>
      </c>
      <c r="F437" s="33">
        <v>118</v>
      </c>
      <c r="G437" s="33" t="s">
        <v>38</v>
      </c>
      <c r="H437" s="33" t="s">
        <v>919</v>
      </c>
      <c r="I437" s="33" t="s">
        <v>39</v>
      </c>
      <c r="J437" s="33" t="s">
        <v>40</v>
      </c>
      <c r="K437" s="33" t="s">
        <v>41</v>
      </c>
      <c r="L437" s="33"/>
    </row>
    <row r="438" spans="1:12" s="1" customFormat="1" x14ac:dyDescent="0.3">
      <c r="A438" s="33" t="s">
        <v>920</v>
      </c>
      <c r="B438" s="33">
        <v>44988255390</v>
      </c>
      <c r="C438" s="33" t="s">
        <v>43</v>
      </c>
      <c r="D438" s="33">
        <v>4430265054</v>
      </c>
      <c r="E438" s="33">
        <v>656</v>
      </c>
      <c r="F438" s="33">
        <v>544</v>
      </c>
      <c r="G438" s="33" t="s">
        <v>38</v>
      </c>
      <c r="H438" s="33" t="s">
        <v>921</v>
      </c>
      <c r="I438" s="33" t="s">
        <v>39</v>
      </c>
      <c r="J438" s="33" t="s">
        <v>40</v>
      </c>
      <c r="K438" s="33" t="s">
        <v>41</v>
      </c>
      <c r="L438" s="33"/>
    </row>
    <row r="439" spans="1:12" s="1" customFormat="1" x14ac:dyDescent="0.3">
      <c r="A439" s="33" t="s">
        <v>922</v>
      </c>
      <c r="B439" s="33">
        <v>4430459032</v>
      </c>
      <c r="C439" s="33" t="s">
        <v>44</v>
      </c>
      <c r="D439" s="33">
        <v>4430265054</v>
      </c>
      <c r="E439" s="33">
        <v>244</v>
      </c>
      <c r="F439" s="33">
        <v>159</v>
      </c>
      <c r="G439" s="33" t="s">
        <v>38</v>
      </c>
      <c r="H439" s="33" t="s">
        <v>923</v>
      </c>
      <c r="I439" s="33" t="s">
        <v>39</v>
      </c>
      <c r="J439" s="33" t="s">
        <v>40</v>
      </c>
      <c r="K439" s="33" t="s">
        <v>41</v>
      </c>
      <c r="L439" s="33">
        <v>4</v>
      </c>
    </row>
    <row r="440" spans="1:12" s="1" customFormat="1" x14ac:dyDescent="0.3">
      <c r="A440" s="33" t="s">
        <v>924</v>
      </c>
      <c r="B440" s="33" t="s">
        <v>43</v>
      </c>
      <c r="C440" s="33">
        <v>4436297742</v>
      </c>
      <c r="D440" s="33"/>
      <c r="E440" s="33">
        <v>518</v>
      </c>
      <c r="F440" s="33">
        <v>511</v>
      </c>
      <c r="G440" s="33" t="s">
        <v>38</v>
      </c>
      <c r="H440" s="33" t="s">
        <v>925</v>
      </c>
      <c r="I440" s="33" t="s">
        <v>46</v>
      </c>
      <c r="J440" s="33" t="s">
        <v>40</v>
      </c>
      <c r="K440" s="33"/>
      <c r="L440" s="33"/>
    </row>
    <row r="441" spans="1:12" s="1" customFormat="1" x14ac:dyDescent="0.3">
      <c r="A441" s="33" t="s">
        <v>926</v>
      </c>
      <c r="B441" s="33">
        <v>4330261969</v>
      </c>
      <c r="C441" s="33" t="s">
        <v>37</v>
      </c>
      <c r="D441" s="33">
        <v>4430265054</v>
      </c>
      <c r="E441" s="33">
        <v>1946</v>
      </c>
      <c r="F441" s="33">
        <v>1907</v>
      </c>
      <c r="G441" s="33" t="s">
        <v>38</v>
      </c>
      <c r="H441" s="33" t="s">
        <v>927</v>
      </c>
      <c r="I441" s="33" t="s">
        <v>39</v>
      </c>
      <c r="J441" s="33" t="s">
        <v>40</v>
      </c>
      <c r="K441" s="33" t="s">
        <v>41</v>
      </c>
      <c r="L441" s="33"/>
    </row>
    <row r="442" spans="1:12" s="1" customFormat="1" x14ac:dyDescent="0.3">
      <c r="A442" s="33" t="s">
        <v>928</v>
      </c>
      <c r="B442" s="33" t="s">
        <v>42</v>
      </c>
      <c r="C442" s="33">
        <v>4433043800</v>
      </c>
      <c r="D442" s="33"/>
      <c r="E442" s="33">
        <v>79</v>
      </c>
      <c r="F442" s="33">
        <v>77</v>
      </c>
      <c r="G442" s="33" t="s">
        <v>38</v>
      </c>
      <c r="H442" s="33" t="s">
        <v>929</v>
      </c>
      <c r="I442" s="33" t="s">
        <v>46</v>
      </c>
      <c r="J442" s="33" t="s">
        <v>40</v>
      </c>
      <c r="K442" s="33"/>
      <c r="L442" s="33"/>
    </row>
    <row r="443" spans="1:12" s="1" customFormat="1" x14ac:dyDescent="0.3">
      <c r="A443" s="33" t="s">
        <v>930</v>
      </c>
      <c r="B443" s="33" t="s">
        <v>42</v>
      </c>
      <c r="C443" s="33">
        <v>4433043800</v>
      </c>
      <c r="D443" s="33"/>
      <c r="E443" s="33">
        <v>54</v>
      </c>
      <c r="F443" s="33">
        <v>53</v>
      </c>
      <c r="G443" s="33" t="s">
        <v>38</v>
      </c>
      <c r="H443" s="33" t="s">
        <v>931</v>
      </c>
      <c r="I443" s="33" t="s">
        <v>46</v>
      </c>
      <c r="J443" s="33" t="s">
        <v>40</v>
      </c>
      <c r="K443" s="33"/>
      <c r="L443" s="33"/>
    </row>
    <row r="444" spans="1:12" s="1" customFormat="1" x14ac:dyDescent="0.3">
      <c r="A444" s="33" t="s">
        <v>932</v>
      </c>
      <c r="B444" s="33">
        <v>4436249360</v>
      </c>
      <c r="C444" s="33" t="s">
        <v>44</v>
      </c>
      <c r="D444" s="33">
        <v>4430265054</v>
      </c>
      <c r="E444" s="33">
        <v>683</v>
      </c>
      <c r="F444" s="33">
        <v>603</v>
      </c>
      <c r="G444" s="33" t="s">
        <v>38</v>
      </c>
      <c r="H444" s="33" t="s">
        <v>933</v>
      </c>
      <c r="I444" s="33" t="s">
        <v>39</v>
      </c>
      <c r="J444" s="33" t="s">
        <v>40</v>
      </c>
      <c r="K444" s="33" t="s">
        <v>41</v>
      </c>
      <c r="L444" s="33"/>
    </row>
    <row r="445" spans="1:12" s="1" customFormat="1" x14ac:dyDescent="0.3">
      <c r="A445" s="33" t="s">
        <v>934</v>
      </c>
      <c r="B445" s="33" t="s">
        <v>42</v>
      </c>
      <c r="C445" s="33">
        <v>4433043800</v>
      </c>
      <c r="D445" s="33"/>
      <c r="E445" s="33">
        <v>104</v>
      </c>
      <c r="F445" s="33">
        <v>103</v>
      </c>
      <c r="G445" s="33" t="s">
        <v>38</v>
      </c>
      <c r="H445" s="33" t="s">
        <v>935</v>
      </c>
      <c r="I445" s="33" t="s">
        <v>46</v>
      </c>
      <c r="J445" s="33" t="s">
        <v>40</v>
      </c>
      <c r="K445" s="33"/>
      <c r="L445" s="33"/>
    </row>
    <row r="446" spans="1:12" s="1" customFormat="1" x14ac:dyDescent="0.3">
      <c r="A446" s="33" t="s">
        <v>936</v>
      </c>
      <c r="B446" s="33">
        <v>44997426611</v>
      </c>
      <c r="C446" s="33" t="s">
        <v>48</v>
      </c>
      <c r="D446" s="33">
        <v>4430265054</v>
      </c>
      <c r="E446" s="33">
        <v>259</v>
      </c>
      <c r="F446" s="33">
        <v>259</v>
      </c>
      <c r="G446" s="33" t="s">
        <v>38</v>
      </c>
      <c r="H446" s="33" t="s">
        <v>937</v>
      </c>
      <c r="I446" s="33" t="s">
        <v>39</v>
      </c>
      <c r="J446" s="33" t="s">
        <v>40</v>
      </c>
      <c r="K446" s="33" t="s">
        <v>41</v>
      </c>
      <c r="L446" s="33"/>
    </row>
    <row r="447" spans="1:12" s="1" customFormat="1" x14ac:dyDescent="0.3">
      <c r="A447" s="33" t="s">
        <v>938</v>
      </c>
      <c r="B447" s="33" t="s">
        <v>43</v>
      </c>
      <c r="C447" s="33">
        <v>44999670264</v>
      </c>
      <c r="D447" s="33"/>
      <c r="E447" s="33">
        <v>321</v>
      </c>
      <c r="F447" s="33">
        <v>313</v>
      </c>
      <c r="G447" s="33" t="s">
        <v>38</v>
      </c>
      <c r="H447" s="33" t="s">
        <v>939</v>
      </c>
      <c r="I447" s="33" t="s">
        <v>46</v>
      </c>
      <c r="J447" s="33" t="s">
        <v>40</v>
      </c>
      <c r="K447" s="33"/>
      <c r="L447" s="33"/>
    </row>
    <row r="448" spans="1:12" s="1" customFormat="1" x14ac:dyDescent="0.3">
      <c r="A448" s="33" t="s">
        <v>940</v>
      </c>
      <c r="B448" s="33" t="s">
        <v>43</v>
      </c>
      <c r="C448" s="33">
        <v>44999670264</v>
      </c>
      <c r="D448" s="33"/>
      <c r="E448" s="33">
        <v>2</v>
      </c>
      <c r="F448" s="33">
        <v>0</v>
      </c>
      <c r="G448" s="33" t="s">
        <v>47</v>
      </c>
      <c r="H448" s="33" t="s">
        <v>941</v>
      </c>
      <c r="I448" s="33" t="s">
        <v>46</v>
      </c>
      <c r="J448" s="33" t="s">
        <v>40</v>
      </c>
      <c r="K448" s="33"/>
      <c r="L448" s="33"/>
    </row>
    <row r="449" spans="1:12" s="1" customFormat="1" x14ac:dyDescent="0.3">
      <c r="A449" s="33" t="s">
        <v>942</v>
      </c>
      <c r="B449" s="33">
        <v>4432524636</v>
      </c>
      <c r="C449" s="33" t="s">
        <v>42</v>
      </c>
      <c r="D449" s="33">
        <v>4430265054</v>
      </c>
      <c r="E449" s="33">
        <v>559</v>
      </c>
      <c r="F449" s="33">
        <v>539</v>
      </c>
      <c r="G449" s="33" t="s">
        <v>38</v>
      </c>
      <c r="H449" s="33" t="s">
        <v>943</v>
      </c>
      <c r="I449" s="33" t="s">
        <v>39</v>
      </c>
      <c r="J449" s="33" t="s">
        <v>40</v>
      </c>
      <c r="K449" s="33" t="s">
        <v>41</v>
      </c>
      <c r="L449" s="33">
        <v>5</v>
      </c>
    </row>
    <row r="450" spans="1:12" s="1" customFormat="1" x14ac:dyDescent="0.3">
      <c r="A450" s="33" t="s">
        <v>944</v>
      </c>
      <c r="B450" s="33" t="s">
        <v>49</v>
      </c>
      <c r="C450" s="33" t="s">
        <v>51</v>
      </c>
      <c r="D450" s="33"/>
      <c r="E450" s="33">
        <v>23</v>
      </c>
      <c r="F450" s="33">
        <v>0</v>
      </c>
      <c r="G450" s="33" t="s">
        <v>47</v>
      </c>
      <c r="H450" s="33" t="s">
        <v>945</v>
      </c>
      <c r="I450" s="33" t="s">
        <v>52</v>
      </c>
      <c r="J450" s="33" t="s">
        <v>40</v>
      </c>
      <c r="K450" s="33"/>
      <c r="L450" s="33"/>
    </row>
    <row r="451" spans="1:12" s="1" customFormat="1" x14ac:dyDescent="0.3">
      <c r="A451" s="33" t="s">
        <v>946</v>
      </c>
      <c r="B451" s="33">
        <v>44988135387</v>
      </c>
      <c r="C451" s="33" t="s">
        <v>37</v>
      </c>
      <c r="D451" s="33">
        <v>4430265054</v>
      </c>
      <c r="E451" s="33">
        <v>2001</v>
      </c>
      <c r="F451" s="33">
        <v>1921</v>
      </c>
      <c r="G451" s="33" t="s">
        <v>38</v>
      </c>
      <c r="H451" s="33" t="s">
        <v>947</v>
      </c>
      <c r="I451" s="33" t="s">
        <v>39</v>
      </c>
      <c r="J451" s="33" t="s">
        <v>40</v>
      </c>
      <c r="K451" s="33" t="s">
        <v>41</v>
      </c>
      <c r="L451" s="33"/>
    </row>
    <row r="452" spans="1:12" s="1" customFormat="1" x14ac:dyDescent="0.3">
      <c r="A452" s="33" t="s">
        <v>948</v>
      </c>
      <c r="B452" s="33">
        <v>44998849102</v>
      </c>
      <c r="C452" s="33" t="s">
        <v>42</v>
      </c>
      <c r="D452" s="33">
        <v>4430265054</v>
      </c>
      <c r="E452" s="33">
        <v>422</v>
      </c>
      <c r="F452" s="33">
        <v>389</v>
      </c>
      <c r="G452" s="33" t="s">
        <v>38</v>
      </c>
      <c r="H452" s="33" t="s">
        <v>949</v>
      </c>
      <c r="I452" s="33" t="s">
        <v>39</v>
      </c>
      <c r="J452" s="33" t="s">
        <v>40</v>
      </c>
      <c r="K452" s="33" t="s">
        <v>41</v>
      </c>
      <c r="L452" s="33"/>
    </row>
    <row r="453" spans="1:12" s="1" customFormat="1" x14ac:dyDescent="0.3">
      <c r="A453" s="33" t="s">
        <v>950</v>
      </c>
      <c r="B453" s="33">
        <v>44988255390</v>
      </c>
      <c r="C453" s="33" t="s">
        <v>43</v>
      </c>
      <c r="D453" s="33">
        <v>4430265054</v>
      </c>
      <c r="E453" s="33">
        <v>346</v>
      </c>
      <c r="F453" s="33">
        <v>289</v>
      </c>
      <c r="G453" s="33" t="s">
        <v>38</v>
      </c>
      <c r="H453" s="33" t="s">
        <v>951</v>
      </c>
      <c r="I453" s="33" t="s">
        <v>39</v>
      </c>
      <c r="J453" s="33" t="s">
        <v>40</v>
      </c>
      <c r="K453" s="33" t="s">
        <v>41</v>
      </c>
      <c r="L453" s="33"/>
    </row>
    <row r="454" spans="1:12" s="1" customFormat="1" x14ac:dyDescent="0.3">
      <c r="A454" s="33" t="s">
        <v>952</v>
      </c>
      <c r="B454" s="33">
        <v>4432275634</v>
      </c>
      <c r="C454" s="33" t="s">
        <v>44</v>
      </c>
      <c r="D454" s="33">
        <v>4430265054</v>
      </c>
      <c r="E454" s="33">
        <v>163</v>
      </c>
      <c r="F454" s="33">
        <v>78</v>
      </c>
      <c r="G454" s="33" t="s">
        <v>38</v>
      </c>
      <c r="H454" s="33" t="s">
        <v>953</v>
      </c>
      <c r="I454" s="33" t="s">
        <v>39</v>
      </c>
      <c r="J454" s="33" t="s">
        <v>40</v>
      </c>
      <c r="K454" s="33" t="s">
        <v>41</v>
      </c>
      <c r="L454" s="33"/>
    </row>
    <row r="455" spans="1:12" s="1" customFormat="1" x14ac:dyDescent="0.3">
      <c r="A455" s="33" t="s">
        <v>954</v>
      </c>
      <c r="B455" s="33">
        <v>4436297742</v>
      </c>
      <c r="C455" s="33" t="s">
        <v>43</v>
      </c>
      <c r="D455" s="33">
        <v>4430265054</v>
      </c>
      <c r="E455" s="33">
        <v>569</v>
      </c>
      <c r="F455" s="33">
        <v>485</v>
      </c>
      <c r="G455" s="33" t="s">
        <v>38</v>
      </c>
      <c r="H455" s="33" t="s">
        <v>955</v>
      </c>
      <c r="I455" s="33" t="s">
        <v>39</v>
      </c>
      <c r="J455" s="33" t="s">
        <v>40</v>
      </c>
      <c r="K455" s="33" t="s">
        <v>41</v>
      </c>
      <c r="L455" s="33"/>
    </row>
    <row r="456" spans="1:12" s="1" customFormat="1" x14ac:dyDescent="0.3">
      <c r="A456" s="33" t="s">
        <v>956</v>
      </c>
      <c r="B456" s="33">
        <v>11972178961</v>
      </c>
      <c r="C456" s="33" t="s">
        <v>37</v>
      </c>
      <c r="D456" s="33">
        <v>4430265054</v>
      </c>
      <c r="E456" s="33">
        <v>1927</v>
      </c>
      <c r="F456" s="33">
        <v>1850</v>
      </c>
      <c r="G456" s="33" t="s">
        <v>38</v>
      </c>
      <c r="H456" s="33" t="s">
        <v>957</v>
      </c>
      <c r="I456" s="33" t="s">
        <v>39</v>
      </c>
      <c r="J456" s="33" t="s">
        <v>40</v>
      </c>
      <c r="K456" s="33" t="s">
        <v>41</v>
      </c>
      <c r="L456" s="33"/>
    </row>
    <row r="457" spans="1:12" s="1" customFormat="1" x14ac:dyDescent="0.3">
      <c r="A457" s="33" t="s">
        <v>958</v>
      </c>
      <c r="B457" s="33">
        <v>41992155919</v>
      </c>
      <c r="C457" s="33" t="s">
        <v>42</v>
      </c>
      <c r="D457" s="33">
        <v>4430265054</v>
      </c>
      <c r="E457" s="33">
        <v>945</v>
      </c>
      <c r="F457" s="33">
        <v>924</v>
      </c>
      <c r="G457" s="33" t="s">
        <v>38</v>
      </c>
      <c r="H457" s="33" t="s">
        <v>959</v>
      </c>
      <c r="I457" s="33" t="s">
        <v>39</v>
      </c>
      <c r="J457" s="33" t="s">
        <v>40</v>
      </c>
      <c r="K457" s="33" t="s">
        <v>41</v>
      </c>
      <c r="L457" s="33">
        <v>5</v>
      </c>
    </row>
    <row r="458" spans="1:12" s="1" customFormat="1" x14ac:dyDescent="0.3">
      <c r="A458" s="33" t="s">
        <v>960</v>
      </c>
      <c r="B458" s="33">
        <v>4430318514</v>
      </c>
      <c r="C458" s="33" t="s">
        <v>37</v>
      </c>
      <c r="D458" s="33">
        <v>4430265054</v>
      </c>
      <c r="E458" s="33">
        <v>705</v>
      </c>
      <c r="F458" s="33">
        <v>652</v>
      </c>
      <c r="G458" s="33" t="s">
        <v>38</v>
      </c>
      <c r="H458" s="33" t="s">
        <v>961</v>
      </c>
      <c r="I458" s="33" t="s">
        <v>39</v>
      </c>
      <c r="J458" s="33" t="s">
        <v>40</v>
      </c>
      <c r="K458" s="33" t="s">
        <v>41</v>
      </c>
      <c r="L458" s="33"/>
    </row>
    <row r="459" spans="1:12" s="1" customFormat="1" x14ac:dyDescent="0.3">
      <c r="A459" s="33" t="s">
        <v>962</v>
      </c>
      <c r="B459" s="33">
        <v>35998295948</v>
      </c>
      <c r="C459" s="33" t="s">
        <v>48</v>
      </c>
      <c r="D459" s="33">
        <v>4430265054</v>
      </c>
      <c r="E459" s="33">
        <v>310</v>
      </c>
      <c r="F459" s="33">
        <v>310</v>
      </c>
      <c r="G459" s="33" t="s">
        <v>38</v>
      </c>
      <c r="H459" s="33" t="s">
        <v>963</v>
      </c>
      <c r="I459" s="33" t="s">
        <v>39</v>
      </c>
      <c r="J459" s="33" t="s">
        <v>40</v>
      </c>
      <c r="K459" s="33" t="s">
        <v>41</v>
      </c>
      <c r="L459" s="33"/>
    </row>
    <row r="460" spans="1:12" s="1" customFormat="1" x14ac:dyDescent="0.3">
      <c r="A460" s="33" t="s">
        <v>964</v>
      </c>
      <c r="B460" s="33">
        <v>44991484476</v>
      </c>
      <c r="C460" s="33" t="s">
        <v>44</v>
      </c>
      <c r="D460" s="33">
        <v>4430265054</v>
      </c>
      <c r="E460" s="33">
        <v>316</v>
      </c>
      <c r="F460" s="33">
        <v>292</v>
      </c>
      <c r="G460" s="33" t="s">
        <v>38</v>
      </c>
      <c r="H460" s="33" t="s">
        <v>965</v>
      </c>
      <c r="I460" s="33" t="s">
        <v>39</v>
      </c>
      <c r="J460" s="33" t="s">
        <v>40</v>
      </c>
      <c r="K460" s="33" t="s">
        <v>41</v>
      </c>
      <c r="L460" s="33">
        <v>5</v>
      </c>
    </row>
    <row r="461" spans="1:12" s="1" customFormat="1" x14ac:dyDescent="0.3">
      <c r="A461" s="33" t="s">
        <v>966</v>
      </c>
      <c r="B461" s="33">
        <v>4430141533</v>
      </c>
      <c r="C461" s="33" t="s">
        <v>42</v>
      </c>
      <c r="D461" s="33">
        <v>4430265054</v>
      </c>
      <c r="E461" s="33">
        <v>427</v>
      </c>
      <c r="F461" s="33">
        <v>408</v>
      </c>
      <c r="G461" s="33" t="s">
        <v>38</v>
      </c>
      <c r="H461" s="33" t="s">
        <v>967</v>
      </c>
      <c r="I461" s="33" t="s">
        <v>39</v>
      </c>
      <c r="J461" s="33" t="s">
        <v>40</v>
      </c>
      <c r="K461" s="33" t="s">
        <v>41</v>
      </c>
      <c r="L461" s="33"/>
    </row>
    <row r="462" spans="1:12" s="1" customFormat="1" x14ac:dyDescent="0.3">
      <c r="A462" s="33" t="s">
        <v>968</v>
      </c>
      <c r="B462" s="33">
        <v>35998295948</v>
      </c>
      <c r="C462" s="33" t="s">
        <v>37</v>
      </c>
      <c r="D462" s="33">
        <v>4430265054</v>
      </c>
      <c r="E462" s="33">
        <v>114</v>
      </c>
      <c r="F462" s="33">
        <v>95</v>
      </c>
      <c r="G462" s="33" t="s">
        <v>38</v>
      </c>
      <c r="H462" s="33" t="s">
        <v>969</v>
      </c>
      <c r="I462" s="33" t="s">
        <v>39</v>
      </c>
      <c r="J462" s="33" t="s">
        <v>40</v>
      </c>
      <c r="K462" s="33" t="s">
        <v>41</v>
      </c>
      <c r="L462" s="33"/>
    </row>
    <row r="463" spans="1:12" s="1" customFormat="1" x14ac:dyDescent="0.3">
      <c r="A463" s="33" t="s">
        <v>970</v>
      </c>
      <c r="B463" s="33" t="s">
        <v>42</v>
      </c>
      <c r="C463" s="33">
        <v>4436313773</v>
      </c>
      <c r="D463" s="33"/>
      <c r="E463" s="33">
        <v>44</v>
      </c>
      <c r="F463" s="33">
        <v>36</v>
      </c>
      <c r="G463" s="33" t="s">
        <v>38</v>
      </c>
      <c r="H463" s="33" t="s">
        <v>971</v>
      </c>
      <c r="I463" s="33" t="s">
        <v>46</v>
      </c>
      <c r="J463" s="33" t="s">
        <v>40</v>
      </c>
      <c r="K463" s="33"/>
      <c r="L463" s="33"/>
    </row>
    <row r="464" spans="1:12" s="1" customFormat="1" x14ac:dyDescent="0.3">
      <c r="A464" s="33" t="s">
        <v>972</v>
      </c>
      <c r="B464" s="33">
        <v>83988398480</v>
      </c>
      <c r="C464" s="33" t="s">
        <v>44</v>
      </c>
      <c r="D464" s="33">
        <v>4430265054</v>
      </c>
      <c r="E464" s="33">
        <v>226</v>
      </c>
      <c r="F464" s="33">
        <v>217</v>
      </c>
      <c r="G464" s="33" t="s">
        <v>38</v>
      </c>
      <c r="H464" s="33" t="s">
        <v>973</v>
      </c>
      <c r="I464" s="33" t="s">
        <v>39</v>
      </c>
      <c r="J464" s="33" t="s">
        <v>40</v>
      </c>
      <c r="K464" s="33" t="s">
        <v>41</v>
      </c>
      <c r="L464" s="33"/>
    </row>
    <row r="465" spans="1:12" s="1" customFormat="1" x14ac:dyDescent="0.3">
      <c r="A465" s="33" t="s">
        <v>974</v>
      </c>
      <c r="B465" s="33">
        <v>41992155919</v>
      </c>
      <c r="C465" s="33" t="s">
        <v>43</v>
      </c>
      <c r="D465" s="33">
        <v>4430265054</v>
      </c>
      <c r="E465" s="33">
        <v>1178</v>
      </c>
      <c r="F465" s="33">
        <v>1114</v>
      </c>
      <c r="G465" s="33" t="s">
        <v>38</v>
      </c>
      <c r="H465" s="33" t="s">
        <v>975</v>
      </c>
      <c r="I465" s="33" t="s">
        <v>39</v>
      </c>
      <c r="J465" s="33" t="s">
        <v>40</v>
      </c>
      <c r="K465" s="33" t="s">
        <v>41</v>
      </c>
      <c r="L465" s="33">
        <v>5</v>
      </c>
    </row>
    <row r="466" spans="1:12" s="1" customFormat="1" x14ac:dyDescent="0.3">
      <c r="A466" s="33" t="s">
        <v>976</v>
      </c>
      <c r="B466" s="33">
        <v>4435228300</v>
      </c>
      <c r="C466" s="33" t="s">
        <v>42</v>
      </c>
      <c r="D466" s="33">
        <v>4430265054</v>
      </c>
      <c r="E466" s="33">
        <v>234</v>
      </c>
      <c r="F466" s="33">
        <v>178</v>
      </c>
      <c r="G466" s="33" t="s">
        <v>38</v>
      </c>
      <c r="H466" s="33" t="s">
        <v>977</v>
      </c>
      <c r="I466" s="33" t="s">
        <v>39</v>
      </c>
      <c r="J466" s="33" t="s">
        <v>40</v>
      </c>
      <c r="K466" s="33" t="s">
        <v>41</v>
      </c>
      <c r="L466" s="33"/>
    </row>
    <row r="467" spans="1:12" s="1" customFormat="1" x14ac:dyDescent="0.3">
      <c r="A467" s="33" t="s">
        <v>978</v>
      </c>
      <c r="B467" s="33">
        <v>4430315534</v>
      </c>
      <c r="C467" s="33" t="s">
        <v>43</v>
      </c>
      <c r="D467" s="33">
        <v>4430265054</v>
      </c>
      <c r="E467" s="33">
        <v>117</v>
      </c>
      <c r="F467" s="33">
        <v>96</v>
      </c>
      <c r="G467" s="33" t="s">
        <v>38</v>
      </c>
      <c r="H467" s="33" t="s">
        <v>979</v>
      </c>
      <c r="I467" s="33" t="s">
        <v>39</v>
      </c>
      <c r="J467" s="33" t="s">
        <v>40</v>
      </c>
      <c r="K467" s="33" t="s">
        <v>41</v>
      </c>
      <c r="L467" s="33"/>
    </row>
    <row r="468" spans="1:12" s="1" customFormat="1" x14ac:dyDescent="0.3">
      <c r="A468" s="33" t="s">
        <v>980</v>
      </c>
      <c r="B468" s="33">
        <v>44999632141</v>
      </c>
      <c r="C468" s="33" t="s">
        <v>37</v>
      </c>
      <c r="D468" s="33">
        <v>4430265054</v>
      </c>
      <c r="E468" s="33">
        <v>566</v>
      </c>
      <c r="F468" s="33">
        <v>523</v>
      </c>
      <c r="G468" s="33" t="s">
        <v>38</v>
      </c>
      <c r="H468" s="33" t="s">
        <v>981</v>
      </c>
      <c r="I468" s="33" t="s">
        <v>39</v>
      </c>
      <c r="J468" s="33" t="s">
        <v>40</v>
      </c>
      <c r="K468" s="33" t="s">
        <v>41</v>
      </c>
      <c r="L468" s="33">
        <v>5</v>
      </c>
    </row>
    <row r="469" spans="1:12" s="1" customFormat="1" x14ac:dyDescent="0.3">
      <c r="A469" s="33" t="s">
        <v>982</v>
      </c>
      <c r="B469" s="33">
        <v>35998295948</v>
      </c>
      <c r="C469" s="33" t="s">
        <v>48</v>
      </c>
      <c r="D469" s="33">
        <v>4430265054</v>
      </c>
      <c r="E469" s="33">
        <v>236</v>
      </c>
      <c r="F469" s="33">
        <v>211</v>
      </c>
      <c r="G469" s="33" t="s">
        <v>38</v>
      </c>
      <c r="H469" s="33" t="s">
        <v>983</v>
      </c>
      <c r="I469" s="33" t="s">
        <v>39</v>
      </c>
      <c r="J469" s="33" t="s">
        <v>40</v>
      </c>
      <c r="K469" s="33" t="s">
        <v>41</v>
      </c>
      <c r="L469" s="33"/>
    </row>
    <row r="470" spans="1:12" s="1" customFormat="1" x14ac:dyDescent="0.3">
      <c r="A470" s="33" t="s">
        <v>984</v>
      </c>
      <c r="B470" s="33">
        <v>4432520077</v>
      </c>
      <c r="C470" s="33" t="s">
        <v>43</v>
      </c>
      <c r="D470" s="33">
        <v>4430265054</v>
      </c>
      <c r="E470" s="33">
        <v>487</v>
      </c>
      <c r="F470" s="33">
        <v>406</v>
      </c>
      <c r="G470" s="33" t="s">
        <v>38</v>
      </c>
      <c r="H470" s="33" t="s">
        <v>985</v>
      </c>
      <c r="I470" s="33" t="s">
        <v>39</v>
      </c>
      <c r="J470" s="33" t="s">
        <v>40</v>
      </c>
      <c r="K470" s="33" t="s">
        <v>41</v>
      </c>
      <c r="L470" s="33">
        <v>5</v>
      </c>
    </row>
    <row r="471" spans="1:12" s="1" customFormat="1" x14ac:dyDescent="0.3">
      <c r="A471" s="33" t="s">
        <v>986</v>
      </c>
      <c r="B471" s="33" t="s">
        <v>43</v>
      </c>
      <c r="C471" s="33">
        <v>44999670264</v>
      </c>
      <c r="D471" s="33"/>
      <c r="E471" s="33">
        <v>473</v>
      </c>
      <c r="F471" s="33">
        <v>463</v>
      </c>
      <c r="G471" s="33" t="s">
        <v>38</v>
      </c>
      <c r="H471" s="33" t="s">
        <v>987</v>
      </c>
      <c r="I471" s="33" t="s">
        <v>46</v>
      </c>
      <c r="J471" s="33" t="s">
        <v>40</v>
      </c>
      <c r="K471" s="33"/>
      <c r="L471" s="33"/>
    </row>
    <row r="472" spans="1:12" s="1" customFormat="1" x14ac:dyDescent="0.3">
      <c r="A472" s="33" t="s">
        <v>988</v>
      </c>
      <c r="B472" s="33">
        <v>35998295948</v>
      </c>
      <c r="C472" s="33" t="s">
        <v>48</v>
      </c>
      <c r="D472" s="33">
        <v>4430265054</v>
      </c>
      <c r="E472" s="33">
        <v>417</v>
      </c>
      <c r="F472" s="33">
        <v>417</v>
      </c>
      <c r="G472" s="33" t="s">
        <v>38</v>
      </c>
      <c r="H472" s="33" t="s">
        <v>989</v>
      </c>
      <c r="I472" s="33" t="s">
        <v>39</v>
      </c>
      <c r="J472" s="33" t="s">
        <v>40</v>
      </c>
      <c r="K472" s="33" t="s">
        <v>41</v>
      </c>
      <c r="L472" s="33"/>
    </row>
    <row r="473" spans="1:12" s="1" customFormat="1" x14ac:dyDescent="0.3">
      <c r="A473" s="33" t="s">
        <v>990</v>
      </c>
      <c r="B473" s="33">
        <v>4432265534</v>
      </c>
      <c r="C473" s="33" t="s">
        <v>37</v>
      </c>
      <c r="D473" s="33">
        <v>4430265054</v>
      </c>
      <c r="E473" s="33">
        <v>729</v>
      </c>
      <c r="F473" s="33">
        <v>685</v>
      </c>
      <c r="G473" s="33" t="s">
        <v>38</v>
      </c>
      <c r="H473" s="33" t="s">
        <v>991</v>
      </c>
      <c r="I473" s="33" t="s">
        <v>39</v>
      </c>
      <c r="J473" s="33" t="s">
        <v>40</v>
      </c>
      <c r="K473" s="33" t="s">
        <v>41</v>
      </c>
      <c r="L473" s="33"/>
    </row>
    <row r="474" spans="1:12" s="1" customFormat="1" x14ac:dyDescent="0.3">
      <c r="A474" s="33" t="s">
        <v>992</v>
      </c>
      <c r="B474" s="33">
        <v>44991484476</v>
      </c>
      <c r="C474" s="33" t="s">
        <v>37</v>
      </c>
      <c r="D474" s="33">
        <v>4430265054</v>
      </c>
      <c r="E474" s="33">
        <v>355</v>
      </c>
      <c r="F474" s="33">
        <v>259</v>
      </c>
      <c r="G474" s="33" t="s">
        <v>38</v>
      </c>
      <c r="H474" s="33" t="s">
        <v>993</v>
      </c>
      <c r="I474" s="33" t="s">
        <v>39</v>
      </c>
      <c r="J474" s="33" t="s">
        <v>40</v>
      </c>
      <c r="K474" s="33" t="s">
        <v>41</v>
      </c>
      <c r="L474" s="33">
        <v>5</v>
      </c>
    </row>
    <row r="475" spans="1:12" s="1" customFormat="1" x14ac:dyDescent="0.3">
      <c r="A475" s="33" t="s">
        <v>994</v>
      </c>
      <c r="B475" s="33">
        <v>44999670264</v>
      </c>
      <c r="C475" s="33" t="s">
        <v>44</v>
      </c>
      <c r="D475" s="33">
        <v>4430265054</v>
      </c>
      <c r="E475" s="33">
        <v>175</v>
      </c>
      <c r="F475" s="33">
        <v>110</v>
      </c>
      <c r="G475" s="33" t="s">
        <v>38</v>
      </c>
      <c r="H475" s="33" t="s">
        <v>995</v>
      </c>
      <c r="I475" s="33" t="s">
        <v>39</v>
      </c>
      <c r="J475" s="33" t="s">
        <v>40</v>
      </c>
      <c r="K475" s="33" t="s">
        <v>41</v>
      </c>
      <c r="L475" s="33"/>
    </row>
    <row r="476" spans="1:12" s="1" customFormat="1" x14ac:dyDescent="0.3">
      <c r="A476" s="33" t="s">
        <v>996</v>
      </c>
      <c r="B476" s="33">
        <v>4436372125</v>
      </c>
      <c r="C476" s="33" t="s">
        <v>42</v>
      </c>
      <c r="D476" s="33">
        <v>4430265054</v>
      </c>
      <c r="E476" s="33">
        <v>788</v>
      </c>
      <c r="F476" s="33">
        <v>691</v>
      </c>
      <c r="G476" s="33" t="s">
        <v>38</v>
      </c>
      <c r="H476" s="33" t="s">
        <v>997</v>
      </c>
      <c r="I476" s="33" t="s">
        <v>39</v>
      </c>
      <c r="J476" s="33" t="s">
        <v>40</v>
      </c>
      <c r="K476" s="33" t="s">
        <v>41</v>
      </c>
      <c r="L476" s="33"/>
    </row>
    <row r="477" spans="1:12" s="1" customFormat="1" x14ac:dyDescent="0.3">
      <c r="A477" s="33" t="s">
        <v>998</v>
      </c>
      <c r="B477" s="33" t="s">
        <v>37</v>
      </c>
      <c r="C477" s="33">
        <v>35998295948</v>
      </c>
      <c r="D477" s="33"/>
      <c r="E477" s="33">
        <v>54</v>
      </c>
      <c r="F477" s="33">
        <v>45</v>
      </c>
      <c r="G477" s="33" t="s">
        <v>38</v>
      </c>
      <c r="H477" s="33" t="s">
        <v>999</v>
      </c>
      <c r="I477" s="33" t="s">
        <v>46</v>
      </c>
      <c r="J477" s="33" t="s">
        <v>40</v>
      </c>
      <c r="K477" s="33"/>
      <c r="L477" s="33"/>
    </row>
    <row r="478" spans="1:12" s="1" customFormat="1" x14ac:dyDescent="0.3">
      <c r="A478" s="33" t="s">
        <v>1000</v>
      </c>
      <c r="B478" s="33">
        <v>44991484476</v>
      </c>
      <c r="C478" s="33" t="s">
        <v>42</v>
      </c>
      <c r="D478" s="33">
        <v>4430265054</v>
      </c>
      <c r="E478" s="33">
        <v>444</v>
      </c>
      <c r="F478" s="33">
        <v>326</v>
      </c>
      <c r="G478" s="33" t="s">
        <v>38</v>
      </c>
      <c r="H478" s="33" t="s">
        <v>1001</v>
      </c>
      <c r="I478" s="33" t="s">
        <v>39</v>
      </c>
      <c r="J478" s="33" t="s">
        <v>40</v>
      </c>
      <c r="K478" s="33" t="s">
        <v>41</v>
      </c>
      <c r="L478" s="33">
        <v>5</v>
      </c>
    </row>
    <row r="479" spans="1:12" s="1" customFormat="1" x14ac:dyDescent="0.3">
      <c r="A479" s="33" t="s">
        <v>1002</v>
      </c>
      <c r="B479" s="33">
        <v>44991484476</v>
      </c>
      <c r="C479" s="33" t="s">
        <v>48</v>
      </c>
      <c r="D479" s="33">
        <v>4430265054</v>
      </c>
      <c r="E479" s="33">
        <v>51</v>
      </c>
      <c r="F479" s="33">
        <v>50</v>
      </c>
      <c r="G479" s="33" t="s">
        <v>38</v>
      </c>
      <c r="H479" s="33" t="s">
        <v>1003</v>
      </c>
      <c r="I479" s="33" t="s">
        <v>39</v>
      </c>
      <c r="J479" s="33" t="s">
        <v>40</v>
      </c>
      <c r="K479" s="33" t="s">
        <v>41</v>
      </c>
      <c r="L479" s="33"/>
    </row>
    <row r="480" spans="1:12" s="1" customFormat="1" x14ac:dyDescent="0.3">
      <c r="A480" s="33" t="s">
        <v>1004</v>
      </c>
      <c r="B480" s="33">
        <v>4330333542</v>
      </c>
      <c r="C480" s="33" t="s">
        <v>44</v>
      </c>
      <c r="D480" s="33">
        <v>4430265054</v>
      </c>
      <c r="E480" s="33">
        <v>712</v>
      </c>
      <c r="F480" s="33">
        <v>655</v>
      </c>
      <c r="G480" s="33" t="s">
        <v>38</v>
      </c>
      <c r="H480" s="33" t="s">
        <v>1005</v>
      </c>
      <c r="I480" s="33" t="s">
        <v>39</v>
      </c>
      <c r="J480" s="33" t="s">
        <v>40</v>
      </c>
      <c r="K480" s="33" t="s">
        <v>41</v>
      </c>
      <c r="L480" s="33"/>
    </row>
    <row r="481" spans="1:12" s="1" customFormat="1" x14ac:dyDescent="0.3">
      <c r="A481" s="33" t="s">
        <v>1006</v>
      </c>
      <c r="B481" s="33">
        <v>44999670264</v>
      </c>
      <c r="C481" s="33" t="s">
        <v>43</v>
      </c>
      <c r="D481" s="33">
        <v>4430265054</v>
      </c>
      <c r="E481" s="33">
        <v>898</v>
      </c>
      <c r="F481" s="33">
        <v>880</v>
      </c>
      <c r="G481" s="33" t="s">
        <v>38</v>
      </c>
      <c r="H481" s="33" t="s">
        <v>1007</v>
      </c>
      <c r="I481" s="33" t="s">
        <v>39</v>
      </c>
      <c r="J481" s="33" t="s">
        <v>40</v>
      </c>
      <c r="K481" s="33" t="s">
        <v>41</v>
      </c>
      <c r="L481" s="33"/>
    </row>
    <row r="482" spans="1:12" s="1" customFormat="1" x14ac:dyDescent="0.3">
      <c r="A482" s="33" t="s">
        <v>1008</v>
      </c>
      <c r="B482" s="33">
        <v>35998295948</v>
      </c>
      <c r="C482" s="33" t="s">
        <v>37</v>
      </c>
      <c r="D482" s="33">
        <v>4430265054</v>
      </c>
      <c r="E482" s="33">
        <v>2469</v>
      </c>
      <c r="F482" s="33">
        <v>2455</v>
      </c>
      <c r="G482" s="33" t="s">
        <v>38</v>
      </c>
      <c r="H482" s="33" t="s">
        <v>1009</v>
      </c>
      <c r="I482" s="33" t="s">
        <v>39</v>
      </c>
      <c r="J482" s="33" t="s">
        <v>40</v>
      </c>
      <c r="K482" s="33" t="s">
        <v>41</v>
      </c>
      <c r="L482" s="33"/>
    </row>
    <row r="483" spans="1:12" s="1" customFormat="1" x14ac:dyDescent="0.3">
      <c r="A483" s="33" t="s">
        <v>1010</v>
      </c>
      <c r="B483" s="33">
        <v>4436249360</v>
      </c>
      <c r="C483" s="33" t="s">
        <v>48</v>
      </c>
      <c r="D483" s="33">
        <v>4430265054</v>
      </c>
      <c r="E483" s="33">
        <v>284</v>
      </c>
      <c r="F483" s="33">
        <v>283</v>
      </c>
      <c r="G483" s="33" t="s">
        <v>38</v>
      </c>
      <c r="H483" s="33" t="s">
        <v>1011</v>
      </c>
      <c r="I483" s="33" t="s">
        <v>39</v>
      </c>
      <c r="J483" s="33" t="s">
        <v>40</v>
      </c>
      <c r="K483" s="33" t="s">
        <v>41</v>
      </c>
      <c r="L483" s="33"/>
    </row>
    <row r="484" spans="1:12" s="1" customFormat="1" x14ac:dyDescent="0.3">
      <c r="A484" s="33" t="s">
        <v>1012</v>
      </c>
      <c r="B484" s="33">
        <v>44999451200</v>
      </c>
      <c r="C484" s="33" t="s">
        <v>48</v>
      </c>
      <c r="D484" s="33">
        <v>4430265054</v>
      </c>
      <c r="E484" s="33">
        <v>176</v>
      </c>
      <c r="F484" s="33">
        <v>175</v>
      </c>
      <c r="G484" s="33" t="s">
        <v>38</v>
      </c>
      <c r="H484" s="33" t="s">
        <v>1013</v>
      </c>
      <c r="I484" s="33" t="s">
        <v>39</v>
      </c>
      <c r="J484" s="33" t="s">
        <v>40</v>
      </c>
      <c r="K484" s="33" t="s">
        <v>41</v>
      </c>
      <c r="L484" s="33">
        <v>5</v>
      </c>
    </row>
    <row r="485" spans="1:12" s="1" customFormat="1" x14ac:dyDescent="0.3">
      <c r="A485" s="33" t="s">
        <v>1014</v>
      </c>
      <c r="B485" s="33">
        <v>4330261969</v>
      </c>
      <c r="C485" s="33" t="s">
        <v>43</v>
      </c>
      <c r="D485" s="33">
        <v>4430265054</v>
      </c>
      <c r="E485" s="33">
        <v>753</v>
      </c>
      <c r="F485" s="33">
        <v>715</v>
      </c>
      <c r="G485" s="33" t="s">
        <v>38</v>
      </c>
      <c r="H485" s="33" t="s">
        <v>1015</v>
      </c>
      <c r="I485" s="33" t="s">
        <v>39</v>
      </c>
      <c r="J485" s="33" t="s">
        <v>40</v>
      </c>
      <c r="K485" s="33" t="s">
        <v>41</v>
      </c>
      <c r="L485" s="33"/>
    </row>
    <row r="486" spans="1:12" s="1" customFormat="1" x14ac:dyDescent="0.3">
      <c r="A486" s="33" t="s">
        <v>1016</v>
      </c>
      <c r="B486" s="33" t="s">
        <v>42</v>
      </c>
      <c r="C486" s="33">
        <v>67992169496</v>
      </c>
      <c r="D486" s="33"/>
      <c r="E486" s="33">
        <v>676</v>
      </c>
      <c r="F486" s="33">
        <v>664</v>
      </c>
      <c r="G486" s="33" t="s">
        <v>38</v>
      </c>
      <c r="H486" s="33" t="s">
        <v>1017</v>
      </c>
      <c r="I486" s="33" t="s">
        <v>46</v>
      </c>
      <c r="J486" s="33" t="s">
        <v>40</v>
      </c>
      <c r="K486" s="33"/>
      <c r="L486" s="33">
        <v>5</v>
      </c>
    </row>
    <row r="487" spans="1:12" s="1" customFormat="1" x14ac:dyDescent="0.3">
      <c r="A487" s="33" t="s">
        <v>1018</v>
      </c>
      <c r="B487" s="33" t="s">
        <v>42</v>
      </c>
      <c r="C487" s="33">
        <v>6734610844</v>
      </c>
      <c r="D487" s="33"/>
      <c r="E487" s="33">
        <v>5</v>
      </c>
      <c r="F487" s="33">
        <v>0</v>
      </c>
      <c r="G487" s="33" t="s">
        <v>47</v>
      </c>
      <c r="H487" s="33" t="s">
        <v>1019</v>
      </c>
      <c r="I487" s="33" t="s">
        <v>46</v>
      </c>
      <c r="J487" s="33" t="s">
        <v>40</v>
      </c>
      <c r="K487" s="33"/>
      <c r="L487" s="33"/>
    </row>
    <row r="488" spans="1:12" s="1" customFormat="1" x14ac:dyDescent="0.3">
      <c r="A488" s="33" t="s">
        <v>1020</v>
      </c>
      <c r="B488" s="33">
        <v>45999211357</v>
      </c>
      <c r="C488" s="33" t="s">
        <v>37</v>
      </c>
      <c r="D488" s="33">
        <v>4431268225</v>
      </c>
      <c r="E488" s="33">
        <v>248</v>
      </c>
      <c r="F488" s="33">
        <v>218</v>
      </c>
      <c r="G488" s="33" t="s">
        <v>38</v>
      </c>
      <c r="H488" s="33" t="s">
        <v>1021</v>
      </c>
      <c r="I488" s="33" t="s">
        <v>39</v>
      </c>
      <c r="J488" s="33" t="s">
        <v>40</v>
      </c>
      <c r="K488" s="33" t="s">
        <v>41</v>
      </c>
      <c r="L488" s="33"/>
    </row>
    <row r="489" spans="1:12" s="1" customFormat="1" x14ac:dyDescent="0.3">
      <c r="A489" s="33" t="s">
        <v>1022</v>
      </c>
      <c r="B489" s="33">
        <v>44998717172</v>
      </c>
      <c r="C489" s="33" t="s">
        <v>44</v>
      </c>
      <c r="D489" s="33">
        <v>4430265054</v>
      </c>
      <c r="E489" s="33">
        <v>594</v>
      </c>
      <c r="F489" s="33">
        <v>545</v>
      </c>
      <c r="G489" s="33" t="s">
        <v>38</v>
      </c>
      <c r="H489" s="33" t="s">
        <v>1023</v>
      </c>
      <c r="I489" s="33" t="s">
        <v>39</v>
      </c>
      <c r="J489" s="33" t="s">
        <v>40</v>
      </c>
      <c r="K489" s="33" t="s">
        <v>41</v>
      </c>
      <c r="L489" s="33"/>
    </row>
    <row r="490" spans="1:12" s="1" customFormat="1" x14ac:dyDescent="0.3">
      <c r="A490" s="33" t="s">
        <v>1024</v>
      </c>
      <c r="B490" s="33">
        <v>4432520077</v>
      </c>
      <c r="C490" s="33" t="s">
        <v>42</v>
      </c>
      <c r="D490" s="33">
        <v>4430265054</v>
      </c>
      <c r="E490" s="33">
        <v>276</v>
      </c>
      <c r="F490" s="33">
        <v>244</v>
      </c>
      <c r="G490" s="33" t="s">
        <v>38</v>
      </c>
      <c r="H490" s="33" t="s">
        <v>1025</v>
      </c>
      <c r="I490" s="33" t="s">
        <v>39</v>
      </c>
      <c r="J490" s="33" t="s">
        <v>40</v>
      </c>
      <c r="K490" s="33" t="s">
        <v>41</v>
      </c>
      <c r="L490" s="33">
        <v>5</v>
      </c>
    </row>
    <row r="491" spans="1:12" s="1" customFormat="1" x14ac:dyDescent="0.3">
      <c r="A491" s="33" t="s">
        <v>1026</v>
      </c>
      <c r="B491" s="33">
        <v>67992169496</v>
      </c>
      <c r="C491" s="33" t="s">
        <v>42</v>
      </c>
      <c r="D491" s="33">
        <v>4430265054</v>
      </c>
      <c r="E491" s="33">
        <v>566</v>
      </c>
      <c r="F491" s="33">
        <v>539</v>
      </c>
      <c r="G491" s="33" t="s">
        <v>38</v>
      </c>
      <c r="H491" s="33" t="s">
        <v>1027</v>
      </c>
      <c r="I491" s="33" t="s">
        <v>39</v>
      </c>
      <c r="J491" s="33" t="s">
        <v>40</v>
      </c>
      <c r="K491" s="33" t="s">
        <v>41</v>
      </c>
      <c r="L491" s="33"/>
    </row>
    <row r="492" spans="1:12" s="1" customFormat="1" x14ac:dyDescent="0.3">
      <c r="A492" s="33" t="s">
        <v>1028</v>
      </c>
      <c r="B492" s="33">
        <v>44988255390</v>
      </c>
      <c r="C492" s="33" t="s">
        <v>37</v>
      </c>
      <c r="D492" s="33">
        <v>4430265054</v>
      </c>
      <c r="E492" s="33">
        <v>765</v>
      </c>
      <c r="F492" s="33">
        <v>727</v>
      </c>
      <c r="G492" s="33" t="s">
        <v>38</v>
      </c>
      <c r="H492" s="33" t="s">
        <v>1029</v>
      </c>
      <c r="I492" s="33" t="s">
        <v>39</v>
      </c>
      <c r="J492" s="33" t="s">
        <v>40</v>
      </c>
      <c r="K492" s="33" t="s">
        <v>41</v>
      </c>
      <c r="L492" s="33">
        <v>5</v>
      </c>
    </row>
    <row r="493" spans="1:12" s="1" customFormat="1" x14ac:dyDescent="0.3">
      <c r="A493" s="33" t="s">
        <v>1030</v>
      </c>
      <c r="B493" s="33">
        <v>4439001698</v>
      </c>
      <c r="C493" s="33" t="s">
        <v>44</v>
      </c>
      <c r="D493" s="33">
        <v>4430265054</v>
      </c>
      <c r="E493" s="33">
        <v>550</v>
      </c>
      <c r="F493" s="33">
        <v>466</v>
      </c>
      <c r="G493" s="33" t="s">
        <v>38</v>
      </c>
      <c r="H493" s="33" t="s">
        <v>1031</v>
      </c>
      <c r="I493" s="33" t="s">
        <v>39</v>
      </c>
      <c r="J493" s="33" t="s">
        <v>40</v>
      </c>
      <c r="K493" s="33" t="s">
        <v>41</v>
      </c>
      <c r="L493" s="33"/>
    </row>
    <row r="494" spans="1:12" s="1" customFormat="1" x14ac:dyDescent="0.3">
      <c r="A494" s="33" t="s">
        <v>1032</v>
      </c>
      <c r="B494" s="33">
        <v>1128897100</v>
      </c>
      <c r="C494" s="33" t="s">
        <v>43</v>
      </c>
      <c r="D494" s="33">
        <v>4430265054</v>
      </c>
      <c r="E494" s="33">
        <v>440</v>
      </c>
      <c r="F494" s="33">
        <v>413</v>
      </c>
      <c r="G494" s="33" t="s">
        <v>38</v>
      </c>
      <c r="H494" s="33" t="s">
        <v>1033</v>
      </c>
      <c r="I494" s="33" t="s">
        <v>39</v>
      </c>
      <c r="J494" s="33" t="s">
        <v>40</v>
      </c>
      <c r="K494" s="33" t="s">
        <v>41</v>
      </c>
      <c r="L494" s="33"/>
    </row>
    <row r="495" spans="1:12" s="1" customFormat="1" x14ac:dyDescent="0.3">
      <c r="A495" s="33" t="s">
        <v>1034</v>
      </c>
      <c r="B495" s="33" t="s">
        <v>48</v>
      </c>
      <c r="C495" s="33">
        <v>4434230642</v>
      </c>
      <c r="D495" s="33"/>
      <c r="E495" s="33">
        <v>854</v>
      </c>
      <c r="F495" s="33">
        <v>844</v>
      </c>
      <c r="G495" s="33" t="s">
        <v>38</v>
      </c>
      <c r="H495" s="33" t="s">
        <v>1035</v>
      </c>
      <c r="I495" s="33" t="s">
        <v>46</v>
      </c>
      <c r="J495" s="33" t="s">
        <v>40</v>
      </c>
      <c r="K495" s="33"/>
      <c r="L495" s="33"/>
    </row>
    <row r="496" spans="1:12" s="1" customFormat="1" x14ac:dyDescent="0.3">
      <c r="A496" s="33" t="s">
        <v>1036</v>
      </c>
      <c r="B496" s="33">
        <v>4435226025</v>
      </c>
      <c r="C496" s="33" t="s">
        <v>37</v>
      </c>
      <c r="D496" s="33">
        <v>4430265054</v>
      </c>
      <c r="E496" s="33">
        <v>2341</v>
      </c>
      <c r="F496" s="33">
        <v>2288</v>
      </c>
      <c r="G496" s="33" t="s">
        <v>38</v>
      </c>
      <c r="H496" s="33" t="s">
        <v>1037</v>
      </c>
      <c r="I496" s="33" t="s">
        <v>39</v>
      </c>
      <c r="J496" s="33" t="s">
        <v>40</v>
      </c>
      <c r="K496" s="33" t="s">
        <v>41</v>
      </c>
      <c r="L496" s="33"/>
    </row>
    <row r="497" spans="1:12" s="1" customFormat="1" x14ac:dyDescent="0.3">
      <c r="A497" s="33" t="s">
        <v>1038</v>
      </c>
      <c r="B497" s="33">
        <v>35998295948</v>
      </c>
      <c r="C497" s="33" t="s">
        <v>48</v>
      </c>
      <c r="D497" s="33">
        <v>4430265054</v>
      </c>
      <c r="E497" s="33">
        <v>314</v>
      </c>
      <c r="F497" s="33">
        <v>314</v>
      </c>
      <c r="G497" s="33" t="s">
        <v>38</v>
      </c>
      <c r="H497" s="33" t="s">
        <v>1039</v>
      </c>
      <c r="I497" s="33" t="s">
        <v>39</v>
      </c>
      <c r="J497" s="33" t="s">
        <v>40</v>
      </c>
      <c r="K497" s="33" t="s">
        <v>41</v>
      </c>
      <c r="L497" s="33"/>
    </row>
    <row r="498" spans="1:12" s="1" customFormat="1" x14ac:dyDescent="0.3">
      <c r="A498" s="33" t="s">
        <v>1040</v>
      </c>
      <c r="B498" s="33">
        <v>44991668902</v>
      </c>
      <c r="C498" s="33" t="s">
        <v>42</v>
      </c>
      <c r="D498" s="33">
        <v>4430265054</v>
      </c>
      <c r="E498" s="33">
        <v>747</v>
      </c>
      <c r="F498" s="33">
        <v>667</v>
      </c>
      <c r="G498" s="33" t="s">
        <v>38</v>
      </c>
      <c r="H498" s="33" t="s">
        <v>1041</v>
      </c>
      <c r="I498" s="33" t="s">
        <v>39</v>
      </c>
      <c r="J498" s="33" t="s">
        <v>40</v>
      </c>
      <c r="K498" s="33" t="s">
        <v>41</v>
      </c>
      <c r="L498" s="33"/>
    </row>
    <row r="499" spans="1:12" s="1" customFormat="1" x14ac:dyDescent="0.3">
      <c r="A499" s="33" t="s">
        <v>1042</v>
      </c>
      <c r="B499" s="33" t="s">
        <v>44</v>
      </c>
      <c r="C499" s="33">
        <v>1144273633</v>
      </c>
      <c r="D499" s="33"/>
      <c r="E499" s="33">
        <v>640</v>
      </c>
      <c r="F499" s="33">
        <v>635</v>
      </c>
      <c r="G499" s="33" t="s">
        <v>38</v>
      </c>
      <c r="H499" s="33" t="s">
        <v>1043</v>
      </c>
      <c r="I499" s="33" t="s">
        <v>46</v>
      </c>
      <c r="J499" s="33" t="s">
        <v>40</v>
      </c>
      <c r="K499" s="33"/>
      <c r="L499" s="33"/>
    </row>
    <row r="500" spans="1:12" s="1" customFormat="1" x14ac:dyDescent="0.3">
      <c r="A500" s="33" t="s">
        <v>1044</v>
      </c>
      <c r="B500" s="33">
        <v>4432321371</v>
      </c>
      <c r="C500" s="33" t="s">
        <v>37</v>
      </c>
      <c r="D500" s="33">
        <v>4430265054</v>
      </c>
      <c r="E500" s="33">
        <v>406</v>
      </c>
      <c r="F500" s="33">
        <v>353</v>
      </c>
      <c r="G500" s="33" t="s">
        <v>38</v>
      </c>
      <c r="H500" s="33" t="s">
        <v>1045</v>
      </c>
      <c r="I500" s="33" t="s">
        <v>39</v>
      </c>
      <c r="J500" s="33" t="s">
        <v>40</v>
      </c>
      <c r="K500" s="33" t="s">
        <v>41</v>
      </c>
      <c r="L500" s="33"/>
    </row>
    <row r="501" spans="1:12" s="1" customFormat="1" x14ac:dyDescent="0.3">
      <c r="A501" s="33" t="s">
        <v>1046</v>
      </c>
      <c r="B501" s="33" t="s">
        <v>49</v>
      </c>
      <c r="C501" s="33" t="s">
        <v>51</v>
      </c>
      <c r="D501" s="33"/>
      <c r="E501" s="33">
        <v>31</v>
      </c>
      <c r="F501" s="33">
        <v>0</v>
      </c>
      <c r="G501" s="33" t="s">
        <v>47</v>
      </c>
      <c r="H501" s="33" t="s">
        <v>1047</v>
      </c>
      <c r="I501" s="33" t="s">
        <v>52</v>
      </c>
      <c r="J501" s="33" t="s">
        <v>40</v>
      </c>
      <c r="K501" s="33"/>
      <c r="L501" s="33"/>
    </row>
    <row r="502" spans="1:12" s="1" customFormat="1" x14ac:dyDescent="0.3">
      <c r="A502" s="33" t="s">
        <v>1048</v>
      </c>
      <c r="B502" s="33">
        <v>77999250878</v>
      </c>
      <c r="C502" s="33" t="s">
        <v>37</v>
      </c>
      <c r="D502" s="33">
        <v>4430265054</v>
      </c>
      <c r="E502" s="33">
        <v>346</v>
      </c>
      <c r="F502" s="33">
        <v>323</v>
      </c>
      <c r="G502" s="33" t="s">
        <v>38</v>
      </c>
      <c r="H502" s="33" t="s">
        <v>1049</v>
      </c>
      <c r="I502" s="33" t="s">
        <v>39</v>
      </c>
      <c r="J502" s="33" t="s">
        <v>40</v>
      </c>
      <c r="K502" s="33" t="s">
        <v>41</v>
      </c>
      <c r="L502" s="33">
        <v>5</v>
      </c>
    </row>
    <row r="503" spans="1:12" s="1" customFormat="1" x14ac:dyDescent="0.3">
      <c r="A503" s="33" t="s">
        <v>1050</v>
      </c>
      <c r="B503" s="33" t="s">
        <v>44</v>
      </c>
      <c r="C503" s="33">
        <v>35998295948</v>
      </c>
      <c r="D503" s="33"/>
      <c r="E503" s="33">
        <v>1687</v>
      </c>
      <c r="F503" s="33">
        <v>1673</v>
      </c>
      <c r="G503" s="33" t="s">
        <v>38</v>
      </c>
      <c r="H503" s="33" t="s">
        <v>1051</v>
      </c>
      <c r="I503" s="33" t="s">
        <v>46</v>
      </c>
      <c r="J503" s="33" t="s">
        <v>40</v>
      </c>
      <c r="K503" s="33"/>
      <c r="L503" s="33"/>
    </row>
    <row r="504" spans="1:12" s="1" customFormat="1" x14ac:dyDescent="0.3">
      <c r="A504" s="33" t="s">
        <v>1052</v>
      </c>
      <c r="B504" s="33">
        <v>4432321428</v>
      </c>
      <c r="C504" s="33" t="s">
        <v>42</v>
      </c>
      <c r="D504" s="33">
        <v>4430265054</v>
      </c>
      <c r="E504" s="33">
        <v>1291</v>
      </c>
      <c r="F504" s="33">
        <v>1263</v>
      </c>
      <c r="G504" s="33" t="s">
        <v>38</v>
      </c>
      <c r="H504" s="33" t="s">
        <v>1053</v>
      </c>
      <c r="I504" s="33" t="s">
        <v>39</v>
      </c>
      <c r="J504" s="33" t="s">
        <v>40</v>
      </c>
      <c r="K504" s="33" t="s">
        <v>41</v>
      </c>
      <c r="L504" s="33"/>
    </row>
    <row r="505" spans="1:12" s="1" customFormat="1" x14ac:dyDescent="0.3">
      <c r="A505" s="33" t="s">
        <v>1054</v>
      </c>
      <c r="B505" s="33">
        <v>4435226025</v>
      </c>
      <c r="C505" s="33" t="s">
        <v>42</v>
      </c>
      <c r="D505" s="33">
        <v>4430265054</v>
      </c>
      <c r="E505" s="33">
        <v>160</v>
      </c>
      <c r="F505" s="33">
        <v>106</v>
      </c>
      <c r="G505" s="33" t="s">
        <v>38</v>
      </c>
      <c r="H505" s="33" t="s">
        <v>1055</v>
      </c>
      <c r="I505" s="33" t="s">
        <v>39</v>
      </c>
      <c r="J505" s="33" t="s">
        <v>40</v>
      </c>
      <c r="K505" s="33" t="s">
        <v>41</v>
      </c>
      <c r="L505" s="33"/>
    </row>
    <row r="506" spans="1:12" s="1" customFormat="1" x14ac:dyDescent="0.3">
      <c r="A506" s="33" t="s">
        <v>1056</v>
      </c>
      <c r="B506" s="33" t="s">
        <v>44</v>
      </c>
      <c r="C506" s="33">
        <v>4432321232</v>
      </c>
      <c r="D506" s="33"/>
      <c r="E506" s="33">
        <v>297</v>
      </c>
      <c r="F506" s="33">
        <v>288</v>
      </c>
      <c r="G506" s="33" t="s">
        <v>38</v>
      </c>
      <c r="H506" s="33" t="s">
        <v>1057</v>
      </c>
      <c r="I506" s="33" t="s">
        <v>46</v>
      </c>
      <c r="J506" s="33" t="s">
        <v>40</v>
      </c>
      <c r="K506" s="33"/>
      <c r="L506" s="33"/>
    </row>
    <row r="507" spans="1:12" s="1" customFormat="1" x14ac:dyDescent="0.3">
      <c r="A507" s="33" t="s">
        <v>1058</v>
      </c>
      <c r="B507" s="33">
        <v>44999236655</v>
      </c>
      <c r="C507" s="33" t="s">
        <v>43</v>
      </c>
      <c r="D507" s="33">
        <v>4430265054</v>
      </c>
      <c r="E507" s="33">
        <v>1358</v>
      </c>
      <c r="F507" s="33">
        <v>1311</v>
      </c>
      <c r="G507" s="33" t="s">
        <v>38</v>
      </c>
      <c r="H507" s="33" t="s">
        <v>1059</v>
      </c>
      <c r="I507" s="33" t="s">
        <v>39</v>
      </c>
      <c r="J507" s="33" t="s">
        <v>40</v>
      </c>
      <c r="K507" s="33" t="s">
        <v>41</v>
      </c>
      <c r="L507" s="33"/>
    </row>
    <row r="508" spans="1:12" s="1" customFormat="1" x14ac:dyDescent="0.3">
      <c r="A508" s="33" t="s">
        <v>1060</v>
      </c>
      <c r="B508" s="33">
        <v>43988030048</v>
      </c>
      <c r="C508" s="33" t="s">
        <v>37</v>
      </c>
      <c r="D508" s="33">
        <v>4430265054</v>
      </c>
      <c r="E508" s="33">
        <v>629</v>
      </c>
      <c r="F508" s="33">
        <v>601</v>
      </c>
      <c r="G508" s="33" t="s">
        <v>38</v>
      </c>
      <c r="H508" s="33" t="s">
        <v>1061</v>
      </c>
      <c r="I508" s="33" t="s">
        <v>39</v>
      </c>
      <c r="J508" s="33" t="s">
        <v>40</v>
      </c>
      <c r="K508" s="33" t="s">
        <v>41</v>
      </c>
      <c r="L508" s="33">
        <v>5</v>
      </c>
    </row>
    <row r="509" spans="1:12" s="1" customFormat="1" x14ac:dyDescent="0.3">
      <c r="A509" s="33" t="s">
        <v>1062</v>
      </c>
      <c r="B509" s="33">
        <v>1144320912</v>
      </c>
      <c r="C509" s="33" t="s">
        <v>43</v>
      </c>
      <c r="D509" s="33">
        <v>4430265054</v>
      </c>
      <c r="E509" s="33">
        <v>313</v>
      </c>
      <c r="F509" s="33">
        <v>293</v>
      </c>
      <c r="G509" s="33" t="s">
        <v>38</v>
      </c>
      <c r="H509" s="33" t="s">
        <v>1063</v>
      </c>
      <c r="I509" s="33" t="s">
        <v>39</v>
      </c>
      <c r="J509" s="33" t="s">
        <v>40</v>
      </c>
      <c r="K509" s="33" t="s">
        <v>41</v>
      </c>
      <c r="L509" s="33"/>
    </row>
    <row r="510" spans="1:12" s="1" customFormat="1" x14ac:dyDescent="0.3">
      <c r="A510" s="33" t="s">
        <v>1064</v>
      </c>
      <c r="B510" s="33">
        <v>35998295948</v>
      </c>
      <c r="C510" s="33" t="s">
        <v>44</v>
      </c>
      <c r="D510" s="33">
        <v>4430265054</v>
      </c>
      <c r="E510" s="33">
        <v>737</v>
      </c>
      <c r="F510" s="33">
        <v>719</v>
      </c>
      <c r="G510" s="33" t="s">
        <v>38</v>
      </c>
      <c r="H510" s="33" t="s">
        <v>1065</v>
      </c>
      <c r="I510" s="33" t="s">
        <v>39</v>
      </c>
      <c r="J510" s="33" t="s">
        <v>40</v>
      </c>
      <c r="K510" s="33" t="s">
        <v>41</v>
      </c>
      <c r="L510" s="33"/>
    </row>
    <row r="511" spans="1:12" s="1" customFormat="1" x14ac:dyDescent="0.3">
      <c r="A511" s="33" t="s">
        <v>1066</v>
      </c>
      <c r="B511" s="33">
        <v>4435228300</v>
      </c>
      <c r="C511" s="33" t="s">
        <v>42</v>
      </c>
      <c r="D511" s="33">
        <v>4430265054</v>
      </c>
      <c r="E511" s="33">
        <v>1235</v>
      </c>
      <c r="F511" s="33">
        <v>1199</v>
      </c>
      <c r="G511" s="33" t="s">
        <v>38</v>
      </c>
      <c r="H511" s="33" t="s">
        <v>1067</v>
      </c>
      <c r="I511" s="33" t="s">
        <v>39</v>
      </c>
      <c r="J511" s="33" t="s">
        <v>40</v>
      </c>
      <c r="K511" s="33" t="s">
        <v>41</v>
      </c>
      <c r="L511" s="33"/>
    </row>
    <row r="512" spans="1:12" s="1" customFormat="1" x14ac:dyDescent="0.3">
      <c r="A512" s="33" t="s">
        <v>1068</v>
      </c>
      <c r="B512" s="33">
        <v>44984198651</v>
      </c>
      <c r="C512" s="33" t="s">
        <v>48</v>
      </c>
      <c r="D512" s="33">
        <v>4430265054</v>
      </c>
      <c r="E512" s="33">
        <v>1428</v>
      </c>
      <c r="F512" s="33">
        <v>1387</v>
      </c>
      <c r="G512" s="33" t="s">
        <v>38</v>
      </c>
      <c r="H512" s="33" t="s">
        <v>1069</v>
      </c>
      <c r="I512" s="33" t="s">
        <v>39</v>
      </c>
      <c r="J512" s="33" t="s">
        <v>40</v>
      </c>
      <c r="K512" s="33" t="s">
        <v>41</v>
      </c>
      <c r="L512" s="33"/>
    </row>
    <row r="513" spans="1:12" s="1" customFormat="1" x14ac:dyDescent="0.3">
      <c r="A513" s="33" t="s">
        <v>1070</v>
      </c>
      <c r="B513" s="33" t="s">
        <v>42</v>
      </c>
      <c r="C513" s="33">
        <v>19981194037</v>
      </c>
      <c r="D513" s="33"/>
      <c r="E513" s="33">
        <v>16</v>
      </c>
      <c r="F513" s="33">
        <v>0</v>
      </c>
      <c r="G513" s="33" t="s">
        <v>47</v>
      </c>
      <c r="H513" s="33" t="s">
        <v>1071</v>
      </c>
      <c r="I513" s="33" t="s">
        <v>46</v>
      </c>
      <c r="J513" s="33" t="s">
        <v>40</v>
      </c>
      <c r="K513" s="33"/>
      <c r="L513" s="33"/>
    </row>
    <row r="514" spans="1:12" s="1" customFormat="1" x14ac:dyDescent="0.3">
      <c r="A514" s="33" t="s">
        <v>1072</v>
      </c>
      <c r="B514" s="33" t="s">
        <v>42</v>
      </c>
      <c r="C514" s="33">
        <v>19981194037</v>
      </c>
      <c r="D514" s="33"/>
      <c r="E514" s="33">
        <v>11</v>
      </c>
      <c r="F514" s="33">
        <v>0</v>
      </c>
      <c r="G514" s="33" t="s">
        <v>47</v>
      </c>
      <c r="H514" s="33" t="s">
        <v>1073</v>
      </c>
      <c r="I514" s="33" t="s">
        <v>46</v>
      </c>
      <c r="J514" s="33" t="s">
        <v>40</v>
      </c>
      <c r="K514" s="33"/>
      <c r="L514" s="33"/>
    </row>
    <row r="515" spans="1:12" s="1" customFormat="1" x14ac:dyDescent="0.3">
      <c r="A515" s="33" t="s">
        <v>1074</v>
      </c>
      <c r="B515" s="33" t="s">
        <v>42</v>
      </c>
      <c r="C515" s="33">
        <v>19981194037</v>
      </c>
      <c r="D515" s="33"/>
      <c r="E515" s="33">
        <v>15</v>
      </c>
      <c r="F515" s="33">
        <v>0</v>
      </c>
      <c r="G515" s="33" t="s">
        <v>47</v>
      </c>
      <c r="H515" s="33" t="s">
        <v>1075</v>
      </c>
      <c r="I515" s="33" t="s">
        <v>46</v>
      </c>
      <c r="J515" s="33" t="s">
        <v>40</v>
      </c>
      <c r="K515" s="33"/>
      <c r="L515" s="33"/>
    </row>
    <row r="516" spans="1:12" s="1" customFormat="1" x14ac:dyDescent="0.3">
      <c r="A516" s="33" t="s">
        <v>1076</v>
      </c>
      <c r="B516" s="33" t="s">
        <v>44</v>
      </c>
      <c r="C516" s="33">
        <v>4432321232</v>
      </c>
      <c r="D516" s="33"/>
      <c r="E516" s="33">
        <v>128</v>
      </c>
      <c r="F516" s="33">
        <v>119</v>
      </c>
      <c r="G516" s="33" t="s">
        <v>38</v>
      </c>
      <c r="H516" s="33" t="s">
        <v>1077</v>
      </c>
      <c r="I516" s="33" t="s">
        <v>46</v>
      </c>
      <c r="J516" s="33" t="s">
        <v>40</v>
      </c>
      <c r="K516" s="33"/>
      <c r="L516" s="33"/>
    </row>
    <row r="517" spans="1:12" s="1" customFormat="1" x14ac:dyDescent="0.3">
      <c r="A517" s="33" t="s">
        <v>1078</v>
      </c>
      <c r="B517" s="33">
        <v>4430317020</v>
      </c>
      <c r="C517" s="33" t="s">
        <v>37</v>
      </c>
      <c r="D517" s="33">
        <v>4430265054</v>
      </c>
      <c r="E517" s="33">
        <v>916</v>
      </c>
      <c r="F517" s="33">
        <v>876</v>
      </c>
      <c r="G517" s="33" t="s">
        <v>38</v>
      </c>
      <c r="H517" s="33" t="s">
        <v>1079</v>
      </c>
      <c r="I517" s="33" t="s">
        <v>39</v>
      </c>
      <c r="J517" s="33" t="s">
        <v>40</v>
      </c>
      <c r="K517" s="33" t="s">
        <v>41</v>
      </c>
      <c r="L517" s="33">
        <v>5</v>
      </c>
    </row>
    <row r="518" spans="1:12" s="1" customFormat="1" x14ac:dyDescent="0.3">
      <c r="A518" s="33" t="s">
        <v>1080</v>
      </c>
      <c r="B518" s="33" t="s">
        <v>44</v>
      </c>
      <c r="C518" s="33">
        <v>4432321232</v>
      </c>
      <c r="D518" s="33"/>
      <c r="E518" s="33">
        <v>122</v>
      </c>
      <c r="F518" s="33">
        <v>118</v>
      </c>
      <c r="G518" s="33" t="s">
        <v>38</v>
      </c>
      <c r="H518" s="33" t="s">
        <v>1081</v>
      </c>
      <c r="I518" s="33" t="s">
        <v>46</v>
      </c>
      <c r="J518" s="33" t="s">
        <v>40</v>
      </c>
      <c r="K518" s="33"/>
      <c r="L518" s="33"/>
    </row>
    <row r="519" spans="1:12" s="1" customFormat="1" x14ac:dyDescent="0.3">
      <c r="A519" s="33" t="s">
        <v>1082</v>
      </c>
      <c r="B519" s="33" t="s">
        <v>44</v>
      </c>
      <c r="C519" s="33">
        <v>4432321232</v>
      </c>
      <c r="D519" s="33"/>
      <c r="E519" s="33">
        <v>3</v>
      </c>
      <c r="F519" s="33">
        <v>0</v>
      </c>
      <c r="G519" s="33" t="s">
        <v>47</v>
      </c>
      <c r="H519" s="33" t="s">
        <v>1083</v>
      </c>
      <c r="I519" s="33" t="s">
        <v>46</v>
      </c>
      <c r="J519" s="33" t="s">
        <v>40</v>
      </c>
      <c r="K519" s="33"/>
      <c r="L519" s="33"/>
    </row>
    <row r="520" spans="1:12" s="1" customFormat="1" x14ac:dyDescent="0.3">
      <c r="A520" s="33" t="s">
        <v>1084</v>
      </c>
      <c r="B520" s="33" t="s">
        <v>44</v>
      </c>
      <c r="C520" s="33">
        <v>4432321232</v>
      </c>
      <c r="D520" s="33"/>
      <c r="E520" s="33">
        <v>5</v>
      </c>
      <c r="F520" s="33">
        <v>0</v>
      </c>
      <c r="G520" s="33" t="s">
        <v>47</v>
      </c>
      <c r="H520" s="33" t="s">
        <v>1085</v>
      </c>
      <c r="I520" s="33" t="s">
        <v>46</v>
      </c>
      <c r="J520" s="33" t="s">
        <v>40</v>
      </c>
      <c r="K520" s="33"/>
      <c r="L520" s="33"/>
    </row>
    <row r="521" spans="1:12" s="1" customFormat="1" x14ac:dyDescent="0.3">
      <c r="A521" s="33" t="s">
        <v>1086</v>
      </c>
      <c r="B521" s="33" t="s">
        <v>49</v>
      </c>
      <c r="C521" s="33">
        <v>84988347101</v>
      </c>
      <c r="D521" s="33"/>
      <c r="E521" s="33">
        <v>141</v>
      </c>
      <c r="F521" s="33">
        <v>134</v>
      </c>
      <c r="G521" s="33" t="s">
        <v>38</v>
      </c>
      <c r="H521" s="33" t="s">
        <v>1087</v>
      </c>
      <c r="I521" s="33" t="s">
        <v>46</v>
      </c>
      <c r="J521" s="33" t="s">
        <v>40</v>
      </c>
      <c r="K521" s="33"/>
      <c r="L521" s="33"/>
    </row>
    <row r="522" spans="1:12" s="1" customFormat="1" x14ac:dyDescent="0.3">
      <c r="A522" s="33" t="s">
        <v>1088</v>
      </c>
      <c r="B522" s="33">
        <v>4432520077</v>
      </c>
      <c r="C522" s="33" t="s">
        <v>42</v>
      </c>
      <c r="D522" s="33">
        <v>4430265054</v>
      </c>
      <c r="E522" s="33">
        <v>493</v>
      </c>
      <c r="F522" s="33">
        <v>458</v>
      </c>
      <c r="G522" s="33" t="s">
        <v>38</v>
      </c>
      <c r="H522" s="33" t="s">
        <v>1089</v>
      </c>
      <c r="I522" s="33" t="s">
        <v>39</v>
      </c>
      <c r="J522" s="33" t="s">
        <v>40</v>
      </c>
      <c r="K522" s="33" t="s">
        <v>41</v>
      </c>
      <c r="L522" s="33">
        <v>5</v>
      </c>
    </row>
    <row r="523" spans="1:12" s="1" customFormat="1" x14ac:dyDescent="0.3">
      <c r="A523" s="33" t="s">
        <v>1090</v>
      </c>
      <c r="B523" s="33" t="s">
        <v>49</v>
      </c>
      <c r="C523" s="33">
        <v>84988347101</v>
      </c>
      <c r="D523" s="33"/>
      <c r="E523" s="33">
        <v>2</v>
      </c>
      <c r="F523" s="33">
        <v>0</v>
      </c>
      <c r="G523" s="33" t="s">
        <v>47</v>
      </c>
      <c r="H523" s="33" t="s">
        <v>1091</v>
      </c>
      <c r="I523" s="33" t="s">
        <v>46</v>
      </c>
      <c r="J523" s="33" t="s">
        <v>40</v>
      </c>
      <c r="K523" s="33"/>
      <c r="L523" s="33"/>
    </row>
    <row r="524" spans="1:12" s="1" customFormat="1" x14ac:dyDescent="0.3">
      <c r="A524" s="33" t="s">
        <v>1092</v>
      </c>
      <c r="B524" s="33" t="s">
        <v>49</v>
      </c>
      <c r="C524" s="33" t="s">
        <v>51</v>
      </c>
      <c r="D524" s="33"/>
      <c r="E524" s="33">
        <v>28</v>
      </c>
      <c r="F524" s="33">
        <v>0</v>
      </c>
      <c r="G524" s="33" t="s">
        <v>47</v>
      </c>
      <c r="H524" s="33" t="s">
        <v>1093</v>
      </c>
      <c r="I524" s="33" t="s">
        <v>52</v>
      </c>
      <c r="J524" s="33" t="s">
        <v>40</v>
      </c>
      <c r="K524" s="33"/>
      <c r="L524" s="33"/>
    </row>
    <row r="525" spans="1:12" s="1" customFormat="1" x14ac:dyDescent="0.3">
      <c r="A525" s="33" t="s">
        <v>1094</v>
      </c>
      <c r="B525" s="33" t="s">
        <v>48</v>
      </c>
      <c r="C525" s="33">
        <v>44984198651</v>
      </c>
      <c r="D525" s="33"/>
      <c r="E525" s="33">
        <v>727</v>
      </c>
      <c r="F525" s="33">
        <v>712</v>
      </c>
      <c r="G525" s="33" t="s">
        <v>38</v>
      </c>
      <c r="H525" s="33" t="s">
        <v>1095</v>
      </c>
      <c r="I525" s="33" t="s">
        <v>46</v>
      </c>
      <c r="J525" s="33" t="s">
        <v>40</v>
      </c>
      <c r="K525" s="33"/>
      <c r="L525" s="33"/>
    </row>
    <row r="526" spans="1:12" s="1" customFormat="1" x14ac:dyDescent="0.3">
      <c r="A526" s="33" t="s">
        <v>1096</v>
      </c>
      <c r="B526" s="33" t="s">
        <v>49</v>
      </c>
      <c r="C526" s="33">
        <v>84988347101</v>
      </c>
      <c r="D526" s="33"/>
      <c r="E526" s="33">
        <v>184</v>
      </c>
      <c r="F526" s="33">
        <v>176</v>
      </c>
      <c r="G526" s="33" t="s">
        <v>38</v>
      </c>
      <c r="H526" s="33" t="s">
        <v>1097</v>
      </c>
      <c r="I526" s="33" t="s">
        <v>46</v>
      </c>
      <c r="J526" s="33" t="s">
        <v>40</v>
      </c>
      <c r="K526" s="33"/>
      <c r="L526" s="33"/>
    </row>
    <row r="527" spans="1:12" s="1" customFormat="1" x14ac:dyDescent="0.3">
      <c r="A527" s="33" t="s">
        <v>1098</v>
      </c>
      <c r="B527" s="33">
        <v>4432321232</v>
      </c>
      <c r="C527" s="33" t="s">
        <v>44</v>
      </c>
      <c r="D527" s="33">
        <v>4430265054</v>
      </c>
      <c r="E527" s="33">
        <v>227</v>
      </c>
      <c r="F527" s="33">
        <v>173</v>
      </c>
      <c r="G527" s="33" t="s">
        <v>38</v>
      </c>
      <c r="H527" s="33" t="s">
        <v>1099</v>
      </c>
      <c r="I527" s="33" t="s">
        <v>39</v>
      </c>
      <c r="J527" s="33" t="s">
        <v>40</v>
      </c>
      <c r="K527" s="33" t="s">
        <v>41</v>
      </c>
      <c r="L527" s="33"/>
    </row>
    <row r="528" spans="1:12" s="1" customFormat="1" x14ac:dyDescent="0.3">
      <c r="A528" s="33" t="s">
        <v>1100</v>
      </c>
      <c r="B528" s="33">
        <v>4430315826</v>
      </c>
      <c r="C528" s="33" t="s">
        <v>37</v>
      </c>
      <c r="D528" s="33">
        <v>4430265054</v>
      </c>
      <c r="E528" s="33">
        <v>827</v>
      </c>
      <c r="F528" s="33">
        <v>756</v>
      </c>
      <c r="G528" s="33" t="s">
        <v>38</v>
      </c>
      <c r="H528" s="33" t="s">
        <v>1101</v>
      </c>
      <c r="I528" s="33" t="s">
        <v>39</v>
      </c>
      <c r="J528" s="33" t="s">
        <v>40</v>
      </c>
      <c r="K528" s="33" t="s">
        <v>41</v>
      </c>
      <c r="L528" s="33">
        <v>5</v>
      </c>
    </row>
    <row r="529" spans="1:12" s="1" customFormat="1" x14ac:dyDescent="0.3">
      <c r="A529" s="33" t="s">
        <v>1102</v>
      </c>
      <c r="B529" s="33">
        <v>35998295948</v>
      </c>
      <c r="C529" s="33" t="s">
        <v>44</v>
      </c>
      <c r="D529" s="33">
        <v>4430265054</v>
      </c>
      <c r="E529" s="33">
        <v>689</v>
      </c>
      <c r="F529" s="33">
        <v>652</v>
      </c>
      <c r="G529" s="33" t="s">
        <v>38</v>
      </c>
      <c r="H529" s="33" t="s">
        <v>1103</v>
      </c>
      <c r="I529" s="33" t="s">
        <v>39</v>
      </c>
      <c r="J529" s="33" t="s">
        <v>40</v>
      </c>
      <c r="K529" s="33" t="s">
        <v>41</v>
      </c>
      <c r="L529" s="33"/>
    </row>
    <row r="530" spans="1:12" s="1" customFormat="1" x14ac:dyDescent="0.3">
      <c r="A530" s="33" t="s">
        <v>1104</v>
      </c>
      <c r="B530" s="33">
        <v>83988398480</v>
      </c>
      <c r="C530" s="33" t="s">
        <v>42</v>
      </c>
      <c r="D530" s="33">
        <v>4430265054</v>
      </c>
      <c r="E530" s="33">
        <v>335</v>
      </c>
      <c r="F530" s="33">
        <v>287</v>
      </c>
      <c r="G530" s="33" t="s">
        <v>38</v>
      </c>
      <c r="H530" s="33" t="s">
        <v>1105</v>
      </c>
      <c r="I530" s="33" t="s">
        <v>39</v>
      </c>
      <c r="J530" s="33" t="s">
        <v>40</v>
      </c>
      <c r="K530" s="33" t="s">
        <v>41</v>
      </c>
      <c r="L530" s="33"/>
    </row>
    <row r="531" spans="1:12" s="1" customFormat="1" x14ac:dyDescent="0.3">
      <c r="A531" s="33" t="s">
        <v>1106</v>
      </c>
      <c r="B531" s="33">
        <v>44988255390</v>
      </c>
      <c r="C531" s="33" t="s">
        <v>37</v>
      </c>
      <c r="D531" s="33">
        <v>4430265054</v>
      </c>
      <c r="E531" s="33">
        <v>1173</v>
      </c>
      <c r="F531" s="33">
        <v>1071</v>
      </c>
      <c r="G531" s="33" t="s">
        <v>38</v>
      </c>
      <c r="H531" s="33" t="s">
        <v>1107</v>
      </c>
      <c r="I531" s="33" t="s">
        <v>39</v>
      </c>
      <c r="J531" s="33" t="s">
        <v>40</v>
      </c>
      <c r="K531" s="33" t="s">
        <v>41</v>
      </c>
      <c r="L531" s="33">
        <v>5</v>
      </c>
    </row>
    <row r="532" spans="1:12" s="1" customFormat="1" x14ac:dyDescent="0.3">
      <c r="A532" s="33" t="s">
        <v>1108</v>
      </c>
      <c r="B532" s="33">
        <v>3432424736</v>
      </c>
      <c r="C532" s="33" t="s">
        <v>42</v>
      </c>
      <c r="D532" s="33">
        <v>4430265054</v>
      </c>
      <c r="E532" s="33">
        <v>226</v>
      </c>
      <c r="F532" s="33">
        <v>112</v>
      </c>
      <c r="G532" s="33" t="s">
        <v>38</v>
      </c>
      <c r="H532" s="33" t="s">
        <v>1109</v>
      </c>
      <c r="I532" s="33" t="s">
        <v>39</v>
      </c>
      <c r="J532" s="33" t="s">
        <v>40</v>
      </c>
      <c r="K532" s="33" t="s">
        <v>41</v>
      </c>
      <c r="L532" s="33"/>
    </row>
    <row r="533" spans="1:12" s="1" customFormat="1" x14ac:dyDescent="0.3">
      <c r="A533" s="33" t="s">
        <v>1110</v>
      </c>
      <c r="B533" s="33">
        <v>4334226481</v>
      </c>
      <c r="C533" s="33" t="s">
        <v>44</v>
      </c>
      <c r="D533" s="33">
        <v>4430265054</v>
      </c>
      <c r="E533" s="33">
        <v>605</v>
      </c>
      <c r="F533" s="33">
        <v>564</v>
      </c>
      <c r="G533" s="33" t="s">
        <v>38</v>
      </c>
      <c r="H533" s="33" t="s">
        <v>1111</v>
      </c>
      <c r="I533" s="33" t="s">
        <v>39</v>
      </c>
      <c r="J533" s="33" t="s">
        <v>40</v>
      </c>
      <c r="K533" s="33" t="s">
        <v>41</v>
      </c>
      <c r="L533" s="33"/>
    </row>
    <row r="534" spans="1:12" s="1" customFormat="1" x14ac:dyDescent="0.3">
      <c r="A534" s="33" t="s">
        <v>1112</v>
      </c>
      <c r="B534" s="33">
        <v>44988255390</v>
      </c>
      <c r="C534" s="33" t="s">
        <v>37</v>
      </c>
      <c r="D534" s="33">
        <v>4430265054</v>
      </c>
      <c r="E534" s="33">
        <v>677</v>
      </c>
      <c r="F534" s="33">
        <v>624</v>
      </c>
      <c r="G534" s="33" t="s">
        <v>38</v>
      </c>
      <c r="H534" s="33" t="s">
        <v>1113</v>
      </c>
      <c r="I534" s="33" t="s">
        <v>39</v>
      </c>
      <c r="J534" s="33" t="s">
        <v>40</v>
      </c>
      <c r="K534" s="33" t="s">
        <v>41</v>
      </c>
      <c r="L534" s="33"/>
    </row>
    <row r="535" spans="1:12" s="1" customFormat="1" x14ac:dyDescent="0.3">
      <c r="A535" s="33" t="s">
        <v>1114</v>
      </c>
      <c r="B535" s="33">
        <v>35998295948</v>
      </c>
      <c r="C535" s="33" t="s">
        <v>43</v>
      </c>
      <c r="D535" s="33">
        <v>4430265054</v>
      </c>
      <c r="E535" s="33">
        <v>1026</v>
      </c>
      <c r="F535" s="33">
        <v>950</v>
      </c>
      <c r="G535" s="33" t="s">
        <v>38</v>
      </c>
      <c r="H535" s="33" t="s">
        <v>1115</v>
      </c>
      <c r="I535" s="33" t="s">
        <v>39</v>
      </c>
      <c r="J535" s="33" t="s">
        <v>40</v>
      </c>
      <c r="K535" s="33" t="s">
        <v>41</v>
      </c>
      <c r="L535" s="33"/>
    </row>
    <row r="536" spans="1:12" s="1" customFormat="1" x14ac:dyDescent="0.3">
      <c r="A536" s="33" t="s">
        <v>1116</v>
      </c>
      <c r="B536" s="33">
        <v>83988398480</v>
      </c>
      <c r="C536" s="33" t="s">
        <v>37</v>
      </c>
      <c r="D536" s="33">
        <v>4430265054</v>
      </c>
      <c r="E536" s="33">
        <v>463</v>
      </c>
      <c r="F536" s="33">
        <v>429</v>
      </c>
      <c r="G536" s="33" t="s">
        <v>38</v>
      </c>
      <c r="H536" s="33" t="s">
        <v>1117</v>
      </c>
      <c r="I536" s="33" t="s">
        <v>39</v>
      </c>
      <c r="J536" s="33" t="s">
        <v>40</v>
      </c>
      <c r="K536" s="33" t="s">
        <v>41</v>
      </c>
      <c r="L536" s="33"/>
    </row>
    <row r="537" spans="1:12" s="1" customFormat="1" x14ac:dyDescent="0.3">
      <c r="A537" s="33" t="s">
        <v>1118</v>
      </c>
      <c r="B537" s="33">
        <v>44997343311</v>
      </c>
      <c r="C537" s="33" t="s">
        <v>42</v>
      </c>
      <c r="D537" s="33">
        <v>4430265054</v>
      </c>
      <c r="E537" s="33">
        <v>387</v>
      </c>
      <c r="F537" s="33">
        <v>319</v>
      </c>
      <c r="G537" s="33" t="s">
        <v>38</v>
      </c>
      <c r="H537" s="33" t="s">
        <v>1119</v>
      </c>
      <c r="I537" s="33" t="s">
        <v>39</v>
      </c>
      <c r="J537" s="33" t="s">
        <v>40</v>
      </c>
      <c r="K537" s="33" t="s">
        <v>41</v>
      </c>
      <c r="L537" s="33"/>
    </row>
    <row r="538" spans="1:12" s="1" customFormat="1" x14ac:dyDescent="0.3">
      <c r="A538" s="33" t="s">
        <v>1120</v>
      </c>
      <c r="B538" s="33">
        <v>4439001698</v>
      </c>
      <c r="C538" s="33" t="s">
        <v>43</v>
      </c>
      <c r="D538" s="33">
        <v>4430265054</v>
      </c>
      <c r="E538" s="33">
        <v>213</v>
      </c>
      <c r="F538" s="33">
        <v>140</v>
      </c>
      <c r="G538" s="33" t="s">
        <v>38</v>
      </c>
      <c r="H538" s="33" t="s">
        <v>1121</v>
      </c>
      <c r="I538" s="33" t="s">
        <v>39</v>
      </c>
      <c r="J538" s="33" t="s">
        <v>40</v>
      </c>
      <c r="K538" s="33" t="s">
        <v>41</v>
      </c>
      <c r="L538" s="33"/>
    </row>
    <row r="539" spans="1:12" s="1" customFormat="1" x14ac:dyDescent="0.3">
      <c r="A539" s="33" t="s">
        <v>1122</v>
      </c>
      <c r="B539" s="33">
        <v>44997343311</v>
      </c>
      <c r="C539" s="33" t="s">
        <v>37</v>
      </c>
      <c r="D539" s="33">
        <v>4430265054</v>
      </c>
      <c r="E539" s="33">
        <v>343</v>
      </c>
      <c r="F539" s="33">
        <v>191</v>
      </c>
      <c r="G539" s="33" t="s">
        <v>38</v>
      </c>
      <c r="H539" s="33" t="s">
        <v>1123</v>
      </c>
      <c r="I539" s="33" t="s">
        <v>39</v>
      </c>
      <c r="J539" s="33" t="s">
        <v>40</v>
      </c>
      <c r="K539" s="33" t="s">
        <v>41</v>
      </c>
      <c r="L539" s="33"/>
    </row>
    <row r="540" spans="1:12" s="1" customFormat="1" x14ac:dyDescent="0.3">
      <c r="A540" s="33" t="s">
        <v>1124</v>
      </c>
      <c r="B540" s="33">
        <v>77999014770</v>
      </c>
      <c r="C540" s="33" t="s">
        <v>43</v>
      </c>
      <c r="D540" s="33">
        <v>4430265054</v>
      </c>
      <c r="E540" s="33">
        <v>212</v>
      </c>
      <c r="F540" s="33">
        <v>140</v>
      </c>
      <c r="G540" s="33" t="s">
        <v>38</v>
      </c>
      <c r="H540" s="33" t="s">
        <v>1125</v>
      </c>
      <c r="I540" s="33" t="s">
        <v>39</v>
      </c>
      <c r="J540" s="33" t="s">
        <v>40</v>
      </c>
      <c r="K540" s="33" t="s">
        <v>41</v>
      </c>
      <c r="L540" s="33">
        <v>5</v>
      </c>
    </row>
    <row r="541" spans="1:12" s="1" customFormat="1" x14ac:dyDescent="0.3">
      <c r="A541" s="33" t="s">
        <v>1126</v>
      </c>
      <c r="B541" s="33">
        <v>11998030658</v>
      </c>
      <c r="C541" s="33" t="s">
        <v>44</v>
      </c>
      <c r="D541" s="33">
        <v>4430265054</v>
      </c>
      <c r="E541" s="33">
        <v>1796</v>
      </c>
      <c r="F541" s="33">
        <v>1776</v>
      </c>
      <c r="G541" s="33" t="s">
        <v>38</v>
      </c>
      <c r="H541" s="33" t="s">
        <v>1127</v>
      </c>
      <c r="I541" s="33" t="s">
        <v>39</v>
      </c>
      <c r="J541" s="33" t="s">
        <v>40</v>
      </c>
      <c r="K541" s="33" t="s">
        <v>41</v>
      </c>
      <c r="L541" s="33">
        <v>5</v>
      </c>
    </row>
    <row r="542" spans="1:12" s="1" customFormat="1" x14ac:dyDescent="0.3">
      <c r="A542" s="33" t="s">
        <v>1128</v>
      </c>
      <c r="B542" s="33" t="s">
        <v>44</v>
      </c>
      <c r="C542" s="33">
        <v>11998030658</v>
      </c>
      <c r="D542" s="33"/>
      <c r="E542" s="33">
        <v>15</v>
      </c>
      <c r="F542" s="33">
        <v>0</v>
      </c>
      <c r="G542" s="33" t="s">
        <v>47</v>
      </c>
      <c r="H542" s="33" t="s">
        <v>1129</v>
      </c>
      <c r="I542" s="33" t="s">
        <v>46</v>
      </c>
      <c r="J542" s="33" t="s">
        <v>40</v>
      </c>
      <c r="K542" s="33"/>
      <c r="L542" s="33"/>
    </row>
    <row r="543" spans="1:12" s="1" customFormat="1" x14ac:dyDescent="0.3">
      <c r="A543" s="33" t="s">
        <v>1130</v>
      </c>
      <c r="B543" s="33" t="s">
        <v>44</v>
      </c>
      <c r="C543" s="33">
        <v>11998030658</v>
      </c>
      <c r="D543" s="33"/>
      <c r="E543" s="33">
        <v>125</v>
      </c>
      <c r="F543" s="33">
        <v>119</v>
      </c>
      <c r="G543" s="33" t="s">
        <v>38</v>
      </c>
      <c r="H543" s="33" t="s">
        <v>1131</v>
      </c>
      <c r="I543" s="33" t="s">
        <v>46</v>
      </c>
      <c r="J543" s="33" t="s">
        <v>40</v>
      </c>
      <c r="K543" s="33"/>
      <c r="L543" s="33"/>
    </row>
    <row r="544" spans="1:12" s="1" customFormat="1" x14ac:dyDescent="0.3">
      <c r="A544" s="33" t="s">
        <v>1132</v>
      </c>
      <c r="B544" s="33">
        <v>11998030658</v>
      </c>
      <c r="C544" s="33" t="s">
        <v>44</v>
      </c>
      <c r="D544" s="33">
        <v>4430265054</v>
      </c>
      <c r="E544" s="33">
        <v>233</v>
      </c>
      <c r="F544" s="33">
        <v>198</v>
      </c>
      <c r="G544" s="33" t="s">
        <v>38</v>
      </c>
      <c r="H544" s="33" t="s">
        <v>1133</v>
      </c>
      <c r="I544" s="33" t="s">
        <v>39</v>
      </c>
      <c r="J544" s="33" t="s">
        <v>40</v>
      </c>
      <c r="K544" s="33" t="s">
        <v>41</v>
      </c>
      <c r="L544" s="33"/>
    </row>
    <row r="545" spans="1:12" s="1" customFormat="1" x14ac:dyDescent="0.3">
      <c r="A545" s="33" t="s">
        <v>1134</v>
      </c>
      <c r="B545" s="33">
        <v>35998295948</v>
      </c>
      <c r="C545" s="33" t="s">
        <v>42</v>
      </c>
      <c r="D545" s="33">
        <v>4430265054</v>
      </c>
      <c r="E545" s="33">
        <v>561</v>
      </c>
      <c r="F545" s="33">
        <v>501</v>
      </c>
      <c r="G545" s="33" t="s">
        <v>38</v>
      </c>
      <c r="H545" s="33" t="s">
        <v>1135</v>
      </c>
      <c r="I545" s="33" t="s">
        <v>39</v>
      </c>
      <c r="J545" s="33" t="s">
        <v>40</v>
      </c>
      <c r="K545" s="33" t="s">
        <v>41</v>
      </c>
      <c r="L545" s="33"/>
    </row>
    <row r="546" spans="1:12" s="1" customFormat="1" x14ac:dyDescent="0.3">
      <c r="A546" s="33" t="s">
        <v>1136</v>
      </c>
      <c r="B546" s="33">
        <v>4334232912</v>
      </c>
      <c r="C546" s="33" t="s">
        <v>42</v>
      </c>
      <c r="D546" s="33">
        <v>4430265054</v>
      </c>
      <c r="E546" s="33">
        <v>200</v>
      </c>
      <c r="F546" s="33">
        <v>185</v>
      </c>
      <c r="G546" s="33" t="s">
        <v>38</v>
      </c>
      <c r="H546" s="33" t="s">
        <v>1137</v>
      </c>
      <c r="I546" s="33" t="s">
        <v>39</v>
      </c>
      <c r="J546" s="33" t="s">
        <v>40</v>
      </c>
      <c r="K546" s="33" t="s">
        <v>41</v>
      </c>
      <c r="L546" s="33"/>
    </row>
    <row r="547" spans="1:12" s="1" customFormat="1" x14ac:dyDescent="0.3">
      <c r="A547" s="33" t="s">
        <v>1138</v>
      </c>
      <c r="B547" s="33">
        <v>44991381017</v>
      </c>
      <c r="C547" s="33" t="s">
        <v>44</v>
      </c>
      <c r="D547" s="33">
        <v>4430265054</v>
      </c>
      <c r="E547" s="33">
        <v>1038</v>
      </c>
      <c r="F547" s="33">
        <v>997</v>
      </c>
      <c r="G547" s="33" t="s">
        <v>38</v>
      </c>
      <c r="H547" s="33" t="s">
        <v>1139</v>
      </c>
      <c r="I547" s="33" t="s">
        <v>39</v>
      </c>
      <c r="J547" s="33" t="s">
        <v>40</v>
      </c>
      <c r="K547" s="33" t="s">
        <v>41</v>
      </c>
      <c r="L547" s="33">
        <v>5</v>
      </c>
    </row>
    <row r="548" spans="1:12" s="1" customFormat="1" x14ac:dyDescent="0.3">
      <c r="A548" s="33" t="s">
        <v>1140</v>
      </c>
      <c r="B548" s="33">
        <v>44999451200</v>
      </c>
      <c r="C548" s="33" t="s">
        <v>43</v>
      </c>
      <c r="D548" s="33">
        <v>4430265054</v>
      </c>
      <c r="E548" s="33">
        <v>1000</v>
      </c>
      <c r="F548" s="33">
        <v>940</v>
      </c>
      <c r="G548" s="33" t="s">
        <v>38</v>
      </c>
      <c r="H548" s="33" t="s">
        <v>1141</v>
      </c>
      <c r="I548" s="33" t="s">
        <v>39</v>
      </c>
      <c r="J548" s="33" t="s">
        <v>40</v>
      </c>
      <c r="K548" s="33" t="s">
        <v>41</v>
      </c>
      <c r="L548" s="33">
        <v>5</v>
      </c>
    </row>
    <row r="549" spans="1:12" s="1" customFormat="1" x14ac:dyDescent="0.3">
      <c r="A549" s="33" t="s">
        <v>1142</v>
      </c>
      <c r="B549" s="33">
        <v>4133491428</v>
      </c>
      <c r="C549" s="33" t="s">
        <v>42</v>
      </c>
      <c r="D549" s="33">
        <v>4430265054</v>
      </c>
      <c r="E549" s="33">
        <v>357</v>
      </c>
      <c r="F549" s="33">
        <v>340</v>
      </c>
      <c r="G549" s="33" t="s">
        <v>38</v>
      </c>
      <c r="H549" s="33" t="s">
        <v>1143</v>
      </c>
      <c r="I549" s="33" t="s">
        <v>39</v>
      </c>
      <c r="J549" s="33" t="s">
        <v>40</v>
      </c>
      <c r="K549" s="33" t="s">
        <v>41</v>
      </c>
      <c r="L549" s="33"/>
    </row>
    <row r="550" spans="1:12" s="1" customFormat="1" x14ac:dyDescent="0.3">
      <c r="A550" s="33" t="s">
        <v>1144</v>
      </c>
      <c r="B550" s="33">
        <v>4430191401</v>
      </c>
      <c r="C550" s="33" t="s">
        <v>42</v>
      </c>
      <c r="D550" s="33">
        <v>4430265054</v>
      </c>
      <c r="E550" s="33">
        <v>348</v>
      </c>
      <c r="F550" s="33">
        <v>264</v>
      </c>
      <c r="G550" s="33" t="s">
        <v>38</v>
      </c>
      <c r="H550" s="33" t="s">
        <v>1145</v>
      </c>
      <c r="I550" s="33" t="s">
        <v>39</v>
      </c>
      <c r="J550" s="33" t="s">
        <v>40</v>
      </c>
      <c r="K550" s="33" t="s">
        <v>41</v>
      </c>
      <c r="L550" s="33">
        <v>4</v>
      </c>
    </row>
    <row r="551" spans="1:12" s="1" customFormat="1" x14ac:dyDescent="0.3">
      <c r="A551" s="33" t="s">
        <v>1146</v>
      </c>
      <c r="B551" s="33">
        <v>44988255390</v>
      </c>
      <c r="C551" s="33" t="s">
        <v>43</v>
      </c>
      <c r="D551" s="33">
        <v>4430265054</v>
      </c>
      <c r="E551" s="33">
        <v>2576</v>
      </c>
      <c r="F551" s="33">
        <v>2483</v>
      </c>
      <c r="G551" s="33" t="s">
        <v>38</v>
      </c>
      <c r="H551" s="33" t="s">
        <v>1147</v>
      </c>
      <c r="I551" s="33" t="s">
        <v>39</v>
      </c>
      <c r="J551" s="33" t="s">
        <v>40</v>
      </c>
      <c r="K551" s="33" t="s">
        <v>41</v>
      </c>
      <c r="L551" s="33"/>
    </row>
    <row r="552" spans="1:12" s="1" customFormat="1" x14ac:dyDescent="0.3">
      <c r="A552" s="33" t="s">
        <v>1148</v>
      </c>
      <c r="B552" s="33">
        <v>6434534421</v>
      </c>
      <c r="C552" s="33" t="s">
        <v>42</v>
      </c>
      <c r="D552" s="33">
        <v>4430265054</v>
      </c>
      <c r="E552" s="33">
        <v>1245</v>
      </c>
      <c r="F552" s="33">
        <v>1219</v>
      </c>
      <c r="G552" s="33" t="s">
        <v>38</v>
      </c>
      <c r="H552" s="33" t="s">
        <v>1149</v>
      </c>
      <c r="I552" s="33" t="s">
        <v>39</v>
      </c>
      <c r="J552" s="33" t="s">
        <v>40</v>
      </c>
      <c r="K552" s="33" t="s">
        <v>41</v>
      </c>
      <c r="L552" s="33"/>
    </row>
    <row r="553" spans="1:12" s="1" customFormat="1" x14ac:dyDescent="0.3">
      <c r="A553" s="33" t="s">
        <v>1150</v>
      </c>
      <c r="B553" s="33" t="s">
        <v>37</v>
      </c>
      <c r="C553" s="33">
        <v>44997164698</v>
      </c>
      <c r="D553" s="33"/>
      <c r="E553" s="33">
        <v>6209</v>
      </c>
      <c r="F553" s="33">
        <v>6201</v>
      </c>
      <c r="G553" s="33" t="s">
        <v>38</v>
      </c>
      <c r="H553" s="33" t="s">
        <v>1151</v>
      </c>
      <c r="I553" s="33" t="s">
        <v>46</v>
      </c>
      <c r="J553" s="33" t="s">
        <v>40</v>
      </c>
      <c r="K553" s="33"/>
      <c r="L553" s="33"/>
    </row>
    <row r="554" spans="1:12" s="1" customFormat="1" x14ac:dyDescent="0.3">
      <c r="A554" s="33" t="s">
        <v>1152</v>
      </c>
      <c r="B554" s="33">
        <v>4532541802</v>
      </c>
      <c r="C554" s="33" t="s">
        <v>48</v>
      </c>
      <c r="D554" s="33">
        <v>4430265054</v>
      </c>
      <c r="E554" s="33">
        <v>326</v>
      </c>
      <c r="F554" s="33">
        <v>325</v>
      </c>
      <c r="G554" s="33" t="s">
        <v>38</v>
      </c>
      <c r="H554" s="33" t="s">
        <v>1153</v>
      </c>
      <c r="I554" s="33" t="s">
        <v>39</v>
      </c>
      <c r="J554" s="33" t="s">
        <v>40</v>
      </c>
      <c r="K554" s="33" t="s">
        <v>41</v>
      </c>
      <c r="L554" s="33">
        <v>5</v>
      </c>
    </row>
    <row r="555" spans="1:12" s="1" customFormat="1" x14ac:dyDescent="0.3">
      <c r="A555" s="33" t="s">
        <v>1154</v>
      </c>
      <c r="B555" s="33">
        <v>44991622693</v>
      </c>
      <c r="C555" s="33" t="s">
        <v>43</v>
      </c>
      <c r="D555" s="33">
        <v>4430265054</v>
      </c>
      <c r="E555" s="33">
        <v>395</v>
      </c>
      <c r="F555" s="33">
        <v>339</v>
      </c>
      <c r="G555" s="33" t="s">
        <v>38</v>
      </c>
      <c r="H555" s="33" t="s">
        <v>1155</v>
      </c>
      <c r="I555" s="33" t="s">
        <v>39</v>
      </c>
      <c r="J555" s="33" t="s">
        <v>40</v>
      </c>
      <c r="K555" s="33" t="s">
        <v>41</v>
      </c>
      <c r="L555" s="33">
        <v>5</v>
      </c>
    </row>
    <row r="556" spans="1:12" s="1" customFormat="1" x14ac:dyDescent="0.3">
      <c r="A556" s="33" t="s">
        <v>1156</v>
      </c>
      <c r="B556" s="33">
        <v>44997164698</v>
      </c>
      <c r="C556" s="33" t="s">
        <v>48</v>
      </c>
      <c r="D556" s="33">
        <v>4431268225</v>
      </c>
      <c r="E556" s="33">
        <v>133</v>
      </c>
      <c r="F556" s="33">
        <v>71</v>
      </c>
      <c r="G556" s="33" t="s">
        <v>38</v>
      </c>
      <c r="H556" s="33" t="s">
        <v>1157</v>
      </c>
      <c r="I556" s="33" t="s">
        <v>39</v>
      </c>
      <c r="J556" s="33" t="s">
        <v>40</v>
      </c>
      <c r="K556" s="33" t="s">
        <v>41</v>
      </c>
      <c r="L556" s="33"/>
    </row>
    <row r="557" spans="1:12" s="1" customFormat="1" x14ac:dyDescent="0.3">
      <c r="A557" s="33" t="s">
        <v>1158</v>
      </c>
      <c r="B557" s="33">
        <v>4430459032</v>
      </c>
      <c r="C557" s="33" t="s">
        <v>43</v>
      </c>
      <c r="D557" s="33">
        <v>4430265054</v>
      </c>
      <c r="E557" s="33">
        <v>127</v>
      </c>
      <c r="F557" s="33">
        <v>106</v>
      </c>
      <c r="G557" s="33" t="s">
        <v>38</v>
      </c>
      <c r="H557" s="33" t="s">
        <v>1159</v>
      </c>
      <c r="I557" s="33" t="s">
        <v>39</v>
      </c>
      <c r="J557" s="33" t="s">
        <v>40</v>
      </c>
      <c r="K557" s="33" t="s">
        <v>41</v>
      </c>
      <c r="L557" s="33"/>
    </row>
    <row r="558" spans="1:12" s="1" customFormat="1" x14ac:dyDescent="0.3">
      <c r="A558" s="33" t="s">
        <v>1160</v>
      </c>
      <c r="B558" s="33" t="s">
        <v>37</v>
      </c>
      <c r="C558" s="33">
        <v>44997164698</v>
      </c>
      <c r="D558" s="33"/>
      <c r="E558" s="33">
        <v>65</v>
      </c>
      <c r="F558" s="33">
        <v>51</v>
      </c>
      <c r="G558" s="33" t="s">
        <v>38</v>
      </c>
      <c r="H558" s="33" t="s">
        <v>1161</v>
      </c>
      <c r="I558" s="33" t="s">
        <v>46</v>
      </c>
      <c r="J558" s="33" t="s">
        <v>40</v>
      </c>
      <c r="K558" s="33"/>
      <c r="L558" s="33"/>
    </row>
    <row r="559" spans="1:12" s="1" customFormat="1" x14ac:dyDescent="0.3">
      <c r="A559" s="33" t="s">
        <v>1162</v>
      </c>
      <c r="B559" s="33" t="s">
        <v>37</v>
      </c>
      <c r="C559" s="33">
        <v>44997164698</v>
      </c>
      <c r="D559" s="33"/>
      <c r="E559" s="33">
        <v>1</v>
      </c>
      <c r="F559" s="33">
        <v>0</v>
      </c>
      <c r="G559" s="33" t="s">
        <v>47</v>
      </c>
      <c r="H559" s="33" t="s">
        <v>1163</v>
      </c>
      <c r="I559" s="33" t="s">
        <v>46</v>
      </c>
      <c r="J559" s="33" t="s">
        <v>40</v>
      </c>
      <c r="K559" s="33"/>
      <c r="L559" s="33"/>
    </row>
    <row r="560" spans="1:12" s="1" customFormat="1" x14ac:dyDescent="0.3">
      <c r="A560" s="33" t="s">
        <v>1164</v>
      </c>
      <c r="B560" s="33" t="s">
        <v>37</v>
      </c>
      <c r="C560" s="33">
        <v>44997164698</v>
      </c>
      <c r="D560" s="33"/>
      <c r="E560" s="33">
        <v>1</v>
      </c>
      <c r="F560" s="33">
        <v>0</v>
      </c>
      <c r="G560" s="33" t="s">
        <v>47</v>
      </c>
      <c r="H560" s="33" t="s">
        <v>1165</v>
      </c>
      <c r="I560" s="33" t="s">
        <v>46</v>
      </c>
      <c r="J560" s="33" t="s">
        <v>40</v>
      </c>
      <c r="K560" s="33"/>
      <c r="L560" s="33"/>
    </row>
    <row r="561" spans="1:12" s="1" customFormat="1" x14ac:dyDescent="0.3">
      <c r="A561" s="33" t="s">
        <v>1166</v>
      </c>
      <c r="B561" s="33" t="s">
        <v>48</v>
      </c>
      <c r="C561" s="33">
        <v>4432672194</v>
      </c>
      <c r="D561" s="33"/>
      <c r="E561" s="33">
        <v>184</v>
      </c>
      <c r="F561" s="33">
        <v>173</v>
      </c>
      <c r="G561" s="33" t="s">
        <v>38</v>
      </c>
      <c r="H561" s="33" t="s">
        <v>1167</v>
      </c>
      <c r="I561" s="33" t="s">
        <v>46</v>
      </c>
      <c r="J561" s="33" t="s">
        <v>40</v>
      </c>
      <c r="K561" s="33"/>
      <c r="L561" s="33"/>
    </row>
    <row r="562" spans="1:12" s="1" customFormat="1" x14ac:dyDescent="0.3">
      <c r="A562" s="33" t="s">
        <v>1168</v>
      </c>
      <c r="B562" s="33" t="s">
        <v>37</v>
      </c>
      <c r="C562" s="33">
        <v>4430315826</v>
      </c>
      <c r="D562" s="33"/>
      <c r="E562" s="33">
        <v>42</v>
      </c>
      <c r="F562" s="33">
        <v>30</v>
      </c>
      <c r="G562" s="33" t="s">
        <v>38</v>
      </c>
      <c r="H562" s="33" t="s">
        <v>1169</v>
      </c>
      <c r="I562" s="33" t="s">
        <v>46</v>
      </c>
      <c r="J562" s="33" t="s">
        <v>40</v>
      </c>
      <c r="K562" s="33"/>
      <c r="L562" s="33"/>
    </row>
    <row r="563" spans="1:12" s="1" customFormat="1" x14ac:dyDescent="0.3">
      <c r="A563" s="33" t="s">
        <v>1170</v>
      </c>
      <c r="B563" s="33" t="s">
        <v>37</v>
      </c>
      <c r="C563" s="33">
        <v>4430315826</v>
      </c>
      <c r="D563" s="33"/>
      <c r="E563" s="33">
        <v>5</v>
      </c>
      <c r="F563" s="33">
        <v>0</v>
      </c>
      <c r="G563" s="33" t="s">
        <v>47</v>
      </c>
      <c r="H563" s="33" t="s">
        <v>1171</v>
      </c>
      <c r="I563" s="33" t="s">
        <v>46</v>
      </c>
      <c r="J563" s="33" t="s">
        <v>40</v>
      </c>
      <c r="K563" s="33"/>
      <c r="L563" s="33"/>
    </row>
    <row r="564" spans="1:12" s="1" customFormat="1" x14ac:dyDescent="0.3">
      <c r="A564" s="33" t="s">
        <v>1172</v>
      </c>
      <c r="B564" s="33">
        <v>44988303530</v>
      </c>
      <c r="C564" s="33" t="s">
        <v>44</v>
      </c>
      <c r="D564" s="33">
        <v>4430265054</v>
      </c>
      <c r="E564" s="33">
        <v>463</v>
      </c>
      <c r="F564" s="33">
        <v>350</v>
      </c>
      <c r="G564" s="33" t="s">
        <v>38</v>
      </c>
      <c r="H564" s="33" t="s">
        <v>1173</v>
      </c>
      <c r="I564" s="33" t="s">
        <v>39</v>
      </c>
      <c r="J564" s="33" t="s">
        <v>40</v>
      </c>
      <c r="K564" s="33" t="s">
        <v>41</v>
      </c>
      <c r="L564" s="33">
        <v>5</v>
      </c>
    </row>
    <row r="565" spans="1:12" s="1" customFormat="1" x14ac:dyDescent="0.3">
      <c r="A565" s="33" t="s">
        <v>1174</v>
      </c>
      <c r="B565" s="33">
        <v>4432524636</v>
      </c>
      <c r="C565" s="33" t="s">
        <v>42</v>
      </c>
      <c r="D565" s="33">
        <v>4430265054</v>
      </c>
      <c r="E565" s="33">
        <v>1774</v>
      </c>
      <c r="F565" s="33">
        <v>1756</v>
      </c>
      <c r="G565" s="33" t="s">
        <v>38</v>
      </c>
      <c r="H565" s="33" t="s">
        <v>1175</v>
      </c>
      <c r="I565" s="33" t="s">
        <v>39</v>
      </c>
      <c r="J565" s="33" t="s">
        <v>40</v>
      </c>
      <c r="K565" s="33" t="s">
        <v>41</v>
      </c>
      <c r="L565" s="33">
        <v>5</v>
      </c>
    </row>
    <row r="566" spans="1:12" s="1" customFormat="1" x14ac:dyDescent="0.3">
      <c r="A566" s="33" t="s">
        <v>1176</v>
      </c>
      <c r="B566" s="33">
        <v>44998090665</v>
      </c>
      <c r="C566" s="33" t="s">
        <v>44</v>
      </c>
      <c r="D566" s="33">
        <v>4430265054</v>
      </c>
      <c r="E566" s="33">
        <v>85</v>
      </c>
      <c r="F566" s="33">
        <v>61</v>
      </c>
      <c r="G566" s="33" t="s">
        <v>38</v>
      </c>
      <c r="H566" s="33" t="s">
        <v>1177</v>
      </c>
      <c r="I566" s="33" t="s">
        <v>39</v>
      </c>
      <c r="J566" s="33" t="s">
        <v>40</v>
      </c>
      <c r="K566" s="33" t="s">
        <v>41</v>
      </c>
      <c r="L566" s="33"/>
    </row>
    <row r="567" spans="1:12" s="1" customFormat="1" x14ac:dyDescent="0.3">
      <c r="A567" s="33" t="s">
        <v>1178</v>
      </c>
      <c r="B567" s="33">
        <v>4334726613</v>
      </c>
      <c r="C567" s="33" t="s">
        <v>43</v>
      </c>
      <c r="D567" s="33">
        <v>4430265054</v>
      </c>
      <c r="E567" s="33">
        <v>1534</v>
      </c>
      <c r="F567" s="33">
        <v>1475</v>
      </c>
      <c r="G567" s="33" t="s">
        <v>38</v>
      </c>
      <c r="H567" s="33" t="s">
        <v>1179</v>
      </c>
      <c r="I567" s="33" t="s">
        <v>39</v>
      </c>
      <c r="J567" s="33" t="s">
        <v>40</v>
      </c>
      <c r="K567" s="33" t="s">
        <v>41</v>
      </c>
      <c r="L567" s="33"/>
    </row>
    <row r="568" spans="1:12" s="1" customFormat="1" x14ac:dyDescent="0.3">
      <c r="A568" s="33" t="s">
        <v>1180</v>
      </c>
      <c r="B568" s="33">
        <v>35998295948</v>
      </c>
      <c r="C568" s="33" t="s">
        <v>42</v>
      </c>
      <c r="D568" s="33">
        <v>4430265054</v>
      </c>
      <c r="E568" s="33">
        <v>492</v>
      </c>
      <c r="F568" s="33">
        <v>386</v>
      </c>
      <c r="G568" s="33" t="s">
        <v>38</v>
      </c>
      <c r="H568" s="33" t="s">
        <v>1181</v>
      </c>
      <c r="I568" s="33" t="s">
        <v>39</v>
      </c>
      <c r="J568" s="33" t="s">
        <v>40</v>
      </c>
      <c r="K568" s="33" t="s">
        <v>41</v>
      </c>
      <c r="L568" s="33">
        <v>5</v>
      </c>
    </row>
    <row r="569" spans="1:12" s="1" customFormat="1" x14ac:dyDescent="0.3">
      <c r="A569" s="33" t="s">
        <v>1182</v>
      </c>
      <c r="B569" s="33">
        <v>4433052980</v>
      </c>
      <c r="C569" s="33" t="s">
        <v>37</v>
      </c>
      <c r="D569" s="33">
        <v>4430265054</v>
      </c>
      <c r="E569" s="33">
        <v>981</v>
      </c>
      <c r="F569" s="33">
        <v>961</v>
      </c>
      <c r="G569" s="33" t="s">
        <v>38</v>
      </c>
      <c r="H569" s="33" t="s">
        <v>1183</v>
      </c>
      <c r="I569" s="33" t="s">
        <v>39</v>
      </c>
      <c r="J569" s="33" t="s">
        <v>40</v>
      </c>
      <c r="K569" s="33" t="s">
        <v>41</v>
      </c>
      <c r="L569" s="33"/>
    </row>
    <row r="570" spans="1:12" s="1" customFormat="1" x14ac:dyDescent="0.3">
      <c r="A570" s="33" t="s">
        <v>1184</v>
      </c>
      <c r="B570" s="33">
        <v>4432272377</v>
      </c>
      <c r="C570" s="33" t="s">
        <v>44</v>
      </c>
      <c r="D570" s="33">
        <v>4430265054</v>
      </c>
      <c r="E570" s="33">
        <v>249</v>
      </c>
      <c r="F570" s="33">
        <v>174</v>
      </c>
      <c r="G570" s="33" t="s">
        <v>38</v>
      </c>
      <c r="H570" s="33" t="s">
        <v>1185</v>
      </c>
      <c r="I570" s="33" t="s">
        <v>39</v>
      </c>
      <c r="J570" s="33" t="s">
        <v>40</v>
      </c>
      <c r="K570" s="33" t="s">
        <v>41</v>
      </c>
      <c r="L570" s="33"/>
    </row>
    <row r="571" spans="1:12" s="1" customFormat="1" x14ac:dyDescent="0.3">
      <c r="A571" s="33" t="s">
        <v>1186</v>
      </c>
      <c r="B571" s="33">
        <v>4430318515</v>
      </c>
      <c r="C571" s="33" t="s">
        <v>43</v>
      </c>
      <c r="D571" s="33">
        <v>4430265054</v>
      </c>
      <c r="E571" s="33">
        <v>262</v>
      </c>
      <c r="F571" s="33">
        <v>204</v>
      </c>
      <c r="G571" s="33" t="s">
        <v>38</v>
      </c>
      <c r="H571" s="33" t="s">
        <v>1187</v>
      </c>
      <c r="I571" s="33" t="s">
        <v>39</v>
      </c>
      <c r="J571" s="33" t="s">
        <v>40</v>
      </c>
      <c r="K571" s="33" t="s">
        <v>41</v>
      </c>
      <c r="L571" s="33"/>
    </row>
    <row r="572" spans="1:12" s="1" customFormat="1" x14ac:dyDescent="0.3">
      <c r="A572" s="33" t="s">
        <v>1188</v>
      </c>
      <c r="B572" s="33" t="s">
        <v>37</v>
      </c>
      <c r="C572" s="33">
        <v>34999024116</v>
      </c>
      <c r="D572" s="33"/>
      <c r="E572" s="33">
        <v>5</v>
      </c>
      <c r="F572" s="33">
        <v>0</v>
      </c>
      <c r="G572" s="33" t="s">
        <v>47</v>
      </c>
      <c r="H572" s="33" t="s">
        <v>1189</v>
      </c>
      <c r="I572" s="33" t="s">
        <v>46</v>
      </c>
      <c r="J572" s="33" t="s">
        <v>40</v>
      </c>
      <c r="K572" s="33"/>
      <c r="L572" s="33"/>
    </row>
    <row r="573" spans="1:12" s="1" customFormat="1" x14ac:dyDescent="0.3">
      <c r="A573" s="33" t="s">
        <v>1190</v>
      </c>
      <c r="B573" s="33">
        <v>44991354005</v>
      </c>
      <c r="C573" s="33" t="s">
        <v>42</v>
      </c>
      <c r="D573" s="33">
        <v>4430265054</v>
      </c>
      <c r="E573" s="33">
        <v>244</v>
      </c>
      <c r="F573" s="33">
        <v>207</v>
      </c>
      <c r="G573" s="33" t="s">
        <v>38</v>
      </c>
      <c r="H573" s="33" t="s">
        <v>1191</v>
      </c>
      <c r="I573" s="33" t="s">
        <v>39</v>
      </c>
      <c r="J573" s="33" t="s">
        <v>40</v>
      </c>
      <c r="K573" s="33" t="s">
        <v>41</v>
      </c>
      <c r="L573" s="33"/>
    </row>
    <row r="574" spans="1:12" s="1" customFormat="1" x14ac:dyDescent="0.3">
      <c r="A574" s="33" t="s">
        <v>1192</v>
      </c>
      <c r="B574" s="33" t="s">
        <v>43</v>
      </c>
      <c r="C574" s="33">
        <v>4532541802</v>
      </c>
      <c r="D574" s="33"/>
      <c r="E574" s="33">
        <v>162</v>
      </c>
      <c r="F574" s="33">
        <v>162</v>
      </c>
      <c r="G574" s="33" t="s">
        <v>38</v>
      </c>
      <c r="H574" s="33" t="s">
        <v>1193</v>
      </c>
      <c r="I574" s="33" t="s">
        <v>46</v>
      </c>
      <c r="J574" s="33" t="s">
        <v>40</v>
      </c>
      <c r="K574" s="33"/>
      <c r="L574" s="33"/>
    </row>
    <row r="575" spans="1:12" s="1" customFormat="1" x14ac:dyDescent="0.3">
      <c r="A575" s="33" t="s">
        <v>1194</v>
      </c>
      <c r="B575" s="33">
        <v>1131043888</v>
      </c>
      <c r="C575" s="33" t="s">
        <v>43</v>
      </c>
      <c r="D575" s="33">
        <v>4430265054</v>
      </c>
      <c r="E575" s="33">
        <v>326</v>
      </c>
      <c r="F575" s="33">
        <v>288</v>
      </c>
      <c r="G575" s="33" t="s">
        <v>38</v>
      </c>
      <c r="H575" s="33" t="s">
        <v>1195</v>
      </c>
      <c r="I575" s="33" t="s">
        <v>39</v>
      </c>
      <c r="J575" s="33" t="s">
        <v>40</v>
      </c>
      <c r="K575" s="33" t="s">
        <v>41</v>
      </c>
      <c r="L575" s="33">
        <v>5</v>
      </c>
    </row>
    <row r="576" spans="1:12" s="1" customFormat="1" x14ac:dyDescent="0.3">
      <c r="A576" s="33" t="s">
        <v>1196</v>
      </c>
      <c r="B576" s="33" t="s">
        <v>42</v>
      </c>
      <c r="C576" s="33">
        <v>11990144272</v>
      </c>
      <c r="D576" s="33"/>
      <c r="E576" s="33">
        <v>557</v>
      </c>
      <c r="F576" s="33">
        <v>551</v>
      </c>
      <c r="G576" s="33" t="s">
        <v>38</v>
      </c>
      <c r="H576" s="33" t="s">
        <v>1197</v>
      </c>
      <c r="I576" s="33" t="s">
        <v>46</v>
      </c>
      <c r="J576" s="33" t="s">
        <v>40</v>
      </c>
      <c r="K576" s="33"/>
      <c r="L576" s="33">
        <v>5</v>
      </c>
    </row>
    <row r="577" spans="1:12" s="1" customFormat="1" x14ac:dyDescent="0.3">
      <c r="A577" s="33" t="s">
        <v>1198</v>
      </c>
      <c r="B577" s="33">
        <v>4532541802</v>
      </c>
      <c r="C577" s="33" t="s">
        <v>44</v>
      </c>
      <c r="D577" s="33">
        <v>4430265054</v>
      </c>
      <c r="E577" s="33">
        <v>526</v>
      </c>
      <c r="F577" s="33">
        <v>477</v>
      </c>
      <c r="G577" s="33" t="s">
        <v>38</v>
      </c>
      <c r="H577" s="33" t="s">
        <v>1199</v>
      </c>
      <c r="I577" s="33" t="s">
        <v>39</v>
      </c>
      <c r="J577" s="33" t="s">
        <v>40</v>
      </c>
      <c r="K577" s="33" t="s">
        <v>41</v>
      </c>
      <c r="L577" s="33">
        <v>5</v>
      </c>
    </row>
    <row r="578" spans="1:12" s="1" customFormat="1" x14ac:dyDescent="0.3">
      <c r="A578" s="33" t="s">
        <v>1200</v>
      </c>
      <c r="B578" s="33" t="s">
        <v>42</v>
      </c>
      <c r="C578" s="33">
        <v>11990144272</v>
      </c>
      <c r="D578" s="33"/>
      <c r="E578" s="33">
        <v>1020</v>
      </c>
      <c r="F578" s="33">
        <v>995</v>
      </c>
      <c r="G578" s="33" t="s">
        <v>38</v>
      </c>
      <c r="H578" s="33" t="s">
        <v>1201</v>
      </c>
      <c r="I578" s="33" t="s">
        <v>46</v>
      </c>
      <c r="J578" s="33" t="s">
        <v>40</v>
      </c>
      <c r="K578" s="33"/>
      <c r="L578" s="33"/>
    </row>
    <row r="579" spans="1:12" s="1" customFormat="1" x14ac:dyDescent="0.3">
      <c r="A579" s="33" t="s">
        <v>1202</v>
      </c>
      <c r="B579" s="33" t="s">
        <v>42</v>
      </c>
      <c r="C579" s="33">
        <v>11990144272</v>
      </c>
      <c r="D579" s="33"/>
      <c r="E579" s="33">
        <v>999</v>
      </c>
      <c r="F579" s="33">
        <v>991</v>
      </c>
      <c r="G579" s="33" t="s">
        <v>38</v>
      </c>
      <c r="H579" s="33" t="s">
        <v>1203</v>
      </c>
      <c r="I579" s="33" t="s">
        <v>46</v>
      </c>
      <c r="J579" s="33" t="s">
        <v>40</v>
      </c>
      <c r="K579" s="33"/>
      <c r="L579" s="33"/>
    </row>
    <row r="580" spans="1:12" s="1" customFormat="1" x14ac:dyDescent="0.3">
      <c r="A580" s="33" t="s">
        <v>1204</v>
      </c>
      <c r="B580" s="33">
        <v>11990144272</v>
      </c>
      <c r="C580" s="33" t="s">
        <v>42</v>
      </c>
      <c r="D580" s="33">
        <v>4431268225</v>
      </c>
      <c r="E580" s="33">
        <v>179</v>
      </c>
      <c r="F580" s="33">
        <v>169</v>
      </c>
      <c r="G580" s="33" t="s">
        <v>38</v>
      </c>
      <c r="H580" s="33" t="s">
        <v>1205</v>
      </c>
      <c r="I580" s="33" t="s">
        <v>39</v>
      </c>
      <c r="J580" s="33" t="s">
        <v>40</v>
      </c>
      <c r="K580" s="33" t="s">
        <v>41</v>
      </c>
      <c r="L580" s="33"/>
    </row>
    <row r="581" spans="1:12" s="1" customFormat="1" x14ac:dyDescent="0.3">
      <c r="A581" s="33" t="s">
        <v>1206</v>
      </c>
      <c r="B581" s="33">
        <v>44999540372</v>
      </c>
      <c r="C581" s="33" t="s">
        <v>37</v>
      </c>
      <c r="D581" s="33">
        <v>4430265054</v>
      </c>
      <c r="E581" s="33">
        <v>1072</v>
      </c>
      <c r="F581" s="33">
        <v>1051</v>
      </c>
      <c r="G581" s="33" t="s">
        <v>38</v>
      </c>
      <c r="H581" s="33" t="s">
        <v>1207</v>
      </c>
      <c r="I581" s="33" t="s">
        <v>39</v>
      </c>
      <c r="J581" s="33" t="s">
        <v>40</v>
      </c>
      <c r="K581" s="33" t="s">
        <v>41</v>
      </c>
      <c r="L581" s="33">
        <v>5</v>
      </c>
    </row>
    <row r="582" spans="1:12" s="1" customFormat="1" x14ac:dyDescent="0.3">
      <c r="A582" s="33" t="s">
        <v>1208</v>
      </c>
      <c r="B582" s="33">
        <v>77999014770</v>
      </c>
      <c r="C582" s="33" t="s">
        <v>43</v>
      </c>
      <c r="D582" s="33">
        <v>4430265054</v>
      </c>
      <c r="E582" s="33">
        <v>2397</v>
      </c>
      <c r="F582" s="33">
        <v>2370</v>
      </c>
      <c r="G582" s="33" t="s">
        <v>38</v>
      </c>
      <c r="H582" s="33" t="s">
        <v>1209</v>
      </c>
      <c r="I582" s="33" t="s">
        <v>39</v>
      </c>
      <c r="J582" s="33" t="s">
        <v>40</v>
      </c>
      <c r="K582" s="33" t="s">
        <v>41</v>
      </c>
      <c r="L582" s="33"/>
    </row>
    <row r="583" spans="1:12" s="1" customFormat="1" x14ac:dyDescent="0.3">
      <c r="A583" s="33" t="s">
        <v>1210</v>
      </c>
      <c r="B583" s="33">
        <v>47991636470</v>
      </c>
      <c r="C583" s="33" t="s">
        <v>42</v>
      </c>
      <c r="D583" s="33">
        <v>4430265054</v>
      </c>
      <c r="E583" s="33">
        <v>394</v>
      </c>
      <c r="F583" s="33">
        <v>372</v>
      </c>
      <c r="G583" s="33" t="s">
        <v>38</v>
      </c>
      <c r="H583" s="33" t="s">
        <v>1211</v>
      </c>
      <c r="I583" s="33" t="s">
        <v>39</v>
      </c>
      <c r="J583" s="33" t="s">
        <v>40</v>
      </c>
      <c r="K583" s="33" t="s">
        <v>41</v>
      </c>
      <c r="L583" s="33">
        <v>5</v>
      </c>
    </row>
    <row r="584" spans="1:12" s="1" customFormat="1" x14ac:dyDescent="0.3">
      <c r="A584" s="33" t="s">
        <v>1212</v>
      </c>
      <c r="B584" s="33">
        <v>4430141533</v>
      </c>
      <c r="C584" s="33" t="s">
        <v>44</v>
      </c>
      <c r="D584" s="33">
        <v>4430265054</v>
      </c>
      <c r="E584" s="33">
        <v>880</v>
      </c>
      <c r="F584" s="33">
        <v>831</v>
      </c>
      <c r="G584" s="33" t="s">
        <v>38</v>
      </c>
      <c r="H584" s="33" t="s">
        <v>1213</v>
      </c>
      <c r="I584" s="33" t="s">
        <v>39</v>
      </c>
      <c r="J584" s="33" t="s">
        <v>40</v>
      </c>
      <c r="K584" s="33" t="s">
        <v>41</v>
      </c>
      <c r="L584" s="33">
        <v>5</v>
      </c>
    </row>
    <row r="585" spans="1:12" s="1" customFormat="1" x14ac:dyDescent="0.3">
      <c r="A585" s="33" t="s">
        <v>1214</v>
      </c>
      <c r="B585" s="33">
        <v>11990144272</v>
      </c>
      <c r="C585" s="33" t="s">
        <v>43</v>
      </c>
      <c r="D585" s="33">
        <v>4431268225</v>
      </c>
      <c r="E585" s="33">
        <v>510</v>
      </c>
      <c r="F585" s="33">
        <v>477</v>
      </c>
      <c r="G585" s="33" t="s">
        <v>38</v>
      </c>
      <c r="H585" s="33" t="s">
        <v>1215</v>
      </c>
      <c r="I585" s="33" t="s">
        <v>39</v>
      </c>
      <c r="J585" s="33" t="s">
        <v>40</v>
      </c>
      <c r="K585" s="33" t="s">
        <v>41</v>
      </c>
      <c r="L585" s="33"/>
    </row>
    <row r="586" spans="1:12" s="1" customFormat="1" x14ac:dyDescent="0.3">
      <c r="A586" s="33" t="s">
        <v>1216</v>
      </c>
      <c r="B586" s="33">
        <v>43999388040</v>
      </c>
      <c r="C586" s="33" t="s">
        <v>37</v>
      </c>
      <c r="D586" s="33">
        <v>4430265054</v>
      </c>
      <c r="E586" s="33">
        <v>589</v>
      </c>
      <c r="F586" s="33">
        <v>575</v>
      </c>
      <c r="G586" s="33" t="s">
        <v>38</v>
      </c>
      <c r="H586" s="33" t="s">
        <v>1217</v>
      </c>
      <c r="I586" s="33" t="s">
        <v>39</v>
      </c>
      <c r="J586" s="33" t="s">
        <v>40</v>
      </c>
      <c r="K586" s="33" t="s">
        <v>41</v>
      </c>
      <c r="L586" s="33">
        <v>5</v>
      </c>
    </row>
    <row r="587" spans="1:12" s="1" customFormat="1" x14ac:dyDescent="0.3">
      <c r="A587" s="33" t="s">
        <v>1218</v>
      </c>
      <c r="B587" s="33" t="s">
        <v>42</v>
      </c>
      <c r="C587" s="33">
        <v>1732146970</v>
      </c>
      <c r="D587" s="33"/>
      <c r="E587" s="33">
        <v>182</v>
      </c>
      <c r="F587" s="33">
        <v>180</v>
      </c>
      <c r="G587" s="33" t="s">
        <v>38</v>
      </c>
      <c r="H587" s="33" t="s">
        <v>1219</v>
      </c>
      <c r="I587" s="33" t="s">
        <v>46</v>
      </c>
      <c r="J587" s="33" t="s">
        <v>40</v>
      </c>
      <c r="K587" s="33"/>
      <c r="L587" s="33"/>
    </row>
    <row r="588" spans="1:12" s="1" customFormat="1" x14ac:dyDescent="0.3">
      <c r="A588" s="33" t="s">
        <v>1220</v>
      </c>
      <c r="B588" s="33" t="s">
        <v>43</v>
      </c>
      <c r="C588" s="33">
        <v>44998601838</v>
      </c>
      <c r="D588" s="33"/>
      <c r="E588" s="33">
        <v>181</v>
      </c>
      <c r="F588" s="33">
        <v>175</v>
      </c>
      <c r="G588" s="33" t="s">
        <v>38</v>
      </c>
      <c r="H588" s="33" t="s">
        <v>1221</v>
      </c>
      <c r="I588" s="33" t="s">
        <v>46</v>
      </c>
      <c r="J588" s="33" t="s">
        <v>40</v>
      </c>
      <c r="K588" s="33"/>
      <c r="L588" s="33"/>
    </row>
    <row r="589" spans="1:12" s="1" customFormat="1" x14ac:dyDescent="0.3">
      <c r="A589" s="33" t="s">
        <v>1222</v>
      </c>
      <c r="B589" s="33" t="s">
        <v>43</v>
      </c>
      <c r="C589" s="33">
        <v>44998601838</v>
      </c>
      <c r="D589" s="33"/>
      <c r="E589" s="33">
        <v>27</v>
      </c>
      <c r="F589" s="33">
        <v>0</v>
      </c>
      <c r="G589" s="33" t="s">
        <v>47</v>
      </c>
      <c r="H589" s="33" t="s">
        <v>1223</v>
      </c>
      <c r="I589" s="33" t="s">
        <v>46</v>
      </c>
      <c r="J589" s="33" t="s">
        <v>40</v>
      </c>
      <c r="K589" s="33"/>
      <c r="L589" s="33"/>
    </row>
    <row r="590" spans="1:12" s="1" customFormat="1" x14ac:dyDescent="0.3">
      <c r="A590" s="33" t="s">
        <v>1224</v>
      </c>
      <c r="B590" s="33">
        <v>4334226481</v>
      </c>
      <c r="C590" s="33" t="s">
        <v>42</v>
      </c>
      <c r="D590" s="33">
        <v>4430265054</v>
      </c>
      <c r="E590" s="33">
        <v>328</v>
      </c>
      <c r="F590" s="33">
        <v>263</v>
      </c>
      <c r="G590" s="33" t="s">
        <v>38</v>
      </c>
      <c r="H590" s="33" t="s">
        <v>1225</v>
      </c>
      <c r="I590" s="33" t="s">
        <v>39</v>
      </c>
      <c r="J590" s="33" t="s">
        <v>40</v>
      </c>
      <c r="K590" s="33" t="s">
        <v>41</v>
      </c>
      <c r="L590" s="33">
        <v>5</v>
      </c>
    </row>
    <row r="591" spans="1:12" s="1" customFormat="1" x14ac:dyDescent="0.3">
      <c r="A591" s="33" t="s">
        <v>1226</v>
      </c>
      <c r="B591" s="33" t="s">
        <v>43</v>
      </c>
      <c r="C591" s="33">
        <v>44998601838</v>
      </c>
      <c r="D591" s="33"/>
      <c r="E591" s="33">
        <v>99</v>
      </c>
      <c r="F591" s="33">
        <v>89</v>
      </c>
      <c r="G591" s="33" t="s">
        <v>38</v>
      </c>
      <c r="H591" s="33" t="s">
        <v>1227</v>
      </c>
      <c r="I591" s="33" t="s">
        <v>46</v>
      </c>
      <c r="J591" s="33" t="s">
        <v>40</v>
      </c>
      <c r="K591" s="33"/>
      <c r="L591" s="33"/>
    </row>
    <row r="592" spans="1:12" s="1" customFormat="1" x14ac:dyDescent="0.3">
      <c r="A592" s="33" t="s">
        <v>1228</v>
      </c>
      <c r="B592" s="33">
        <v>44998601838</v>
      </c>
      <c r="C592" s="33" t="s">
        <v>43</v>
      </c>
      <c r="D592" s="33">
        <v>4430265054</v>
      </c>
      <c r="E592" s="33">
        <v>116</v>
      </c>
      <c r="F592" s="33">
        <v>60</v>
      </c>
      <c r="G592" s="33" t="s">
        <v>38</v>
      </c>
      <c r="H592" s="33" t="s">
        <v>1229</v>
      </c>
      <c r="I592" s="33" t="s">
        <v>39</v>
      </c>
      <c r="J592" s="33" t="s">
        <v>40</v>
      </c>
      <c r="K592" s="33" t="s">
        <v>41</v>
      </c>
      <c r="L592" s="33"/>
    </row>
    <row r="593" spans="1:12" s="1" customFormat="1" x14ac:dyDescent="0.3">
      <c r="A593" s="33" t="s">
        <v>1230</v>
      </c>
      <c r="B593" s="33">
        <v>44998601838</v>
      </c>
      <c r="C593" s="33" t="s">
        <v>43</v>
      </c>
      <c r="D593" s="33">
        <v>4430265054</v>
      </c>
      <c r="E593" s="33">
        <v>962</v>
      </c>
      <c r="F593" s="33">
        <v>916</v>
      </c>
      <c r="G593" s="33" t="s">
        <v>38</v>
      </c>
      <c r="H593" s="33" t="s">
        <v>1231</v>
      </c>
      <c r="I593" s="33" t="s">
        <v>39</v>
      </c>
      <c r="J593" s="33" t="s">
        <v>40</v>
      </c>
      <c r="K593" s="33" t="s">
        <v>41</v>
      </c>
      <c r="L593" s="33"/>
    </row>
    <row r="594" spans="1:12" s="1" customFormat="1" x14ac:dyDescent="0.3">
      <c r="A594" s="33" t="s">
        <v>1232</v>
      </c>
      <c r="B594" s="33">
        <v>91981481202</v>
      </c>
      <c r="C594" s="33" t="s">
        <v>43</v>
      </c>
      <c r="D594" s="33">
        <v>4430265054</v>
      </c>
      <c r="E594" s="33">
        <v>40</v>
      </c>
      <c r="F594" s="33">
        <v>0</v>
      </c>
      <c r="G594" s="33" t="s">
        <v>38</v>
      </c>
      <c r="H594" s="33" t="s">
        <v>1233</v>
      </c>
      <c r="I594" s="33" t="s">
        <v>39</v>
      </c>
      <c r="J594" s="33" t="s">
        <v>40</v>
      </c>
      <c r="K594" s="33" t="s">
        <v>41</v>
      </c>
      <c r="L594" s="33"/>
    </row>
    <row r="595" spans="1:12" s="1" customFormat="1" x14ac:dyDescent="0.3">
      <c r="A595" s="33" t="s">
        <v>1234</v>
      </c>
      <c r="B595" s="33">
        <v>44999629349</v>
      </c>
      <c r="C595" s="33" t="s">
        <v>44</v>
      </c>
      <c r="D595" s="33">
        <v>4430265054</v>
      </c>
      <c r="E595" s="33">
        <v>334</v>
      </c>
      <c r="F595" s="33">
        <v>233</v>
      </c>
      <c r="G595" s="33" t="s">
        <v>38</v>
      </c>
      <c r="H595" s="33" t="s">
        <v>1235</v>
      </c>
      <c r="I595" s="33" t="s">
        <v>39</v>
      </c>
      <c r="J595" s="33" t="s">
        <v>40</v>
      </c>
      <c r="K595" s="33" t="s">
        <v>41</v>
      </c>
      <c r="L595" s="33"/>
    </row>
    <row r="596" spans="1:12" s="1" customFormat="1" x14ac:dyDescent="0.3">
      <c r="A596" s="33" t="s">
        <v>1236</v>
      </c>
      <c r="B596" s="33">
        <v>1131043888</v>
      </c>
      <c r="C596" s="33" t="s">
        <v>42</v>
      </c>
      <c r="D596" s="33">
        <v>4430265054</v>
      </c>
      <c r="E596" s="33">
        <v>943</v>
      </c>
      <c r="F596" s="33">
        <v>886</v>
      </c>
      <c r="G596" s="33" t="s">
        <v>38</v>
      </c>
      <c r="H596" s="33" t="s">
        <v>1237</v>
      </c>
      <c r="I596" s="33" t="s">
        <v>39</v>
      </c>
      <c r="J596" s="33" t="s">
        <v>40</v>
      </c>
      <c r="K596" s="33" t="s">
        <v>41</v>
      </c>
      <c r="L596" s="33">
        <v>5</v>
      </c>
    </row>
    <row r="597" spans="1:12" s="1" customFormat="1" x14ac:dyDescent="0.3">
      <c r="A597" s="33" t="s">
        <v>1238</v>
      </c>
      <c r="B597" s="33">
        <v>44997343311</v>
      </c>
      <c r="C597" s="33" t="s">
        <v>43</v>
      </c>
      <c r="D597" s="33">
        <v>4430265054</v>
      </c>
      <c r="E597" s="33">
        <v>838</v>
      </c>
      <c r="F597" s="33">
        <v>809</v>
      </c>
      <c r="G597" s="33" t="s">
        <v>38</v>
      </c>
      <c r="H597" s="33" t="s">
        <v>1239</v>
      </c>
      <c r="I597" s="33" t="s">
        <v>39</v>
      </c>
      <c r="J597" s="33" t="s">
        <v>40</v>
      </c>
      <c r="K597" s="33" t="s">
        <v>41</v>
      </c>
      <c r="L597" s="33"/>
    </row>
    <row r="598" spans="1:12" s="1" customFormat="1" x14ac:dyDescent="0.3">
      <c r="A598" s="33" t="s">
        <v>1240</v>
      </c>
      <c r="B598" s="33">
        <v>44988255390</v>
      </c>
      <c r="C598" s="33" t="s">
        <v>42</v>
      </c>
      <c r="D598" s="33">
        <v>4430265054</v>
      </c>
      <c r="E598" s="33">
        <v>550</v>
      </c>
      <c r="F598" s="33">
        <v>452</v>
      </c>
      <c r="G598" s="33" t="s">
        <v>38</v>
      </c>
      <c r="H598" s="33" t="s">
        <v>1241</v>
      </c>
      <c r="I598" s="33" t="s">
        <v>39</v>
      </c>
      <c r="J598" s="33" t="s">
        <v>40</v>
      </c>
      <c r="K598" s="33" t="s">
        <v>41</v>
      </c>
      <c r="L598" s="33"/>
    </row>
    <row r="599" spans="1:12" s="1" customFormat="1" x14ac:dyDescent="0.3">
      <c r="A599" s="33" t="s">
        <v>1242</v>
      </c>
      <c r="B599" s="33" t="s">
        <v>44</v>
      </c>
      <c r="C599" s="33">
        <v>4334234629</v>
      </c>
      <c r="D599" s="33"/>
      <c r="E599" s="33">
        <v>466</v>
      </c>
      <c r="F599" s="33">
        <v>455</v>
      </c>
      <c r="G599" s="33" t="s">
        <v>38</v>
      </c>
      <c r="H599" s="33" t="s">
        <v>1243</v>
      </c>
      <c r="I599" s="33" t="s">
        <v>46</v>
      </c>
      <c r="J599" s="33" t="s">
        <v>40</v>
      </c>
      <c r="K599" s="33"/>
      <c r="L599" s="33">
        <v>5</v>
      </c>
    </row>
    <row r="600" spans="1:12" s="1" customFormat="1" x14ac:dyDescent="0.3">
      <c r="A600" s="33" t="s">
        <v>1244</v>
      </c>
      <c r="B600" s="33" t="s">
        <v>37</v>
      </c>
      <c r="C600" s="33">
        <v>44997164698</v>
      </c>
      <c r="D600" s="33"/>
      <c r="E600" s="33">
        <v>7751</v>
      </c>
      <c r="F600" s="33">
        <v>7744</v>
      </c>
      <c r="G600" s="33" t="s">
        <v>38</v>
      </c>
      <c r="H600" s="33" t="s">
        <v>1245</v>
      </c>
      <c r="I600" s="33" t="s">
        <v>46</v>
      </c>
      <c r="J600" s="33" t="s">
        <v>40</v>
      </c>
      <c r="K600" s="33"/>
      <c r="L600" s="33"/>
    </row>
    <row r="601" spans="1:12" s="1" customFormat="1" x14ac:dyDescent="0.3">
      <c r="A601" s="33" t="s">
        <v>1246</v>
      </c>
      <c r="B601" s="33">
        <v>53981112780</v>
      </c>
      <c r="C601" s="33" t="s">
        <v>44</v>
      </c>
      <c r="D601" s="33">
        <v>4430265054</v>
      </c>
      <c r="E601" s="33">
        <v>430</v>
      </c>
      <c r="F601" s="33">
        <v>410</v>
      </c>
      <c r="G601" s="33" t="s">
        <v>38</v>
      </c>
      <c r="H601" s="33" t="s">
        <v>1247</v>
      </c>
      <c r="I601" s="33" t="s">
        <v>39</v>
      </c>
      <c r="J601" s="33" t="s">
        <v>40</v>
      </c>
      <c r="K601" s="33" t="s">
        <v>41</v>
      </c>
      <c r="L601" s="33">
        <v>4</v>
      </c>
    </row>
    <row r="602" spans="1:12" s="1" customFormat="1" x14ac:dyDescent="0.3">
      <c r="A602" s="33" t="s">
        <v>1248</v>
      </c>
      <c r="B602" s="33">
        <v>44997164698</v>
      </c>
      <c r="C602" s="33" t="s">
        <v>43</v>
      </c>
      <c r="D602" s="33">
        <v>4430265054</v>
      </c>
      <c r="E602" s="33">
        <v>144</v>
      </c>
      <c r="F602" s="33">
        <v>116</v>
      </c>
      <c r="G602" s="33" t="s">
        <v>38</v>
      </c>
      <c r="H602" s="33" t="s">
        <v>1249</v>
      </c>
      <c r="I602" s="33" t="s">
        <v>39</v>
      </c>
      <c r="J602" s="33" t="s">
        <v>40</v>
      </c>
      <c r="K602" s="33" t="s">
        <v>41</v>
      </c>
      <c r="L602" s="33"/>
    </row>
    <row r="603" spans="1:12" s="1" customFormat="1" x14ac:dyDescent="0.3">
      <c r="A603" s="33" t="s">
        <v>1250</v>
      </c>
      <c r="B603" s="33">
        <v>4436311970</v>
      </c>
      <c r="C603" s="33" t="s">
        <v>42</v>
      </c>
      <c r="D603" s="33">
        <v>4430265054</v>
      </c>
      <c r="E603" s="33">
        <v>1253</v>
      </c>
      <c r="F603" s="33">
        <v>1222</v>
      </c>
      <c r="G603" s="33" t="s">
        <v>38</v>
      </c>
      <c r="H603" s="33" t="s">
        <v>1251</v>
      </c>
      <c r="I603" s="33" t="s">
        <v>39</v>
      </c>
      <c r="J603" s="33" t="s">
        <v>40</v>
      </c>
      <c r="K603" s="33" t="s">
        <v>41</v>
      </c>
      <c r="L603" s="33"/>
    </row>
    <row r="604" spans="1:12" s="1" customFormat="1" x14ac:dyDescent="0.3">
      <c r="A604" s="33" t="s">
        <v>1252</v>
      </c>
      <c r="B604" s="33">
        <v>4431230400</v>
      </c>
      <c r="C604" s="33" t="s">
        <v>37</v>
      </c>
      <c r="D604" s="33">
        <v>4430265054</v>
      </c>
      <c r="E604" s="33">
        <v>233</v>
      </c>
      <c r="F604" s="33">
        <v>194</v>
      </c>
      <c r="G604" s="33" t="s">
        <v>38</v>
      </c>
      <c r="H604" s="33" t="s">
        <v>1253</v>
      </c>
      <c r="I604" s="33" t="s">
        <v>39</v>
      </c>
      <c r="J604" s="33" t="s">
        <v>40</v>
      </c>
      <c r="K604" s="33" t="s">
        <v>41</v>
      </c>
      <c r="L604" s="33"/>
    </row>
    <row r="605" spans="1:12" s="1" customFormat="1" x14ac:dyDescent="0.3">
      <c r="A605" s="33" t="s">
        <v>1254</v>
      </c>
      <c r="B605" s="33" t="s">
        <v>37</v>
      </c>
      <c r="C605" s="33">
        <v>3131810939</v>
      </c>
      <c r="D605" s="33"/>
      <c r="E605" s="33">
        <v>37</v>
      </c>
      <c r="F605" s="33">
        <v>28</v>
      </c>
      <c r="G605" s="33" t="s">
        <v>38</v>
      </c>
      <c r="H605" s="33" t="s">
        <v>1255</v>
      </c>
      <c r="I605" s="33" t="s">
        <v>46</v>
      </c>
      <c r="J605" s="33" t="s">
        <v>40</v>
      </c>
      <c r="K605" s="33"/>
      <c r="L605" s="33"/>
    </row>
    <row r="606" spans="1:12" s="1" customFormat="1" x14ac:dyDescent="0.3">
      <c r="A606" s="33" t="s">
        <v>1256</v>
      </c>
      <c r="B606" s="33" t="s">
        <v>37</v>
      </c>
      <c r="C606" s="33">
        <v>34991788564</v>
      </c>
      <c r="D606" s="33"/>
      <c r="E606" s="33">
        <v>7</v>
      </c>
      <c r="F606" s="33">
        <v>0</v>
      </c>
      <c r="G606" s="33" t="s">
        <v>47</v>
      </c>
      <c r="H606" s="33" t="s">
        <v>1257</v>
      </c>
      <c r="I606" s="33" t="s">
        <v>46</v>
      </c>
      <c r="J606" s="33" t="s">
        <v>40</v>
      </c>
      <c r="K606" s="33"/>
      <c r="L606" s="33"/>
    </row>
    <row r="607" spans="1:12" s="1" customFormat="1" x14ac:dyDescent="0.3">
      <c r="A607" s="33" t="s">
        <v>1258</v>
      </c>
      <c r="B607" s="33" t="s">
        <v>37</v>
      </c>
      <c r="C607" s="33">
        <v>34988939632</v>
      </c>
      <c r="D607" s="33"/>
      <c r="E607" s="33">
        <v>36</v>
      </c>
      <c r="F607" s="33">
        <v>0</v>
      </c>
      <c r="G607" s="33" t="s">
        <v>47</v>
      </c>
      <c r="H607" s="33" t="s">
        <v>1259</v>
      </c>
      <c r="I607" s="33" t="s">
        <v>46</v>
      </c>
      <c r="J607" s="33" t="s">
        <v>40</v>
      </c>
      <c r="K607" s="33"/>
      <c r="L607" s="33"/>
    </row>
    <row r="608" spans="1:12" s="1" customFormat="1" x14ac:dyDescent="0.3">
      <c r="A608" s="33" t="s">
        <v>1260</v>
      </c>
      <c r="B608" s="33" t="s">
        <v>37</v>
      </c>
      <c r="C608" s="33">
        <v>3435120761</v>
      </c>
      <c r="D608" s="33"/>
      <c r="E608" s="33">
        <v>8</v>
      </c>
      <c r="F608" s="33">
        <v>0</v>
      </c>
      <c r="G608" s="33" t="s">
        <v>47</v>
      </c>
      <c r="H608" s="33" t="s">
        <v>1261</v>
      </c>
      <c r="I608" s="33" t="s">
        <v>46</v>
      </c>
      <c r="J608" s="33" t="s">
        <v>40</v>
      </c>
      <c r="K608" s="33"/>
      <c r="L608" s="33"/>
    </row>
    <row r="609" spans="1:12" s="1" customFormat="1" x14ac:dyDescent="0.3">
      <c r="A609" s="33" t="s">
        <v>1262</v>
      </c>
      <c r="B609" s="33" t="s">
        <v>37</v>
      </c>
      <c r="C609" s="33">
        <v>3432424736</v>
      </c>
      <c r="D609" s="33"/>
      <c r="E609" s="33">
        <v>8</v>
      </c>
      <c r="F609" s="33">
        <v>0</v>
      </c>
      <c r="G609" s="33" t="s">
        <v>47</v>
      </c>
      <c r="H609" s="33" t="s">
        <v>1263</v>
      </c>
      <c r="I609" s="33" t="s">
        <v>46</v>
      </c>
      <c r="J609" s="33" t="s">
        <v>40</v>
      </c>
      <c r="K609" s="33"/>
      <c r="L609" s="33"/>
    </row>
    <row r="610" spans="1:12" s="1" customFormat="1" x14ac:dyDescent="0.3">
      <c r="A610" s="33" t="s">
        <v>1264</v>
      </c>
      <c r="B610" s="33" t="s">
        <v>43</v>
      </c>
      <c r="C610" s="33">
        <v>4532541802</v>
      </c>
      <c r="D610" s="33"/>
      <c r="E610" s="33">
        <v>224</v>
      </c>
      <c r="F610" s="33">
        <v>223</v>
      </c>
      <c r="G610" s="33" t="s">
        <v>38</v>
      </c>
      <c r="H610" s="33" t="s">
        <v>1265</v>
      </c>
      <c r="I610" s="33" t="s">
        <v>46</v>
      </c>
      <c r="J610" s="33" t="s">
        <v>40</v>
      </c>
      <c r="K610" s="33"/>
      <c r="L610" s="33"/>
    </row>
    <row r="611" spans="1:12" s="1" customFormat="1" x14ac:dyDescent="0.3">
      <c r="A611" s="33" t="s">
        <v>1266</v>
      </c>
      <c r="B611" s="33">
        <v>4334234629</v>
      </c>
      <c r="C611" s="33" t="s">
        <v>44</v>
      </c>
      <c r="D611" s="33">
        <v>4430265054</v>
      </c>
      <c r="E611" s="33">
        <v>1207</v>
      </c>
      <c r="F611" s="33">
        <v>1177</v>
      </c>
      <c r="G611" s="33" t="s">
        <v>38</v>
      </c>
      <c r="H611" s="33" t="s">
        <v>1267</v>
      </c>
      <c r="I611" s="33" t="s">
        <v>39</v>
      </c>
      <c r="J611" s="33" t="s">
        <v>40</v>
      </c>
      <c r="K611" s="33" t="s">
        <v>41</v>
      </c>
      <c r="L611" s="33"/>
    </row>
    <row r="612" spans="1:12" s="1" customFormat="1" x14ac:dyDescent="0.3">
      <c r="A612" s="33" t="s">
        <v>1268</v>
      </c>
      <c r="B612" s="33" t="s">
        <v>37</v>
      </c>
      <c r="C612" s="33">
        <v>4430315826</v>
      </c>
      <c r="D612" s="33"/>
      <c r="E612" s="33">
        <v>298</v>
      </c>
      <c r="F612" s="33">
        <v>286</v>
      </c>
      <c r="G612" s="33" t="s">
        <v>38</v>
      </c>
      <c r="H612" s="33" t="s">
        <v>1269</v>
      </c>
      <c r="I612" s="33" t="s">
        <v>46</v>
      </c>
      <c r="J612" s="33" t="s">
        <v>40</v>
      </c>
      <c r="K612" s="33"/>
      <c r="L612" s="33">
        <v>5</v>
      </c>
    </row>
    <row r="613" spans="1:12" s="1" customFormat="1" x14ac:dyDescent="0.3">
      <c r="A613" s="33" t="s">
        <v>1270</v>
      </c>
      <c r="B613" s="33" t="s">
        <v>37</v>
      </c>
      <c r="C613" s="33">
        <v>4430315826</v>
      </c>
      <c r="D613" s="33"/>
      <c r="E613" s="33">
        <v>128</v>
      </c>
      <c r="F613" s="33">
        <v>116</v>
      </c>
      <c r="G613" s="33" t="s">
        <v>38</v>
      </c>
      <c r="H613" s="33" t="s">
        <v>1271</v>
      </c>
      <c r="I613" s="33" t="s">
        <v>46</v>
      </c>
      <c r="J613" s="33" t="s">
        <v>40</v>
      </c>
      <c r="K613" s="33"/>
      <c r="L613" s="33"/>
    </row>
    <row r="614" spans="1:12" s="1" customFormat="1" x14ac:dyDescent="0.3">
      <c r="A614" s="33" t="s">
        <v>1272</v>
      </c>
      <c r="B614" s="33" t="s">
        <v>37</v>
      </c>
      <c r="C614" s="33">
        <v>4430315826</v>
      </c>
      <c r="D614" s="33"/>
      <c r="E614" s="33">
        <v>3</v>
      </c>
      <c r="F614" s="33">
        <v>0</v>
      </c>
      <c r="G614" s="33" t="s">
        <v>47</v>
      </c>
      <c r="H614" s="33" t="s">
        <v>1273</v>
      </c>
      <c r="I614" s="33" t="s">
        <v>46</v>
      </c>
      <c r="J614" s="33" t="s">
        <v>40</v>
      </c>
      <c r="K614" s="33"/>
      <c r="L614" s="33"/>
    </row>
    <row r="615" spans="1:12" s="1" customFormat="1" x14ac:dyDescent="0.3">
      <c r="A615" s="33" t="s">
        <v>1274</v>
      </c>
      <c r="B615" s="33">
        <v>44984241715</v>
      </c>
      <c r="C615" s="33" t="s">
        <v>43</v>
      </c>
      <c r="D615" s="33">
        <v>4430265054</v>
      </c>
      <c r="E615" s="33">
        <v>504</v>
      </c>
      <c r="F615" s="33">
        <v>481</v>
      </c>
      <c r="G615" s="33" t="s">
        <v>38</v>
      </c>
      <c r="H615" s="33" t="s">
        <v>1275</v>
      </c>
      <c r="I615" s="33" t="s">
        <v>39</v>
      </c>
      <c r="J615" s="33" t="s">
        <v>40</v>
      </c>
      <c r="K615" s="33" t="s">
        <v>41</v>
      </c>
      <c r="L615" s="33"/>
    </row>
    <row r="616" spans="1:12" s="1" customFormat="1" x14ac:dyDescent="0.3">
      <c r="A616" s="33" t="s">
        <v>1276</v>
      </c>
      <c r="B616" s="33">
        <v>44988135387</v>
      </c>
      <c r="C616" s="33" t="s">
        <v>42</v>
      </c>
      <c r="D616" s="33">
        <v>4430265054</v>
      </c>
      <c r="E616" s="33">
        <v>844</v>
      </c>
      <c r="F616" s="33">
        <v>772</v>
      </c>
      <c r="G616" s="33" t="s">
        <v>38</v>
      </c>
      <c r="H616" s="33" t="s">
        <v>1277</v>
      </c>
      <c r="I616" s="33" t="s">
        <v>39</v>
      </c>
      <c r="J616" s="33" t="s">
        <v>40</v>
      </c>
      <c r="K616" s="33" t="s">
        <v>41</v>
      </c>
      <c r="L616" s="33">
        <v>5</v>
      </c>
    </row>
    <row r="617" spans="1:12" s="1" customFormat="1" x14ac:dyDescent="0.3">
      <c r="A617" s="33" t="s">
        <v>1278</v>
      </c>
      <c r="B617" s="33">
        <v>4532541802</v>
      </c>
      <c r="C617" s="33" t="s">
        <v>43</v>
      </c>
      <c r="D617" s="33">
        <v>4430265054</v>
      </c>
      <c r="E617" s="33">
        <v>568</v>
      </c>
      <c r="F617" s="33">
        <v>525</v>
      </c>
      <c r="G617" s="33" t="s">
        <v>38</v>
      </c>
      <c r="H617" s="33" t="s">
        <v>1279</v>
      </c>
      <c r="I617" s="33" t="s">
        <v>39</v>
      </c>
      <c r="J617" s="33" t="s">
        <v>40</v>
      </c>
      <c r="K617" s="33" t="s">
        <v>41</v>
      </c>
      <c r="L617" s="33"/>
    </row>
    <row r="618" spans="1:12" s="1" customFormat="1" x14ac:dyDescent="0.3">
      <c r="A618" s="33" t="s">
        <v>1280</v>
      </c>
      <c r="B618" s="33">
        <v>11990144272</v>
      </c>
      <c r="C618" s="33" t="s">
        <v>42</v>
      </c>
      <c r="D618" s="33">
        <v>4431268225</v>
      </c>
      <c r="E618" s="33">
        <v>477</v>
      </c>
      <c r="F618" s="33">
        <v>441</v>
      </c>
      <c r="G618" s="33" t="s">
        <v>38</v>
      </c>
      <c r="H618" s="33" t="s">
        <v>1281</v>
      </c>
      <c r="I618" s="33" t="s">
        <v>39</v>
      </c>
      <c r="J618" s="33" t="s">
        <v>40</v>
      </c>
      <c r="K618" s="33" t="s">
        <v>41</v>
      </c>
      <c r="L618" s="33"/>
    </row>
    <row r="619" spans="1:12" s="1" customFormat="1" x14ac:dyDescent="0.3">
      <c r="A619" s="33" t="s">
        <v>1282</v>
      </c>
      <c r="B619" s="33">
        <v>4430315826</v>
      </c>
      <c r="C619" s="33" t="s">
        <v>37</v>
      </c>
      <c r="D619" s="33">
        <v>4430265054</v>
      </c>
      <c r="E619" s="33">
        <v>2486</v>
      </c>
      <c r="F619" s="33">
        <v>2454</v>
      </c>
      <c r="G619" s="33" t="s">
        <v>38</v>
      </c>
      <c r="H619" s="33" t="s">
        <v>1283</v>
      </c>
      <c r="I619" s="33" t="s">
        <v>39</v>
      </c>
      <c r="J619" s="33" t="s">
        <v>40</v>
      </c>
      <c r="K619" s="33" t="s">
        <v>41</v>
      </c>
      <c r="L619" s="33"/>
    </row>
    <row r="620" spans="1:12" s="1" customFormat="1" x14ac:dyDescent="0.3">
      <c r="A620" s="33" t="s">
        <v>1284</v>
      </c>
      <c r="B620" s="33">
        <v>4430562296</v>
      </c>
      <c r="C620" s="33" t="s">
        <v>44</v>
      </c>
      <c r="D620" s="33">
        <v>4430265054</v>
      </c>
      <c r="E620" s="33">
        <v>2100</v>
      </c>
      <c r="F620" s="33">
        <v>2060</v>
      </c>
      <c r="G620" s="33" t="s">
        <v>38</v>
      </c>
      <c r="H620" s="33" t="s">
        <v>1285</v>
      </c>
      <c r="I620" s="33" t="s">
        <v>39</v>
      </c>
      <c r="J620" s="33" t="s">
        <v>40</v>
      </c>
      <c r="K620" s="33" t="s">
        <v>41</v>
      </c>
      <c r="L620" s="33"/>
    </row>
    <row r="621" spans="1:12" s="1" customFormat="1" x14ac:dyDescent="0.3">
      <c r="A621" s="33" t="s">
        <v>1286</v>
      </c>
      <c r="B621" s="33">
        <v>4532541802</v>
      </c>
      <c r="C621" s="33" t="s">
        <v>43</v>
      </c>
      <c r="D621" s="33">
        <v>4430265054</v>
      </c>
      <c r="E621" s="33">
        <v>412</v>
      </c>
      <c r="F621" s="33">
        <v>321</v>
      </c>
      <c r="G621" s="33" t="s">
        <v>38</v>
      </c>
      <c r="H621" s="33" t="s">
        <v>1287</v>
      </c>
      <c r="I621" s="33" t="s">
        <v>39</v>
      </c>
      <c r="J621" s="33" t="s">
        <v>40</v>
      </c>
      <c r="K621" s="33" t="s">
        <v>41</v>
      </c>
      <c r="L621" s="33"/>
    </row>
    <row r="622" spans="1:12" s="1" customFormat="1" x14ac:dyDescent="0.3">
      <c r="A622" s="33" t="s">
        <v>1288</v>
      </c>
      <c r="B622" s="33" t="s">
        <v>37</v>
      </c>
      <c r="C622" s="33">
        <v>47991391934</v>
      </c>
      <c r="D622" s="33"/>
      <c r="E622" s="33">
        <v>17</v>
      </c>
      <c r="F622" s="33">
        <v>0</v>
      </c>
      <c r="G622" s="33" t="s">
        <v>47</v>
      </c>
      <c r="H622" s="33" t="s">
        <v>1289</v>
      </c>
      <c r="I622" s="33" t="s">
        <v>46</v>
      </c>
      <c r="J622" s="33" t="s">
        <v>40</v>
      </c>
      <c r="K622" s="33"/>
      <c r="L622" s="33"/>
    </row>
    <row r="623" spans="1:12" s="1" customFormat="1" x14ac:dyDescent="0.3">
      <c r="A623" s="33" t="s">
        <v>1290</v>
      </c>
      <c r="B623" s="33">
        <v>91981481202</v>
      </c>
      <c r="C623" s="33" t="s">
        <v>44</v>
      </c>
      <c r="D623" s="33">
        <v>4430265054</v>
      </c>
      <c r="E623" s="33">
        <v>385</v>
      </c>
      <c r="F623" s="33">
        <v>371</v>
      </c>
      <c r="G623" s="33" t="s">
        <v>38</v>
      </c>
      <c r="H623" s="33" t="s">
        <v>1291</v>
      </c>
      <c r="I623" s="33" t="s">
        <v>39</v>
      </c>
      <c r="J623" s="33" t="s">
        <v>40</v>
      </c>
      <c r="K623" s="33" t="s">
        <v>41</v>
      </c>
      <c r="L623" s="33"/>
    </row>
    <row r="624" spans="1:12" s="1" customFormat="1" x14ac:dyDescent="0.3">
      <c r="A624" s="33" t="s">
        <v>1292</v>
      </c>
      <c r="B624" s="33">
        <v>44991388221</v>
      </c>
      <c r="C624" s="33" t="s">
        <v>37</v>
      </c>
      <c r="D624" s="33">
        <v>4430265054</v>
      </c>
      <c r="E624" s="33">
        <v>889</v>
      </c>
      <c r="F624" s="33">
        <v>865</v>
      </c>
      <c r="G624" s="33" t="s">
        <v>38</v>
      </c>
      <c r="H624" s="33" t="s">
        <v>1293</v>
      </c>
      <c r="I624" s="33" t="s">
        <v>39</v>
      </c>
      <c r="J624" s="33" t="s">
        <v>40</v>
      </c>
      <c r="K624" s="33" t="s">
        <v>41</v>
      </c>
      <c r="L624" s="33"/>
    </row>
    <row r="625" spans="1:12" s="1" customFormat="1" x14ac:dyDescent="0.3">
      <c r="A625" s="33" t="s">
        <v>1294</v>
      </c>
      <c r="B625" s="33">
        <v>44998069950</v>
      </c>
      <c r="C625" s="33" t="s">
        <v>43</v>
      </c>
      <c r="D625" s="33">
        <v>4430265054</v>
      </c>
      <c r="E625" s="33">
        <v>762</v>
      </c>
      <c r="F625" s="33">
        <v>729</v>
      </c>
      <c r="G625" s="33" t="s">
        <v>38</v>
      </c>
      <c r="H625" s="33" t="s">
        <v>1295</v>
      </c>
      <c r="I625" s="33" t="s">
        <v>39</v>
      </c>
      <c r="J625" s="33" t="s">
        <v>40</v>
      </c>
      <c r="K625" s="33" t="s">
        <v>41</v>
      </c>
      <c r="L625" s="33"/>
    </row>
    <row r="626" spans="1:12" s="1" customFormat="1" x14ac:dyDescent="0.3">
      <c r="A626" s="33" t="s">
        <v>1296</v>
      </c>
      <c r="B626" s="33">
        <v>1732146970</v>
      </c>
      <c r="C626" s="33" t="s">
        <v>42</v>
      </c>
      <c r="D626" s="33">
        <v>4431268225</v>
      </c>
      <c r="E626" s="33">
        <v>2926</v>
      </c>
      <c r="F626" s="33">
        <v>2883</v>
      </c>
      <c r="G626" s="33" t="s">
        <v>38</v>
      </c>
      <c r="H626" s="33" t="s">
        <v>1297</v>
      </c>
      <c r="I626" s="33" t="s">
        <v>39</v>
      </c>
      <c r="J626" s="33" t="s">
        <v>40</v>
      </c>
      <c r="K626" s="33" t="s">
        <v>41</v>
      </c>
      <c r="L626" s="33"/>
    </row>
    <row r="627" spans="1:12" s="1" customFormat="1" x14ac:dyDescent="0.3">
      <c r="A627" s="33" t="s">
        <v>1298</v>
      </c>
      <c r="B627" s="33" t="s">
        <v>44</v>
      </c>
      <c r="C627" s="33">
        <v>4532541802</v>
      </c>
      <c r="D627" s="33"/>
      <c r="E627" s="33">
        <v>845</v>
      </c>
      <c r="F627" s="33">
        <v>843</v>
      </c>
      <c r="G627" s="33" t="s">
        <v>38</v>
      </c>
      <c r="H627" s="33" t="s">
        <v>1299</v>
      </c>
      <c r="I627" s="33" t="s">
        <v>46</v>
      </c>
      <c r="J627" s="33" t="s">
        <v>40</v>
      </c>
      <c r="K627" s="33"/>
      <c r="L627" s="33">
        <v>5</v>
      </c>
    </row>
    <row r="628" spans="1:12" s="1" customFormat="1" x14ac:dyDescent="0.3">
      <c r="A628" s="33" t="s">
        <v>1300</v>
      </c>
      <c r="B628" s="33">
        <v>41996631918</v>
      </c>
      <c r="C628" s="33" t="s">
        <v>42</v>
      </c>
      <c r="D628" s="33">
        <v>4430265054</v>
      </c>
      <c r="E628" s="33">
        <v>347</v>
      </c>
      <c r="F628" s="33">
        <v>320</v>
      </c>
      <c r="G628" s="33" t="s">
        <v>38</v>
      </c>
      <c r="H628" s="33" t="s">
        <v>1301</v>
      </c>
      <c r="I628" s="33" t="s">
        <v>39</v>
      </c>
      <c r="J628" s="33" t="s">
        <v>40</v>
      </c>
      <c r="K628" s="33" t="s">
        <v>41</v>
      </c>
      <c r="L628" s="33">
        <v>5</v>
      </c>
    </row>
    <row r="629" spans="1:12" s="1" customFormat="1" x14ac:dyDescent="0.3">
      <c r="A629" s="33" t="s">
        <v>1302</v>
      </c>
      <c r="B629" s="33" t="s">
        <v>44</v>
      </c>
      <c r="C629" s="33">
        <v>4532541802</v>
      </c>
      <c r="D629" s="33"/>
      <c r="E629" s="33">
        <v>555</v>
      </c>
      <c r="F629" s="33">
        <v>554</v>
      </c>
      <c r="G629" s="33" t="s">
        <v>38</v>
      </c>
      <c r="H629" s="33" t="s">
        <v>1303</v>
      </c>
      <c r="I629" s="33" t="s">
        <v>46</v>
      </c>
      <c r="J629" s="33" t="s">
        <v>40</v>
      </c>
      <c r="K629" s="33"/>
      <c r="L629" s="33"/>
    </row>
    <row r="630" spans="1:12" s="1" customFormat="1" x14ac:dyDescent="0.3">
      <c r="A630" s="33" t="s">
        <v>1304</v>
      </c>
      <c r="B630" s="33" t="s">
        <v>44</v>
      </c>
      <c r="C630" s="33">
        <v>4532541802</v>
      </c>
      <c r="D630" s="33"/>
      <c r="E630" s="33">
        <v>89</v>
      </c>
      <c r="F630" s="33">
        <v>89</v>
      </c>
      <c r="G630" s="33" t="s">
        <v>38</v>
      </c>
      <c r="H630" s="33" t="s">
        <v>1305</v>
      </c>
      <c r="I630" s="33" t="s">
        <v>46</v>
      </c>
      <c r="J630" s="33" t="s">
        <v>40</v>
      </c>
      <c r="K630" s="33"/>
      <c r="L630" s="33"/>
    </row>
    <row r="631" spans="1:12" s="1" customFormat="1" x14ac:dyDescent="0.3">
      <c r="A631" s="33" t="s">
        <v>1306</v>
      </c>
      <c r="B631" s="33">
        <v>4432524636</v>
      </c>
      <c r="C631" s="33" t="s">
        <v>42</v>
      </c>
      <c r="D631" s="33">
        <v>4430265054</v>
      </c>
      <c r="E631" s="33">
        <v>460</v>
      </c>
      <c r="F631" s="33">
        <v>440</v>
      </c>
      <c r="G631" s="33" t="s">
        <v>38</v>
      </c>
      <c r="H631" s="33" t="s">
        <v>1307</v>
      </c>
      <c r="I631" s="33" t="s">
        <v>39</v>
      </c>
      <c r="J631" s="33" t="s">
        <v>40</v>
      </c>
      <c r="K631" s="33" t="s">
        <v>41</v>
      </c>
      <c r="L631" s="33"/>
    </row>
    <row r="632" spans="1:12" s="1" customFormat="1" x14ac:dyDescent="0.3">
      <c r="A632" s="33" t="s">
        <v>1308</v>
      </c>
      <c r="B632" s="33">
        <v>41996175686</v>
      </c>
      <c r="C632" s="33" t="s">
        <v>42</v>
      </c>
      <c r="D632" s="33">
        <v>4430265054</v>
      </c>
      <c r="E632" s="33">
        <v>585</v>
      </c>
      <c r="F632" s="33">
        <v>539</v>
      </c>
      <c r="G632" s="33" t="s">
        <v>38</v>
      </c>
      <c r="H632" s="33" t="s">
        <v>1309</v>
      </c>
      <c r="I632" s="33" t="s">
        <v>39</v>
      </c>
      <c r="J632" s="33" t="s">
        <v>40</v>
      </c>
      <c r="K632" s="33" t="s">
        <v>41</v>
      </c>
      <c r="L632" s="33"/>
    </row>
    <row r="633" spans="1:12" s="1" customFormat="1" x14ac:dyDescent="0.3">
      <c r="A633" s="33" t="s">
        <v>1310</v>
      </c>
      <c r="B633" s="33">
        <v>4436372967</v>
      </c>
      <c r="C633" s="33" t="s">
        <v>43</v>
      </c>
      <c r="D633" s="33">
        <v>4430265054</v>
      </c>
      <c r="E633" s="33">
        <v>670</v>
      </c>
      <c r="F633" s="33">
        <v>634</v>
      </c>
      <c r="G633" s="33" t="s">
        <v>38</v>
      </c>
      <c r="H633" s="33" t="s">
        <v>1311</v>
      </c>
      <c r="I633" s="33" t="s">
        <v>39</v>
      </c>
      <c r="J633" s="33" t="s">
        <v>40</v>
      </c>
      <c r="K633" s="33" t="s">
        <v>41</v>
      </c>
      <c r="L633" s="33">
        <v>5</v>
      </c>
    </row>
    <row r="634" spans="1:12" s="1" customFormat="1" x14ac:dyDescent="0.3">
      <c r="A634" s="33" t="s">
        <v>1312</v>
      </c>
      <c r="B634" s="33">
        <v>47991391934</v>
      </c>
      <c r="C634" s="33" t="s">
        <v>48</v>
      </c>
      <c r="D634" s="33">
        <v>4430265054</v>
      </c>
      <c r="E634" s="33">
        <v>160</v>
      </c>
      <c r="F634" s="33">
        <v>136</v>
      </c>
      <c r="G634" s="33" t="s">
        <v>38</v>
      </c>
      <c r="H634" s="33" t="s">
        <v>1313</v>
      </c>
      <c r="I634" s="33" t="s">
        <v>39</v>
      </c>
      <c r="J634" s="33" t="s">
        <v>40</v>
      </c>
      <c r="K634" s="33" t="s">
        <v>41</v>
      </c>
      <c r="L634" s="33"/>
    </row>
    <row r="635" spans="1:12" s="1" customFormat="1" x14ac:dyDescent="0.3">
      <c r="A635" s="33" t="s">
        <v>1314</v>
      </c>
      <c r="B635" s="33">
        <v>4430146402</v>
      </c>
      <c r="C635" s="33" t="s">
        <v>43</v>
      </c>
      <c r="D635" s="33">
        <v>4430265054</v>
      </c>
      <c r="E635" s="33">
        <v>1254</v>
      </c>
      <c r="F635" s="33">
        <v>1208</v>
      </c>
      <c r="G635" s="33" t="s">
        <v>38</v>
      </c>
      <c r="H635" s="33" t="s">
        <v>1315</v>
      </c>
      <c r="I635" s="33" t="s">
        <v>39</v>
      </c>
      <c r="J635" s="33" t="s">
        <v>40</v>
      </c>
      <c r="K635" s="33" t="s">
        <v>41</v>
      </c>
      <c r="L635" s="33"/>
    </row>
    <row r="636" spans="1:12" s="1" customFormat="1" x14ac:dyDescent="0.3">
      <c r="A636" s="33" t="s">
        <v>1316</v>
      </c>
      <c r="B636" s="33" t="s">
        <v>37</v>
      </c>
      <c r="C636" s="33">
        <v>71991339954</v>
      </c>
      <c r="D636" s="33"/>
      <c r="E636" s="33">
        <v>5291</v>
      </c>
      <c r="F636" s="33">
        <v>5277</v>
      </c>
      <c r="G636" s="33" t="s">
        <v>38</v>
      </c>
      <c r="H636" s="33" t="s">
        <v>1317</v>
      </c>
      <c r="I636" s="33" t="s">
        <v>46</v>
      </c>
      <c r="J636" s="33" t="s">
        <v>40</v>
      </c>
      <c r="K636" s="33"/>
      <c r="L636" s="33"/>
    </row>
    <row r="637" spans="1:12" s="1" customFormat="1" x14ac:dyDescent="0.3">
      <c r="A637" s="33" t="s">
        <v>1318</v>
      </c>
      <c r="B637" s="33">
        <v>4133491428</v>
      </c>
      <c r="C637" s="33" t="s">
        <v>42</v>
      </c>
      <c r="D637" s="33">
        <v>4430265054</v>
      </c>
      <c r="E637" s="33">
        <v>1807</v>
      </c>
      <c r="F637" s="33">
        <v>1788</v>
      </c>
      <c r="G637" s="33" t="s">
        <v>38</v>
      </c>
      <c r="H637" s="33" t="s">
        <v>1319</v>
      </c>
      <c r="I637" s="33" t="s">
        <v>39</v>
      </c>
      <c r="J637" s="33" t="s">
        <v>40</v>
      </c>
      <c r="K637" s="33" t="s">
        <v>41</v>
      </c>
      <c r="L637" s="33"/>
    </row>
    <row r="638" spans="1:12" s="1" customFormat="1" x14ac:dyDescent="0.3">
      <c r="A638" s="33" t="s">
        <v>1320</v>
      </c>
      <c r="B638" s="33" t="s">
        <v>37</v>
      </c>
      <c r="C638" s="33">
        <v>47991391934</v>
      </c>
      <c r="D638" s="33"/>
      <c r="E638" s="33">
        <v>246</v>
      </c>
      <c r="F638" s="33">
        <v>241</v>
      </c>
      <c r="G638" s="33" t="s">
        <v>38</v>
      </c>
      <c r="H638" s="33" t="s">
        <v>1321</v>
      </c>
      <c r="I638" s="33" t="s">
        <v>46</v>
      </c>
      <c r="J638" s="33" t="s">
        <v>40</v>
      </c>
      <c r="K638" s="33"/>
      <c r="L638" s="33"/>
    </row>
    <row r="639" spans="1:12" s="1" customFormat="1" x14ac:dyDescent="0.3">
      <c r="A639" s="33" t="s">
        <v>1322</v>
      </c>
      <c r="B639" s="33">
        <v>4430282545</v>
      </c>
      <c r="C639" s="33" t="s">
        <v>43</v>
      </c>
      <c r="D639" s="33">
        <v>4430265054</v>
      </c>
      <c r="E639" s="33">
        <v>285</v>
      </c>
      <c r="F639" s="33">
        <v>244</v>
      </c>
      <c r="G639" s="33" t="s">
        <v>38</v>
      </c>
      <c r="H639" s="33" t="s">
        <v>1323</v>
      </c>
      <c r="I639" s="33" t="s">
        <v>39</v>
      </c>
      <c r="J639" s="33" t="s">
        <v>40</v>
      </c>
      <c r="K639" s="33" t="s">
        <v>41</v>
      </c>
      <c r="L639" s="33">
        <v>5</v>
      </c>
    </row>
    <row r="640" spans="1:12" s="1" customFormat="1" x14ac:dyDescent="0.3">
      <c r="A640" s="33" t="s">
        <v>1324</v>
      </c>
      <c r="B640" s="33">
        <v>4430146402</v>
      </c>
      <c r="C640" s="33" t="s">
        <v>44</v>
      </c>
      <c r="D640" s="33">
        <v>4430265054</v>
      </c>
      <c r="E640" s="33">
        <v>74</v>
      </c>
      <c r="F640" s="33">
        <v>41</v>
      </c>
      <c r="G640" s="33" t="s">
        <v>38</v>
      </c>
      <c r="H640" s="33" t="s">
        <v>1325</v>
      </c>
      <c r="I640" s="33" t="s">
        <v>39</v>
      </c>
      <c r="J640" s="33" t="s">
        <v>40</v>
      </c>
      <c r="K640" s="33" t="s">
        <v>41</v>
      </c>
      <c r="L640" s="33"/>
    </row>
    <row r="641" spans="1:12" s="1" customFormat="1" x14ac:dyDescent="0.3">
      <c r="A641" s="33" t="s">
        <v>1326</v>
      </c>
      <c r="B641" s="33">
        <v>4432524652</v>
      </c>
      <c r="C641" s="33" t="s">
        <v>42</v>
      </c>
      <c r="D641" s="33">
        <v>4430265054</v>
      </c>
      <c r="E641" s="33">
        <v>282</v>
      </c>
      <c r="F641" s="33">
        <v>260</v>
      </c>
      <c r="G641" s="33" t="s">
        <v>38</v>
      </c>
      <c r="H641" s="33" t="s">
        <v>1327</v>
      </c>
      <c r="I641" s="33" t="s">
        <v>39</v>
      </c>
      <c r="J641" s="33" t="s">
        <v>40</v>
      </c>
      <c r="K641" s="33" t="s">
        <v>41</v>
      </c>
      <c r="L641" s="33"/>
    </row>
    <row r="642" spans="1:12" s="1" customFormat="1" x14ac:dyDescent="0.3">
      <c r="A642" s="33" t="s">
        <v>1328</v>
      </c>
      <c r="B642" s="33">
        <v>4430146402</v>
      </c>
      <c r="C642" s="33" t="s">
        <v>43</v>
      </c>
      <c r="D642" s="33">
        <v>4430265054</v>
      </c>
      <c r="E642" s="33">
        <v>176</v>
      </c>
      <c r="F642" s="33">
        <v>114</v>
      </c>
      <c r="G642" s="33" t="s">
        <v>38</v>
      </c>
      <c r="H642" s="33" t="s">
        <v>1329</v>
      </c>
      <c r="I642" s="33" t="s">
        <v>39</v>
      </c>
      <c r="J642" s="33" t="s">
        <v>40</v>
      </c>
      <c r="K642" s="33" t="s">
        <v>41</v>
      </c>
      <c r="L642" s="33"/>
    </row>
    <row r="643" spans="1:12" s="1" customFormat="1" x14ac:dyDescent="0.3">
      <c r="A643" s="33" t="s">
        <v>1330</v>
      </c>
      <c r="B643" s="33" t="s">
        <v>44</v>
      </c>
      <c r="C643" s="33">
        <v>4334728840</v>
      </c>
      <c r="D643" s="33"/>
      <c r="E643" s="33">
        <v>383</v>
      </c>
      <c r="F643" s="33">
        <v>374</v>
      </c>
      <c r="G643" s="33" t="s">
        <v>38</v>
      </c>
      <c r="H643" s="33" t="s">
        <v>1331</v>
      </c>
      <c r="I643" s="33" t="s">
        <v>46</v>
      </c>
      <c r="J643" s="33" t="s">
        <v>40</v>
      </c>
      <c r="K643" s="33"/>
      <c r="L643" s="33">
        <v>5</v>
      </c>
    </row>
    <row r="644" spans="1:12" s="1" customFormat="1" x14ac:dyDescent="0.3">
      <c r="A644" s="33" t="s">
        <v>1332</v>
      </c>
      <c r="B644" s="33">
        <v>47991391934</v>
      </c>
      <c r="C644" s="33" t="s">
        <v>37</v>
      </c>
      <c r="D644" s="33">
        <v>4430265054</v>
      </c>
      <c r="E644" s="33">
        <v>2703</v>
      </c>
      <c r="F644" s="33">
        <v>2677</v>
      </c>
      <c r="G644" s="33" t="s">
        <v>38</v>
      </c>
      <c r="H644" s="33" t="s">
        <v>1333</v>
      </c>
      <c r="I644" s="33" t="s">
        <v>39</v>
      </c>
      <c r="J644" s="33" t="s">
        <v>40</v>
      </c>
      <c r="K644" s="33" t="s">
        <v>41</v>
      </c>
      <c r="L644" s="33"/>
    </row>
    <row r="645" spans="1:12" s="1" customFormat="1" x14ac:dyDescent="0.3">
      <c r="A645" s="33" t="s">
        <v>1334</v>
      </c>
      <c r="B645" s="33">
        <v>4334728840</v>
      </c>
      <c r="C645" s="33" t="s">
        <v>44</v>
      </c>
      <c r="D645" s="33">
        <v>4430265054</v>
      </c>
      <c r="E645" s="33">
        <v>392</v>
      </c>
      <c r="F645" s="33">
        <v>369</v>
      </c>
      <c r="G645" s="33" t="s">
        <v>38</v>
      </c>
      <c r="H645" s="33" t="s">
        <v>1335</v>
      </c>
      <c r="I645" s="33" t="s">
        <v>39</v>
      </c>
      <c r="J645" s="33" t="s">
        <v>40</v>
      </c>
      <c r="K645" s="33" t="s">
        <v>41</v>
      </c>
      <c r="L645" s="33"/>
    </row>
    <row r="646" spans="1:12" s="1" customFormat="1" x14ac:dyDescent="0.3">
      <c r="A646" s="33" t="s">
        <v>1336</v>
      </c>
      <c r="B646" s="33">
        <v>4435228300</v>
      </c>
      <c r="C646" s="33" t="s">
        <v>43</v>
      </c>
      <c r="D646" s="33">
        <v>4430265054</v>
      </c>
      <c r="E646" s="33">
        <v>489</v>
      </c>
      <c r="F646" s="33">
        <v>452</v>
      </c>
      <c r="G646" s="33" t="s">
        <v>38</v>
      </c>
      <c r="H646" s="33" t="s">
        <v>1337</v>
      </c>
      <c r="I646" s="33" t="s">
        <v>39</v>
      </c>
      <c r="J646" s="33" t="s">
        <v>40</v>
      </c>
      <c r="K646" s="33" t="s">
        <v>41</v>
      </c>
      <c r="L646" s="33"/>
    </row>
    <row r="647" spans="1:12" s="1" customFormat="1" x14ac:dyDescent="0.3">
      <c r="A647" s="33" t="s">
        <v>1338</v>
      </c>
      <c r="B647" s="33">
        <v>44997650834</v>
      </c>
      <c r="C647" s="33" t="s">
        <v>37</v>
      </c>
      <c r="D647" s="33">
        <v>4430265054</v>
      </c>
      <c r="E647" s="33">
        <v>493</v>
      </c>
      <c r="F647" s="33">
        <v>462</v>
      </c>
      <c r="G647" s="33" t="s">
        <v>38</v>
      </c>
      <c r="H647" s="33" t="s">
        <v>1339</v>
      </c>
      <c r="I647" s="33" t="s">
        <v>39</v>
      </c>
      <c r="J647" s="33" t="s">
        <v>40</v>
      </c>
      <c r="K647" s="33" t="s">
        <v>41</v>
      </c>
      <c r="L647" s="33">
        <v>5</v>
      </c>
    </row>
    <row r="648" spans="1:12" s="1" customFormat="1" x14ac:dyDescent="0.3">
      <c r="A648" s="33" t="s">
        <v>1340</v>
      </c>
      <c r="B648" s="33" t="s">
        <v>48</v>
      </c>
      <c r="C648" s="33">
        <v>1131043888</v>
      </c>
      <c r="D648" s="33"/>
      <c r="E648" s="33">
        <v>1666</v>
      </c>
      <c r="F648" s="33">
        <v>1665</v>
      </c>
      <c r="G648" s="33" t="s">
        <v>38</v>
      </c>
      <c r="H648" s="33" t="s">
        <v>1341</v>
      </c>
      <c r="I648" s="33" t="s">
        <v>46</v>
      </c>
      <c r="J648" s="33" t="s">
        <v>40</v>
      </c>
      <c r="K648" s="33"/>
      <c r="L648" s="33"/>
    </row>
    <row r="649" spans="1:12" s="1" customFormat="1" x14ac:dyDescent="0.3">
      <c r="A649" s="33" t="s">
        <v>1342</v>
      </c>
      <c r="B649" s="33">
        <v>4430146402</v>
      </c>
      <c r="C649" s="33" t="s">
        <v>37</v>
      </c>
      <c r="D649" s="33">
        <v>4430265054</v>
      </c>
      <c r="E649" s="33">
        <v>368</v>
      </c>
      <c r="F649" s="33">
        <v>301</v>
      </c>
      <c r="G649" s="33" t="s">
        <v>38</v>
      </c>
      <c r="H649" s="33" t="s">
        <v>1343</v>
      </c>
      <c r="I649" s="33" t="s">
        <v>39</v>
      </c>
      <c r="J649" s="33" t="s">
        <v>40</v>
      </c>
      <c r="K649" s="33" t="s">
        <v>41</v>
      </c>
      <c r="L649" s="33"/>
    </row>
    <row r="650" spans="1:12" s="1" customFormat="1" x14ac:dyDescent="0.3">
      <c r="A650" s="33" t="s">
        <v>1344</v>
      </c>
      <c r="B650" s="33">
        <v>4334226481</v>
      </c>
      <c r="C650" s="33" t="s">
        <v>43</v>
      </c>
      <c r="D650" s="33">
        <v>4430265054</v>
      </c>
      <c r="E650" s="33">
        <v>971</v>
      </c>
      <c r="F650" s="33">
        <v>924</v>
      </c>
      <c r="G650" s="33" t="s">
        <v>38</v>
      </c>
      <c r="H650" s="33" t="s">
        <v>1345</v>
      </c>
      <c r="I650" s="33" t="s">
        <v>39</v>
      </c>
      <c r="J650" s="33" t="s">
        <v>40</v>
      </c>
      <c r="K650" s="33" t="s">
        <v>41</v>
      </c>
      <c r="L650" s="33"/>
    </row>
    <row r="651" spans="1:12" s="1" customFormat="1" x14ac:dyDescent="0.3">
      <c r="A651" s="33" t="s">
        <v>1346</v>
      </c>
      <c r="B651" s="33">
        <v>44991249108</v>
      </c>
      <c r="C651" s="33" t="s">
        <v>37</v>
      </c>
      <c r="D651" s="33">
        <v>4430265054</v>
      </c>
      <c r="E651" s="33">
        <v>2596</v>
      </c>
      <c r="F651" s="33">
        <v>2538</v>
      </c>
      <c r="G651" s="33" t="s">
        <v>38</v>
      </c>
      <c r="H651" s="33" t="s">
        <v>1347</v>
      </c>
      <c r="I651" s="33" t="s">
        <v>39</v>
      </c>
      <c r="J651" s="33" t="s">
        <v>40</v>
      </c>
      <c r="K651" s="33" t="s">
        <v>41</v>
      </c>
      <c r="L651" s="33">
        <v>5</v>
      </c>
    </row>
    <row r="652" spans="1:12" s="1" customFormat="1" x14ac:dyDescent="0.3">
      <c r="A652" s="33" t="s">
        <v>1348</v>
      </c>
      <c r="B652" s="33">
        <v>4433543396</v>
      </c>
      <c r="C652" s="33" t="s">
        <v>42</v>
      </c>
      <c r="D652" s="33">
        <v>4430265054</v>
      </c>
      <c r="E652" s="33">
        <v>158</v>
      </c>
      <c r="F652" s="33">
        <v>147</v>
      </c>
      <c r="G652" s="33" t="s">
        <v>38</v>
      </c>
      <c r="H652" s="33" t="s">
        <v>1349</v>
      </c>
      <c r="I652" s="33" t="s">
        <v>39</v>
      </c>
      <c r="J652" s="33" t="s">
        <v>40</v>
      </c>
      <c r="K652" s="33" t="s">
        <v>41</v>
      </c>
      <c r="L652" s="33"/>
    </row>
    <row r="653" spans="1:12" s="1" customFormat="1" x14ac:dyDescent="0.3">
      <c r="A653" s="33" t="s">
        <v>1350</v>
      </c>
      <c r="B653" s="33">
        <v>4133491428</v>
      </c>
      <c r="C653" s="33" t="s">
        <v>44</v>
      </c>
      <c r="D653" s="33">
        <v>4430265054</v>
      </c>
      <c r="E653" s="33">
        <v>374</v>
      </c>
      <c r="F653" s="33">
        <v>348</v>
      </c>
      <c r="G653" s="33" t="s">
        <v>38</v>
      </c>
      <c r="H653" s="33" t="s">
        <v>1351</v>
      </c>
      <c r="I653" s="33" t="s">
        <v>39</v>
      </c>
      <c r="J653" s="33" t="s">
        <v>40</v>
      </c>
      <c r="K653" s="33" t="s">
        <v>41</v>
      </c>
      <c r="L653" s="33"/>
    </row>
    <row r="654" spans="1:12" s="1" customFormat="1" x14ac:dyDescent="0.3">
      <c r="A654" s="33" t="s">
        <v>1352</v>
      </c>
      <c r="B654" s="33">
        <v>4431230400</v>
      </c>
      <c r="C654" s="33" t="s">
        <v>48</v>
      </c>
      <c r="D654" s="33">
        <v>4430265054</v>
      </c>
      <c r="E654" s="33">
        <v>184</v>
      </c>
      <c r="F654" s="33">
        <v>183</v>
      </c>
      <c r="G654" s="33" t="s">
        <v>38</v>
      </c>
      <c r="H654" s="33" t="s">
        <v>1353</v>
      </c>
      <c r="I654" s="33" t="s">
        <v>39</v>
      </c>
      <c r="J654" s="33" t="s">
        <v>40</v>
      </c>
      <c r="K654" s="33" t="s">
        <v>41</v>
      </c>
      <c r="L654" s="33"/>
    </row>
    <row r="655" spans="1:12" s="1" customFormat="1" x14ac:dyDescent="0.3">
      <c r="A655" s="33" t="s">
        <v>1354</v>
      </c>
      <c r="B655" s="33">
        <v>91981481202</v>
      </c>
      <c r="C655" s="33" t="s">
        <v>44</v>
      </c>
      <c r="D655" s="33">
        <v>4430265054</v>
      </c>
      <c r="E655" s="33">
        <v>645</v>
      </c>
      <c r="F655" s="33">
        <v>605</v>
      </c>
      <c r="G655" s="33" t="s">
        <v>38</v>
      </c>
      <c r="H655" s="33" t="s">
        <v>1355</v>
      </c>
      <c r="I655" s="33" t="s">
        <v>39</v>
      </c>
      <c r="J655" s="33" t="s">
        <v>40</v>
      </c>
      <c r="K655" s="33" t="s">
        <v>41</v>
      </c>
      <c r="L655" s="33"/>
    </row>
    <row r="656" spans="1:12" s="1" customFormat="1" x14ac:dyDescent="0.3">
      <c r="A656" s="33" t="s">
        <v>1356</v>
      </c>
      <c r="B656" s="33">
        <v>44999451200</v>
      </c>
      <c r="C656" s="33" t="s">
        <v>43</v>
      </c>
      <c r="D656" s="33">
        <v>4430265054</v>
      </c>
      <c r="E656" s="33">
        <v>130</v>
      </c>
      <c r="F656" s="33">
        <v>96</v>
      </c>
      <c r="G656" s="33" t="s">
        <v>38</v>
      </c>
      <c r="H656" s="33" t="s">
        <v>1357</v>
      </c>
      <c r="I656" s="33" t="s">
        <v>39</v>
      </c>
      <c r="J656" s="33" t="s">
        <v>40</v>
      </c>
      <c r="K656" s="33" t="s">
        <v>41</v>
      </c>
      <c r="L656" s="33"/>
    </row>
    <row r="657" spans="1:12" s="1" customFormat="1" x14ac:dyDescent="0.3">
      <c r="A657" s="33" t="s">
        <v>1358</v>
      </c>
      <c r="B657" s="33" t="s">
        <v>44</v>
      </c>
      <c r="C657" s="33">
        <v>99999022979</v>
      </c>
      <c r="D657" s="33"/>
      <c r="E657" s="33">
        <v>123</v>
      </c>
      <c r="F657" s="33">
        <v>111</v>
      </c>
      <c r="G657" s="33" t="s">
        <v>38</v>
      </c>
      <c r="H657" s="33" t="s">
        <v>1359</v>
      </c>
      <c r="I657" s="33" t="s">
        <v>46</v>
      </c>
      <c r="J657" s="33" t="s">
        <v>40</v>
      </c>
      <c r="K657" s="33"/>
      <c r="L657" s="33"/>
    </row>
    <row r="658" spans="1:12" s="1" customFormat="1" x14ac:dyDescent="0.3">
      <c r="A658" s="33" t="s">
        <v>1360</v>
      </c>
      <c r="B658" s="33" t="s">
        <v>37</v>
      </c>
      <c r="C658" s="33">
        <v>12981700386</v>
      </c>
      <c r="D658" s="33"/>
      <c r="E658" s="33">
        <v>2793</v>
      </c>
      <c r="F658" s="33">
        <v>2776</v>
      </c>
      <c r="G658" s="33" t="s">
        <v>38</v>
      </c>
      <c r="H658" s="33" t="s">
        <v>1361</v>
      </c>
      <c r="I658" s="33" t="s">
        <v>46</v>
      </c>
      <c r="J658" s="33" t="s">
        <v>40</v>
      </c>
      <c r="K658" s="33"/>
      <c r="L658" s="33"/>
    </row>
    <row r="659" spans="1:12" s="1" customFormat="1" x14ac:dyDescent="0.3">
      <c r="A659" s="33" t="s">
        <v>1362</v>
      </c>
      <c r="B659" s="33">
        <v>4334234629</v>
      </c>
      <c r="C659" s="33" t="s">
        <v>42</v>
      </c>
      <c r="D659" s="33">
        <v>4430265054</v>
      </c>
      <c r="E659" s="33">
        <v>963</v>
      </c>
      <c r="F659" s="33">
        <v>925</v>
      </c>
      <c r="G659" s="33" t="s">
        <v>38</v>
      </c>
      <c r="H659" s="33" t="s">
        <v>1363</v>
      </c>
      <c r="I659" s="33" t="s">
        <v>39</v>
      </c>
      <c r="J659" s="33" t="s">
        <v>40</v>
      </c>
      <c r="K659" s="33" t="s">
        <v>41</v>
      </c>
      <c r="L659" s="33"/>
    </row>
    <row r="660" spans="1:12" s="1" customFormat="1" x14ac:dyDescent="0.3">
      <c r="A660" s="33" t="s">
        <v>1364</v>
      </c>
      <c r="B660" s="33" t="s">
        <v>44</v>
      </c>
      <c r="C660" s="33">
        <v>99999022979</v>
      </c>
      <c r="D660" s="33"/>
      <c r="E660" s="33">
        <v>16</v>
      </c>
      <c r="F660" s="33">
        <v>0</v>
      </c>
      <c r="G660" s="33" t="s">
        <v>47</v>
      </c>
      <c r="H660" s="33" t="s">
        <v>1365</v>
      </c>
      <c r="I660" s="33" t="s">
        <v>46</v>
      </c>
      <c r="J660" s="33" t="s">
        <v>40</v>
      </c>
      <c r="K660" s="33"/>
      <c r="L660" s="33"/>
    </row>
    <row r="661" spans="1:12" s="1" customFormat="1" x14ac:dyDescent="0.3">
      <c r="A661" s="33" t="s">
        <v>1366</v>
      </c>
      <c r="B661" s="33">
        <v>45999211357</v>
      </c>
      <c r="C661" s="33" t="s">
        <v>43</v>
      </c>
      <c r="D661" s="33">
        <v>4431268225</v>
      </c>
      <c r="E661" s="33">
        <v>588</v>
      </c>
      <c r="F661" s="33">
        <v>556</v>
      </c>
      <c r="G661" s="33" t="s">
        <v>38</v>
      </c>
      <c r="H661" s="33" t="s">
        <v>1367</v>
      </c>
      <c r="I661" s="33" t="s">
        <v>39</v>
      </c>
      <c r="J661" s="33" t="s">
        <v>40</v>
      </c>
      <c r="K661" s="33" t="s">
        <v>41</v>
      </c>
      <c r="L661" s="33">
        <v>5</v>
      </c>
    </row>
    <row r="662" spans="1:12" s="1" customFormat="1" x14ac:dyDescent="0.3">
      <c r="A662" s="33" t="s">
        <v>1368</v>
      </c>
      <c r="B662" s="33">
        <v>4430152023</v>
      </c>
      <c r="C662" s="33" t="s">
        <v>43</v>
      </c>
      <c r="D662" s="33">
        <v>4430265054</v>
      </c>
      <c r="E662" s="33">
        <v>339</v>
      </c>
      <c r="F662" s="33">
        <v>301</v>
      </c>
      <c r="G662" s="33" t="s">
        <v>38</v>
      </c>
      <c r="H662" s="33" t="s">
        <v>1369</v>
      </c>
      <c r="I662" s="33" t="s">
        <v>39</v>
      </c>
      <c r="J662" s="33" t="s">
        <v>40</v>
      </c>
      <c r="K662" s="33" t="s">
        <v>41</v>
      </c>
      <c r="L662" s="33">
        <v>5</v>
      </c>
    </row>
    <row r="663" spans="1:12" s="1" customFormat="1" x14ac:dyDescent="0.3">
      <c r="A663" s="33" t="s">
        <v>1370</v>
      </c>
      <c r="B663" s="33">
        <v>6436133762</v>
      </c>
      <c r="C663" s="33" t="s">
        <v>43</v>
      </c>
      <c r="D663" s="33">
        <v>4430265054</v>
      </c>
      <c r="E663" s="33">
        <v>282</v>
      </c>
      <c r="F663" s="33">
        <v>238</v>
      </c>
      <c r="G663" s="33" t="s">
        <v>38</v>
      </c>
      <c r="H663" s="33" t="s">
        <v>1371</v>
      </c>
      <c r="I663" s="33" t="s">
        <v>39</v>
      </c>
      <c r="J663" s="33" t="s">
        <v>40</v>
      </c>
      <c r="K663" s="33" t="s">
        <v>41</v>
      </c>
      <c r="L663" s="33"/>
    </row>
    <row r="664" spans="1:12" s="1" customFormat="1" x14ac:dyDescent="0.3">
      <c r="A664" s="33" t="s">
        <v>1372</v>
      </c>
      <c r="B664" s="33">
        <v>6436133762</v>
      </c>
      <c r="C664" s="33" t="s">
        <v>44</v>
      </c>
      <c r="D664" s="33">
        <v>4430265054</v>
      </c>
      <c r="E664" s="33">
        <v>64</v>
      </c>
      <c r="F664" s="33">
        <v>24</v>
      </c>
      <c r="G664" s="33" t="s">
        <v>38</v>
      </c>
      <c r="H664" s="33" t="s">
        <v>1373</v>
      </c>
      <c r="I664" s="33" t="s">
        <v>39</v>
      </c>
      <c r="J664" s="33" t="s">
        <v>40</v>
      </c>
      <c r="K664" s="33" t="s">
        <v>41</v>
      </c>
      <c r="L664" s="33"/>
    </row>
    <row r="665" spans="1:12" s="1" customFormat="1" x14ac:dyDescent="0.3">
      <c r="A665" s="33" t="s">
        <v>1374</v>
      </c>
      <c r="B665" s="33" t="s">
        <v>42</v>
      </c>
      <c r="C665" s="33">
        <v>4430317020</v>
      </c>
      <c r="D665" s="33"/>
      <c r="E665" s="33">
        <v>517</v>
      </c>
      <c r="F665" s="33">
        <v>504</v>
      </c>
      <c r="G665" s="33" t="s">
        <v>38</v>
      </c>
      <c r="H665" s="33" t="s">
        <v>1375</v>
      </c>
      <c r="I665" s="33" t="s">
        <v>46</v>
      </c>
      <c r="J665" s="33" t="s">
        <v>40</v>
      </c>
      <c r="K665" s="33"/>
      <c r="L665" s="33"/>
    </row>
    <row r="666" spans="1:12" s="1" customFormat="1" x14ac:dyDescent="0.3">
      <c r="A666" s="33" t="s">
        <v>1376</v>
      </c>
      <c r="B666" s="33">
        <v>73982188717</v>
      </c>
      <c r="C666" s="33" t="s">
        <v>43</v>
      </c>
      <c r="D666" s="33">
        <v>4430265054</v>
      </c>
      <c r="E666" s="33">
        <v>430</v>
      </c>
      <c r="F666" s="33">
        <v>404</v>
      </c>
      <c r="G666" s="33" t="s">
        <v>38</v>
      </c>
      <c r="H666" s="33" t="s">
        <v>1377</v>
      </c>
      <c r="I666" s="33" t="s">
        <v>39</v>
      </c>
      <c r="J666" s="33" t="s">
        <v>40</v>
      </c>
      <c r="K666" s="33" t="s">
        <v>41</v>
      </c>
      <c r="L666" s="33"/>
    </row>
    <row r="667" spans="1:12" s="1" customFormat="1" x14ac:dyDescent="0.3">
      <c r="A667" s="33" t="s">
        <v>1378</v>
      </c>
      <c r="B667" s="33" t="s">
        <v>42</v>
      </c>
      <c r="C667" s="33">
        <v>38991705057</v>
      </c>
      <c r="D667" s="33"/>
      <c r="E667" s="33">
        <v>24</v>
      </c>
      <c r="F667" s="33">
        <v>0</v>
      </c>
      <c r="G667" s="33" t="s">
        <v>47</v>
      </c>
      <c r="H667" s="33" t="s">
        <v>1379</v>
      </c>
      <c r="I667" s="33" t="s">
        <v>46</v>
      </c>
      <c r="J667" s="33" t="s">
        <v>40</v>
      </c>
      <c r="K667" s="33"/>
      <c r="L667" s="33"/>
    </row>
    <row r="668" spans="1:12" s="1" customFormat="1" x14ac:dyDescent="0.3">
      <c r="A668" s="33" t="s">
        <v>1380</v>
      </c>
      <c r="B668" s="33" t="s">
        <v>42</v>
      </c>
      <c r="C668" s="33">
        <v>38991705057</v>
      </c>
      <c r="D668" s="33"/>
      <c r="E668" s="33">
        <v>17</v>
      </c>
      <c r="F668" s="33">
        <v>0</v>
      </c>
      <c r="G668" s="33" t="s">
        <v>47</v>
      </c>
      <c r="H668" s="33" t="s">
        <v>1381</v>
      </c>
      <c r="I668" s="33" t="s">
        <v>46</v>
      </c>
      <c r="J668" s="33" t="s">
        <v>40</v>
      </c>
      <c r="K668" s="33"/>
      <c r="L668" s="33"/>
    </row>
    <row r="669" spans="1:12" s="1" customFormat="1" x14ac:dyDescent="0.3">
      <c r="A669" s="33" t="s">
        <v>1382</v>
      </c>
      <c r="B669" s="33">
        <v>12981700386</v>
      </c>
      <c r="C669" s="33" t="s">
        <v>37</v>
      </c>
      <c r="D669" s="33">
        <v>4430265054</v>
      </c>
      <c r="E669" s="33">
        <v>1927</v>
      </c>
      <c r="F669" s="33">
        <v>1885</v>
      </c>
      <c r="G669" s="33" t="s">
        <v>38</v>
      </c>
      <c r="H669" s="33" t="s">
        <v>1383</v>
      </c>
      <c r="I669" s="33" t="s">
        <v>39</v>
      </c>
      <c r="J669" s="33" t="s">
        <v>40</v>
      </c>
      <c r="K669" s="33" t="s">
        <v>41</v>
      </c>
      <c r="L669" s="33">
        <v>5</v>
      </c>
    </row>
    <row r="670" spans="1:12" s="1" customFormat="1" x14ac:dyDescent="0.3">
      <c r="A670" s="33" t="s">
        <v>1384</v>
      </c>
      <c r="B670" s="33">
        <v>4432322192</v>
      </c>
      <c r="C670" s="33" t="s">
        <v>44</v>
      </c>
      <c r="D670" s="33">
        <v>4430265054</v>
      </c>
      <c r="E670" s="33">
        <v>247</v>
      </c>
      <c r="F670" s="33">
        <v>227</v>
      </c>
      <c r="G670" s="33" t="s">
        <v>38</v>
      </c>
      <c r="H670" s="33" t="s">
        <v>1385</v>
      </c>
      <c r="I670" s="33" t="s">
        <v>39</v>
      </c>
      <c r="J670" s="33" t="s">
        <v>40</v>
      </c>
      <c r="K670" s="33" t="s">
        <v>41</v>
      </c>
      <c r="L670" s="33"/>
    </row>
    <row r="671" spans="1:12" s="1" customFormat="1" x14ac:dyDescent="0.3">
      <c r="A671" s="33" t="s">
        <v>1386</v>
      </c>
      <c r="B671" s="33" t="s">
        <v>43</v>
      </c>
      <c r="C671" s="33">
        <v>4430191929</v>
      </c>
      <c r="D671" s="33"/>
      <c r="E671" s="33">
        <v>555</v>
      </c>
      <c r="F671" s="33">
        <v>539</v>
      </c>
      <c r="G671" s="33" t="s">
        <v>38</v>
      </c>
      <c r="H671" s="33" t="s">
        <v>1387</v>
      </c>
      <c r="I671" s="33" t="s">
        <v>46</v>
      </c>
      <c r="J671" s="33" t="s">
        <v>40</v>
      </c>
      <c r="K671" s="33"/>
      <c r="L671" s="33"/>
    </row>
    <row r="672" spans="1:12" s="1" customFormat="1" x14ac:dyDescent="0.3">
      <c r="A672" s="33" t="s">
        <v>1388</v>
      </c>
      <c r="B672" s="33" t="s">
        <v>43</v>
      </c>
      <c r="C672" s="33">
        <v>4430191929</v>
      </c>
      <c r="D672" s="33"/>
      <c r="E672" s="33">
        <v>2</v>
      </c>
      <c r="F672" s="33">
        <v>0</v>
      </c>
      <c r="G672" s="33" t="s">
        <v>47</v>
      </c>
      <c r="H672" s="33" t="s">
        <v>1389</v>
      </c>
      <c r="I672" s="33" t="s">
        <v>46</v>
      </c>
      <c r="J672" s="33" t="s">
        <v>40</v>
      </c>
      <c r="K672" s="33"/>
      <c r="L672" s="33"/>
    </row>
    <row r="673" spans="1:12" s="1" customFormat="1" x14ac:dyDescent="0.3">
      <c r="A673" s="33" t="s">
        <v>1390</v>
      </c>
      <c r="B673" s="33">
        <v>4432322192</v>
      </c>
      <c r="C673" s="33" t="s">
        <v>44</v>
      </c>
      <c r="D673" s="33">
        <v>4430265054</v>
      </c>
      <c r="E673" s="33">
        <v>224</v>
      </c>
      <c r="F673" s="33">
        <v>201</v>
      </c>
      <c r="G673" s="33" t="s">
        <v>38</v>
      </c>
      <c r="H673" s="33" t="s">
        <v>1391</v>
      </c>
      <c r="I673" s="33" t="s">
        <v>39</v>
      </c>
      <c r="J673" s="33" t="s">
        <v>40</v>
      </c>
      <c r="K673" s="33" t="s">
        <v>41</v>
      </c>
      <c r="L673" s="33">
        <v>5</v>
      </c>
    </row>
    <row r="674" spans="1:12" s="1" customFormat="1" x14ac:dyDescent="0.3">
      <c r="A674" s="33" t="s">
        <v>1392</v>
      </c>
      <c r="B674" s="33" t="s">
        <v>43</v>
      </c>
      <c r="C674" s="33">
        <v>4430345247</v>
      </c>
      <c r="D674" s="33"/>
      <c r="E674" s="33">
        <v>477</v>
      </c>
      <c r="F674" s="33">
        <v>466</v>
      </c>
      <c r="G674" s="33" t="s">
        <v>38</v>
      </c>
      <c r="H674" s="33" t="s">
        <v>1393</v>
      </c>
      <c r="I674" s="33" t="s">
        <v>46</v>
      </c>
      <c r="J674" s="33" t="s">
        <v>40</v>
      </c>
      <c r="K674" s="33"/>
      <c r="L674" s="33"/>
    </row>
    <row r="675" spans="1:12" s="1" customFormat="1" x14ac:dyDescent="0.3">
      <c r="A675" s="33" t="s">
        <v>1394</v>
      </c>
      <c r="B675" s="33" t="s">
        <v>43</v>
      </c>
      <c r="C675" s="33">
        <v>4430345247</v>
      </c>
      <c r="D675" s="33"/>
      <c r="E675" s="33">
        <v>7</v>
      </c>
      <c r="F675" s="33">
        <v>0</v>
      </c>
      <c r="G675" s="33" t="s">
        <v>47</v>
      </c>
      <c r="H675" s="33" t="s">
        <v>1395</v>
      </c>
      <c r="I675" s="33" t="s">
        <v>46</v>
      </c>
      <c r="J675" s="33" t="s">
        <v>40</v>
      </c>
      <c r="K675" s="33"/>
      <c r="L675" s="33"/>
    </row>
    <row r="676" spans="1:12" s="1" customFormat="1" x14ac:dyDescent="0.3">
      <c r="A676" s="33" t="s">
        <v>1396</v>
      </c>
      <c r="B676" s="33" t="s">
        <v>43</v>
      </c>
      <c r="C676" s="33">
        <v>4430345247</v>
      </c>
      <c r="D676" s="33"/>
      <c r="E676" s="33">
        <v>19</v>
      </c>
      <c r="F676" s="33">
        <v>8</v>
      </c>
      <c r="G676" s="33" t="s">
        <v>38</v>
      </c>
      <c r="H676" s="33" t="s">
        <v>1397</v>
      </c>
      <c r="I676" s="33" t="s">
        <v>46</v>
      </c>
      <c r="J676" s="33" t="s">
        <v>40</v>
      </c>
      <c r="K676" s="33"/>
      <c r="L676" s="33"/>
    </row>
    <row r="677" spans="1:12" s="1" customFormat="1" x14ac:dyDescent="0.3">
      <c r="A677" s="33" t="s">
        <v>1398</v>
      </c>
      <c r="B677" s="33">
        <v>4432321371</v>
      </c>
      <c r="C677" s="33" t="s">
        <v>44</v>
      </c>
      <c r="D677" s="33">
        <v>4430265054</v>
      </c>
      <c r="E677" s="33">
        <v>576</v>
      </c>
      <c r="F677" s="33">
        <v>511</v>
      </c>
      <c r="G677" s="33" t="s">
        <v>38</v>
      </c>
      <c r="H677" s="33" t="s">
        <v>1399</v>
      </c>
      <c r="I677" s="33" t="s">
        <v>39</v>
      </c>
      <c r="J677" s="33" t="s">
        <v>40</v>
      </c>
      <c r="K677" s="33" t="s">
        <v>41</v>
      </c>
      <c r="L677" s="33"/>
    </row>
    <row r="678" spans="1:12" s="1" customFormat="1" x14ac:dyDescent="0.3">
      <c r="A678" s="33" t="s">
        <v>1400</v>
      </c>
      <c r="B678" s="33" t="s">
        <v>37</v>
      </c>
      <c r="C678" s="33">
        <v>43988030048</v>
      </c>
      <c r="D678" s="33"/>
      <c r="E678" s="33">
        <v>791</v>
      </c>
      <c r="F678" s="33">
        <v>774</v>
      </c>
      <c r="G678" s="33" t="s">
        <v>38</v>
      </c>
      <c r="H678" s="33" t="s">
        <v>1401</v>
      </c>
      <c r="I678" s="33" t="s">
        <v>46</v>
      </c>
      <c r="J678" s="33" t="s">
        <v>40</v>
      </c>
      <c r="K678" s="33"/>
      <c r="L678" s="33"/>
    </row>
    <row r="679" spans="1:12" s="1" customFormat="1" x14ac:dyDescent="0.3">
      <c r="A679" s="33" t="s">
        <v>1402</v>
      </c>
      <c r="B679" s="33" t="s">
        <v>37</v>
      </c>
      <c r="C679" s="33">
        <v>43988030048</v>
      </c>
      <c r="D679" s="33"/>
      <c r="E679" s="33">
        <v>37</v>
      </c>
      <c r="F679" s="33">
        <v>0</v>
      </c>
      <c r="G679" s="33" t="s">
        <v>47</v>
      </c>
      <c r="H679" s="33" t="s">
        <v>1403</v>
      </c>
      <c r="I679" s="33" t="s">
        <v>46</v>
      </c>
      <c r="J679" s="33" t="s">
        <v>40</v>
      </c>
      <c r="K679" s="33"/>
      <c r="L679" s="33"/>
    </row>
    <row r="680" spans="1:12" s="1" customFormat="1" x14ac:dyDescent="0.3">
      <c r="A680" s="33" t="s">
        <v>1404</v>
      </c>
      <c r="B680" s="33" t="s">
        <v>44</v>
      </c>
      <c r="C680" s="33">
        <v>99999022979</v>
      </c>
      <c r="D680" s="33"/>
      <c r="E680" s="33">
        <v>164</v>
      </c>
      <c r="F680" s="33">
        <v>145</v>
      </c>
      <c r="G680" s="33" t="s">
        <v>38</v>
      </c>
      <c r="H680" s="33" t="s">
        <v>1405</v>
      </c>
      <c r="I680" s="33" t="s">
        <v>46</v>
      </c>
      <c r="J680" s="33" t="s">
        <v>40</v>
      </c>
      <c r="K680" s="33"/>
      <c r="L680" s="33"/>
    </row>
    <row r="681" spans="1:12" s="1" customFormat="1" x14ac:dyDescent="0.3">
      <c r="A681" s="33" t="s">
        <v>1406</v>
      </c>
      <c r="B681" s="33" t="s">
        <v>44</v>
      </c>
      <c r="C681" s="33">
        <v>1144273633</v>
      </c>
      <c r="D681" s="33"/>
      <c r="E681" s="33">
        <v>49</v>
      </c>
      <c r="F681" s="33">
        <v>44</v>
      </c>
      <c r="G681" s="33" t="s">
        <v>38</v>
      </c>
      <c r="H681" s="33" t="s">
        <v>1407</v>
      </c>
      <c r="I681" s="33" t="s">
        <v>46</v>
      </c>
      <c r="J681" s="33" t="s">
        <v>40</v>
      </c>
      <c r="K681" s="33"/>
      <c r="L681" s="33"/>
    </row>
    <row r="682" spans="1:12" s="1" customFormat="1" x14ac:dyDescent="0.3">
      <c r="A682" s="33" t="s">
        <v>1408</v>
      </c>
      <c r="B682" s="33" t="s">
        <v>43</v>
      </c>
      <c r="C682" s="33">
        <v>4430191929</v>
      </c>
      <c r="D682" s="33"/>
      <c r="E682" s="33">
        <v>45</v>
      </c>
      <c r="F682" s="33">
        <v>0</v>
      </c>
      <c r="G682" s="33" t="s">
        <v>47</v>
      </c>
      <c r="H682" s="33" t="s">
        <v>1409</v>
      </c>
      <c r="I682" s="33" t="s">
        <v>46</v>
      </c>
      <c r="J682" s="33" t="s">
        <v>40</v>
      </c>
      <c r="K682" s="33"/>
      <c r="L682" s="33"/>
    </row>
    <row r="683" spans="1:12" s="1" customFormat="1" x14ac:dyDescent="0.3">
      <c r="A683" s="33" t="s">
        <v>1410</v>
      </c>
      <c r="B683" s="33" t="s">
        <v>37</v>
      </c>
      <c r="C683" s="33">
        <v>44988113052</v>
      </c>
      <c r="D683" s="33"/>
      <c r="E683" s="33">
        <v>68</v>
      </c>
      <c r="F683" s="33">
        <v>28</v>
      </c>
      <c r="G683" s="33" t="s">
        <v>38</v>
      </c>
      <c r="H683" s="33" t="s">
        <v>1411</v>
      </c>
      <c r="I683" s="33" t="s">
        <v>46</v>
      </c>
      <c r="J683" s="33" t="s">
        <v>40</v>
      </c>
      <c r="K683" s="33"/>
      <c r="L683" s="33"/>
    </row>
    <row r="684" spans="1:12" s="1" customFormat="1" x14ac:dyDescent="0.3">
      <c r="A684" s="33" t="s">
        <v>1412</v>
      </c>
      <c r="B684" s="33" t="s">
        <v>43</v>
      </c>
      <c r="C684" s="33">
        <v>4430345247</v>
      </c>
      <c r="D684" s="33"/>
      <c r="E684" s="33">
        <v>73</v>
      </c>
      <c r="F684" s="33">
        <v>0</v>
      </c>
      <c r="G684" s="33" t="s">
        <v>47</v>
      </c>
      <c r="H684" s="33" t="s">
        <v>1413</v>
      </c>
      <c r="I684" s="33" t="s">
        <v>46</v>
      </c>
      <c r="J684" s="33" t="s">
        <v>40</v>
      </c>
      <c r="K684" s="33"/>
      <c r="L684" s="33"/>
    </row>
    <row r="685" spans="1:12" s="1" customFormat="1" x14ac:dyDescent="0.3">
      <c r="A685" s="33" t="s">
        <v>1414</v>
      </c>
      <c r="B685" s="33">
        <v>43988030048</v>
      </c>
      <c r="C685" s="33" t="s">
        <v>42</v>
      </c>
      <c r="D685" s="33">
        <v>4430265054</v>
      </c>
      <c r="E685" s="33">
        <v>382</v>
      </c>
      <c r="F685" s="33">
        <v>266</v>
      </c>
      <c r="G685" s="33" t="s">
        <v>38</v>
      </c>
      <c r="H685" s="33" t="s">
        <v>1415</v>
      </c>
      <c r="I685" s="33" t="s">
        <v>39</v>
      </c>
      <c r="J685" s="33" t="s">
        <v>40</v>
      </c>
      <c r="K685" s="33" t="s">
        <v>41</v>
      </c>
      <c r="L685" s="33"/>
    </row>
    <row r="686" spans="1:12" s="1" customFormat="1" x14ac:dyDescent="0.3">
      <c r="A686" s="33" t="s">
        <v>1416</v>
      </c>
      <c r="B686" s="33" t="s">
        <v>37</v>
      </c>
      <c r="C686" s="33">
        <v>4433511515</v>
      </c>
      <c r="D686" s="33"/>
      <c r="E686" s="33">
        <v>6</v>
      </c>
      <c r="F686" s="33">
        <v>0</v>
      </c>
      <c r="G686" s="33" t="s">
        <v>47</v>
      </c>
      <c r="H686" s="33" t="s">
        <v>1417</v>
      </c>
      <c r="I686" s="33" t="s">
        <v>46</v>
      </c>
      <c r="J686" s="33" t="s">
        <v>40</v>
      </c>
      <c r="K686" s="33"/>
      <c r="L686" s="33"/>
    </row>
    <row r="687" spans="1:12" s="1" customFormat="1" x14ac:dyDescent="0.3">
      <c r="A687" s="33" t="s">
        <v>1418</v>
      </c>
      <c r="B687" s="33" t="s">
        <v>43</v>
      </c>
      <c r="C687" s="33">
        <v>4430345247</v>
      </c>
      <c r="D687" s="33"/>
      <c r="E687" s="33">
        <v>65</v>
      </c>
      <c r="F687" s="33">
        <v>0</v>
      </c>
      <c r="G687" s="33" t="s">
        <v>47</v>
      </c>
      <c r="H687" s="33" t="s">
        <v>1419</v>
      </c>
      <c r="I687" s="33" t="s">
        <v>46</v>
      </c>
      <c r="J687" s="33" t="s">
        <v>40</v>
      </c>
      <c r="K687" s="33"/>
      <c r="L687" s="33"/>
    </row>
    <row r="688" spans="1:12" s="1" customFormat="1" x14ac:dyDescent="0.3">
      <c r="A688" s="33" t="s">
        <v>1420</v>
      </c>
      <c r="B688" s="33" t="s">
        <v>43</v>
      </c>
      <c r="C688" s="33">
        <v>4430345247</v>
      </c>
      <c r="D688" s="33"/>
      <c r="E688" s="33">
        <v>2</v>
      </c>
      <c r="F688" s="33">
        <v>0</v>
      </c>
      <c r="G688" s="33" t="s">
        <v>47</v>
      </c>
      <c r="H688" s="33" t="s">
        <v>1421</v>
      </c>
      <c r="I688" s="33" t="s">
        <v>46</v>
      </c>
      <c r="J688" s="33" t="s">
        <v>40</v>
      </c>
      <c r="K688" s="33"/>
      <c r="L688" s="33"/>
    </row>
    <row r="689" spans="1:12" s="1" customFormat="1" x14ac:dyDescent="0.3">
      <c r="A689" s="33" t="s">
        <v>1422</v>
      </c>
      <c r="B689" s="33" t="s">
        <v>43</v>
      </c>
      <c r="C689" s="33">
        <v>4432462558</v>
      </c>
      <c r="D689" s="33"/>
      <c r="E689" s="33">
        <v>43</v>
      </c>
      <c r="F689" s="33">
        <v>32</v>
      </c>
      <c r="G689" s="33" t="s">
        <v>38</v>
      </c>
      <c r="H689" s="33" t="s">
        <v>1423</v>
      </c>
      <c r="I689" s="33" t="s">
        <v>46</v>
      </c>
      <c r="J689" s="33" t="s">
        <v>40</v>
      </c>
      <c r="K689" s="33"/>
      <c r="L689" s="33"/>
    </row>
    <row r="690" spans="1:12" s="1" customFormat="1" x14ac:dyDescent="0.3">
      <c r="A690" s="33" t="s">
        <v>1424</v>
      </c>
      <c r="B690" s="33" t="s">
        <v>43</v>
      </c>
      <c r="C690" s="33">
        <v>4432462558</v>
      </c>
      <c r="D690" s="33"/>
      <c r="E690" s="33">
        <v>25</v>
      </c>
      <c r="F690" s="33">
        <v>15</v>
      </c>
      <c r="G690" s="33" t="s">
        <v>38</v>
      </c>
      <c r="H690" s="33" t="s">
        <v>1425</v>
      </c>
      <c r="I690" s="33" t="s">
        <v>46</v>
      </c>
      <c r="J690" s="33" t="s">
        <v>40</v>
      </c>
      <c r="K690" s="33"/>
      <c r="L690" s="33"/>
    </row>
    <row r="691" spans="1:12" s="1" customFormat="1" x14ac:dyDescent="0.3">
      <c r="A691" s="33" t="s">
        <v>1426</v>
      </c>
      <c r="B691" s="33">
        <v>44999090169</v>
      </c>
      <c r="C691" s="33" t="s">
        <v>37</v>
      </c>
      <c r="D691" s="33">
        <v>4430265054</v>
      </c>
      <c r="E691" s="33">
        <v>1017</v>
      </c>
      <c r="F691" s="33">
        <v>926</v>
      </c>
      <c r="G691" s="33" t="s">
        <v>38</v>
      </c>
      <c r="H691" s="33" t="s">
        <v>1427</v>
      </c>
      <c r="I691" s="33" t="s">
        <v>39</v>
      </c>
      <c r="J691" s="33" t="s">
        <v>40</v>
      </c>
      <c r="K691" s="33" t="s">
        <v>41</v>
      </c>
      <c r="L691" s="33">
        <v>5</v>
      </c>
    </row>
    <row r="692" spans="1:12" s="1" customFormat="1" x14ac:dyDescent="0.3">
      <c r="A692" s="33" t="s">
        <v>1428</v>
      </c>
      <c r="B692" s="33" t="s">
        <v>48</v>
      </c>
      <c r="C692" s="33">
        <v>4432462558</v>
      </c>
      <c r="D692" s="33"/>
      <c r="E692" s="33">
        <v>201</v>
      </c>
      <c r="F692" s="33">
        <v>195</v>
      </c>
      <c r="G692" s="33" t="s">
        <v>38</v>
      </c>
      <c r="H692" s="33" t="s">
        <v>1429</v>
      </c>
      <c r="I692" s="33" t="s">
        <v>46</v>
      </c>
      <c r="J692" s="33" t="s">
        <v>40</v>
      </c>
      <c r="K692" s="33"/>
      <c r="L692" s="33"/>
    </row>
    <row r="693" spans="1:12" s="1" customFormat="1" x14ac:dyDescent="0.3">
      <c r="A693" s="33" t="s">
        <v>1430</v>
      </c>
      <c r="B693" s="33" t="s">
        <v>37</v>
      </c>
      <c r="C693" s="33">
        <v>44988113052</v>
      </c>
      <c r="D693" s="33"/>
      <c r="E693" s="33">
        <v>39</v>
      </c>
      <c r="F693" s="33">
        <v>0</v>
      </c>
      <c r="G693" s="33" t="s">
        <v>47</v>
      </c>
      <c r="H693" s="33" t="s">
        <v>1431</v>
      </c>
      <c r="I693" s="33" t="s">
        <v>46</v>
      </c>
      <c r="J693" s="33" t="s">
        <v>40</v>
      </c>
      <c r="K693" s="33"/>
      <c r="L693" s="33"/>
    </row>
    <row r="694" spans="1:12" s="1" customFormat="1" x14ac:dyDescent="0.3">
      <c r="A694" s="33" t="s">
        <v>1432</v>
      </c>
      <c r="B694" s="33">
        <v>4430315826</v>
      </c>
      <c r="C694" s="33" t="s">
        <v>44</v>
      </c>
      <c r="D694" s="33">
        <v>4430265054</v>
      </c>
      <c r="E694" s="33">
        <v>730</v>
      </c>
      <c r="F694" s="33">
        <v>710</v>
      </c>
      <c r="G694" s="33" t="s">
        <v>38</v>
      </c>
      <c r="H694" s="33" t="s">
        <v>1433</v>
      </c>
      <c r="I694" s="33" t="s">
        <v>39</v>
      </c>
      <c r="J694" s="33" t="s">
        <v>40</v>
      </c>
      <c r="K694" s="33" t="s">
        <v>41</v>
      </c>
      <c r="L694" s="33"/>
    </row>
    <row r="695" spans="1:12" s="1" customFormat="1" x14ac:dyDescent="0.3">
      <c r="A695" s="33" t="s">
        <v>1434</v>
      </c>
      <c r="B695" s="33">
        <v>4430191401</v>
      </c>
      <c r="C695" s="33" t="s">
        <v>37</v>
      </c>
      <c r="D695" s="33">
        <v>4430265054</v>
      </c>
      <c r="E695" s="33">
        <v>472</v>
      </c>
      <c r="F695" s="33">
        <v>431</v>
      </c>
      <c r="G695" s="33" t="s">
        <v>38</v>
      </c>
      <c r="H695" s="33" t="s">
        <v>1435</v>
      </c>
      <c r="I695" s="33" t="s">
        <v>39</v>
      </c>
      <c r="J695" s="33" t="s">
        <v>40</v>
      </c>
      <c r="K695" s="33" t="s">
        <v>41</v>
      </c>
      <c r="L695" s="33">
        <v>5</v>
      </c>
    </row>
    <row r="696" spans="1:12" s="1" customFormat="1" x14ac:dyDescent="0.3">
      <c r="A696" s="33" t="s">
        <v>1436</v>
      </c>
      <c r="B696" s="33">
        <v>4432322192</v>
      </c>
      <c r="C696" s="33" t="s">
        <v>43</v>
      </c>
      <c r="D696" s="33">
        <v>4430265054</v>
      </c>
      <c r="E696" s="33">
        <v>493</v>
      </c>
      <c r="F696" s="33">
        <v>455</v>
      </c>
      <c r="G696" s="33" t="s">
        <v>38</v>
      </c>
      <c r="H696" s="33" t="s">
        <v>1437</v>
      </c>
      <c r="I696" s="33" t="s">
        <v>39</v>
      </c>
      <c r="J696" s="33" t="s">
        <v>40</v>
      </c>
      <c r="K696" s="33" t="s">
        <v>41</v>
      </c>
      <c r="L696" s="33"/>
    </row>
    <row r="697" spans="1:12" s="1" customFormat="1" x14ac:dyDescent="0.3">
      <c r="A697" s="33" t="s">
        <v>1438</v>
      </c>
      <c r="B697" s="33" t="s">
        <v>37</v>
      </c>
      <c r="C697" s="33">
        <v>44991622693</v>
      </c>
      <c r="D697" s="33"/>
      <c r="E697" s="33">
        <v>266</v>
      </c>
      <c r="F697" s="33">
        <v>257</v>
      </c>
      <c r="G697" s="33" t="s">
        <v>38</v>
      </c>
      <c r="H697" s="33" t="s">
        <v>1439</v>
      </c>
      <c r="I697" s="33" t="s">
        <v>46</v>
      </c>
      <c r="J697" s="33" t="s">
        <v>40</v>
      </c>
      <c r="K697" s="33"/>
      <c r="L697" s="33">
        <v>5</v>
      </c>
    </row>
    <row r="698" spans="1:12" s="1" customFormat="1" x14ac:dyDescent="0.3">
      <c r="A698" s="33" t="s">
        <v>1440</v>
      </c>
      <c r="B698" s="33">
        <v>44991622693</v>
      </c>
      <c r="C698" s="33" t="s">
        <v>37</v>
      </c>
      <c r="D698" s="33">
        <v>4430265054</v>
      </c>
      <c r="E698" s="33">
        <v>301</v>
      </c>
      <c r="F698" s="33">
        <v>264</v>
      </c>
      <c r="G698" s="33" t="s">
        <v>38</v>
      </c>
      <c r="H698" s="33" t="s">
        <v>1441</v>
      </c>
      <c r="I698" s="33" t="s">
        <v>39</v>
      </c>
      <c r="J698" s="33" t="s">
        <v>40</v>
      </c>
      <c r="K698" s="33" t="s">
        <v>41</v>
      </c>
      <c r="L698" s="33">
        <v>5</v>
      </c>
    </row>
    <row r="699" spans="1:12" s="1" customFormat="1" x14ac:dyDescent="0.3">
      <c r="A699" s="33" t="s">
        <v>1442</v>
      </c>
      <c r="B699" s="33" t="s">
        <v>42</v>
      </c>
      <c r="C699" s="33">
        <v>4430468267</v>
      </c>
      <c r="D699" s="33"/>
      <c r="E699" s="33">
        <v>2946</v>
      </c>
      <c r="F699" s="33">
        <v>2932</v>
      </c>
      <c r="G699" s="33" t="s">
        <v>38</v>
      </c>
      <c r="H699" s="33" t="s">
        <v>1443</v>
      </c>
      <c r="I699" s="33" t="s">
        <v>46</v>
      </c>
      <c r="J699" s="33" t="s">
        <v>40</v>
      </c>
      <c r="K699" s="33"/>
      <c r="L699" s="33"/>
    </row>
    <row r="700" spans="1:12" s="1" customFormat="1" x14ac:dyDescent="0.3">
      <c r="A700" s="33" t="s">
        <v>1444</v>
      </c>
      <c r="B700" s="33" t="s">
        <v>44</v>
      </c>
      <c r="C700" s="33">
        <v>1144273633</v>
      </c>
      <c r="D700" s="33"/>
      <c r="E700" s="33">
        <v>839</v>
      </c>
      <c r="F700" s="33">
        <v>834</v>
      </c>
      <c r="G700" s="33" t="s">
        <v>38</v>
      </c>
      <c r="H700" s="33" t="s">
        <v>1445</v>
      </c>
      <c r="I700" s="33" t="s">
        <v>46</v>
      </c>
      <c r="J700" s="33" t="s">
        <v>40</v>
      </c>
      <c r="K700" s="33"/>
      <c r="L700" s="33"/>
    </row>
    <row r="701" spans="1:12" s="1" customFormat="1" x14ac:dyDescent="0.3">
      <c r="A701" s="33" t="s">
        <v>1446</v>
      </c>
      <c r="B701" s="33">
        <v>43984810043</v>
      </c>
      <c r="C701" s="33" t="s">
        <v>43</v>
      </c>
      <c r="D701" s="33">
        <v>4430265054</v>
      </c>
      <c r="E701" s="33">
        <v>568</v>
      </c>
      <c r="F701" s="33">
        <v>514</v>
      </c>
      <c r="G701" s="33" t="s">
        <v>38</v>
      </c>
      <c r="H701" s="33" t="s">
        <v>1447</v>
      </c>
      <c r="I701" s="33" t="s">
        <v>39</v>
      </c>
      <c r="J701" s="33" t="s">
        <v>40</v>
      </c>
      <c r="K701" s="33" t="s">
        <v>41</v>
      </c>
      <c r="L701" s="33"/>
    </row>
    <row r="702" spans="1:12" s="1" customFormat="1" x14ac:dyDescent="0.3">
      <c r="A702" s="33" t="s">
        <v>1448</v>
      </c>
      <c r="B702" s="33">
        <v>4430468267</v>
      </c>
      <c r="C702" s="33" t="s">
        <v>44</v>
      </c>
      <c r="D702" s="33">
        <v>4430265054</v>
      </c>
      <c r="E702" s="33">
        <v>96</v>
      </c>
      <c r="F702" s="33">
        <v>44</v>
      </c>
      <c r="G702" s="33" t="s">
        <v>38</v>
      </c>
      <c r="H702" s="33" t="s">
        <v>1449</v>
      </c>
      <c r="I702" s="33" t="s">
        <v>39</v>
      </c>
      <c r="J702" s="33" t="s">
        <v>40</v>
      </c>
      <c r="K702" s="33" t="s">
        <v>41</v>
      </c>
      <c r="L702" s="33"/>
    </row>
    <row r="703" spans="1:12" s="1" customFormat="1" x14ac:dyDescent="0.3">
      <c r="A703" s="33" t="s">
        <v>1450</v>
      </c>
      <c r="B703" s="33" t="s">
        <v>44</v>
      </c>
      <c r="C703" s="33">
        <v>99999022979</v>
      </c>
      <c r="D703" s="33"/>
      <c r="E703" s="33">
        <v>75</v>
      </c>
      <c r="F703" s="33">
        <v>59</v>
      </c>
      <c r="G703" s="33" t="s">
        <v>38</v>
      </c>
      <c r="H703" s="33" t="s">
        <v>1451</v>
      </c>
      <c r="I703" s="33" t="s">
        <v>46</v>
      </c>
      <c r="J703" s="33" t="s">
        <v>40</v>
      </c>
      <c r="K703" s="33"/>
      <c r="L703" s="33"/>
    </row>
    <row r="704" spans="1:12" s="1" customFormat="1" x14ac:dyDescent="0.3">
      <c r="A704" s="33" t="s">
        <v>1452</v>
      </c>
      <c r="B704" s="33">
        <v>4430345247</v>
      </c>
      <c r="C704" s="33" t="s">
        <v>43</v>
      </c>
      <c r="D704" s="33">
        <v>4430265054</v>
      </c>
      <c r="E704" s="33">
        <v>569</v>
      </c>
      <c r="F704" s="33">
        <v>526</v>
      </c>
      <c r="G704" s="33" t="s">
        <v>38</v>
      </c>
      <c r="H704" s="33" t="s">
        <v>1453</v>
      </c>
      <c r="I704" s="33" t="s">
        <v>39</v>
      </c>
      <c r="J704" s="33" t="s">
        <v>40</v>
      </c>
      <c r="K704" s="33" t="s">
        <v>41</v>
      </c>
      <c r="L704" s="33"/>
    </row>
    <row r="705" spans="1:12" s="1" customFormat="1" x14ac:dyDescent="0.3">
      <c r="A705" s="33" t="s">
        <v>1454</v>
      </c>
      <c r="B705" s="33">
        <v>43988030048</v>
      </c>
      <c r="C705" s="33" t="s">
        <v>37</v>
      </c>
      <c r="D705" s="33">
        <v>4430265054</v>
      </c>
      <c r="E705" s="33">
        <v>333</v>
      </c>
      <c r="F705" s="33">
        <v>276</v>
      </c>
      <c r="G705" s="33" t="s">
        <v>38</v>
      </c>
      <c r="H705" s="33" t="s">
        <v>1455</v>
      </c>
      <c r="I705" s="33" t="s">
        <v>39</v>
      </c>
      <c r="J705" s="33" t="s">
        <v>40</v>
      </c>
      <c r="K705" s="33" t="s">
        <v>41</v>
      </c>
      <c r="L705" s="33"/>
    </row>
    <row r="706" spans="1:12" s="1" customFormat="1" x14ac:dyDescent="0.3">
      <c r="A706" s="33" t="s">
        <v>1456</v>
      </c>
      <c r="B706" s="33" t="s">
        <v>42</v>
      </c>
      <c r="C706" s="33">
        <v>1639391799</v>
      </c>
      <c r="D706" s="33"/>
      <c r="E706" s="33">
        <v>1384</v>
      </c>
      <c r="F706" s="33">
        <v>1367</v>
      </c>
      <c r="G706" s="33" t="s">
        <v>38</v>
      </c>
      <c r="H706" s="33" t="s">
        <v>1457</v>
      </c>
      <c r="I706" s="33" t="s">
        <v>46</v>
      </c>
      <c r="J706" s="33" t="s">
        <v>40</v>
      </c>
      <c r="K706" s="33"/>
      <c r="L706" s="33"/>
    </row>
    <row r="707" spans="1:12" s="1" customFormat="1" x14ac:dyDescent="0.3">
      <c r="A707" s="33" t="s">
        <v>1458</v>
      </c>
      <c r="B707" s="33" t="s">
        <v>43</v>
      </c>
      <c r="C707" s="33">
        <v>1144364181</v>
      </c>
      <c r="D707" s="33"/>
      <c r="E707" s="33">
        <v>1</v>
      </c>
      <c r="F707" s="33">
        <v>0</v>
      </c>
      <c r="G707" s="33" t="s">
        <v>47</v>
      </c>
      <c r="H707" s="33" t="s">
        <v>1459</v>
      </c>
      <c r="I707" s="33" t="s">
        <v>46</v>
      </c>
      <c r="J707" s="33" t="s">
        <v>40</v>
      </c>
      <c r="K707" s="33"/>
      <c r="L707" s="33"/>
    </row>
    <row r="708" spans="1:12" s="1" customFormat="1" x14ac:dyDescent="0.3">
      <c r="A708" s="33" t="s">
        <v>1460</v>
      </c>
      <c r="B708" s="33">
        <v>1144364181</v>
      </c>
      <c r="C708" s="33" t="s">
        <v>44</v>
      </c>
      <c r="D708" s="33">
        <v>4430265054</v>
      </c>
      <c r="E708" s="33">
        <v>652</v>
      </c>
      <c r="F708" s="33">
        <v>566</v>
      </c>
      <c r="G708" s="33" t="s">
        <v>38</v>
      </c>
      <c r="H708" s="33" t="s">
        <v>1461</v>
      </c>
      <c r="I708" s="33" t="s">
        <v>39</v>
      </c>
      <c r="J708" s="33" t="s">
        <v>40</v>
      </c>
      <c r="K708" s="33" t="s">
        <v>41</v>
      </c>
      <c r="L708" s="33"/>
    </row>
    <row r="709" spans="1:12" s="1" customFormat="1" x14ac:dyDescent="0.3">
      <c r="A709" s="33" t="s">
        <v>1462</v>
      </c>
      <c r="B709" s="33">
        <v>4435235396</v>
      </c>
      <c r="C709" s="33" t="s">
        <v>43</v>
      </c>
      <c r="D709" s="33">
        <v>4430265054</v>
      </c>
      <c r="E709" s="33">
        <v>150</v>
      </c>
      <c r="F709" s="33">
        <v>89</v>
      </c>
      <c r="G709" s="33" t="s">
        <v>38</v>
      </c>
      <c r="H709" s="33" t="s">
        <v>1463</v>
      </c>
      <c r="I709" s="33" t="s">
        <v>39</v>
      </c>
      <c r="J709" s="33" t="s">
        <v>40</v>
      </c>
      <c r="K709" s="33" t="s">
        <v>41</v>
      </c>
      <c r="L709" s="33"/>
    </row>
    <row r="710" spans="1:12" s="1" customFormat="1" x14ac:dyDescent="0.3">
      <c r="A710" s="33" t="s">
        <v>1464</v>
      </c>
      <c r="B710" s="33" t="s">
        <v>42</v>
      </c>
      <c r="C710" s="33">
        <v>4430317020</v>
      </c>
      <c r="D710" s="33"/>
      <c r="E710" s="33">
        <v>297</v>
      </c>
      <c r="F710" s="33">
        <v>285</v>
      </c>
      <c r="G710" s="33" t="s">
        <v>38</v>
      </c>
      <c r="H710" s="33" t="s">
        <v>1465</v>
      </c>
      <c r="I710" s="33" t="s">
        <v>46</v>
      </c>
      <c r="J710" s="33" t="s">
        <v>40</v>
      </c>
      <c r="K710" s="33"/>
      <c r="L710" s="33"/>
    </row>
    <row r="711" spans="1:12" s="1" customFormat="1" x14ac:dyDescent="0.3">
      <c r="A711" s="33" t="s">
        <v>1466</v>
      </c>
      <c r="B711" s="33" t="s">
        <v>42</v>
      </c>
      <c r="C711" s="33">
        <v>4430317020</v>
      </c>
      <c r="D711" s="33"/>
      <c r="E711" s="33">
        <v>2</v>
      </c>
      <c r="F711" s="33">
        <v>0</v>
      </c>
      <c r="G711" s="33" t="s">
        <v>47</v>
      </c>
      <c r="H711" s="33" t="s">
        <v>1467</v>
      </c>
      <c r="I711" s="33" t="s">
        <v>46</v>
      </c>
      <c r="J711" s="33" t="s">
        <v>40</v>
      </c>
      <c r="K711" s="33"/>
      <c r="L711" s="33"/>
    </row>
    <row r="712" spans="1:12" s="1" customFormat="1" x14ac:dyDescent="0.3">
      <c r="A712" s="33" t="s">
        <v>1468</v>
      </c>
      <c r="B712" s="33" t="s">
        <v>48</v>
      </c>
      <c r="C712" s="33">
        <v>11989293711</v>
      </c>
      <c r="D712" s="33"/>
      <c r="E712" s="33">
        <v>630</v>
      </c>
      <c r="F712" s="33">
        <v>617</v>
      </c>
      <c r="G712" s="33" t="s">
        <v>38</v>
      </c>
      <c r="H712" s="33" t="s">
        <v>1469</v>
      </c>
      <c r="I712" s="33" t="s">
        <v>46</v>
      </c>
      <c r="J712" s="33" t="s">
        <v>40</v>
      </c>
      <c r="K712" s="33"/>
      <c r="L712" s="33">
        <v>5</v>
      </c>
    </row>
    <row r="713" spans="1:12" s="1" customFormat="1" x14ac:dyDescent="0.3">
      <c r="A713" s="33" t="s">
        <v>1470</v>
      </c>
      <c r="B713" s="33">
        <v>4334234629</v>
      </c>
      <c r="C713" s="33" t="s">
        <v>43</v>
      </c>
      <c r="D713" s="33">
        <v>4430265054</v>
      </c>
      <c r="E713" s="33">
        <v>319</v>
      </c>
      <c r="F713" s="33">
        <v>232</v>
      </c>
      <c r="G713" s="33" t="s">
        <v>38</v>
      </c>
      <c r="H713" s="33" t="s">
        <v>1471</v>
      </c>
      <c r="I713" s="33" t="s">
        <v>39</v>
      </c>
      <c r="J713" s="33" t="s">
        <v>40</v>
      </c>
      <c r="K713" s="33" t="s">
        <v>41</v>
      </c>
      <c r="L713" s="33"/>
    </row>
    <row r="714" spans="1:12" s="1" customFormat="1" x14ac:dyDescent="0.3">
      <c r="A714" s="33" t="s">
        <v>1472</v>
      </c>
      <c r="B714" s="33" t="s">
        <v>37</v>
      </c>
      <c r="C714" s="33">
        <v>43988030048</v>
      </c>
      <c r="D714" s="33"/>
      <c r="E714" s="33">
        <v>38</v>
      </c>
      <c r="F714" s="33">
        <v>0</v>
      </c>
      <c r="G714" s="33" t="s">
        <v>47</v>
      </c>
      <c r="H714" s="33" t="s">
        <v>1473</v>
      </c>
      <c r="I714" s="33" t="s">
        <v>46</v>
      </c>
      <c r="J714" s="33" t="s">
        <v>40</v>
      </c>
      <c r="K714" s="33"/>
      <c r="L714" s="33"/>
    </row>
    <row r="715" spans="1:12" s="1" customFormat="1" x14ac:dyDescent="0.3">
      <c r="A715" s="33" t="s">
        <v>1474</v>
      </c>
      <c r="B715" s="33">
        <v>44991484476</v>
      </c>
      <c r="C715" s="33" t="s">
        <v>48</v>
      </c>
      <c r="D715" s="33">
        <v>4430265054</v>
      </c>
      <c r="E715" s="33">
        <v>595</v>
      </c>
      <c r="F715" s="33">
        <v>552</v>
      </c>
      <c r="G715" s="33" t="s">
        <v>38</v>
      </c>
      <c r="H715" s="33" t="s">
        <v>1475</v>
      </c>
      <c r="I715" s="33" t="s">
        <v>39</v>
      </c>
      <c r="J715" s="33" t="s">
        <v>40</v>
      </c>
      <c r="K715" s="33" t="s">
        <v>41</v>
      </c>
      <c r="L715" s="33"/>
    </row>
    <row r="716" spans="1:12" s="1" customFormat="1" x14ac:dyDescent="0.3">
      <c r="A716" s="33" t="s">
        <v>1476</v>
      </c>
      <c r="B716" s="33">
        <v>4436281154</v>
      </c>
      <c r="C716" s="33" t="s">
        <v>37</v>
      </c>
      <c r="D716" s="33">
        <v>4430265054</v>
      </c>
      <c r="E716" s="33">
        <v>154</v>
      </c>
      <c r="F716" s="33">
        <v>130</v>
      </c>
      <c r="G716" s="33" t="s">
        <v>38</v>
      </c>
      <c r="H716" s="33" t="s">
        <v>1477</v>
      </c>
      <c r="I716" s="33" t="s">
        <v>39</v>
      </c>
      <c r="J716" s="33" t="s">
        <v>40</v>
      </c>
      <c r="K716" s="33" t="s">
        <v>41</v>
      </c>
      <c r="L716" s="33"/>
    </row>
    <row r="717" spans="1:12" s="1" customFormat="1" x14ac:dyDescent="0.3">
      <c r="A717" s="33" t="s">
        <v>1478</v>
      </c>
      <c r="B717" s="33">
        <v>4334226481</v>
      </c>
      <c r="C717" s="33" t="s">
        <v>43</v>
      </c>
      <c r="D717" s="33">
        <v>4430265054</v>
      </c>
      <c r="E717" s="33">
        <v>301</v>
      </c>
      <c r="F717" s="33">
        <v>213</v>
      </c>
      <c r="G717" s="33" t="s">
        <v>38</v>
      </c>
      <c r="H717" s="33" t="s">
        <v>1479</v>
      </c>
      <c r="I717" s="33" t="s">
        <v>39</v>
      </c>
      <c r="J717" s="33" t="s">
        <v>40</v>
      </c>
      <c r="K717" s="33" t="s">
        <v>41</v>
      </c>
      <c r="L717" s="33"/>
    </row>
    <row r="718" spans="1:12" s="1" customFormat="1" x14ac:dyDescent="0.3">
      <c r="A718" s="33" t="s">
        <v>1480</v>
      </c>
      <c r="B718" s="33">
        <v>44991486467</v>
      </c>
      <c r="C718" s="33" t="s">
        <v>44</v>
      </c>
      <c r="D718" s="33">
        <v>4430265054</v>
      </c>
      <c r="E718" s="33">
        <v>1217</v>
      </c>
      <c r="F718" s="33">
        <v>1172</v>
      </c>
      <c r="G718" s="33" t="s">
        <v>38</v>
      </c>
      <c r="H718" s="33" t="s">
        <v>1481</v>
      </c>
      <c r="I718" s="33" t="s">
        <v>39</v>
      </c>
      <c r="J718" s="33" t="s">
        <v>40</v>
      </c>
      <c r="K718" s="33" t="s">
        <v>41</v>
      </c>
      <c r="L718" s="33"/>
    </row>
    <row r="719" spans="1:12" s="1" customFormat="1" x14ac:dyDescent="0.3">
      <c r="A719" s="33" t="s">
        <v>1482</v>
      </c>
      <c r="B719" s="33">
        <v>44991726709</v>
      </c>
      <c r="C719" s="33" t="s">
        <v>43</v>
      </c>
      <c r="D719" s="33">
        <v>4430265054</v>
      </c>
      <c r="E719" s="33">
        <v>496</v>
      </c>
      <c r="F719" s="33">
        <v>464</v>
      </c>
      <c r="G719" s="33" t="s">
        <v>38</v>
      </c>
      <c r="H719" s="33" t="s">
        <v>1483</v>
      </c>
      <c r="I719" s="33" t="s">
        <v>39</v>
      </c>
      <c r="J719" s="33" t="s">
        <v>40</v>
      </c>
      <c r="K719" s="33" t="s">
        <v>41</v>
      </c>
      <c r="L719" s="33">
        <v>5</v>
      </c>
    </row>
    <row r="720" spans="1:12" s="1" customFormat="1" x14ac:dyDescent="0.3">
      <c r="A720" s="33" t="s">
        <v>1484</v>
      </c>
      <c r="B720" s="33">
        <v>1144320912</v>
      </c>
      <c r="C720" s="33" t="s">
        <v>43</v>
      </c>
      <c r="D720" s="33">
        <v>4430265054</v>
      </c>
      <c r="E720" s="33">
        <v>124</v>
      </c>
      <c r="F720" s="33">
        <v>85</v>
      </c>
      <c r="G720" s="33" t="s">
        <v>38</v>
      </c>
      <c r="H720" s="33" t="s">
        <v>1485</v>
      </c>
      <c r="I720" s="33" t="s">
        <v>39</v>
      </c>
      <c r="J720" s="33" t="s">
        <v>40</v>
      </c>
      <c r="K720" s="33" t="s">
        <v>41</v>
      </c>
      <c r="L720" s="33"/>
    </row>
    <row r="721" spans="1:12" s="1" customFormat="1" x14ac:dyDescent="0.3">
      <c r="A721" s="33" t="s">
        <v>1486</v>
      </c>
      <c r="B721" s="33" t="s">
        <v>48</v>
      </c>
      <c r="C721" s="33">
        <v>4430318515</v>
      </c>
      <c r="D721" s="33"/>
      <c r="E721" s="33">
        <v>140</v>
      </c>
      <c r="F721" s="33">
        <v>134</v>
      </c>
      <c r="G721" s="33" t="s">
        <v>38</v>
      </c>
      <c r="H721" s="33" t="s">
        <v>1487</v>
      </c>
      <c r="I721" s="33" t="s">
        <v>46</v>
      </c>
      <c r="J721" s="33" t="s">
        <v>40</v>
      </c>
      <c r="K721" s="33"/>
      <c r="L721" s="33"/>
    </row>
    <row r="722" spans="1:12" s="1" customFormat="1" x14ac:dyDescent="0.3">
      <c r="A722" s="33" t="s">
        <v>1488</v>
      </c>
      <c r="B722" s="33">
        <v>4430468267</v>
      </c>
      <c r="C722" s="33" t="s">
        <v>42</v>
      </c>
      <c r="D722" s="33">
        <v>4430265054</v>
      </c>
      <c r="E722" s="33">
        <v>734</v>
      </c>
      <c r="F722" s="33">
        <v>693</v>
      </c>
      <c r="G722" s="33" t="s">
        <v>38</v>
      </c>
      <c r="H722" s="33" t="s">
        <v>1489</v>
      </c>
      <c r="I722" s="33" t="s">
        <v>39</v>
      </c>
      <c r="J722" s="33" t="s">
        <v>40</v>
      </c>
      <c r="K722" s="33" t="s">
        <v>41</v>
      </c>
      <c r="L722" s="33"/>
    </row>
    <row r="723" spans="1:12" s="1" customFormat="1" x14ac:dyDescent="0.3">
      <c r="A723" s="33" t="s">
        <v>1490</v>
      </c>
      <c r="B723" s="33">
        <v>99999022979</v>
      </c>
      <c r="C723" s="33" t="s">
        <v>44</v>
      </c>
      <c r="D723" s="33">
        <v>4430265054</v>
      </c>
      <c r="E723" s="33">
        <v>481</v>
      </c>
      <c r="F723" s="33">
        <v>440</v>
      </c>
      <c r="G723" s="33" t="s">
        <v>38</v>
      </c>
      <c r="H723" s="33" t="s">
        <v>1491</v>
      </c>
      <c r="I723" s="33" t="s">
        <v>39</v>
      </c>
      <c r="J723" s="33" t="s">
        <v>40</v>
      </c>
      <c r="K723" s="33" t="s">
        <v>41</v>
      </c>
      <c r="L723" s="33"/>
    </row>
    <row r="724" spans="1:12" s="1" customFormat="1" x14ac:dyDescent="0.3">
      <c r="A724" s="33" t="s">
        <v>1492</v>
      </c>
      <c r="B724" s="33" t="s">
        <v>44</v>
      </c>
      <c r="C724" s="33">
        <v>4532541802</v>
      </c>
      <c r="D724" s="33"/>
      <c r="E724" s="33">
        <v>53</v>
      </c>
      <c r="F724" s="33">
        <v>51</v>
      </c>
      <c r="G724" s="33" t="s">
        <v>38</v>
      </c>
      <c r="H724" s="33" t="s">
        <v>1493</v>
      </c>
      <c r="I724" s="33" t="s">
        <v>46</v>
      </c>
      <c r="J724" s="33" t="s">
        <v>40</v>
      </c>
      <c r="K724" s="33"/>
      <c r="L724" s="33"/>
    </row>
    <row r="725" spans="1:12" s="1" customFormat="1" x14ac:dyDescent="0.3">
      <c r="A725" s="33" t="s">
        <v>1494</v>
      </c>
      <c r="B725" s="33">
        <v>44997343311</v>
      </c>
      <c r="C725" s="33" t="s">
        <v>42</v>
      </c>
      <c r="D725" s="33">
        <v>4430265054</v>
      </c>
      <c r="E725" s="33">
        <v>400</v>
      </c>
      <c r="F725" s="33">
        <v>381</v>
      </c>
      <c r="G725" s="33" t="s">
        <v>38</v>
      </c>
      <c r="H725" s="33" t="s">
        <v>1495</v>
      </c>
      <c r="I725" s="33" t="s">
        <v>39</v>
      </c>
      <c r="J725" s="33" t="s">
        <v>40</v>
      </c>
      <c r="K725" s="33" t="s">
        <v>41</v>
      </c>
      <c r="L725" s="33"/>
    </row>
    <row r="726" spans="1:12" s="1" customFormat="1" x14ac:dyDescent="0.3">
      <c r="A726" s="33" t="s">
        <v>1496</v>
      </c>
      <c r="B726" s="33">
        <v>93991103737</v>
      </c>
      <c r="C726" s="33" t="s">
        <v>48</v>
      </c>
      <c r="D726" s="33">
        <v>4431268225</v>
      </c>
      <c r="E726" s="33">
        <v>400</v>
      </c>
      <c r="F726" s="33">
        <v>400</v>
      </c>
      <c r="G726" s="33" t="s">
        <v>38</v>
      </c>
      <c r="H726" s="33" t="s">
        <v>1497</v>
      </c>
      <c r="I726" s="33" t="s">
        <v>39</v>
      </c>
      <c r="J726" s="33" t="s">
        <v>40</v>
      </c>
      <c r="K726" s="33" t="s">
        <v>41</v>
      </c>
      <c r="L726" s="33"/>
    </row>
    <row r="727" spans="1:12" s="1" customFormat="1" x14ac:dyDescent="0.3">
      <c r="A727" s="33" t="s">
        <v>1498</v>
      </c>
      <c r="B727" s="33">
        <v>41992155919</v>
      </c>
      <c r="C727" s="33" t="s">
        <v>48</v>
      </c>
      <c r="D727" s="33">
        <v>4430265054</v>
      </c>
      <c r="E727" s="33">
        <v>214</v>
      </c>
      <c r="F727" s="33">
        <v>193</v>
      </c>
      <c r="G727" s="33" t="s">
        <v>38</v>
      </c>
      <c r="H727" s="33" t="s">
        <v>1499</v>
      </c>
      <c r="I727" s="33" t="s">
        <v>39</v>
      </c>
      <c r="J727" s="33" t="s">
        <v>40</v>
      </c>
      <c r="K727" s="33" t="s">
        <v>41</v>
      </c>
      <c r="L727" s="33"/>
    </row>
    <row r="728" spans="1:12" s="1" customFormat="1" x14ac:dyDescent="0.3">
      <c r="A728" s="33" t="s">
        <v>1500</v>
      </c>
      <c r="B728" s="33">
        <v>4432462382</v>
      </c>
      <c r="C728" s="33" t="s">
        <v>43</v>
      </c>
      <c r="D728" s="33">
        <v>4430265054</v>
      </c>
      <c r="E728" s="33">
        <v>203</v>
      </c>
      <c r="F728" s="33">
        <v>171</v>
      </c>
      <c r="G728" s="33" t="s">
        <v>38</v>
      </c>
      <c r="H728" s="33" t="s">
        <v>1501</v>
      </c>
      <c r="I728" s="33" t="s">
        <v>39</v>
      </c>
      <c r="J728" s="33" t="s">
        <v>40</v>
      </c>
      <c r="K728" s="33" t="s">
        <v>41</v>
      </c>
      <c r="L728" s="33"/>
    </row>
    <row r="729" spans="1:12" s="1" customFormat="1" x14ac:dyDescent="0.3">
      <c r="A729" s="33" t="s">
        <v>1502</v>
      </c>
      <c r="B729" s="33">
        <v>43988030048</v>
      </c>
      <c r="C729" s="33" t="s">
        <v>37</v>
      </c>
      <c r="D729" s="33">
        <v>4430265054</v>
      </c>
      <c r="E729" s="33">
        <v>1983</v>
      </c>
      <c r="F729" s="33">
        <v>1954</v>
      </c>
      <c r="G729" s="33" t="s">
        <v>38</v>
      </c>
      <c r="H729" s="33" t="s">
        <v>1503</v>
      </c>
      <c r="I729" s="33" t="s">
        <v>39</v>
      </c>
      <c r="J729" s="33" t="s">
        <v>40</v>
      </c>
      <c r="K729" s="33" t="s">
        <v>41</v>
      </c>
      <c r="L729" s="33"/>
    </row>
    <row r="730" spans="1:12" s="1" customFormat="1" x14ac:dyDescent="0.3">
      <c r="A730" s="33" t="s">
        <v>1504</v>
      </c>
      <c r="B730" s="33">
        <v>1144273633</v>
      </c>
      <c r="C730" s="33" t="s">
        <v>44</v>
      </c>
      <c r="D730" s="33">
        <v>4430265054</v>
      </c>
      <c r="E730" s="33">
        <v>1448</v>
      </c>
      <c r="F730" s="33">
        <v>1421</v>
      </c>
      <c r="G730" s="33" t="s">
        <v>38</v>
      </c>
      <c r="H730" s="33" t="s">
        <v>1505</v>
      </c>
      <c r="I730" s="33" t="s">
        <v>39</v>
      </c>
      <c r="J730" s="33" t="s">
        <v>40</v>
      </c>
      <c r="K730" s="33" t="s">
        <v>41</v>
      </c>
      <c r="L730" s="33"/>
    </row>
    <row r="731" spans="1:12" s="1" customFormat="1" x14ac:dyDescent="0.3">
      <c r="A731" s="33" t="s">
        <v>1506</v>
      </c>
      <c r="B731" s="33">
        <v>4430191929</v>
      </c>
      <c r="C731" s="33" t="s">
        <v>43</v>
      </c>
      <c r="D731" s="33">
        <v>4430265054</v>
      </c>
      <c r="E731" s="33">
        <v>480</v>
      </c>
      <c r="F731" s="33">
        <v>441</v>
      </c>
      <c r="G731" s="33" t="s">
        <v>38</v>
      </c>
      <c r="H731" s="33" t="s">
        <v>1507</v>
      </c>
      <c r="I731" s="33" t="s">
        <v>39</v>
      </c>
      <c r="J731" s="33" t="s">
        <v>40</v>
      </c>
      <c r="K731" s="33" t="s">
        <v>41</v>
      </c>
      <c r="L731" s="33"/>
    </row>
    <row r="732" spans="1:12" s="1" customFormat="1" x14ac:dyDescent="0.3">
      <c r="A732" s="33" t="s">
        <v>1508</v>
      </c>
      <c r="B732" s="33" t="s">
        <v>48</v>
      </c>
      <c r="C732" s="33">
        <v>4430145899</v>
      </c>
      <c r="D732" s="33"/>
      <c r="E732" s="33">
        <v>269</v>
      </c>
      <c r="F732" s="33">
        <v>261</v>
      </c>
      <c r="G732" s="33" t="s">
        <v>38</v>
      </c>
      <c r="H732" s="33" t="s">
        <v>1509</v>
      </c>
      <c r="I732" s="33" t="s">
        <v>46</v>
      </c>
      <c r="J732" s="33" t="s">
        <v>40</v>
      </c>
      <c r="K732" s="33"/>
      <c r="L732" s="33"/>
    </row>
    <row r="733" spans="1:12" s="1" customFormat="1" x14ac:dyDescent="0.3">
      <c r="A733" s="33" t="s">
        <v>1510</v>
      </c>
      <c r="B733" s="33" t="s">
        <v>48</v>
      </c>
      <c r="C733" s="33">
        <v>4430145899</v>
      </c>
      <c r="D733" s="33"/>
      <c r="E733" s="33">
        <v>6</v>
      </c>
      <c r="F733" s="33">
        <v>0</v>
      </c>
      <c r="G733" s="33" t="s">
        <v>47</v>
      </c>
      <c r="H733" s="33" t="s">
        <v>1511</v>
      </c>
      <c r="I733" s="33" t="s">
        <v>46</v>
      </c>
      <c r="J733" s="33" t="s">
        <v>40</v>
      </c>
      <c r="K733" s="33"/>
      <c r="L733" s="33"/>
    </row>
    <row r="734" spans="1:12" s="1" customFormat="1" x14ac:dyDescent="0.3">
      <c r="A734" s="33" t="s">
        <v>1512</v>
      </c>
      <c r="B734" s="33">
        <v>4430317020</v>
      </c>
      <c r="C734" s="33" t="s">
        <v>42</v>
      </c>
      <c r="D734" s="33">
        <v>4430265054</v>
      </c>
      <c r="E734" s="33">
        <v>1626</v>
      </c>
      <c r="F734" s="33">
        <v>1606</v>
      </c>
      <c r="G734" s="33" t="s">
        <v>38</v>
      </c>
      <c r="H734" s="33" t="s">
        <v>1513</v>
      </c>
      <c r="I734" s="33" t="s">
        <v>39</v>
      </c>
      <c r="J734" s="33" t="s">
        <v>40</v>
      </c>
      <c r="K734" s="33" t="s">
        <v>41</v>
      </c>
      <c r="L734" s="33"/>
    </row>
    <row r="735" spans="1:12" s="1" customFormat="1" x14ac:dyDescent="0.3">
      <c r="A735" s="33" t="s">
        <v>1514</v>
      </c>
      <c r="B735" s="33">
        <v>4430145899</v>
      </c>
      <c r="C735" s="33" t="s">
        <v>48</v>
      </c>
      <c r="D735" s="33">
        <v>4430265054</v>
      </c>
      <c r="E735" s="33">
        <v>439</v>
      </c>
      <c r="F735" s="33">
        <v>358</v>
      </c>
      <c r="G735" s="33" t="s">
        <v>38</v>
      </c>
      <c r="H735" s="33" t="s">
        <v>1515</v>
      </c>
      <c r="I735" s="33" t="s">
        <v>39</v>
      </c>
      <c r="J735" s="33" t="s">
        <v>40</v>
      </c>
      <c r="K735" s="33" t="s">
        <v>41</v>
      </c>
      <c r="L735" s="33"/>
    </row>
    <row r="736" spans="1:12" s="1" customFormat="1" x14ac:dyDescent="0.3">
      <c r="A736" s="33" t="s">
        <v>1516</v>
      </c>
      <c r="B736" s="33">
        <v>4430145151</v>
      </c>
      <c r="C736" s="33" t="s">
        <v>43</v>
      </c>
      <c r="D736" s="33">
        <v>4430265054</v>
      </c>
      <c r="E736" s="33">
        <v>403</v>
      </c>
      <c r="F736" s="33">
        <v>346</v>
      </c>
      <c r="G736" s="33" t="s">
        <v>38</v>
      </c>
      <c r="H736" s="33" t="s">
        <v>1517</v>
      </c>
      <c r="I736" s="33" t="s">
        <v>39</v>
      </c>
      <c r="J736" s="33" t="s">
        <v>40</v>
      </c>
      <c r="K736" s="33" t="s">
        <v>41</v>
      </c>
      <c r="L736" s="33"/>
    </row>
    <row r="737" spans="1:12" s="1" customFormat="1" x14ac:dyDescent="0.3">
      <c r="A737" s="33" t="s">
        <v>1518</v>
      </c>
      <c r="B737" s="33">
        <v>44991213399</v>
      </c>
      <c r="C737" s="33" t="s">
        <v>44</v>
      </c>
      <c r="D737" s="33">
        <v>4430265054</v>
      </c>
      <c r="E737" s="33">
        <v>992</v>
      </c>
      <c r="F737" s="33">
        <v>934</v>
      </c>
      <c r="G737" s="33" t="s">
        <v>38</v>
      </c>
      <c r="H737" s="33" t="s">
        <v>1519</v>
      </c>
      <c r="I737" s="33" t="s">
        <v>39</v>
      </c>
      <c r="J737" s="33" t="s">
        <v>40</v>
      </c>
      <c r="K737" s="33" t="s">
        <v>41</v>
      </c>
      <c r="L737" s="33">
        <v>5</v>
      </c>
    </row>
    <row r="738" spans="1:12" s="1" customFormat="1" x14ac:dyDescent="0.3">
      <c r="A738" s="33" t="s">
        <v>1520</v>
      </c>
      <c r="B738" s="33">
        <v>45999211357</v>
      </c>
      <c r="C738" s="33" t="s">
        <v>42</v>
      </c>
      <c r="D738" s="33">
        <v>4431268225</v>
      </c>
      <c r="E738" s="33">
        <v>1007</v>
      </c>
      <c r="F738" s="33">
        <v>922</v>
      </c>
      <c r="G738" s="33" t="s">
        <v>38</v>
      </c>
      <c r="H738" s="33" t="s">
        <v>1521</v>
      </c>
      <c r="I738" s="33" t="s">
        <v>39</v>
      </c>
      <c r="J738" s="33" t="s">
        <v>40</v>
      </c>
      <c r="K738" s="33" t="s">
        <v>41</v>
      </c>
      <c r="L738" s="33">
        <v>4</v>
      </c>
    </row>
    <row r="739" spans="1:12" s="1" customFormat="1" x14ac:dyDescent="0.3">
      <c r="A739" s="33" t="s">
        <v>1522</v>
      </c>
      <c r="B739" s="33">
        <v>81983567163</v>
      </c>
      <c r="C739" s="33" t="s">
        <v>37</v>
      </c>
      <c r="D739" s="33">
        <v>4431268225</v>
      </c>
      <c r="E739" s="33">
        <v>166</v>
      </c>
      <c r="F739" s="33">
        <v>119</v>
      </c>
      <c r="G739" s="33" t="s">
        <v>38</v>
      </c>
      <c r="H739" s="33" t="s">
        <v>1523</v>
      </c>
      <c r="I739" s="33" t="s">
        <v>39</v>
      </c>
      <c r="J739" s="33" t="s">
        <v>40</v>
      </c>
      <c r="K739" s="33" t="s">
        <v>41</v>
      </c>
      <c r="L739" s="33">
        <v>5</v>
      </c>
    </row>
    <row r="740" spans="1:12" s="1" customFormat="1" x14ac:dyDescent="0.3">
      <c r="A740" s="33" t="s">
        <v>1524</v>
      </c>
      <c r="B740" s="33" t="s">
        <v>37</v>
      </c>
      <c r="C740" s="33">
        <v>4430153305</v>
      </c>
      <c r="D740" s="33"/>
      <c r="E740" s="33">
        <v>50</v>
      </c>
      <c r="F740" s="33">
        <v>0</v>
      </c>
      <c r="G740" s="33" t="s">
        <v>47</v>
      </c>
      <c r="H740" s="33" t="s">
        <v>1525</v>
      </c>
      <c r="I740" s="33" t="s">
        <v>46</v>
      </c>
      <c r="J740" s="33" t="s">
        <v>40</v>
      </c>
      <c r="K740" s="33"/>
      <c r="L740" s="33"/>
    </row>
    <row r="741" spans="1:12" s="1" customFormat="1" x14ac:dyDescent="0.3">
      <c r="A741" s="33" t="s">
        <v>1526</v>
      </c>
      <c r="B741" s="33" t="s">
        <v>37</v>
      </c>
      <c r="C741" s="33">
        <v>4430153305</v>
      </c>
      <c r="D741" s="33"/>
      <c r="E741" s="33">
        <v>53</v>
      </c>
      <c r="F741" s="33">
        <v>0</v>
      </c>
      <c r="G741" s="33" t="s">
        <v>47</v>
      </c>
      <c r="H741" s="33" t="s">
        <v>1527</v>
      </c>
      <c r="I741" s="33" t="s">
        <v>46</v>
      </c>
      <c r="J741" s="33" t="s">
        <v>40</v>
      </c>
      <c r="K741" s="33"/>
      <c r="L741" s="33"/>
    </row>
    <row r="742" spans="1:12" s="1" customFormat="1" x14ac:dyDescent="0.3">
      <c r="A742" s="33" t="s">
        <v>1528</v>
      </c>
      <c r="B742" s="33">
        <v>4330333558</v>
      </c>
      <c r="C742" s="33" t="s">
        <v>44</v>
      </c>
      <c r="D742" s="33">
        <v>4430265054</v>
      </c>
      <c r="E742" s="33">
        <v>240</v>
      </c>
      <c r="F742" s="33">
        <v>176</v>
      </c>
      <c r="G742" s="33" t="s">
        <v>38</v>
      </c>
      <c r="H742" s="33" t="s">
        <v>1529</v>
      </c>
      <c r="I742" s="33" t="s">
        <v>39</v>
      </c>
      <c r="J742" s="33" t="s">
        <v>40</v>
      </c>
      <c r="K742" s="33" t="s">
        <v>41</v>
      </c>
      <c r="L742" s="33"/>
    </row>
    <row r="743" spans="1:12" s="1" customFormat="1" x14ac:dyDescent="0.3">
      <c r="A743" s="33" t="s">
        <v>1530</v>
      </c>
      <c r="B743" s="33">
        <v>81988293889</v>
      </c>
      <c r="C743" s="33" t="s">
        <v>44</v>
      </c>
      <c r="D743" s="33">
        <v>4431268225</v>
      </c>
      <c r="E743" s="33">
        <v>196</v>
      </c>
      <c r="F743" s="33">
        <v>160</v>
      </c>
      <c r="G743" s="33" t="s">
        <v>38</v>
      </c>
      <c r="H743" s="33" t="s">
        <v>1531</v>
      </c>
      <c r="I743" s="33" t="s">
        <v>39</v>
      </c>
      <c r="J743" s="33" t="s">
        <v>40</v>
      </c>
      <c r="K743" s="33" t="s">
        <v>41</v>
      </c>
      <c r="L743" s="33"/>
    </row>
    <row r="744" spans="1:12" s="1" customFormat="1" x14ac:dyDescent="0.3">
      <c r="A744" s="33" t="s">
        <v>1532</v>
      </c>
      <c r="B744" s="33">
        <v>4432256273</v>
      </c>
      <c r="C744" s="33" t="s">
        <v>44</v>
      </c>
      <c r="D744" s="33">
        <v>4430265054</v>
      </c>
      <c r="E744" s="33">
        <v>230</v>
      </c>
      <c r="F744" s="33">
        <v>199</v>
      </c>
      <c r="G744" s="33" t="s">
        <v>38</v>
      </c>
      <c r="H744" s="33" t="s">
        <v>1533</v>
      </c>
      <c r="I744" s="33" t="s">
        <v>39</v>
      </c>
      <c r="J744" s="33" t="s">
        <v>40</v>
      </c>
      <c r="K744" s="33" t="s">
        <v>41</v>
      </c>
      <c r="L744" s="33">
        <v>5</v>
      </c>
    </row>
    <row r="745" spans="1:12" s="1" customFormat="1" x14ac:dyDescent="0.3">
      <c r="A745" s="33" t="s">
        <v>1534</v>
      </c>
      <c r="B745" s="33">
        <v>11989293711</v>
      </c>
      <c r="C745" s="33" t="s">
        <v>43</v>
      </c>
      <c r="D745" s="33">
        <v>4430265054</v>
      </c>
      <c r="E745" s="33">
        <v>1342</v>
      </c>
      <c r="F745" s="33">
        <v>1283</v>
      </c>
      <c r="G745" s="33" t="s">
        <v>38</v>
      </c>
      <c r="H745" s="33" t="s">
        <v>1535</v>
      </c>
      <c r="I745" s="33" t="s">
        <v>39</v>
      </c>
      <c r="J745" s="33" t="s">
        <v>40</v>
      </c>
      <c r="K745" s="33" t="s">
        <v>41</v>
      </c>
      <c r="L745" s="33"/>
    </row>
    <row r="746" spans="1:12" s="1" customFormat="1" x14ac:dyDescent="0.3">
      <c r="A746" s="33" t="s">
        <v>1536</v>
      </c>
      <c r="B746" s="33" t="s">
        <v>37</v>
      </c>
      <c r="C746" s="33">
        <v>43999388040</v>
      </c>
      <c r="D746" s="33"/>
      <c r="E746" s="33">
        <v>35</v>
      </c>
      <c r="F746" s="33">
        <v>0</v>
      </c>
      <c r="G746" s="33" t="s">
        <v>47</v>
      </c>
      <c r="H746" s="33" t="s">
        <v>1537</v>
      </c>
      <c r="I746" s="33" t="s">
        <v>46</v>
      </c>
      <c r="J746" s="33" t="s">
        <v>40</v>
      </c>
      <c r="K746" s="33"/>
      <c r="L746" s="33"/>
    </row>
    <row r="747" spans="1:12" s="1" customFormat="1" x14ac:dyDescent="0.3">
      <c r="A747" s="33" t="s">
        <v>1538</v>
      </c>
      <c r="B747" s="33" t="s">
        <v>37</v>
      </c>
      <c r="C747" s="33">
        <v>43999388040</v>
      </c>
      <c r="D747" s="33"/>
      <c r="E747" s="33">
        <v>15</v>
      </c>
      <c r="F747" s="33">
        <v>0</v>
      </c>
      <c r="G747" s="33" t="s">
        <v>47</v>
      </c>
      <c r="H747" s="33" t="s">
        <v>1539</v>
      </c>
      <c r="I747" s="33" t="s">
        <v>46</v>
      </c>
      <c r="J747" s="33" t="s">
        <v>40</v>
      </c>
      <c r="K747" s="33"/>
      <c r="L747" s="33"/>
    </row>
    <row r="748" spans="1:12" s="1" customFormat="1" x14ac:dyDescent="0.3">
      <c r="A748" s="33" t="s">
        <v>1540</v>
      </c>
      <c r="B748" s="33">
        <v>4435235396</v>
      </c>
      <c r="C748" s="33" t="s">
        <v>44</v>
      </c>
      <c r="D748" s="33">
        <v>4430265054</v>
      </c>
      <c r="E748" s="33">
        <v>87</v>
      </c>
      <c r="F748" s="33">
        <v>48</v>
      </c>
      <c r="G748" s="33" t="s">
        <v>38</v>
      </c>
      <c r="H748" s="33" t="s">
        <v>1541</v>
      </c>
      <c r="I748" s="33" t="s">
        <v>39</v>
      </c>
      <c r="J748" s="33" t="s">
        <v>40</v>
      </c>
      <c r="K748" s="33" t="s">
        <v>41</v>
      </c>
      <c r="L748" s="33"/>
    </row>
    <row r="749" spans="1:12" s="1" customFormat="1" x14ac:dyDescent="0.3">
      <c r="A749" s="33" t="s">
        <v>1542</v>
      </c>
      <c r="B749" s="33" t="s">
        <v>44</v>
      </c>
      <c r="C749" s="33">
        <v>4434221675</v>
      </c>
      <c r="D749" s="33"/>
      <c r="E749" s="33">
        <v>29</v>
      </c>
      <c r="F749" s="33">
        <v>0</v>
      </c>
      <c r="G749" s="33" t="s">
        <v>47</v>
      </c>
      <c r="H749" s="33" t="s">
        <v>1543</v>
      </c>
      <c r="I749" s="33" t="s">
        <v>46</v>
      </c>
      <c r="J749" s="33" t="s">
        <v>40</v>
      </c>
      <c r="K749" s="33"/>
      <c r="L749" s="33"/>
    </row>
    <row r="750" spans="1:12" s="1" customFormat="1" x14ac:dyDescent="0.3">
      <c r="A750" s="33" t="s">
        <v>1544</v>
      </c>
      <c r="B750" s="33" t="s">
        <v>44</v>
      </c>
      <c r="C750" s="33">
        <v>4434221675</v>
      </c>
      <c r="D750" s="33"/>
      <c r="E750" s="33">
        <v>4</v>
      </c>
      <c r="F750" s="33">
        <v>0</v>
      </c>
      <c r="G750" s="33" t="s">
        <v>47</v>
      </c>
      <c r="H750" s="33" t="s">
        <v>1545</v>
      </c>
      <c r="I750" s="33" t="s">
        <v>46</v>
      </c>
      <c r="J750" s="33" t="s">
        <v>40</v>
      </c>
      <c r="K750" s="33"/>
      <c r="L750" s="33"/>
    </row>
    <row r="751" spans="1:12" s="1" customFormat="1" x14ac:dyDescent="0.3">
      <c r="A751" s="33" t="s">
        <v>1544</v>
      </c>
      <c r="B751" s="33">
        <v>4430191401</v>
      </c>
      <c r="C751" s="33" t="s">
        <v>43</v>
      </c>
      <c r="D751" s="33">
        <v>4430265054</v>
      </c>
      <c r="E751" s="33">
        <v>836</v>
      </c>
      <c r="F751" s="33">
        <v>781</v>
      </c>
      <c r="G751" s="33" t="s">
        <v>38</v>
      </c>
      <c r="H751" s="33" t="s">
        <v>1546</v>
      </c>
      <c r="I751" s="33" t="s">
        <v>39</v>
      </c>
      <c r="J751" s="33" t="s">
        <v>40</v>
      </c>
      <c r="K751" s="33" t="s">
        <v>41</v>
      </c>
      <c r="L751" s="33"/>
    </row>
    <row r="752" spans="1:12" s="1" customFormat="1" x14ac:dyDescent="0.3">
      <c r="A752" s="33" t="s">
        <v>1547</v>
      </c>
      <c r="B752" s="33" t="s">
        <v>44</v>
      </c>
      <c r="C752" s="33">
        <v>4434221675</v>
      </c>
      <c r="D752" s="33"/>
      <c r="E752" s="33">
        <v>4</v>
      </c>
      <c r="F752" s="33">
        <v>0</v>
      </c>
      <c r="G752" s="33" t="s">
        <v>47</v>
      </c>
      <c r="H752" s="33" t="s">
        <v>1548</v>
      </c>
      <c r="I752" s="33" t="s">
        <v>46</v>
      </c>
      <c r="J752" s="33" t="s">
        <v>40</v>
      </c>
      <c r="K752" s="33"/>
      <c r="L752" s="33"/>
    </row>
    <row r="753" spans="1:12" s="1" customFormat="1" x14ac:dyDescent="0.3">
      <c r="A753" s="33" t="s">
        <v>1549</v>
      </c>
      <c r="B753" s="33" t="s">
        <v>42</v>
      </c>
      <c r="C753" s="33">
        <v>44998601838</v>
      </c>
      <c r="D753" s="33"/>
      <c r="E753" s="33">
        <v>2992</v>
      </c>
      <c r="F753" s="33">
        <v>2984</v>
      </c>
      <c r="G753" s="33" t="s">
        <v>38</v>
      </c>
      <c r="H753" s="33" t="s">
        <v>1550</v>
      </c>
      <c r="I753" s="33" t="s">
        <v>46</v>
      </c>
      <c r="J753" s="33" t="s">
        <v>40</v>
      </c>
      <c r="K753" s="33"/>
      <c r="L753" s="33">
        <v>5</v>
      </c>
    </row>
    <row r="754" spans="1:12" s="1" customFormat="1" x14ac:dyDescent="0.3">
      <c r="A754" s="33" t="s">
        <v>1551</v>
      </c>
      <c r="B754" s="33" t="s">
        <v>48</v>
      </c>
      <c r="C754" s="33">
        <v>1131043888</v>
      </c>
      <c r="D754" s="33"/>
      <c r="E754" s="33">
        <v>565</v>
      </c>
      <c r="F754" s="33">
        <v>564</v>
      </c>
      <c r="G754" s="33" t="s">
        <v>38</v>
      </c>
      <c r="H754" s="33" t="s">
        <v>1552</v>
      </c>
      <c r="I754" s="33" t="s">
        <v>46</v>
      </c>
      <c r="J754" s="33" t="s">
        <v>40</v>
      </c>
      <c r="K754" s="33"/>
      <c r="L754" s="33"/>
    </row>
    <row r="755" spans="1:12" s="1" customFormat="1" x14ac:dyDescent="0.3">
      <c r="A755" s="33" t="s">
        <v>1553</v>
      </c>
      <c r="B755" s="33">
        <v>4434221675</v>
      </c>
      <c r="C755" s="33" t="s">
        <v>44</v>
      </c>
      <c r="D755" s="33">
        <v>4430265054</v>
      </c>
      <c r="E755" s="33">
        <v>861</v>
      </c>
      <c r="F755" s="33">
        <v>819</v>
      </c>
      <c r="G755" s="33" t="s">
        <v>38</v>
      </c>
      <c r="H755" s="33" t="s">
        <v>1554</v>
      </c>
      <c r="I755" s="33" t="s">
        <v>39</v>
      </c>
      <c r="J755" s="33" t="s">
        <v>40</v>
      </c>
      <c r="K755" s="33" t="s">
        <v>41</v>
      </c>
      <c r="L755" s="33"/>
    </row>
    <row r="756" spans="1:12" s="1" customFormat="1" x14ac:dyDescent="0.3">
      <c r="A756" s="33" t="s">
        <v>1555</v>
      </c>
      <c r="B756" s="33">
        <v>43999388040</v>
      </c>
      <c r="C756" s="33" t="s">
        <v>37</v>
      </c>
      <c r="D756" s="33">
        <v>4430265054</v>
      </c>
      <c r="E756" s="33">
        <v>2703</v>
      </c>
      <c r="F756" s="33">
        <v>2671</v>
      </c>
      <c r="G756" s="33" t="s">
        <v>38</v>
      </c>
      <c r="H756" s="33" t="s">
        <v>1556</v>
      </c>
      <c r="I756" s="33" t="s">
        <v>39</v>
      </c>
      <c r="J756" s="33" t="s">
        <v>40</v>
      </c>
      <c r="K756" s="33" t="s">
        <v>41</v>
      </c>
      <c r="L756" s="33"/>
    </row>
    <row r="757" spans="1:12" s="1" customFormat="1" x14ac:dyDescent="0.3">
      <c r="A757" s="33" t="s">
        <v>1557</v>
      </c>
      <c r="B757" s="33">
        <v>4430191617</v>
      </c>
      <c r="C757" s="33" t="s">
        <v>43</v>
      </c>
      <c r="D757" s="33">
        <v>4430265054</v>
      </c>
      <c r="E757" s="33">
        <v>1810</v>
      </c>
      <c r="F757" s="33">
        <v>1761</v>
      </c>
      <c r="G757" s="33" t="s">
        <v>38</v>
      </c>
      <c r="H757" s="33" t="s">
        <v>1558</v>
      </c>
      <c r="I757" s="33" t="s">
        <v>39</v>
      </c>
      <c r="J757" s="33" t="s">
        <v>40</v>
      </c>
      <c r="K757" s="33" t="s">
        <v>41</v>
      </c>
      <c r="L757" s="33"/>
    </row>
    <row r="758" spans="1:12" s="1" customFormat="1" x14ac:dyDescent="0.3">
      <c r="A758" s="33" t="s">
        <v>1559</v>
      </c>
      <c r="B758" s="33">
        <v>4439001698</v>
      </c>
      <c r="C758" s="33" t="s">
        <v>37</v>
      </c>
      <c r="D758" s="33">
        <v>4430265054</v>
      </c>
      <c r="E758" s="33">
        <v>395</v>
      </c>
      <c r="F758" s="33">
        <v>358</v>
      </c>
      <c r="G758" s="33" t="s">
        <v>38</v>
      </c>
      <c r="H758" s="33" t="s">
        <v>1560</v>
      </c>
      <c r="I758" s="33" t="s">
        <v>39</v>
      </c>
      <c r="J758" s="33" t="s">
        <v>40</v>
      </c>
      <c r="K758" s="33" t="s">
        <v>41</v>
      </c>
      <c r="L758" s="33">
        <v>5</v>
      </c>
    </row>
    <row r="759" spans="1:12" s="1" customFormat="1" x14ac:dyDescent="0.3">
      <c r="A759" s="33" t="s">
        <v>1561</v>
      </c>
      <c r="B759" s="33">
        <v>44998069950</v>
      </c>
      <c r="C759" s="33" t="s">
        <v>43</v>
      </c>
      <c r="D759" s="33">
        <v>4430265054</v>
      </c>
      <c r="E759" s="33">
        <v>222</v>
      </c>
      <c r="F759" s="33">
        <v>205</v>
      </c>
      <c r="G759" s="33" t="s">
        <v>38</v>
      </c>
      <c r="H759" s="33" t="s">
        <v>1562</v>
      </c>
      <c r="I759" s="33" t="s">
        <v>39</v>
      </c>
      <c r="J759" s="33" t="s">
        <v>40</v>
      </c>
      <c r="K759" s="33" t="s">
        <v>41</v>
      </c>
      <c r="L759" s="33"/>
    </row>
    <row r="760" spans="1:12" s="1" customFormat="1" x14ac:dyDescent="0.3">
      <c r="A760" s="33" t="s">
        <v>1563</v>
      </c>
      <c r="B760" s="33" t="s">
        <v>48</v>
      </c>
      <c r="C760" s="33">
        <v>4330261969</v>
      </c>
      <c r="D760" s="33"/>
      <c r="E760" s="33">
        <v>903</v>
      </c>
      <c r="F760" s="33">
        <v>887</v>
      </c>
      <c r="G760" s="33" t="s">
        <v>38</v>
      </c>
      <c r="H760" s="33" t="s">
        <v>1564</v>
      </c>
      <c r="I760" s="33" t="s">
        <v>46</v>
      </c>
      <c r="J760" s="33" t="s">
        <v>40</v>
      </c>
      <c r="K760" s="33"/>
      <c r="L760" s="33"/>
    </row>
    <row r="761" spans="1:12" s="1" customFormat="1" x14ac:dyDescent="0.3">
      <c r="A761" s="33" t="s">
        <v>1565</v>
      </c>
      <c r="B761" s="33">
        <v>45999211357</v>
      </c>
      <c r="C761" s="33" t="s">
        <v>43</v>
      </c>
      <c r="D761" s="33">
        <v>4431268225</v>
      </c>
      <c r="E761" s="33">
        <v>538</v>
      </c>
      <c r="F761" s="33">
        <v>517</v>
      </c>
      <c r="G761" s="33" t="s">
        <v>38</v>
      </c>
      <c r="H761" s="33" t="s">
        <v>1566</v>
      </c>
      <c r="I761" s="33" t="s">
        <v>39</v>
      </c>
      <c r="J761" s="33" t="s">
        <v>40</v>
      </c>
      <c r="K761" s="33" t="s">
        <v>41</v>
      </c>
      <c r="L761" s="33"/>
    </row>
    <row r="762" spans="1:12" s="1" customFormat="1" x14ac:dyDescent="0.3">
      <c r="A762" s="33" t="s">
        <v>1567</v>
      </c>
      <c r="B762" s="33">
        <v>44991484476</v>
      </c>
      <c r="C762" s="33" t="s">
        <v>42</v>
      </c>
      <c r="D762" s="33">
        <v>4430265054</v>
      </c>
      <c r="E762" s="33">
        <v>1388</v>
      </c>
      <c r="F762" s="33">
        <v>1365</v>
      </c>
      <c r="G762" s="33" t="s">
        <v>38</v>
      </c>
      <c r="H762" s="33" t="s">
        <v>1568</v>
      </c>
      <c r="I762" s="33" t="s">
        <v>39</v>
      </c>
      <c r="J762" s="33" t="s">
        <v>40</v>
      </c>
      <c r="K762" s="33" t="s">
        <v>41</v>
      </c>
      <c r="L762" s="33"/>
    </row>
    <row r="763" spans="1:12" s="1" customFormat="1" x14ac:dyDescent="0.3">
      <c r="A763" s="33" t="s">
        <v>1569</v>
      </c>
      <c r="B763" s="33">
        <v>44984225332</v>
      </c>
      <c r="C763" s="33" t="s">
        <v>43</v>
      </c>
      <c r="D763" s="33">
        <v>4430265054</v>
      </c>
      <c r="E763" s="33">
        <v>79</v>
      </c>
      <c r="F763" s="33">
        <v>66</v>
      </c>
      <c r="G763" s="33" t="s">
        <v>38</v>
      </c>
      <c r="H763" s="33" t="s">
        <v>1570</v>
      </c>
      <c r="I763" s="33" t="s">
        <v>39</v>
      </c>
      <c r="J763" s="33" t="s">
        <v>40</v>
      </c>
      <c r="K763" s="33" t="s">
        <v>41</v>
      </c>
      <c r="L763" s="33">
        <v>5</v>
      </c>
    </row>
    <row r="764" spans="1:12" s="1" customFormat="1" x14ac:dyDescent="0.3">
      <c r="A764" s="33" t="s">
        <v>1571</v>
      </c>
      <c r="B764" s="33" t="s">
        <v>43</v>
      </c>
      <c r="C764" s="33">
        <v>44984225332</v>
      </c>
      <c r="D764" s="33"/>
      <c r="E764" s="33">
        <v>7</v>
      </c>
      <c r="F764" s="33">
        <v>0</v>
      </c>
      <c r="G764" s="33" t="s">
        <v>47</v>
      </c>
      <c r="H764" s="33" t="s">
        <v>1572</v>
      </c>
      <c r="I764" s="33" t="s">
        <v>46</v>
      </c>
      <c r="J764" s="33" t="s">
        <v>40</v>
      </c>
      <c r="K764" s="33"/>
      <c r="L764" s="33"/>
    </row>
    <row r="765" spans="1:12" s="1" customFormat="1" x14ac:dyDescent="0.3">
      <c r="A765" s="33" t="s">
        <v>1573</v>
      </c>
      <c r="B765" s="33" t="s">
        <v>43</v>
      </c>
      <c r="C765" s="33">
        <v>44984225332</v>
      </c>
      <c r="D765" s="33"/>
      <c r="E765" s="33">
        <v>4</v>
      </c>
      <c r="F765" s="33">
        <v>0</v>
      </c>
      <c r="G765" s="33" t="s">
        <v>47</v>
      </c>
      <c r="H765" s="33" t="s">
        <v>1574</v>
      </c>
      <c r="I765" s="33" t="s">
        <v>46</v>
      </c>
      <c r="J765" s="33" t="s">
        <v>40</v>
      </c>
      <c r="K765" s="33"/>
      <c r="L765" s="33"/>
    </row>
    <row r="766" spans="1:12" s="1" customFormat="1" x14ac:dyDescent="0.3">
      <c r="A766" s="33" t="s">
        <v>1575</v>
      </c>
      <c r="B766" s="33">
        <v>44998717172</v>
      </c>
      <c r="C766" s="33" t="s">
        <v>48</v>
      </c>
      <c r="D766" s="33">
        <v>4430265054</v>
      </c>
      <c r="E766" s="33">
        <v>1208</v>
      </c>
      <c r="F766" s="33">
        <v>1178</v>
      </c>
      <c r="G766" s="33" t="s">
        <v>38</v>
      </c>
      <c r="H766" s="33" t="s">
        <v>1576</v>
      </c>
      <c r="I766" s="33" t="s">
        <v>39</v>
      </c>
      <c r="J766" s="33" t="s">
        <v>40</v>
      </c>
      <c r="K766" s="33" t="s">
        <v>41</v>
      </c>
      <c r="L766" s="33"/>
    </row>
    <row r="767" spans="1:12" s="1" customFormat="1" x14ac:dyDescent="0.3">
      <c r="A767" s="33" t="s">
        <v>1577</v>
      </c>
      <c r="B767" s="33">
        <v>11964449514</v>
      </c>
      <c r="C767" s="33" t="s">
        <v>44</v>
      </c>
      <c r="D767" s="33">
        <v>4431268225</v>
      </c>
      <c r="E767" s="33">
        <v>2453</v>
      </c>
      <c r="F767" s="33">
        <v>2332</v>
      </c>
      <c r="G767" s="33" t="s">
        <v>38</v>
      </c>
      <c r="H767" s="33" t="s">
        <v>1578</v>
      </c>
      <c r="I767" s="33" t="s">
        <v>39</v>
      </c>
      <c r="J767" s="33" t="s">
        <v>40</v>
      </c>
      <c r="K767" s="33" t="s">
        <v>41</v>
      </c>
      <c r="L767" s="33"/>
    </row>
    <row r="768" spans="1:12" s="1" customFormat="1" x14ac:dyDescent="0.3">
      <c r="A768" s="33" t="s">
        <v>1579</v>
      </c>
      <c r="B768" s="33" t="s">
        <v>37</v>
      </c>
      <c r="C768" s="33">
        <v>4436351414</v>
      </c>
      <c r="D768" s="33"/>
      <c r="E768" s="33">
        <v>1459</v>
      </c>
      <c r="F768" s="33">
        <v>1446</v>
      </c>
      <c r="G768" s="33" t="s">
        <v>38</v>
      </c>
      <c r="H768" s="33" t="s">
        <v>1580</v>
      </c>
      <c r="I768" s="33" t="s">
        <v>46</v>
      </c>
      <c r="J768" s="33" t="s">
        <v>40</v>
      </c>
      <c r="K768" s="33"/>
      <c r="L768" s="33"/>
    </row>
    <row r="769" spans="1:12" s="1" customFormat="1" x14ac:dyDescent="0.3">
      <c r="A769" s="33" t="s">
        <v>1581</v>
      </c>
      <c r="B769" s="33" t="s">
        <v>37</v>
      </c>
      <c r="C769" s="33">
        <v>44998387878</v>
      </c>
      <c r="D769" s="33"/>
      <c r="E769" s="33">
        <v>32</v>
      </c>
      <c r="F769" s="33">
        <v>0</v>
      </c>
      <c r="G769" s="33" t="s">
        <v>47</v>
      </c>
      <c r="H769" s="33" t="s">
        <v>1582</v>
      </c>
      <c r="I769" s="33" t="s">
        <v>46</v>
      </c>
      <c r="J769" s="33" t="s">
        <v>40</v>
      </c>
      <c r="K769" s="33"/>
      <c r="L769" s="33"/>
    </row>
    <row r="770" spans="1:12" s="1" customFormat="1" x14ac:dyDescent="0.3">
      <c r="A770" s="33" t="s">
        <v>1583</v>
      </c>
      <c r="B770" s="33">
        <v>44984225332</v>
      </c>
      <c r="C770" s="33" t="s">
        <v>43</v>
      </c>
      <c r="D770" s="33">
        <v>4430265054</v>
      </c>
      <c r="E770" s="33">
        <v>365</v>
      </c>
      <c r="F770" s="33">
        <v>266</v>
      </c>
      <c r="G770" s="33" t="s">
        <v>38</v>
      </c>
      <c r="H770" s="33" t="s">
        <v>1584</v>
      </c>
      <c r="I770" s="33" t="s">
        <v>39</v>
      </c>
      <c r="J770" s="33" t="s">
        <v>40</v>
      </c>
      <c r="K770" s="33" t="s">
        <v>41</v>
      </c>
      <c r="L770" s="33"/>
    </row>
    <row r="771" spans="1:12" s="1" customFormat="1" x14ac:dyDescent="0.3">
      <c r="A771" s="33" t="s">
        <v>1585</v>
      </c>
      <c r="B771" s="33">
        <v>4532541802</v>
      </c>
      <c r="C771" s="33" t="s">
        <v>44</v>
      </c>
      <c r="D771" s="33">
        <v>4430265054</v>
      </c>
      <c r="E771" s="33">
        <v>384</v>
      </c>
      <c r="F771" s="33">
        <v>313</v>
      </c>
      <c r="G771" s="33" t="s">
        <v>38</v>
      </c>
      <c r="H771" s="33" t="s">
        <v>1586</v>
      </c>
      <c r="I771" s="33" t="s">
        <v>39</v>
      </c>
      <c r="J771" s="33" t="s">
        <v>40</v>
      </c>
      <c r="K771" s="33" t="s">
        <v>41</v>
      </c>
      <c r="L771" s="33"/>
    </row>
    <row r="772" spans="1:12" s="1" customFormat="1" x14ac:dyDescent="0.3">
      <c r="A772" s="33" t="s">
        <v>1587</v>
      </c>
      <c r="B772" s="33">
        <v>4430468267</v>
      </c>
      <c r="C772" s="33" t="s">
        <v>43</v>
      </c>
      <c r="D772" s="33">
        <v>4430265054</v>
      </c>
      <c r="E772" s="33">
        <v>152</v>
      </c>
      <c r="F772" s="33">
        <v>101</v>
      </c>
      <c r="G772" s="33" t="s">
        <v>38</v>
      </c>
      <c r="H772" s="33" t="s">
        <v>1588</v>
      </c>
      <c r="I772" s="33" t="s">
        <v>39</v>
      </c>
      <c r="J772" s="33" t="s">
        <v>40</v>
      </c>
      <c r="K772" s="33" t="s">
        <v>41</v>
      </c>
      <c r="L772" s="33"/>
    </row>
    <row r="773" spans="1:12" s="1" customFormat="1" x14ac:dyDescent="0.3">
      <c r="A773" s="33" t="s">
        <v>1589</v>
      </c>
      <c r="B773" s="33">
        <v>4434212150</v>
      </c>
      <c r="C773" s="33" t="s">
        <v>37</v>
      </c>
      <c r="D773" s="33">
        <v>4430265054</v>
      </c>
      <c r="E773" s="33">
        <v>608</v>
      </c>
      <c r="F773" s="33">
        <v>506</v>
      </c>
      <c r="G773" s="33" t="s">
        <v>38</v>
      </c>
      <c r="H773" s="33" t="s">
        <v>1590</v>
      </c>
      <c r="I773" s="33" t="s">
        <v>39</v>
      </c>
      <c r="J773" s="33" t="s">
        <v>40</v>
      </c>
      <c r="K773" s="33" t="s">
        <v>41</v>
      </c>
      <c r="L773" s="33"/>
    </row>
    <row r="774" spans="1:12" s="1" customFormat="1" x14ac:dyDescent="0.3">
      <c r="A774" s="33" t="s">
        <v>1591</v>
      </c>
      <c r="B774" s="33" t="s">
        <v>42</v>
      </c>
      <c r="C774" s="33">
        <v>1639391799</v>
      </c>
      <c r="D774" s="33"/>
      <c r="E774" s="33">
        <v>49</v>
      </c>
      <c r="F774" s="33">
        <v>0</v>
      </c>
      <c r="G774" s="33" t="s">
        <v>47</v>
      </c>
      <c r="H774" s="33" t="s">
        <v>1592</v>
      </c>
      <c r="I774" s="33" t="s">
        <v>46</v>
      </c>
      <c r="J774" s="33" t="s">
        <v>40</v>
      </c>
      <c r="K774" s="33"/>
      <c r="L774" s="33"/>
    </row>
    <row r="775" spans="1:12" s="1" customFormat="1" x14ac:dyDescent="0.3">
      <c r="A775" s="33" t="s">
        <v>1593</v>
      </c>
      <c r="B775" s="33">
        <v>4334226481</v>
      </c>
      <c r="C775" s="33" t="s">
        <v>44</v>
      </c>
      <c r="D775" s="33">
        <v>4430265054</v>
      </c>
      <c r="E775" s="33">
        <v>181</v>
      </c>
      <c r="F775" s="33">
        <v>164</v>
      </c>
      <c r="G775" s="33" t="s">
        <v>38</v>
      </c>
      <c r="H775" s="33" t="s">
        <v>1594</v>
      </c>
      <c r="I775" s="33" t="s">
        <v>39</v>
      </c>
      <c r="J775" s="33" t="s">
        <v>40</v>
      </c>
      <c r="K775" s="33" t="s">
        <v>41</v>
      </c>
      <c r="L775" s="33">
        <v>5</v>
      </c>
    </row>
    <row r="776" spans="1:12" s="1" customFormat="1" x14ac:dyDescent="0.3">
      <c r="A776" s="33" t="s">
        <v>1595</v>
      </c>
      <c r="B776" s="33">
        <v>4435223408</v>
      </c>
      <c r="C776" s="33" t="s">
        <v>43</v>
      </c>
      <c r="D776" s="33">
        <v>4430265054</v>
      </c>
      <c r="E776" s="33">
        <v>260</v>
      </c>
      <c r="F776" s="33">
        <v>197</v>
      </c>
      <c r="G776" s="33" t="s">
        <v>38</v>
      </c>
      <c r="H776" s="33" t="s">
        <v>1596</v>
      </c>
      <c r="I776" s="33" t="s">
        <v>39</v>
      </c>
      <c r="J776" s="33" t="s">
        <v>40</v>
      </c>
      <c r="K776" s="33" t="s">
        <v>41</v>
      </c>
      <c r="L776" s="33">
        <v>5</v>
      </c>
    </row>
    <row r="777" spans="1:12" s="1" customFormat="1" x14ac:dyDescent="0.3">
      <c r="A777" s="33" t="s">
        <v>1597</v>
      </c>
      <c r="B777" s="33" t="s">
        <v>42</v>
      </c>
      <c r="C777" s="33">
        <v>1639391799</v>
      </c>
      <c r="D777" s="33"/>
      <c r="E777" s="33">
        <v>52</v>
      </c>
      <c r="F777" s="33">
        <v>0</v>
      </c>
      <c r="G777" s="33" t="s">
        <v>47</v>
      </c>
      <c r="H777" s="33" t="s">
        <v>1598</v>
      </c>
      <c r="I777" s="33" t="s">
        <v>46</v>
      </c>
      <c r="J777" s="33" t="s">
        <v>40</v>
      </c>
      <c r="K777" s="33"/>
      <c r="L777" s="33"/>
    </row>
    <row r="778" spans="1:12" s="1" customFormat="1" x14ac:dyDescent="0.3">
      <c r="A778" s="33" t="s">
        <v>1599</v>
      </c>
      <c r="B778" s="33" t="s">
        <v>37</v>
      </c>
      <c r="C778" s="33">
        <v>4436311970</v>
      </c>
      <c r="D778" s="33"/>
      <c r="E778" s="33">
        <v>54</v>
      </c>
      <c r="F778" s="33">
        <v>35</v>
      </c>
      <c r="G778" s="33" t="s">
        <v>38</v>
      </c>
      <c r="H778" s="33" t="s">
        <v>1600</v>
      </c>
      <c r="I778" s="33" t="s">
        <v>46</v>
      </c>
      <c r="J778" s="33" t="s">
        <v>40</v>
      </c>
      <c r="K778" s="33"/>
      <c r="L778" s="33"/>
    </row>
    <row r="779" spans="1:12" s="1" customFormat="1" x14ac:dyDescent="0.3">
      <c r="A779" s="33" t="s">
        <v>1601</v>
      </c>
      <c r="B779" s="33">
        <v>62994546858</v>
      </c>
      <c r="C779" s="33" t="s">
        <v>43</v>
      </c>
      <c r="D779" s="33">
        <v>4431268225</v>
      </c>
      <c r="E779" s="33">
        <v>121</v>
      </c>
      <c r="F779" s="33">
        <v>83</v>
      </c>
      <c r="G779" s="33" t="s">
        <v>38</v>
      </c>
      <c r="H779" s="33" t="s">
        <v>1602</v>
      </c>
      <c r="I779" s="33" t="s">
        <v>39</v>
      </c>
      <c r="J779" s="33" t="s">
        <v>40</v>
      </c>
      <c r="K779" s="33" t="s">
        <v>41</v>
      </c>
      <c r="L779" s="33"/>
    </row>
    <row r="780" spans="1:12" s="1" customFormat="1" x14ac:dyDescent="0.3">
      <c r="A780" s="33" t="s">
        <v>1603</v>
      </c>
      <c r="B780" s="33" t="s">
        <v>42</v>
      </c>
      <c r="C780" s="33">
        <v>1639391799</v>
      </c>
      <c r="D780" s="33"/>
      <c r="E780" s="33">
        <v>22</v>
      </c>
      <c r="F780" s="33">
        <v>0</v>
      </c>
      <c r="G780" s="33" t="s">
        <v>38</v>
      </c>
      <c r="H780" s="33" t="s">
        <v>1604</v>
      </c>
      <c r="I780" s="33" t="s">
        <v>46</v>
      </c>
      <c r="J780" s="33" t="s">
        <v>40</v>
      </c>
      <c r="K780" s="33"/>
      <c r="L780" s="33"/>
    </row>
    <row r="781" spans="1:12" s="1" customFormat="1" x14ac:dyDescent="0.3">
      <c r="A781" s="33" t="s">
        <v>1605</v>
      </c>
      <c r="B781" s="33">
        <v>44999680829</v>
      </c>
      <c r="C781" s="33" t="s">
        <v>37</v>
      </c>
      <c r="D781" s="33">
        <v>4431268225</v>
      </c>
      <c r="E781" s="33">
        <v>495</v>
      </c>
      <c r="F781" s="33">
        <v>433</v>
      </c>
      <c r="G781" s="33" t="s">
        <v>38</v>
      </c>
      <c r="H781" s="33" t="s">
        <v>1606</v>
      </c>
      <c r="I781" s="33" t="s">
        <v>39</v>
      </c>
      <c r="J781" s="33" t="s">
        <v>40</v>
      </c>
      <c r="K781" s="33" t="s">
        <v>41</v>
      </c>
      <c r="L781" s="33">
        <v>5</v>
      </c>
    </row>
    <row r="782" spans="1:12" s="1" customFormat="1" x14ac:dyDescent="0.3">
      <c r="A782" s="33" t="s">
        <v>1607</v>
      </c>
      <c r="B782" s="33">
        <v>1131043888</v>
      </c>
      <c r="C782" s="33" t="s">
        <v>43</v>
      </c>
      <c r="D782" s="33">
        <v>4430265054</v>
      </c>
      <c r="E782" s="33">
        <v>616</v>
      </c>
      <c r="F782" s="33">
        <v>517</v>
      </c>
      <c r="G782" s="33" t="s">
        <v>38</v>
      </c>
      <c r="H782" s="33" t="s">
        <v>1608</v>
      </c>
      <c r="I782" s="33" t="s">
        <v>39</v>
      </c>
      <c r="J782" s="33" t="s">
        <v>40</v>
      </c>
      <c r="K782" s="33" t="s">
        <v>41</v>
      </c>
      <c r="L782" s="33"/>
    </row>
    <row r="783" spans="1:12" s="1" customFormat="1" x14ac:dyDescent="0.3">
      <c r="A783" s="33" t="s">
        <v>1609</v>
      </c>
      <c r="B783" s="33" t="s">
        <v>48</v>
      </c>
      <c r="C783" s="33">
        <v>4330261969</v>
      </c>
      <c r="D783" s="33"/>
      <c r="E783" s="33">
        <v>68</v>
      </c>
      <c r="F783" s="33">
        <v>47</v>
      </c>
      <c r="G783" s="33" t="s">
        <v>38</v>
      </c>
      <c r="H783" s="33" t="s">
        <v>1610</v>
      </c>
      <c r="I783" s="33" t="s">
        <v>46</v>
      </c>
      <c r="J783" s="33" t="s">
        <v>40</v>
      </c>
      <c r="K783" s="33"/>
      <c r="L783" s="33"/>
    </row>
    <row r="784" spans="1:12" s="1" customFormat="1" x14ac:dyDescent="0.3">
      <c r="A784" s="33" t="s">
        <v>1611</v>
      </c>
      <c r="B784" s="33" t="s">
        <v>42</v>
      </c>
      <c r="C784" s="33">
        <v>1639391799</v>
      </c>
      <c r="D784" s="33"/>
      <c r="E784" s="33">
        <v>3</v>
      </c>
      <c r="F784" s="33">
        <v>0</v>
      </c>
      <c r="G784" s="33" t="s">
        <v>47</v>
      </c>
      <c r="H784" s="33" t="s">
        <v>1612</v>
      </c>
      <c r="I784" s="33" t="s">
        <v>46</v>
      </c>
      <c r="J784" s="33" t="s">
        <v>40</v>
      </c>
      <c r="K784" s="33"/>
      <c r="L784" s="33"/>
    </row>
    <row r="785" spans="1:12" s="1" customFormat="1" x14ac:dyDescent="0.3">
      <c r="A785" s="33" t="s">
        <v>1613</v>
      </c>
      <c r="B785" s="33">
        <v>4334234629</v>
      </c>
      <c r="C785" s="33" t="s">
        <v>43</v>
      </c>
      <c r="D785" s="33">
        <v>4430265054</v>
      </c>
      <c r="E785" s="33">
        <v>469</v>
      </c>
      <c r="F785" s="33">
        <v>340</v>
      </c>
      <c r="G785" s="33" t="s">
        <v>38</v>
      </c>
      <c r="H785" s="33" t="s">
        <v>1614</v>
      </c>
      <c r="I785" s="33" t="s">
        <v>39</v>
      </c>
      <c r="J785" s="33" t="s">
        <v>40</v>
      </c>
      <c r="K785" s="33" t="s">
        <v>41</v>
      </c>
      <c r="L785" s="33">
        <v>5</v>
      </c>
    </row>
    <row r="786" spans="1:12" s="1" customFormat="1" x14ac:dyDescent="0.3">
      <c r="A786" s="33" t="s">
        <v>1615</v>
      </c>
      <c r="B786" s="33">
        <v>4430141533</v>
      </c>
      <c r="C786" s="33" t="s">
        <v>44</v>
      </c>
      <c r="D786" s="33">
        <v>4430265054</v>
      </c>
      <c r="E786" s="33">
        <v>343</v>
      </c>
      <c r="F786" s="33">
        <v>223</v>
      </c>
      <c r="G786" s="33" t="s">
        <v>38</v>
      </c>
      <c r="H786" s="33" t="s">
        <v>1616</v>
      </c>
      <c r="I786" s="33" t="s">
        <v>39</v>
      </c>
      <c r="J786" s="33" t="s">
        <v>40</v>
      </c>
      <c r="K786" s="33" t="s">
        <v>41</v>
      </c>
      <c r="L786" s="33"/>
    </row>
    <row r="787" spans="1:12" s="1" customFormat="1" x14ac:dyDescent="0.3">
      <c r="A787" s="33" t="s">
        <v>1617</v>
      </c>
      <c r="B787" s="33">
        <v>1639391799</v>
      </c>
      <c r="C787" s="33" t="s">
        <v>43</v>
      </c>
      <c r="D787" s="33">
        <v>4430265054</v>
      </c>
      <c r="E787" s="33">
        <v>167</v>
      </c>
      <c r="F787" s="33">
        <v>145</v>
      </c>
      <c r="G787" s="33" t="s">
        <v>38</v>
      </c>
      <c r="H787" s="33" t="s">
        <v>1618</v>
      </c>
      <c r="I787" s="33" t="s">
        <v>39</v>
      </c>
      <c r="J787" s="33" t="s">
        <v>40</v>
      </c>
      <c r="K787" s="33" t="s">
        <v>41</v>
      </c>
      <c r="L787" s="33"/>
    </row>
    <row r="788" spans="1:12" s="1" customFormat="1" x14ac:dyDescent="0.3">
      <c r="A788" s="33" t="s">
        <v>1619</v>
      </c>
      <c r="B788" s="33">
        <v>44991116911</v>
      </c>
      <c r="C788" s="33" t="s">
        <v>42</v>
      </c>
      <c r="D788" s="33">
        <v>4430265054</v>
      </c>
      <c r="E788" s="33">
        <v>787</v>
      </c>
      <c r="F788" s="33">
        <v>760</v>
      </c>
      <c r="G788" s="33" t="s">
        <v>38</v>
      </c>
      <c r="H788" s="33" t="s">
        <v>1620</v>
      </c>
      <c r="I788" s="33" t="s">
        <v>39</v>
      </c>
      <c r="J788" s="33" t="s">
        <v>40</v>
      </c>
      <c r="K788" s="33" t="s">
        <v>41</v>
      </c>
      <c r="L788" s="33">
        <v>5</v>
      </c>
    </row>
    <row r="789" spans="1:12" s="1" customFormat="1" x14ac:dyDescent="0.3">
      <c r="A789" s="33" t="s">
        <v>1621</v>
      </c>
      <c r="B789" s="33">
        <v>93991495484</v>
      </c>
      <c r="C789" s="33" t="s">
        <v>37</v>
      </c>
      <c r="D789" s="33">
        <v>4430265054</v>
      </c>
      <c r="E789" s="33">
        <v>2156</v>
      </c>
      <c r="F789" s="33">
        <v>2091</v>
      </c>
      <c r="G789" s="33" t="s">
        <v>38</v>
      </c>
      <c r="H789" s="33" t="s">
        <v>1622</v>
      </c>
      <c r="I789" s="33" t="s">
        <v>39</v>
      </c>
      <c r="J789" s="33" t="s">
        <v>40</v>
      </c>
      <c r="K789" s="33" t="s">
        <v>41</v>
      </c>
      <c r="L789" s="33"/>
    </row>
    <row r="790" spans="1:12" s="1" customFormat="1" x14ac:dyDescent="0.3">
      <c r="A790" s="33" t="s">
        <v>1623</v>
      </c>
      <c r="B790" s="33" t="s">
        <v>48</v>
      </c>
      <c r="C790" s="33">
        <v>4436351835</v>
      </c>
      <c r="D790" s="33"/>
      <c r="E790" s="33">
        <v>4</v>
      </c>
      <c r="F790" s="33">
        <v>0</v>
      </c>
      <c r="G790" s="33" t="s">
        <v>47</v>
      </c>
      <c r="H790" s="33" t="s">
        <v>1624</v>
      </c>
      <c r="I790" s="33" t="s">
        <v>46</v>
      </c>
      <c r="J790" s="33" t="s">
        <v>40</v>
      </c>
      <c r="K790" s="33"/>
      <c r="L790" s="33"/>
    </row>
    <row r="791" spans="1:12" s="1" customFormat="1" x14ac:dyDescent="0.3">
      <c r="A791" s="33" t="s">
        <v>1625</v>
      </c>
      <c r="B791" s="33" t="s">
        <v>48</v>
      </c>
      <c r="C791" s="33">
        <v>4436351835</v>
      </c>
      <c r="D791" s="33"/>
      <c r="E791" s="33">
        <v>9</v>
      </c>
      <c r="F791" s="33">
        <v>0</v>
      </c>
      <c r="G791" s="33" t="s">
        <v>47</v>
      </c>
      <c r="H791" s="33" t="s">
        <v>1626</v>
      </c>
      <c r="I791" s="33" t="s">
        <v>46</v>
      </c>
      <c r="J791" s="33" t="s">
        <v>40</v>
      </c>
      <c r="K791" s="33"/>
      <c r="L791" s="33"/>
    </row>
    <row r="792" spans="1:12" s="1" customFormat="1" x14ac:dyDescent="0.3">
      <c r="A792" s="33" t="s">
        <v>1627</v>
      </c>
      <c r="B792" s="33" t="s">
        <v>48</v>
      </c>
      <c r="C792" s="33">
        <v>4436351835</v>
      </c>
      <c r="D792" s="33"/>
      <c r="E792" s="33">
        <v>357</v>
      </c>
      <c r="F792" s="33">
        <v>350</v>
      </c>
      <c r="G792" s="33" t="s">
        <v>38</v>
      </c>
      <c r="H792" s="33" t="s">
        <v>1628</v>
      </c>
      <c r="I792" s="33" t="s">
        <v>46</v>
      </c>
      <c r="J792" s="33" t="s">
        <v>40</v>
      </c>
      <c r="K792" s="33"/>
      <c r="L792" s="33"/>
    </row>
    <row r="793" spans="1:12" s="1" customFormat="1" x14ac:dyDescent="0.3">
      <c r="A793" s="33" t="s">
        <v>1629</v>
      </c>
      <c r="B793" s="33" t="s">
        <v>48</v>
      </c>
      <c r="C793" s="33">
        <v>4436351835</v>
      </c>
      <c r="D793" s="33"/>
      <c r="E793" s="33">
        <v>2</v>
      </c>
      <c r="F793" s="33">
        <v>0</v>
      </c>
      <c r="G793" s="33" t="s">
        <v>47</v>
      </c>
      <c r="H793" s="33" t="s">
        <v>1630</v>
      </c>
      <c r="I793" s="33" t="s">
        <v>46</v>
      </c>
      <c r="J793" s="33" t="s">
        <v>40</v>
      </c>
      <c r="K793" s="33"/>
      <c r="L793" s="33"/>
    </row>
    <row r="794" spans="1:12" s="1" customFormat="1" x14ac:dyDescent="0.3">
      <c r="A794" s="33" t="s">
        <v>1631</v>
      </c>
      <c r="B794" s="33" t="s">
        <v>48</v>
      </c>
      <c r="C794" s="33">
        <v>4436351835</v>
      </c>
      <c r="D794" s="33"/>
      <c r="E794" s="33">
        <v>7</v>
      </c>
      <c r="F794" s="33">
        <v>0</v>
      </c>
      <c r="G794" s="33" t="s">
        <v>47</v>
      </c>
      <c r="H794" s="33" t="s">
        <v>1632</v>
      </c>
      <c r="I794" s="33" t="s">
        <v>46</v>
      </c>
      <c r="J794" s="33" t="s">
        <v>40</v>
      </c>
      <c r="K794" s="33"/>
      <c r="L794" s="33"/>
    </row>
    <row r="795" spans="1:12" s="1" customFormat="1" x14ac:dyDescent="0.3">
      <c r="A795" s="33" t="s">
        <v>1633</v>
      </c>
      <c r="B795" s="33">
        <v>44999503337</v>
      </c>
      <c r="C795" s="33" t="s">
        <v>43</v>
      </c>
      <c r="D795" s="33">
        <v>4430265054</v>
      </c>
      <c r="E795" s="33">
        <v>651</v>
      </c>
      <c r="F795" s="33">
        <v>544</v>
      </c>
      <c r="G795" s="33" t="s">
        <v>38</v>
      </c>
      <c r="H795" s="33" t="s">
        <v>1634</v>
      </c>
      <c r="I795" s="33" t="s">
        <v>39</v>
      </c>
      <c r="J795" s="33" t="s">
        <v>40</v>
      </c>
      <c r="K795" s="33" t="s">
        <v>41</v>
      </c>
      <c r="L795" s="33"/>
    </row>
    <row r="796" spans="1:12" s="1" customFormat="1" x14ac:dyDescent="0.3">
      <c r="A796" s="33" t="s">
        <v>1635</v>
      </c>
      <c r="B796" s="33" t="s">
        <v>37</v>
      </c>
      <c r="C796" s="33">
        <v>93991495484</v>
      </c>
      <c r="D796" s="33"/>
      <c r="E796" s="33">
        <v>165</v>
      </c>
      <c r="F796" s="33">
        <v>155</v>
      </c>
      <c r="G796" s="33" t="s">
        <v>38</v>
      </c>
      <c r="H796" s="33" t="s">
        <v>1636</v>
      </c>
      <c r="I796" s="33" t="s">
        <v>46</v>
      </c>
      <c r="J796" s="33" t="s">
        <v>40</v>
      </c>
      <c r="K796" s="33"/>
      <c r="L796" s="33"/>
    </row>
    <row r="797" spans="1:12" s="1" customFormat="1" x14ac:dyDescent="0.3">
      <c r="A797" s="33" t="s">
        <v>1637</v>
      </c>
      <c r="B797" s="33">
        <v>41992013248</v>
      </c>
      <c r="C797" s="33" t="s">
        <v>44</v>
      </c>
      <c r="D797" s="33">
        <v>4430265054</v>
      </c>
      <c r="E797" s="33">
        <v>244</v>
      </c>
      <c r="F797" s="33">
        <v>199</v>
      </c>
      <c r="G797" s="33" t="s">
        <v>38</v>
      </c>
      <c r="H797" s="33" t="s">
        <v>1638</v>
      </c>
      <c r="I797" s="33" t="s">
        <v>39</v>
      </c>
      <c r="J797" s="33" t="s">
        <v>40</v>
      </c>
      <c r="K797" s="33" t="s">
        <v>41</v>
      </c>
      <c r="L797" s="33"/>
    </row>
    <row r="798" spans="1:12" s="1" customFormat="1" x14ac:dyDescent="0.3">
      <c r="A798" s="33" t="s">
        <v>1639</v>
      </c>
      <c r="B798" s="33">
        <v>4436291629</v>
      </c>
      <c r="C798" s="33" t="s">
        <v>43</v>
      </c>
      <c r="D798" s="33">
        <v>4430265054</v>
      </c>
      <c r="E798" s="33">
        <v>880</v>
      </c>
      <c r="F798" s="33">
        <v>836</v>
      </c>
      <c r="G798" s="33" t="s">
        <v>38</v>
      </c>
      <c r="H798" s="33" t="s">
        <v>1640</v>
      </c>
      <c r="I798" s="33" t="s">
        <v>39</v>
      </c>
      <c r="J798" s="33" t="s">
        <v>40</v>
      </c>
      <c r="K798" s="33" t="s">
        <v>41</v>
      </c>
      <c r="L798" s="33"/>
    </row>
    <row r="799" spans="1:12" s="1" customFormat="1" x14ac:dyDescent="0.3">
      <c r="A799" s="33" t="s">
        <v>1641</v>
      </c>
      <c r="B799" s="33">
        <v>1639391799</v>
      </c>
      <c r="C799" s="33" t="s">
        <v>42</v>
      </c>
      <c r="D799" s="33">
        <v>4430265054</v>
      </c>
      <c r="E799" s="33">
        <v>716</v>
      </c>
      <c r="F799" s="33">
        <v>692</v>
      </c>
      <c r="G799" s="33" t="s">
        <v>38</v>
      </c>
      <c r="H799" s="33" t="s">
        <v>1642</v>
      </c>
      <c r="I799" s="33" t="s">
        <v>39</v>
      </c>
      <c r="J799" s="33" t="s">
        <v>40</v>
      </c>
      <c r="K799" s="33" t="s">
        <v>41</v>
      </c>
      <c r="L799" s="33"/>
    </row>
    <row r="800" spans="1:12" s="1" customFormat="1" x14ac:dyDescent="0.3">
      <c r="A800" s="33" t="s">
        <v>1643</v>
      </c>
      <c r="B800" s="33" t="s">
        <v>42</v>
      </c>
      <c r="C800" s="33">
        <v>38991705057</v>
      </c>
      <c r="D800" s="33"/>
      <c r="E800" s="33">
        <v>7</v>
      </c>
      <c r="F800" s="33">
        <v>0</v>
      </c>
      <c r="G800" s="33" t="s">
        <v>47</v>
      </c>
      <c r="H800" s="33" t="s">
        <v>1644</v>
      </c>
      <c r="I800" s="33" t="s">
        <v>46</v>
      </c>
      <c r="J800" s="33" t="s">
        <v>40</v>
      </c>
      <c r="K800" s="33"/>
      <c r="L800" s="33"/>
    </row>
    <row r="801" spans="1:12" s="1" customFormat="1" x14ac:dyDescent="0.3">
      <c r="A801" s="33" t="s">
        <v>1645</v>
      </c>
      <c r="B801" s="33" t="s">
        <v>42</v>
      </c>
      <c r="C801" s="33">
        <v>38991705057</v>
      </c>
      <c r="D801" s="33"/>
      <c r="E801" s="33">
        <v>14</v>
      </c>
      <c r="F801" s="33">
        <v>0</v>
      </c>
      <c r="G801" s="33" t="s">
        <v>47</v>
      </c>
      <c r="H801" s="33" t="s">
        <v>1646</v>
      </c>
      <c r="I801" s="33" t="s">
        <v>46</v>
      </c>
      <c r="J801" s="33" t="s">
        <v>40</v>
      </c>
      <c r="K801" s="33"/>
      <c r="L801" s="33"/>
    </row>
    <row r="802" spans="1:12" s="1" customFormat="1" x14ac:dyDescent="0.3">
      <c r="A802" s="33" t="s">
        <v>1647</v>
      </c>
      <c r="B802" s="33" t="s">
        <v>48</v>
      </c>
      <c r="C802" s="33">
        <v>1131043888</v>
      </c>
      <c r="D802" s="33"/>
      <c r="E802" s="33">
        <v>208</v>
      </c>
      <c r="F802" s="33">
        <v>207</v>
      </c>
      <c r="G802" s="33" t="s">
        <v>38</v>
      </c>
      <c r="H802" s="33" t="s">
        <v>1648</v>
      </c>
      <c r="I802" s="33" t="s">
        <v>46</v>
      </c>
      <c r="J802" s="33" t="s">
        <v>40</v>
      </c>
      <c r="K802" s="33"/>
      <c r="L802" s="33"/>
    </row>
    <row r="803" spans="1:12" s="1" customFormat="1" x14ac:dyDescent="0.3">
      <c r="A803" s="33" t="s">
        <v>1649</v>
      </c>
      <c r="B803" s="33" t="s">
        <v>48</v>
      </c>
      <c r="C803" s="33">
        <v>1131043888</v>
      </c>
      <c r="D803" s="33"/>
      <c r="E803" s="33">
        <v>69</v>
      </c>
      <c r="F803" s="33">
        <v>68</v>
      </c>
      <c r="G803" s="33" t="s">
        <v>38</v>
      </c>
      <c r="H803" s="33" t="s">
        <v>1650</v>
      </c>
      <c r="I803" s="33" t="s">
        <v>46</v>
      </c>
      <c r="J803" s="33" t="s">
        <v>40</v>
      </c>
      <c r="K803" s="33"/>
      <c r="L803" s="33"/>
    </row>
    <row r="804" spans="1:12" s="1" customFormat="1" x14ac:dyDescent="0.3">
      <c r="A804" s="33" t="s">
        <v>1651</v>
      </c>
      <c r="B804" s="33" t="s">
        <v>48</v>
      </c>
      <c r="C804" s="33">
        <v>1131043888</v>
      </c>
      <c r="D804" s="33"/>
      <c r="E804" s="33">
        <v>327</v>
      </c>
      <c r="F804" s="33">
        <v>326</v>
      </c>
      <c r="G804" s="33" t="s">
        <v>38</v>
      </c>
      <c r="H804" s="33" t="s">
        <v>1652</v>
      </c>
      <c r="I804" s="33" t="s">
        <v>46</v>
      </c>
      <c r="J804" s="33" t="s">
        <v>40</v>
      </c>
      <c r="K804" s="33"/>
      <c r="L804" s="33"/>
    </row>
    <row r="805" spans="1:12" s="1" customFormat="1" x14ac:dyDescent="0.3">
      <c r="A805" s="33" t="s">
        <v>1653</v>
      </c>
      <c r="B805" s="33">
        <v>4330333542</v>
      </c>
      <c r="C805" s="33" t="s">
        <v>44</v>
      </c>
      <c r="D805" s="33">
        <v>4430265054</v>
      </c>
      <c r="E805" s="33">
        <v>250</v>
      </c>
      <c r="F805" s="33">
        <v>168</v>
      </c>
      <c r="G805" s="33" t="s">
        <v>38</v>
      </c>
      <c r="H805" s="33" t="s">
        <v>1654</v>
      </c>
      <c r="I805" s="33" t="s">
        <v>39</v>
      </c>
      <c r="J805" s="33" t="s">
        <v>40</v>
      </c>
      <c r="K805" s="33" t="s">
        <v>41</v>
      </c>
      <c r="L805" s="33"/>
    </row>
    <row r="806" spans="1:12" s="1" customFormat="1" x14ac:dyDescent="0.3">
      <c r="A806" s="33" t="s">
        <v>1655</v>
      </c>
      <c r="B806" s="33" t="s">
        <v>37</v>
      </c>
      <c r="C806" s="33">
        <v>93991495484</v>
      </c>
      <c r="D806" s="33"/>
      <c r="E806" s="33">
        <v>336</v>
      </c>
      <c r="F806" s="33">
        <v>324</v>
      </c>
      <c r="G806" s="33" t="s">
        <v>38</v>
      </c>
      <c r="H806" s="33" t="s">
        <v>1656</v>
      </c>
      <c r="I806" s="33" t="s">
        <v>46</v>
      </c>
      <c r="J806" s="33" t="s">
        <v>40</v>
      </c>
      <c r="K806" s="33"/>
      <c r="L806" s="33">
        <v>5</v>
      </c>
    </row>
    <row r="807" spans="1:12" s="1" customFormat="1" x14ac:dyDescent="0.3">
      <c r="A807" s="33" t="s">
        <v>1657</v>
      </c>
      <c r="B807" s="33">
        <v>62994086124</v>
      </c>
      <c r="C807" s="33" t="s">
        <v>42</v>
      </c>
      <c r="D807" s="33">
        <v>4430265054</v>
      </c>
      <c r="E807" s="33">
        <v>734</v>
      </c>
      <c r="F807" s="33">
        <v>608</v>
      </c>
      <c r="G807" s="33" t="s">
        <v>38</v>
      </c>
      <c r="H807" s="33" t="s">
        <v>1658</v>
      </c>
      <c r="I807" s="33" t="s">
        <v>39</v>
      </c>
      <c r="J807" s="33" t="s">
        <v>40</v>
      </c>
      <c r="K807" s="33" t="s">
        <v>41</v>
      </c>
      <c r="L807" s="33"/>
    </row>
    <row r="808" spans="1:12" s="1" customFormat="1" x14ac:dyDescent="0.3">
      <c r="A808" s="33" t="s">
        <v>1659</v>
      </c>
      <c r="B808" s="33" t="s">
        <v>37</v>
      </c>
      <c r="C808" s="33">
        <v>44988113052</v>
      </c>
      <c r="D808" s="33"/>
      <c r="E808" s="33">
        <v>68</v>
      </c>
      <c r="F808" s="33">
        <v>28</v>
      </c>
      <c r="G808" s="33" t="s">
        <v>38</v>
      </c>
      <c r="H808" s="33" t="s">
        <v>1660</v>
      </c>
      <c r="I808" s="33" t="s">
        <v>46</v>
      </c>
      <c r="J808" s="33" t="s">
        <v>40</v>
      </c>
      <c r="K808" s="33"/>
      <c r="L808" s="33"/>
    </row>
    <row r="809" spans="1:12" s="1" customFormat="1" x14ac:dyDescent="0.3">
      <c r="A809" s="33" t="s">
        <v>1661</v>
      </c>
      <c r="B809" s="33">
        <v>4432520077</v>
      </c>
      <c r="C809" s="33" t="s">
        <v>42</v>
      </c>
      <c r="D809" s="33">
        <v>4430265054</v>
      </c>
      <c r="E809" s="33">
        <v>485</v>
      </c>
      <c r="F809" s="33">
        <v>452</v>
      </c>
      <c r="G809" s="33" t="s">
        <v>38</v>
      </c>
      <c r="H809" s="33" t="s">
        <v>1662</v>
      </c>
      <c r="I809" s="33" t="s">
        <v>39</v>
      </c>
      <c r="J809" s="33" t="s">
        <v>40</v>
      </c>
      <c r="K809" s="33" t="s">
        <v>41</v>
      </c>
      <c r="L809" s="33">
        <v>5</v>
      </c>
    </row>
    <row r="810" spans="1:12" s="1" customFormat="1" x14ac:dyDescent="0.3">
      <c r="A810" s="33" t="s">
        <v>1663</v>
      </c>
      <c r="B810" s="33">
        <v>44991381017</v>
      </c>
      <c r="C810" s="33" t="s">
        <v>43</v>
      </c>
      <c r="D810" s="33">
        <v>4430265054</v>
      </c>
      <c r="E810" s="33">
        <v>1540</v>
      </c>
      <c r="F810" s="33">
        <v>1468</v>
      </c>
      <c r="G810" s="33" t="s">
        <v>38</v>
      </c>
      <c r="H810" s="33" t="s">
        <v>1664</v>
      </c>
      <c r="I810" s="33" t="s">
        <v>39</v>
      </c>
      <c r="J810" s="33" t="s">
        <v>40</v>
      </c>
      <c r="K810" s="33" t="s">
        <v>41</v>
      </c>
      <c r="L810" s="33">
        <v>5</v>
      </c>
    </row>
    <row r="811" spans="1:12" s="1" customFormat="1" x14ac:dyDescent="0.3">
      <c r="A811" s="33" t="s">
        <v>1665</v>
      </c>
      <c r="B811" s="33">
        <v>15997113760</v>
      </c>
      <c r="C811" s="33" t="s">
        <v>37</v>
      </c>
      <c r="D811" s="33">
        <v>4431268225</v>
      </c>
      <c r="E811" s="33">
        <v>196</v>
      </c>
      <c r="F811" s="33">
        <v>161</v>
      </c>
      <c r="G811" s="33" t="s">
        <v>38</v>
      </c>
      <c r="H811" s="33" t="s">
        <v>1666</v>
      </c>
      <c r="I811" s="33" t="s">
        <v>39</v>
      </c>
      <c r="J811" s="33" t="s">
        <v>40</v>
      </c>
      <c r="K811" s="33" t="s">
        <v>41</v>
      </c>
      <c r="L811" s="33"/>
    </row>
    <row r="812" spans="1:12" s="1" customFormat="1" x14ac:dyDescent="0.3">
      <c r="A812" s="33" t="s">
        <v>1667</v>
      </c>
      <c r="B812" s="33">
        <v>4434531529</v>
      </c>
      <c r="C812" s="33" t="s">
        <v>43</v>
      </c>
      <c r="D812" s="33">
        <v>4430265054</v>
      </c>
      <c r="E812" s="33">
        <v>383</v>
      </c>
      <c r="F812" s="33">
        <v>322</v>
      </c>
      <c r="G812" s="33" t="s">
        <v>38</v>
      </c>
      <c r="H812" s="33" t="s">
        <v>1668</v>
      </c>
      <c r="I812" s="33" t="s">
        <v>39</v>
      </c>
      <c r="J812" s="33" t="s">
        <v>40</v>
      </c>
      <c r="K812" s="33" t="s">
        <v>41</v>
      </c>
      <c r="L812" s="33">
        <v>5</v>
      </c>
    </row>
    <row r="813" spans="1:12" s="1" customFormat="1" x14ac:dyDescent="0.3">
      <c r="A813" s="33" t="s">
        <v>1669</v>
      </c>
      <c r="B813" s="33">
        <v>62981535978</v>
      </c>
      <c r="C813" s="33" t="s">
        <v>44</v>
      </c>
      <c r="D813" s="33">
        <v>4430265054</v>
      </c>
      <c r="E813" s="33">
        <v>1506</v>
      </c>
      <c r="F813" s="33">
        <v>1435</v>
      </c>
      <c r="G813" s="33" t="s">
        <v>38</v>
      </c>
      <c r="H813" s="33" t="s">
        <v>1670</v>
      </c>
      <c r="I813" s="33" t="s">
        <v>39</v>
      </c>
      <c r="J813" s="33" t="s">
        <v>40</v>
      </c>
      <c r="K813" s="33" t="s">
        <v>41</v>
      </c>
      <c r="L813" s="33">
        <v>5</v>
      </c>
    </row>
    <row r="814" spans="1:12" s="1" customFormat="1" x14ac:dyDescent="0.3">
      <c r="A814" s="33" t="s">
        <v>1671</v>
      </c>
      <c r="B814" s="33" t="s">
        <v>37</v>
      </c>
      <c r="C814" s="33">
        <v>15997113760</v>
      </c>
      <c r="D814" s="33"/>
      <c r="E814" s="33">
        <v>449</v>
      </c>
      <c r="F814" s="33">
        <v>435</v>
      </c>
      <c r="G814" s="33" t="s">
        <v>38</v>
      </c>
      <c r="H814" s="33" t="s">
        <v>1672</v>
      </c>
      <c r="I814" s="33" t="s">
        <v>46</v>
      </c>
      <c r="J814" s="33" t="s">
        <v>40</v>
      </c>
      <c r="K814" s="33"/>
      <c r="L814" s="33"/>
    </row>
    <row r="815" spans="1:12" s="1" customFormat="1" x14ac:dyDescent="0.3">
      <c r="A815" s="33" t="s">
        <v>1673</v>
      </c>
      <c r="B815" s="33">
        <v>15997113760</v>
      </c>
      <c r="C815" s="33" t="s">
        <v>37</v>
      </c>
      <c r="D815" s="33">
        <v>4431268225</v>
      </c>
      <c r="E815" s="33">
        <v>35</v>
      </c>
      <c r="F815" s="33">
        <v>2</v>
      </c>
      <c r="G815" s="33" t="s">
        <v>38</v>
      </c>
      <c r="H815" s="33" t="s">
        <v>1674</v>
      </c>
      <c r="I815" s="33" t="s">
        <v>39</v>
      </c>
      <c r="J815" s="33" t="s">
        <v>40</v>
      </c>
      <c r="K815" s="33" t="s">
        <v>41</v>
      </c>
      <c r="L815" s="33"/>
    </row>
    <row r="816" spans="1:12" s="1" customFormat="1" x14ac:dyDescent="0.3">
      <c r="A816" s="33" t="s">
        <v>1675</v>
      </c>
      <c r="B816" s="33" t="s">
        <v>37</v>
      </c>
      <c r="C816" s="33">
        <v>15997113760</v>
      </c>
      <c r="D816" s="33"/>
      <c r="E816" s="33">
        <v>22</v>
      </c>
      <c r="F816" s="33">
        <v>14</v>
      </c>
      <c r="G816" s="33" t="s">
        <v>38</v>
      </c>
      <c r="H816" s="33" t="s">
        <v>1676</v>
      </c>
      <c r="I816" s="33" t="s">
        <v>46</v>
      </c>
      <c r="J816" s="33" t="s">
        <v>40</v>
      </c>
      <c r="K816" s="33"/>
      <c r="L816" s="33"/>
    </row>
    <row r="817" spans="1:12" s="1" customFormat="1" x14ac:dyDescent="0.3">
      <c r="A817" s="33" t="s">
        <v>1677</v>
      </c>
      <c r="B817" s="33" t="s">
        <v>37</v>
      </c>
      <c r="C817" s="33">
        <v>15997113760</v>
      </c>
      <c r="D817" s="33"/>
      <c r="E817" s="33">
        <v>8</v>
      </c>
      <c r="F817" s="33">
        <v>0</v>
      </c>
      <c r="G817" s="33" t="s">
        <v>47</v>
      </c>
      <c r="H817" s="33" t="s">
        <v>1678</v>
      </c>
      <c r="I817" s="33" t="s">
        <v>46</v>
      </c>
      <c r="J817" s="33" t="s">
        <v>40</v>
      </c>
      <c r="K817" s="33"/>
      <c r="L817" s="33"/>
    </row>
    <row r="818" spans="1:12" s="1" customFormat="1" x14ac:dyDescent="0.3">
      <c r="A818" s="33" t="s">
        <v>1679</v>
      </c>
      <c r="B818" s="33">
        <v>4432524652</v>
      </c>
      <c r="C818" s="33" t="s">
        <v>43</v>
      </c>
      <c r="D818" s="33">
        <v>4430265054</v>
      </c>
      <c r="E818" s="33">
        <v>49</v>
      </c>
      <c r="F818" s="33">
        <v>2</v>
      </c>
      <c r="G818" s="33" t="s">
        <v>38</v>
      </c>
      <c r="H818" s="33" t="s">
        <v>1680</v>
      </c>
      <c r="I818" s="33" t="s">
        <v>39</v>
      </c>
      <c r="J818" s="33" t="s">
        <v>40</v>
      </c>
      <c r="K818" s="33" t="s">
        <v>41</v>
      </c>
      <c r="L818" s="33"/>
    </row>
    <row r="819" spans="1:12" s="1" customFormat="1" x14ac:dyDescent="0.3">
      <c r="A819" s="33" t="s">
        <v>1681</v>
      </c>
      <c r="B819" s="33">
        <v>4430191401</v>
      </c>
      <c r="C819" s="33" t="s">
        <v>42</v>
      </c>
      <c r="D819" s="33">
        <v>4430265054</v>
      </c>
      <c r="E819" s="33">
        <v>1340</v>
      </c>
      <c r="F819" s="33">
        <v>1265</v>
      </c>
      <c r="G819" s="33" t="s">
        <v>38</v>
      </c>
      <c r="H819" s="33" t="s">
        <v>1682</v>
      </c>
      <c r="I819" s="33" t="s">
        <v>39</v>
      </c>
      <c r="J819" s="33" t="s">
        <v>40</v>
      </c>
      <c r="K819" s="33" t="s">
        <v>41</v>
      </c>
      <c r="L819" s="33"/>
    </row>
    <row r="820" spans="1:12" s="1" customFormat="1" x14ac:dyDescent="0.3">
      <c r="A820" s="33" t="s">
        <v>1683</v>
      </c>
      <c r="B820" s="33">
        <v>4532541802</v>
      </c>
      <c r="C820" s="33" t="s">
        <v>48</v>
      </c>
      <c r="D820" s="33">
        <v>4430265054</v>
      </c>
      <c r="E820" s="33">
        <v>125</v>
      </c>
      <c r="F820" s="33">
        <v>125</v>
      </c>
      <c r="G820" s="33" t="s">
        <v>38</v>
      </c>
      <c r="H820" s="33" t="s">
        <v>1684</v>
      </c>
      <c r="I820" s="33" t="s">
        <v>39</v>
      </c>
      <c r="J820" s="33" t="s">
        <v>40</v>
      </c>
      <c r="K820" s="33" t="s">
        <v>41</v>
      </c>
      <c r="L820" s="33"/>
    </row>
    <row r="821" spans="1:12" s="1" customFormat="1" x14ac:dyDescent="0.3">
      <c r="A821" s="33" t="s">
        <v>1685</v>
      </c>
      <c r="B821" s="33">
        <v>44999670264</v>
      </c>
      <c r="C821" s="33" t="s">
        <v>42</v>
      </c>
      <c r="D821" s="33">
        <v>4430265054</v>
      </c>
      <c r="E821" s="33">
        <v>680</v>
      </c>
      <c r="F821" s="33">
        <v>581</v>
      </c>
      <c r="G821" s="33" t="s">
        <v>38</v>
      </c>
      <c r="H821" s="33" t="s">
        <v>1686</v>
      </c>
      <c r="I821" s="33" t="s">
        <v>39</v>
      </c>
      <c r="J821" s="33" t="s">
        <v>40</v>
      </c>
      <c r="K821" s="33" t="s">
        <v>41</v>
      </c>
      <c r="L821" s="33">
        <v>5</v>
      </c>
    </row>
    <row r="822" spans="1:12" s="1" customFormat="1" x14ac:dyDescent="0.3">
      <c r="A822" s="33" t="s">
        <v>1687</v>
      </c>
      <c r="B822" s="33">
        <v>4430289492</v>
      </c>
      <c r="C822" s="33" t="s">
        <v>44</v>
      </c>
      <c r="D822" s="33">
        <v>4430265054</v>
      </c>
      <c r="E822" s="33">
        <v>537</v>
      </c>
      <c r="F822" s="33">
        <v>461</v>
      </c>
      <c r="G822" s="33" t="s">
        <v>38</v>
      </c>
      <c r="H822" s="33" t="s">
        <v>1688</v>
      </c>
      <c r="I822" s="33" t="s">
        <v>39</v>
      </c>
      <c r="J822" s="33" t="s">
        <v>40</v>
      </c>
      <c r="K822" s="33" t="s">
        <v>41</v>
      </c>
      <c r="L822" s="33"/>
    </row>
    <row r="823" spans="1:12" s="1" customFormat="1" x14ac:dyDescent="0.3">
      <c r="A823" s="33" t="s">
        <v>1689</v>
      </c>
      <c r="B823" s="33">
        <v>44999550006</v>
      </c>
      <c r="C823" s="33" t="s">
        <v>43</v>
      </c>
      <c r="D823" s="33">
        <v>4430265054</v>
      </c>
      <c r="E823" s="33">
        <v>1171</v>
      </c>
      <c r="F823" s="33">
        <v>1131</v>
      </c>
      <c r="G823" s="33" t="s">
        <v>38</v>
      </c>
      <c r="H823" s="33" t="s">
        <v>1690</v>
      </c>
      <c r="I823" s="33" t="s">
        <v>39</v>
      </c>
      <c r="J823" s="33" t="s">
        <v>40</v>
      </c>
      <c r="K823" s="33" t="s">
        <v>41</v>
      </c>
      <c r="L823" s="33"/>
    </row>
    <row r="824" spans="1:12" s="1" customFormat="1" x14ac:dyDescent="0.3">
      <c r="A824" s="33" t="s">
        <v>1691</v>
      </c>
      <c r="B824" s="33" t="s">
        <v>37</v>
      </c>
      <c r="C824" s="33">
        <v>44998387879</v>
      </c>
      <c r="D824" s="33"/>
      <c r="E824" s="33">
        <v>29</v>
      </c>
      <c r="F824" s="33">
        <v>0</v>
      </c>
      <c r="G824" s="33" t="s">
        <v>47</v>
      </c>
      <c r="H824" s="33" t="s">
        <v>1692</v>
      </c>
      <c r="I824" s="33" t="s">
        <v>46</v>
      </c>
      <c r="J824" s="33" t="s">
        <v>40</v>
      </c>
      <c r="K824" s="33"/>
      <c r="L824" s="33"/>
    </row>
    <row r="825" spans="1:12" s="1" customFormat="1" x14ac:dyDescent="0.3">
      <c r="A825" s="33" t="s">
        <v>1693</v>
      </c>
      <c r="B825" s="33" t="s">
        <v>37</v>
      </c>
      <c r="C825" s="33">
        <v>4436351414</v>
      </c>
      <c r="D825" s="33"/>
      <c r="E825" s="33">
        <v>32</v>
      </c>
      <c r="F825" s="33">
        <v>0</v>
      </c>
      <c r="G825" s="33" t="s">
        <v>47</v>
      </c>
      <c r="H825" s="33" t="s">
        <v>1694</v>
      </c>
      <c r="I825" s="33" t="s">
        <v>46</v>
      </c>
      <c r="J825" s="33" t="s">
        <v>40</v>
      </c>
      <c r="K825" s="33"/>
      <c r="L825" s="33"/>
    </row>
    <row r="826" spans="1:12" s="1" customFormat="1" x14ac:dyDescent="0.3">
      <c r="A826" s="33" t="s">
        <v>1695</v>
      </c>
      <c r="B826" s="33" t="s">
        <v>37</v>
      </c>
      <c r="C826" s="33">
        <v>4436351414</v>
      </c>
      <c r="D826" s="33"/>
      <c r="E826" s="33">
        <v>4</v>
      </c>
      <c r="F826" s="33">
        <v>0</v>
      </c>
      <c r="G826" s="33" t="s">
        <v>47</v>
      </c>
      <c r="H826" s="33" t="s">
        <v>1696</v>
      </c>
      <c r="I826" s="33" t="s">
        <v>46</v>
      </c>
      <c r="J826" s="33" t="s">
        <v>40</v>
      </c>
      <c r="K826" s="33"/>
      <c r="L826" s="33"/>
    </row>
    <row r="827" spans="1:12" s="1" customFormat="1" x14ac:dyDescent="0.3">
      <c r="A827" s="33" t="s">
        <v>1697</v>
      </c>
      <c r="B827" s="33" t="s">
        <v>37</v>
      </c>
      <c r="C827" s="33">
        <v>44998387878</v>
      </c>
      <c r="D827" s="33"/>
      <c r="E827" s="33">
        <v>36</v>
      </c>
      <c r="F827" s="33">
        <v>0</v>
      </c>
      <c r="G827" s="33" t="s">
        <v>47</v>
      </c>
      <c r="H827" s="33" t="s">
        <v>1698</v>
      </c>
      <c r="I827" s="33" t="s">
        <v>46</v>
      </c>
      <c r="J827" s="33" t="s">
        <v>40</v>
      </c>
      <c r="K827" s="33"/>
      <c r="L827" s="33"/>
    </row>
    <row r="828" spans="1:12" s="1" customFormat="1" x14ac:dyDescent="0.3">
      <c r="A828" s="33" t="s">
        <v>1699</v>
      </c>
      <c r="B828" s="33">
        <v>4430288517</v>
      </c>
      <c r="C828" s="33" t="s">
        <v>48</v>
      </c>
      <c r="D828" s="33">
        <v>4430265054</v>
      </c>
      <c r="E828" s="33">
        <v>1276</v>
      </c>
      <c r="F828" s="33">
        <v>1275</v>
      </c>
      <c r="G828" s="33" t="s">
        <v>38</v>
      </c>
      <c r="H828" s="33" t="s">
        <v>1700</v>
      </c>
      <c r="I828" s="33" t="s">
        <v>39</v>
      </c>
      <c r="J828" s="33" t="s">
        <v>40</v>
      </c>
      <c r="K828" s="33" t="s">
        <v>41</v>
      </c>
      <c r="L828" s="33"/>
    </row>
    <row r="829" spans="1:12" s="1" customFormat="1" x14ac:dyDescent="0.3">
      <c r="A829" s="33" t="s">
        <v>1701</v>
      </c>
      <c r="B829" s="33">
        <v>81983567163</v>
      </c>
      <c r="C829" s="33" t="s">
        <v>43</v>
      </c>
      <c r="D829" s="33">
        <v>4431268225</v>
      </c>
      <c r="E829" s="33">
        <v>475</v>
      </c>
      <c r="F829" s="33">
        <v>463</v>
      </c>
      <c r="G829" s="33" t="s">
        <v>38</v>
      </c>
      <c r="H829" s="33" t="s">
        <v>1702</v>
      </c>
      <c r="I829" s="33" t="s">
        <v>39</v>
      </c>
      <c r="J829" s="33" t="s">
        <v>40</v>
      </c>
      <c r="K829" s="33" t="s">
        <v>41</v>
      </c>
      <c r="L829" s="33">
        <v>5</v>
      </c>
    </row>
    <row r="830" spans="1:12" s="1" customFormat="1" x14ac:dyDescent="0.3">
      <c r="A830" s="33" t="s">
        <v>1703</v>
      </c>
      <c r="B830" s="33">
        <v>44997735525</v>
      </c>
      <c r="C830" s="33" t="s">
        <v>37</v>
      </c>
      <c r="D830" s="33">
        <v>4430265054</v>
      </c>
      <c r="E830" s="33">
        <v>1029</v>
      </c>
      <c r="F830" s="33">
        <v>957</v>
      </c>
      <c r="G830" s="33" t="s">
        <v>38</v>
      </c>
      <c r="H830" s="33" t="s">
        <v>1704</v>
      </c>
      <c r="I830" s="33" t="s">
        <v>39</v>
      </c>
      <c r="J830" s="33" t="s">
        <v>40</v>
      </c>
      <c r="K830" s="33" t="s">
        <v>41</v>
      </c>
      <c r="L830" s="33">
        <v>5</v>
      </c>
    </row>
    <row r="831" spans="1:12" s="1" customFormat="1" x14ac:dyDescent="0.3">
      <c r="A831" s="33" t="s">
        <v>1705</v>
      </c>
      <c r="B831" s="33" t="s">
        <v>49</v>
      </c>
      <c r="C831" s="33">
        <v>11991409772</v>
      </c>
      <c r="D831" s="33"/>
      <c r="E831" s="33">
        <v>41</v>
      </c>
      <c r="F831" s="33">
        <v>2</v>
      </c>
      <c r="G831" s="33" t="s">
        <v>38</v>
      </c>
      <c r="H831" s="33" t="s">
        <v>1706</v>
      </c>
      <c r="I831" s="33" t="s">
        <v>46</v>
      </c>
      <c r="J831" s="33" t="s">
        <v>40</v>
      </c>
      <c r="K831" s="33"/>
      <c r="L831" s="33"/>
    </row>
    <row r="832" spans="1:12" s="1" customFormat="1" x14ac:dyDescent="0.3">
      <c r="A832" s="33" t="s">
        <v>1707</v>
      </c>
      <c r="B832" s="33" t="s">
        <v>49</v>
      </c>
      <c r="C832" s="33">
        <v>11997719878</v>
      </c>
      <c r="D832" s="33"/>
      <c r="E832" s="33">
        <v>3</v>
      </c>
      <c r="F832" s="33">
        <v>0</v>
      </c>
      <c r="G832" s="33" t="s">
        <v>47</v>
      </c>
      <c r="H832" s="33" t="s">
        <v>1708</v>
      </c>
      <c r="I832" s="33" t="s">
        <v>46</v>
      </c>
      <c r="J832" s="33" t="s">
        <v>40</v>
      </c>
      <c r="K832" s="33"/>
      <c r="L832" s="33"/>
    </row>
    <row r="833" spans="1:12" s="1" customFormat="1" x14ac:dyDescent="0.3">
      <c r="A833" s="33" t="s">
        <v>1709</v>
      </c>
      <c r="B833" s="33">
        <v>1131043888</v>
      </c>
      <c r="C833" s="33" t="s">
        <v>42</v>
      </c>
      <c r="D833" s="33">
        <v>4430265054</v>
      </c>
      <c r="E833" s="33">
        <v>1566</v>
      </c>
      <c r="F833" s="33">
        <v>1419</v>
      </c>
      <c r="G833" s="33" t="s">
        <v>38</v>
      </c>
      <c r="H833" s="33" t="s">
        <v>1710</v>
      </c>
      <c r="I833" s="33" t="s">
        <v>39</v>
      </c>
      <c r="J833" s="33" t="s">
        <v>40</v>
      </c>
      <c r="K833" s="33" t="s">
        <v>41</v>
      </c>
      <c r="L833" s="33"/>
    </row>
    <row r="834" spans="1:12" s="1" customFormat="1" x14ac:dyDescent="0.3">
      <c r="A834" s="33" t="s">
        <v>1711</v>
      </c>
      <c r="B834" s="33">
        <v>44998068281</v>
      </c>
      <c r="C834" s="33" t="s">
        <v>44</v>
      </c>
      <c r="D834" s="33">
        <v>4430265054</v>
      </c>
      <c r="E834" s="33">
        <v>862</v>
      </c>
      <c r="F834" s="33">
        <v>774</v>
      </c>
      <c r="G834" s="33" t="s">
        <v>38</v>
      </c>
      <c r="H834" s="33" t="s">
        <v>1712</v>
      </c>
      <c r="I834" s="33" t="s">
        <v>39</v>
      </c>
      <c r="J834" s="33" t="s">
        <v>40</v>
      </c>
      <c r="K834" s="33" t="s">
        <v>41</v>
      </c>
      <c r="L834" s="33">
        <v>5</v>
      </c>
    </row>
    <row r="835" spans="1:12" s="1" customFormat="1" x14ac:dyDescent="0.3">
      <c r="A835" s="33" t="s">
        <v>1713</v>
      </c>
      <c r="B835" s="33">
        <v>4432268889</v>
      </c>
      <c r="C835" s="33" t="s">
        <v>43</v>
      </c>
      <c r="D835" s="33">
        <v>4430265054</v>
      </c>
      <c r="E835" s="33">
        <v>638</v>
      </c>
      <c r="F835" s="33">
        <v>576</v>
      </c>
      <c r="G835" s="33" t="s">
        <v>38</v>
      </c>
      <c r="H835" s="33" t="s">
        <v>1714</v>
      </c>
      <c r="I835" s="33" t="s">
        <v>39</v>
      </c>
      <c r="J835" s="33" t="s">
        <v>40</v>
      </c>
      <c r="K835" s="33" t="s">
        <v>41</v>
      </c>
      <c r="L835" s="33">
        <v>5</v>
      </c>
    </row>
    <row r="836" spans="1:12" s="1" customFormat="1" x14ac:dyDescent="0.3">
      <c r="A836" s="33" t="s">
        <v>1715</v>
      </c>
      <c r="B836" s="33">
        <v>91985176746</v>
      </c>
      <c r="C836" s="33" t="s">
        <v>42</v>
      </c>
      <c r="D836" s="33">
        <v>4430265054</v>
      </c>
      <c r="E836" s="33">
        <v>207</v>
      </c>
      <c r="F836" s="33">
        <v>165</v>
      </c>
      <c r="G836" s="33" t="s">
        <v>38</v>
      </c>
      <c r="H836" s="33" t="s">
        <v>1716</v>
      </c>
      <c r="I836" s="33" t="s">
        <v>39</v>
      </c>
      <c r="J836" s="33" t="s">
        <v>40</v>
      </c>
      <c r="K836" s="33" t="s">
        <v>41</v>
      </c>
      <c r="L836" s="33">
        <v>5</v>
      </c>
    </row>
    <row r="837" spans="1:12" s="1" customFormat="1" x14ac:dyDescent="0.3">
      <c r="A837" s="33" t="s">
        <v>1717</v>
      </c>
      <c r="B837" s="33">
        <v>11964449514</v>
      </c>
      <c r="C837" s="33" t="s">
        <v>37</v>
      </c>
      <c r="D837" s="33">
        <v>4431268225</v>
      </c>
      <c r="E837" s="33">
        <v>1368</v>
      </c>
      <c r="F837" s="33">
        <v>1303</v>
      </c>
      <c r="G837" s="33" t="s">
        <v>38</v>
      </c>
      <c r="H837" s="33" t="s">
        <v>1718</v>
      </c>
      <c r="I837" s="33" t="s">
        <v>39</v>
      </c>
      <c r="J837" s="33" t="s">
        <v>40</v>
      </c>
      <c r="K837" s="33" t="s">
        <v>41</v>
      </c>
      <c r="L837" s="33">
        <v>5</v>
      </c>
    </row>
    <row r="838" spans="1:12" s="1" customFormat="1" x14ac:dyDescent="0.3">
      <c r="A838" s="33" t="s">
        <v>1719</v>
      </c>
      <c r="B838" s="33">
        <v>44997343311</v>
      </c>
      <c r="C838" s="33" t="s">
        <v>43</v>
      </c>
      <c r="D838" s="33">
        <v>4430265054</v>
      </c>
      <c r="E838" s="33">
        <v>552</v>
      </c>
      <c r="F838" s="33">
        <v>508</v>
      </c>
      <c r="G838" s="33" t="s">
        <v>38</v>
      </c>
      <c r="H838" s="33" t="s">
        <v>1720</v>
      </c>
      <c r="I838" s="33" t="s">
        <v>39</v>
      </c>
      <c r="J838" s="33" t="s">
        <v>40</v>
      </c>
      <c r="K838" s="33" t="s">
        <v>41</v>
      </c>
      <c r="L838" s="33"/>
    </row>
    <row r="839" spans="1:12" s="1" customFormat="1" x14ac:dyDescent="0.3">
      <c r="A839" s="33" t="s">
        <v>1721</v>
      </c>
      <c r="B839" s="33">
        <v>4334234629</v>
      </c>
      <c r="C839" s="33" t="s">
        <v>48</v>
      </c>
      <c r="D839" s="33">
        <v>4430265054</v>
      </c>
      <c r="E839" s="33">
        <v>323</v>
      </c>
      <c r="F839" s="33">
        <v>292</v>
      </c>
      <c r="G839" s="33" t="s">
        <v>38</v>
      </c>
      <c r="H839" s="33" t="s">
        <v>1722</v>
      </c>
      <c r="I839" s="33" t="s">
        <v>39</v>
      </c>
      <c r="J839" s="33" t="s">
        <v>40</v>
      </c>
      <c r="K839" s="33" t="s">
        <v>41</v>
      </c>
      <c r="L839" s="33"/>
    </row>
    <row r="840" spans="1:12" s="1" customFormat="1" x14ac:dyDescent="0.3">
      <c r="A840" s="33" t="s">
        <v>1723</v>
      </c>
      <c r="B840" s="33">
        <v>93991495484</v>
      </c>
      <c r="C840" s="33" t="s">
        <v>44</v>
      </c>
      <c r="D840" s="33">
        <v>4430265054</v>
      </c>
      <c r="E840" s="33">
        <v>990</v>
      </c>
      <c r="F840" s="33">
        <v>929</v>
      </c>
      <c r="G840" s="33" t="s">
        <v>38</v>
      </c>
      <c r="H840" s="33" t="s">
        <v>1724</v>
      </c>
      <c r="I840" s="33" t="s">
        <v>39</v>
      </c>
      <c r="J840" s="33" t="s">
        <v>40</v>
      </c>
      <c r="K840" s="33" t="s">
        <v>41</v>
      </c>
      <c r="L840" s="33">
        <v>5</v>
      </c>
    </row>
    <row r="841" spans="1:12" s="1" customFormat="1" x14ac:dyDescent="0.3">
      <c r="A841" s="33" t="s">
        <v>1725</v>
      </c>
      <c r="B841" s="33" t="s">
        <v>42</v>
      </c>
      <c r="C841" s="33">
        <v>4435221208</v>
      </c>
      <c r="D841" s="33"/>
      <c r="E841" s="33">
        <v>41</v>
      </c>
      <c r="F841" s="33">
        <v>29</v>
      </c>
      <c r="G841" s="33" t="s">
        <v>38</v>
      </c>
      <c r="H841" s="33" t="s">
        <v>1726</v>
      </c>
      <c r="I841" s="33" t="s">
        <v>46</v>
      </c>
      <c r="J841" s="33" t="s">
        <v>40</v>
      </c>
      <c r="K841" s="33"/>
      <c r="L841" s="33"/>
    </row>
    <row r="842" spans="1:12" s="1" customFormat="1" x14ac:dyDescent="0.3">
      <c r="A842" s="33" t="s">
        <v>1727</v>
      </c>
      <c r="B842" s="33">
        <v>44988255390</v>
      </c>
      <c r="C842" s="33" t="s">
        <v>43</v>
      </c>
      <c r="D842" s="33">
        <v>4430265054</v>
      </c>
      <c r="E842" s="33">
        <v>614</v>
      </c>
      <c r="F842" s="33">
        <v>556</v>
      </c>
      <c r="G842" s="33" t="s">
        <v>38</v>
      </c>
      <c r="H842" s="33" t="s">
        <v>1728</v>
      </c>
      <c r="I842" s="33" t="s">
        <v>39</v>
      </c>
      <c r="J842" s="33" t="s">
        <v>40</v>
      </c>
      <c r="K842" s="33" t="s">
        <v>41</v>
      </c>
      <c r="L842" s="33">
        <v>4</v>
      </c>
    </row>
    <row r="843" spans="1:12" s="1" customFormat="1" x14ac:dyDescent="0.3">
      <c r="A843" s="33" t="s">
        <v>1729</v>
      </c>
      <c r="B843" s="33">
        <v>67992169496</v>
      </c>
      <c r="C843" s="33" t="s">
        <v>37</v>
      </c>
      <c r="D843" s="33">
        <v>4430265054</v>
      </c>
      <c r="E843" s="33">
        <v>2464</v>
      </c>
      <c r="F843" s="33">
        <v>2448</v>
      </c>
      <c r="G843" s="33" t="s">
        <v>38</v>
      </c>
      <c r="H843" s="33" t="s">
        <v>1730</v>
      </c>
      <c r="I843" s="33" t="s">
        <v>39</v>
      </c>
      <c r="J843" s="33" t="s">
        <v>40</v>
      </c>
      <c r="K843" s="33" t="s">
        <v>41</v>
      </c>
      <c r="L843" s="33">
        <v>5</v>
      </c>
    </row>
    <row r="844" spans="1:12" s="1" customFormat="1" x14ac:dyDescent="0.3">
      <c r="A844" s="33" t="s">
        <v>1731</v>
      </c>
      <c r="B844" s="33">
        <v>43991364602</v>
      </c>
      <c r="C844" s="33" t="s">
        <v>43</v>
      </c>
      <c r="D844" s="33">
        <v>4430265054</v>
      </c>
      <c r="E844" s="33">
        <v>782</v>
      </c>
      <c r="F844" s="33">
        <v>722</v>
      </c>
      <c r="G844" s="33" t="s">
        <v>38</v>
      </c>
      <c r="H844" s="33" t="s">
        <v>1732</v>
      </c>
      <c r="I844" s="33" t="s">
        <v>39</v>
      </c>
      <c r="J844" s="33" t="s">
        <v>40</v>
      </c>
      <c r="K844" s="33" t="s">
        <v>41</v>
      </c>
      <c r="L844" s="33"/>
    </row>
    <row r="845" spans="1:12" s="1" customFormat="1" x14ac:dyDescent="0.3">
      <c r="A845" s="33" t="s">
        <v>1733</v>
      </c>
      <c r="B845" s="33" t="s">
        <v>44</v>
      </c>
      <c r="C845" s="33">
        <v>4532541802</v>
      </c>
      <c r="D845" s="33"/>
      <c r="E845" s="33">
        <v>225</v>
      </c>
      <c r="F845" s="33">
        <v>225</v>
      </c>
      <c r="G845" s="33" t="s">
        <v>38</v>
      </c>
      <c r="H845" s="33" t="s">
        <v>1734</v>
      </c>
      <c r="I845" s="33" t="s">
        <v>46</v>
      </c>
      <c r="J845" s="33" t="s">
        <v>40</v>
      </c>
      <c r="K845" s="33"/>
      <c r="L845" s="33"/>
    </row>
    <row r="846" spans="1:12" s="1" customFormat="1" x14ac:dyDescent="0.3">
      <c r="A846" s="33" t="s">
        <v>1735</v>
      </c>
      <c r="B846" s="33" t="s">
        <v>37</v>
      </c>
      <c r="C846" s="33">
        <v>93991495484</v>
      </c>
      <c r="D846" s="33"/>
      <c r="E846" s="33">
        <v>545</v>
      </c>
      <c r="F846" s="33">
        <v>525</v>
      </c>
      <c r="G846" s="33" t="s">
        <v>38</v>
      </c>
      <c r="H846" s="33" t="s">
        <v>1736</v>
      </c>
      <c r="I846" s="33" t="s">
        <v>46</v>
      </c>
      <c r="J846" s="33" t="s">
        <v>40</v>
      </c>
      <c r="K846" s="33"/>
      <c r="L846" s="33"/>
    </row>
    <row r="847" spans="1:12" s="1" customFormat="1" x14ac:dyDescent="0.3">
      <c r="A847" s="33" t="s">
        <v>1737</v>
      </c>
      <c r="B847" s="33" t="s">
        <v>48</v>
      </c>
      <c r="C847" s="33">
        <v>4430459001</v>
      </c>
      <c r="D847" s="33"/>
      <c r="E847" s="33">
        <v>101</v>
      </c>
      <c r="F847" s="33">
        <v>92</v>
      </c>
      <c r="G847" s="33" t="s">
        <v>38</v>
      </c>
      <c r="H847" s="33" t="s">
        <v>1738</v>
      </c>
      <c r="I847" s="33" t="s">
        <v>46</v>
      </c>
      <c r="J847" s="33" t="s">
        <v>40</v>
      </c>
      <c r="K847" s="33"/>
      <c r="L847" s="33"/>
    </row>
    <row r="848" spans="1:12" s="1" customFormat="1" x14ac:dyDescent="0.3">
      <c r="A848" s="33" t="s">
        <v>1739</v>
      </c>
      <c r="B848" s="33">
        <v>93991103737</v>
      </c>
      <c r="C848" s="33" t="s">
        <v>37</v>
      </c>
      <c r="D848" s="33">
        <v>4431268225</v>
      </c>
      <c r="E848" s="33">
        <v>406</v>
      </c>
      <c r="F848" s="33">
        <v>344</v>
      </c>
      <c r="G848" s="33" t="s">
        <v>38</v>
      </c>
      <c r="H848" s="33" t="s">
        <v>1740</v>
      </c>
      <c r="I848" s="33" t="s">
        <v>39</v>
      </c>
      <c r="J848" s="33" t="s">
        <v>40</v>
      </c>
      <c r="K848" s="33" t="s">
        <v>41</v>
      </c>
      <c r="L848" s="33"/>
    </row>
    <row r="849" spans="1:12" s="1" customFormat="1" x14ac:dyDescent="0.3">
      <c r="A849" s="33" t="s">
        <v>1741</v>
      </c>
      <c r="B849" s="33" t="s">
        <v>37</v>
      </c>
      <c r="C849" s="33">
        <v>93991495484</v>
      </c>
      <c r="D849" s="33"/>
      <c r="E849" s="33">
        <v>69</v>
      </c>
      <c r="F849" s="33">
        <v>29</v>
      </c>
      <c r="G849" s="33" t="s">
        <v>38</v>
      </c>
      <c r="H849" s="33" t="s">
        <v>1742</v>
      </c>
      <c r="I849" s="33" t="s">
        <v>46</v>
      </c>
      <c r="J849" s="33" t="s">
        <v>40</v>
      </c>
      <c r="K849" s="33"/>
      <c r="L849" s="33"/>
    </row>
    <row r="850" spans="1:12" s="1" customFormat="1" x14ac:dyDescent="0.3">
      <c r="A850" s="33" t="s">
        <v>1743</v>
      </c>
      <c r="B850" s="33">
        <v>4532541802</v>
      </c>
      <c r="C850" s="33" t="s">
        <v>44</v>
      </c>
      <c r="D850" s="33">
        <v>4430265054</v>
      </c>
      <c r="E850" s="33">
        <v>1278</v>
      </c>
      <c r="F850" s="33">
        <v>1232</v>
      </c>
      <c r="G850" s="33" t="s">
        <v>38</v>
      </c>
      <c r="H850" s="33" t="s">
        <v>1744</v>
      </c>
      <c r="I850" s="33" t="s">
        <v>39</v>
      </c>
      <c r="J850" s="33" t="s">
        <v>40</v>
      </c>
      <c r="K850" s="33" t="s">
        <v>41</v>
      </c>
      <c r="L850" s="33"/>
    </row>
    <row r="851" spans="1:12" s="1" customFormat="1" x14ac:dyDescent="0.3">
      <c r="A851" s="33" t="s">
        <v>1745</v>
      </c>
      <c r="B851" s="33">
        <v>4431414588</v>
      </c>
      <c r="C851" s="33" t="s">
        <v>37</v>
      </c>
      <c r="D851" s="33">
        <v>4430265054</v>
      </c>
      <c r="E851" s="33">
        <v>927</v>
      </c>
      <c r="F851" s="33">
        <v>815</v>
      </c>
      <c r="G851" s="33" t="s">
        <v>38</v>
      </c>
      <c r="H851" s="33" t="s">
        <v>1746</v>
      </c>
      <c r="I851" s="33" t="s">
        <v>39</v>
      </c>
      <c r="J851" s="33" t="s">
        <v>40</v>
      </c>
      <c r="K851" s="33" t="s">
        <v>41</v>
      </c>
      <c r="L851" s="33"/>
    </row>
    <row r="852" spans="1:12" s="1" customFormat="1" x14ac:dyDescent="0.3">
      <c r="A852" s="33" t="s">
        <v>1747</v>
      </c>
      <c r="B852" s="33">
        <v>4436249360</v>
      </c>
      <c r="C852" s="33" t="s">
        <v>43</v>
      </c>
      <c r="D852" s="33">
        <v>4430265054</v>
      </c>
      <c r="E852" s="33">
        <v>517</v>
      </c>
      <c r="F852" s="33">
        <v>463</v>
      </c>
      <c r="G852" s="33" t="s">
        <v>38</v>
      </c>
      <c r="H852" s="33" t="s">
        <v>1748</v>
      </c>
      <c r="I852" s="33" t="s">
        <v>39</v>
      </c>
      <c r="J852" s="33" t="s">
        <v>40</v>
      </c>
      <c r="K852" s="33" t="s">
        <v>41</v>
      </c>
      <c r="L852" s="33"/>
    </row>
    <row r="853" spans="1:12" s="1" customFormat="1" x14ac:dyDescent="0.3">
      <c r="A853" s="33" t="s">
        <v>1749</v>
      </c>
      <c r="B853" s="33" t="s">
        <v>44</v>
      </c>
      <c r="C853" s="33">
        <v>4436351835</v>
      </c>
      <c r="D853" s="33"/>
      <c r="E853" s="33">
        <v>625</v>
      </c>
      <c r="F853" s="33">
        <v>620</v>
      </c>
      <c r="G853" s="33" t="s">
        <v>38</v>
      </c>
      <c r="H853" s="33" t="s">
        <v>1750</v>
      </c>
      <c r="I853" s="33" t="s">
        <v>46</v>
      </c>
      <c r="J853" s="33" t="s">
        <v>40</v>
      </c>
      <c r="K853" s="33"/>
      <c r="L853" s="33"/>
    </row>
    <row r="854" spans="1:12" s="1" customFormat="1" x14ac:dyDescent="0.3">
      <c r="A854" s="33" t="s">
        <v>1751</v>
      </c>
      <c r="B854" s="33" t="s">
        <v>37</v>
      </c>
      <c r="C854" s="33">
        <v>93991495484</v>
      </c>
      <c r="D854" s="33"/>
      <c r="E854" s="33">
        <v>219</v>
      </c>
      <c r="F854" s="33">
        <v>207</v>
      </c>
      <c r="G854" s="33" t="s">
        <v>38</v>
      </c>
      <c r="H854" s="33" t="s">
        <v>1752</v>
      </c>
      <c r="I854" s="33" t="s">
        <v>46</v>
      </c>
      <c r="J854" s="33" t="s">
        <v>40</v>
      </c>
      <c r="K854" s="33"/>
      <c r="L854" s="33"/>
    </row>
    <row r="855" spans="1:12" s="1" customFormat="1" x14ac:dyDescent="0.3">
      <c r="A855" s="33" t="s">
        <v>1753</v>
      </c>
      <c r="B855" s="33">
        <v>4430450103</v>
      </c>
      <c r="C855" s="33" t="s">
        <v>44</v>
      </c>
      <c r="D855" s="33">
        <v>4430265054</v>
      </c>
      <c r="E855" s="33">
        <v>286</v>
      </c>
      <c r="F855" s="33">
        <v>221</v>
      </c>
      <c r="G855" s="33" t="s">
        <v>38</v>
      </c>
      <c r="H855" s="33" t="s">
        <v>1754</v>
      </c>
      <c r="I855" s="33" t="s">
        <v>39</v>
      </c>
      <c r="J855" s="33" t="s">
        <v>40</v>
      </c>
      <c r="K855" s="33" t="s">
        <v>41</v>
      </c>
      <c r="L855" s="33">
        <v>5</v>
      </c>
    </row>
    <row r="856" spans="1:12" s="1" customFormat="1" x14ac:dyDescent="0.3">
      <c r="A856" s="33" t="s">
        <v>1755</v>
      </c>
      <c r="B856" s="33">
        <v>4430282545</v>
      </c>
      <c r="C856" s="33" t="s">
        <v>44</v>
      </c>
      <c r="D856" s="33">
        <v>4430265054</v>
      </c>
      <c r="E856" s="33">
        <v>182</v>
      </c>
      <c r="F856" s="33">
        <v>123</v>
      </c>
      <c r="G856" s="33" t="s">
        <v>38</v>
      </c>
      <c r="H856" s="33" t="s">
        <v>1756</v>
      </c>
      <c r="I856" s="33" t="s">
        <v>39</v>
      </c>
      <c r="J856" s="33" t="s">
        <v>40</v>
      </c>
      <c r="K856" s="33" t="s">
        <v>41</v>
      </c>
      <c r="L856" s="33"/>
    </row>
    <row r="857" spans="1:12" s="1" customFormat="1" x14ac:dyDescent="0.3">
      <c r="A857" s="33" t="s">
        <v>1757</v>
      </c>
      <c r="B857" s="33">
        <v>44997735525</v>
      </c>
      <c r="C857" s="33" t="s">
        <v>43</v>
      </c>
      <c r="D857" s="33">
        <v>4430265054</v>
      </c>
      <c r="E857" s="33">
        <v>286</v>
      </c>
      <c r="F857" s="33">
        <v>266</v>
      </c>
      <c r="G857" s="33" t="s">
        <v>38</v>
      </c>
      <c r="H857" s="33" t="s">
        <v>1758</v>
      </c>
      <c r="I857" s="33" t="s">
        <v>39</v>
      </c>
      <c r="J857" s="33" t="s">
        <v>40</v>
      </c>
      <c r="K857" s="33" t="s">
        <v>41</v>
      </c>
      <c r="L857" s="33">
        <v>5</v>
      </c>
    </row>
    <row r="858" spans="1:12" s="1" customFormat="1" x14ac:dyDescent="0.3">
      <c r="A858" s="33" t="s">
        <v>1759</v>
      </c>
      <c r="B858" s="33">
        <v>4334226481</v>
      </c>
      <c r="C858" s="33" t="s">
        <v>45</v>
      </c>
      <c r="D858" s="33">
        <v>4430265054</v>
      </c>
      <c r="E858" s="33">
        <v>437</v>
      </c>
      <c r="F858" s="33">
        <v>384</v>
      </c>
      <c r="G858" s="33" t="s">
        <v>38</v>
      </c>
      <c r="H858" s="33" t="s">
        <v>1760</v>
      </c>
      <c r="I858" s="33" t="s">
        <v>39</v>
      </c>
      <c r="J858" s="33" t="s">
        <v>40</v>
      </c>
      <c r="K858" s="33" t="s">
        <v>41</v>
      </c>
      <c r="L858" s="33">
        <v>5</v>
      </c>
    </row>
    <row r="859" spans="1:12" s="1" customFormat="1" x14ac:dyDescent="0.3">
      <c r="A859" s="33" t="s">
        <v>1761</v>
      </c>
      <c r="B859" s="33">
        <v>6234347959</v>
      </c>
      <c r="C859" s="33" t="s">
        <v>42</v>
      </c>
      <c r="D859" s="33">
        <v>4430265054</v>
      </c>
      <c r="E859" s="33">
        <v>276</v>
      </c>
      <c r="F859" s="33">
        <v>163</v>
      </c>
      <c r="G859" s="33" t="s">
        <v>38</v>
      </c>
      <c r="H859" s="33" t="s">
        <v>1762</v>
      </c>
      <c r="I859" s="33" t="s">
        <v>39</v>
      </c>
      <c r="J859" s="33" t="s">
        <v>40</v>
      </c>
      <c r="K859" s="33" t="s">
        <v>41</v>
      </c>
      <c r="L859" s="33"/>
    </row>
    <row r="860" spans="1:12" s="1" customFormat="1" x14ac:dyDescent="0.3">
      <c r="A860" s="33" t="s">
        <v>1763</v>
      </c>
      <c r="B860" s="33">
        <v>44988255390</v>
      </c>
      <c r="C860" s="33" t="s">
        <v>45</v>
      </c>
      <c r="D860" s="33">
        <v>4430265054</v>
      </c>
      <c r="E860" s="33">
        <v>413</v>
      </c>
      <c r="F860" s="33">
        <v>377</v>
      </c>
      <c r="G860" s="33" t="s">
        <v>38</v>
      </c>
      <c r="H860" s="33" t="s">
        <v>1764</v>
      </c>
      <c r="I860" s="33" t="s">
        <v>39</v>
      </c>
      <c r="J860" s="33" t="s">
        <v>40</v>
      </c>
      <c r="K860" s="33" t="s">
        <v>41</v>
      </c>
      <c r="L860" s="33">
        <v>5</v>
      </c>
    </row>
    <row r="861" spans="1:12" s="1" customFormat="1" x14ac:dyDescent="0.3">
      <c r="A861" s="33" t="s">
        <v>1765</v>
      </c>
      <c r="B861" s="33" t="s">
        <v>44</v>
      </c>
      <c r="C861" s="33">
        <v>4330261969</v>
      </c>
      <c r="D861" s="33"/>
      <c r="E861" s="33">
        <v>76</v>
      </c>
      <c r="F861" s="33">
        <v>66</v>
      </c>
      <c r="G861" s="33" t="s">
        <v>38</v>
      </c>
      <c r="H861" s="33" t="s">
        <v>1766</v>
      </c>
      <c r="I861" s="33" t="s">
        <v>46</v>
      </c>
      <c r="J861" s="33" t="s">
        <v>40</v>
      </c>
      <c r="K861" s="33"/>
      <c r="L861" s="33"/>
    </row>
    <row r="862" spans="1:12" s="1" customFormat="1" x14ac:dyDescent="0.3">
      <c r="A862" s="33" t="s">
        <v>1767</v>
      </c>
      <c r="B862" s="33" t="s">
        <v>42</v>
      </c>
      <c r="C862" s="33">
        <v>4435228300</v>
      </c>
      <c r="D862" s="33"/>
      <c r="E862" s="33">
        <v>183</v>
      </c>
      <c r="F862" s="33">
        <v>174</v>
      </c>
      <c r="G862" s="33" t="s">
        <v>38</v>
      </c>
      <c r="H862" s="33" t="s">
        <v>1768</v>
      </c>
      <c r="I862" s="33" t="s">
        <v>46</v>
      </c>
      <c r="J862" s="33" t="s">
        <v>40</v>
      </c>
      <c r="K862" s="33"/>
      <c r="L862" s="33"/>
    </row>
    <row r="863" spans="1:12" s="1" customFormat="1" x14ac:dyDescent="0.3">
      <c r="A863" s="33" t="s">
        <v>1769</v>
      </c>
      <c r="B863" s="33">
        <v>44991116911</v>
      </c>
      <c r="C863" s="33" t="s">
        <v>45</v>
      </c>
      <c r="D863" s="33">
        <v>4430265054</v>
      </c>
      <c r="E863" s="33">
        <v>127</v>
      </c>
      <c r="F863" s="33">
        <v>107</v>
      </c>
      <c r="G863" s="33" t="s">
        <v>38</v>
      </c>
      <c r="H863" s="33" t="s">
        <v>1770</v>
      </c>
      <c r="I863" s="33" t="s">
        <v>39</v>
      </c>
      <c r="J863" s="33" t="s">
        <v>40</v>
      </c>
      <c r="K863" s="33" t="s">
        <v>41</v>
      </c>
      <c r="L863" s="33">
        <v>5</v>
      </c>
    </row>
    <row r="864" spans="1:12" s="1" customFormat="1" x14ac:dyDescent="0.3">
      <c r="A864" s="33" t="s">
        <v>1771</v>
      </c>
      <c r="B864" s="33">
        <v>62981535978</v>
      </c>
      <c r="C864" s="33" t="s">
        <v>43</v>
      </c>
      <c r="D864" s="33">
        <v>4430265054</v>
      </c>
      <c r="E864" s="33">
        <v>1142</v>
      </c>
      <c r="F864" s="33">
        <v>1110</v>
      </c>
      <c r="G864" s="33" t="s">
        <v>38</v>
      </c>
      <c r="H864" s="33" t="s">
        <v>1772</v>
      </c>
      <c r="I864" s="33" t="s">
        <v>39</v>
      </c>
      <c r="J864" s="33" t="s">
        <v>40</v>
      </c>
      <c r="K864" s="33" t="s">
        <v>41</v>
      </c>
      <c r="L864" s="33"/>
    </row>
    <row r="865" spans="1:12" s="1" customFormat="1" x14ac:dyDescent="0.3">
      <c r="A865" s="33" t="s">
        <v>1773</v>
      </c>
      <c r="B865" s="33">
        <v>67992169496</v>
      </c>
      <c r="C865" s="33" t="s">
        <v>42</v>
      </c>
      <c r="D865" s="33">
        <v>4430265054</v>
      </c>
      <c r="E865" s="33">
        <v>414</v>
      </c>
      <c r="F865" s="33">
        <v>381</v>
      </c>
      <c r="G865" s="33" t="s">
        <v>38</v>
      </c>
      <c r="H865" s="33" t="s">
        <v>1774</v>
      </c>
      <c r="I865" s="33" t="s">
        <v>39</v>
      </c>
      <c r="J865" s="33" t="s">
        <v>40</v>
      </c>
      <c r="K865" s="33" t="s">
        <v>41</v>
      </c>
      <c r="L865" s="33">
        <v>5</v>
      </c>
    </row>
    <row r="866" spans="1:12" s="1" customFormat="1" x14ac:dyDescent="0.3">
      <c r="A866" s="33" t="s">
        <v>1775</v>
      </c>
      <c r="B866" s="33" t="s">
        <v>44</v>
      </c>
      <c r="C866" s="33">
        <v>6234347959</v>
      </c>
      <c r="D866" s="33"/>
      <c r="E866" s="33">
        <v>1593</v>
      </c>
      <c r="F866" s="33">
        <v>1577</v>
      </c>
      <c r="G866" s="33" t="s">
        <v>38</v>
      </c>
      <c r="H866" s="33" t="s">
        <v>1776</v>
      </c>
      <c r="I866" s="33" t="s">
        <v>46</v>
      </c>
      <c r="J866" s="33" t="s">
        <v>40</v>
      </c>
      <c r="K866" s="33"/>
      <c r="L866" s="33"/>
    </row>
    <row r="867" spans="1:12" s="1" customFormat="1" x14ac:dyDescent="0.3">
      <c r="A867" s="33" t="s">
        <v>1777</v>
      </c>
      <c r="B867" s="33">
        <v>93991495484</v>
      </c>
      <c r="C867" s="33" t="s">
        <v>37</v>
      </c>
      <c r="D867" s="33">
        <v>4430265054</v>
      </c>
      <c r="E867" s="33">
        <v>5352</v>
      </c>
      <c r="F867" s="33">
        <v>5335</v>
      </c>
      <c r="G867" s="33" t="s">
        <v>38</v>
      </c>
      <c r="H867" s="33" t="s">
        <v>1778</v>
      </c>
      <c r="I867" s="33" t="s">
        <v>39</v>
      </c>
      <c r="J867" s="33" t="s">
        <v>40</v>
      </c>
      <c r="K867" s="33" t="s">
        <v>41</v>
      </c>
      <c r="L867" s="33">
        <v>5</v>
      </c>
    </row>
    <row r="868" spans="1:12" s="1" customFormat="1" x14ac:dyDescent="0.3">
      <c r="A868" s="33" t="s">
        <v>1779</v>
      </c>
      <c r="B868" s="33">
        <v>44999497001</v>
      </c>
      <c r="C868" s="33" t="s">
        <v>43</v>
      </c>
      <c r="D868" s="33">
        <v>4430265054</v>
      </c>
      <c r="E868" s="33">
        <v>196</v>
      </c>
      <c r="F868" s="33">
        <v>157</v>
      </c>
      <c r="G868" s="33" t="s">
        <v>38</v>
      </c>
      <c r="H868" s="33" t="s">
        <v>1780</v>
      </c>
      <c r="I868" s="33" t="s">
        <v>39</v>
      </c>
      <c r="J868" s="33" t="s">
        <v>40</v>
      </c>
      <c r="K868" s="33" t="s">
        <v>41</v>
      </c>
      <c r="L868" s="33"/>
    </row>
    <row r="869" spans="1:12" s="1" customFormat="1" x14ac:dyDescent="0.3">
      <c r="A869" s="33" t="s">
        <v>1781</v>
      </c>
      <c r="B869" s="33" t="s">
        <v>45</v>
      </c>
      <c r="C869" s="33">
        <v>44997134514</v>
      </c>
      <c r="D869" s="33"/>
      <c r="E869" s="33">
        <v>146</v>
      </c>
      <c r="F869" s="33">
        <v>140</v>
      </c>
      <c r="G869" s="33" t="s">
        <v>38</v>
      </c>
      <c r="H869" s="33" t="s">
        <v>1782</v>
      </c>
      <c r="I869" s="33" t="s">
        <v>46</v>
      </c>
      <c r="J869" s="33" t="s">
        <v>40</v>
      </c>
      <c r="K869" s="33"/>
      <c r="L869" s="33">
        <v>3</v>
      </c>
    </row>
    <row r="870" spans="1:12" s="1" customFormat="1" x14ac:dyDescent="0.3">
      <c r="A870" s="33" t="s">
        <v>1783</v>
      </c>
      <c r="B870" s="33" t="s">
        <v>45</v>
      </c>
      <c r="C870" s="33">
        <v>44991484476</v>
      </c>
      <c r="D870" s="33"/>
      <c r="E870" s="33">
        <v>56</v>
      </c>
      <c r="F870" s="33">
        <v>51</v>
      </c>
      <c r="G870" s="33" t="s">
        <v>38</v>
      </c>
      <c r="H870" s="33" t="s">
        <v>1784</v>
      </c>
      <c r="I870" s="33" t="s">
        <v>46</v>
      </c>
      <c r="J870" s="33" t="s">
        <v>40</v>
      </c>
      <c r="K870" s="33"/>
      <c r="L870" s="33"/>
    </row>
    <row r="871" spans="1:12" s="1" customFormat="1" x14ac:dyDescent="0.3">
      <c r="A871" s="33" t="s">
        <v>1785</v>
      </c>
      <c r="B871" s="33">
        <v>4330261969</v>
      </c>
      <c r="C871" s="33" t="s">
        <v>43</v>
      </c>
      <c r="D871" s="33">
        <v>4430265054</v>
      </c>
      <c r="E871" s="33">
        <v>353</v>
      </c>
      <c r="F871" s="33">
        <v>278</v>
      </c>
      <c r="G871" s="33" t="s">
        <v>38</v>
      </c>
      <c r="H871" s="33" t="s">
        <v>1786</v>
      </c>
      <c r="I871" s="33" t="s">
        <v>39</v>
      </c>
      <c r="J871" s="33" t="s">
        <v>40</v>
      </c>
      <c r="K871" s="33" t="s">
        <v>41</v>
      </c>
      <c r="L871" s="33"/>
    </row>
    <row r="872" spans="1:12" s="1" customFormat="1" x14ac:dyDescent="0.3">
      <c r="A872" s="33" t="s">
        <v>1787</v>
      </c>
      <c r="B872" s="33" t="s">
        <v>45</v>
      </c>
      <c r="C872" s="33">
        <v>44991484476</v>
      </c>
      <c r="D872" s="33"/>
      <c r="E872" s="33">
        <v>32</v>
      </c>
      <c r="F872" s="33">
        <v>0</v>
      </c>
      <c r="G872" s="33" t="s">
        <v>47</v>
      </c>
      <c r="H872" s="33" t="s">
        <v>1788</v>
      </c>
      <c r="I872" s="33" t="s">
        <v>46</v>
      </c>
      <c r="J872" s="33" t="s">
        <v>40</v>
      </c>
      <c r="K872" s="33"/>
      <c r="L872" s="33"/>
    </row>
    <row r="873" spans="1:12" s="1" customFormat="1" x14ac:dyDescent="0.3">
      <c r="A873" s="33" t="s">
        <v>1789</v>
      </c>
      <c r="B873" s="33" t="s">
        <v>42</v>
      </c>
      <c r="C873" s="33">
        <v>4435228300</v>
      </c>
      <c r="D873" s="33"/>
      <c r="E873" s="33">
        <v>157</v>
      </c>
      <c r="F873" s="33">
        <v>151</v>
      </c>
      <c r="G873" s="33" t="s">
        <v>38</v>
      </c>
      <c r="H873" s="33" t="s">
        <v>1790</v>
      </c>
      <c r="I873" s="33" t="s">
        <v>46</v>
      </c>
      <c r="J873" s="33" t="s">
        <v>40</v>
      </c>
      <c r="K873" s="33"/>
      <c r="L873" s="33"/>
    </row>
    <row r="874" spans="1:12" s="1" customFormat="1" x14ac:dyDescent="0.3">
      <c r="A874" s="33" t="s">
        <v>1791</v>
      </c>
      <c r="B874" s="33">
        <v>4130760170</v>
      </c>
      <c r="C874" s="33" t="s">
        <v>45</v>
      </c>
      <c r="D874" s="33">
        <v>4430265054</v>
      </c>
      <c r="E874" s="33">
        <v>1671</v>
      </c>
      <c r="F874" s="33">
        <v>1622</v>
      </c>
      <c r="G874" s="33" t="s">
        <v>38</v>
      </c>
      <c r="H874" s="33" t="s">
        <v>1792</v>
      </c>
      <c r="I874" s="33" t="s">
        <v>39</v>
      </c>
      <c r="J874" s="33" t="s">
        <v>40</v>
      </c>
      <c r="K874" s="33" t="s">
        <v>41</v>
      </c>
      <c r="L874" s="33">
        <v>5</v>
      </c>
    </row>
    <row r="875" spans="1:12" s="1" customFormat="1" x14ac:dyDescent="0.3">
      <c r="A875" s="33" t="s">
        <v>1793</v>
      </c>
      <c r="B875" s="33">
        <v>4334226481</v>
      </c>
      <c r="C875" s="33" t="s">
        <v>44</v>
      </c>
      <c r="D875" s="33">
        <v>4430265054</v>
      </c>
      <c r="E875" s="33">
        <v>1219</v>
      </c>
      <c r="F875" s="33">
        <v>1188</v>
      </c>
      <c r="G875" s="33" t="s">
        <v>38</v>
      </c>
      <c r="H875" s="33" t="s">
        <v>1794</v>
      </c>
      <c r="I875" s="33" t="s">
        <v>39</v>
      </c>
      <c r="J875" s="33" t="s">
        <v>40</v>
      </c>
      <c r="K875" s="33" t="s">
        <v>41</v>
      </c>
      <c r="L875" s="33"/>
    </row>
    <row r="876" spans="1:12" s="1" customFormat="1" x14ac:dyDescent="0.3">
      <c r="A876" s="33" t="s">
        <v>1795</v>
      </c>
      <c r="B876" s="33">
        <v>4435228300</v>
      </c>
      <c r="C876" s="33" t="s">
        <v>42</v>
      </c>
      <c r="D876" s="33">
        <v>4430265054</v>
      </c>
      <c r="E876" s="33">
        <v>1864</v>
      </c>
      <c r="F876" s="33">
        <v>1837</v>
      </c>
      <c r="G876" s="33" t="s">
        <v>38</v>
      </c>
      <c r="H876" s="33" t="s">
        <v>1796</v>
      </c>
      <c r="I876" s="33" t="s">
        <v>39</v>
      </c>
      <c r="J876" s="33" t="s">
        <v>40</v>
      </c>
      <c r="K876" s="33" t="s">
        <v>41</v>
      </c>
      <c r="L876" s="33"/>
    </row>
    <row r="877" spans="1:12" s="1" customFormat="1" x14ac:dyDescent="0.3">
      <c r="A877" s="33" t="s">
        <v>1797</v>
      </c>
      <c r="B877" s="33">
        <v>44997134514</v>
      </c>
      <c r="C877" s="33" t="s">
        <v>45</v>
      </c>
      <c r="D877" s="33">
        <v>4430265054</v>
      </c>
      <c r="E877" s="33">
        <v>868</v>
      </c>
      <c r="F877" s="33">
        <v>818</v>
      </c>
      <c r="G877" s="33" t="s">
        <v>38</v>
      </c>
      <c r="H877" s="33" t="s">
        <v>1798</v>
      </c>
      <c r="I877" s="33" t="s">
        <v>39</v>
      </c>
      <c r="J877" s="33" t="s">
        <v>40</v>
      </c>
      <c r="K877" s="33" t="s">
        <v>41</v>
      </c>
      <c r="L877" s="33"/>
    </row>
    <row r="878" spans="1:12" s="1" customFormat="1" x14ac:dyDescent="0.3">
      <c r="A878" s="33" t="s">
        <v>1797</v>
      </c>
      <c r="B878" s="33" t="s">
        <v>44</v>
      </c>
      <c r="C878" s="33">
        <v>4434233230</v>
      </c>
      <c r="D878" s="33"/>
      <c r="E878" s="33">
        <v>3</v>
      </c>
      <c r="F878" s="33">
        <v>0</v>
      </c>
      <c r="G878" s="33" t="s">
        <v>47</v>
      </c>
      <c r="H878" s="33" t="s">
        <v>1799</v>
      </c>
      <c r="I878" s="33" t="s">
        <v>46</v>
      </c>
      <c r="J878" s="33" t="s">
        <v>40</v>
      </c>
      <c r="K878" s="33"/>
      <c r="L878" s="33"/>
    </row>
    <row r="879" spans="1:12" s="1" customFormat="1" x14ac:dyDescent="0.3">
      <c r="A879" s="33" t="s">
        <v>1800</v>
      </c>
      <c r="B879" s="33" t="s">
        <v>44</v>
      </c>
      <c r="C879" s="33">
        <v>4434233230</v>
      </c>
      <c r="D879" s="33"/>
      <c r="E879" s="33">
        <v>2</v>
      </c>
      <c r="F879" s="33">
        <v>0</v>
      </c>
      <c r="G879" s="33" t="s">
        <v>47</v>
      </c>
      <c r="H879" s="33" t="s">
        <v>1801</v>
      </c>
      <c r="I879" s="33" t="s">
        <v>46</v>
      </c>
      <c r="J879" s="33" t="s">
        <v>40</v>
      </c>
      <c r="K879" s="33"/>
      <c r="L879" s="33"/>
    </row>
    <row r="880" spans="1:12" s="1" customFormat="1" x14ac:dyDescent="0.3">
      <c r="A880" s="33" t="s">
        <v>1802</v>
      </c>
      <c r="B880" s="33" t="s">
        <v>44</v>
      </c>
      <c r="C880" s="33">
        <v>4434233230</v>
      </c>
      <c r="D880" s="33"/>
      <c r="E880" s="33">
        <v>2</v>
      </c>
      <c r="F880" s="33">
        <v>0</v>
      </c>
      <c r="G880" s="33" t="s">
        <v>47</v>
      </c>
      <c r="H880" s="33" t="s">
        <v>1803</v>
      </c>
      <c r="I880" s="33" t="s">
        <v>46</v>
      </c>
      <c r="J880" s="33" t="s">
        <v>40</v>
      </c>
      <c r="K880" s="33"/>
      <c r="L880" s="33"/>
    </row>
    <row r="881" spans="1:12" s="1" customFormat="1" x14ac:dyDescent="0.3">
      <c r="A881" s="33" t="s">
        <v>1804</v>
      </c>
      <c r="B881" s="33" t="s">
        <v>44</v>
      </c>
      <c r="C881" s="33">
        <v>4434233230</v>
      </c>
      <c r="D881" s="33"/>
      <c r="E881" s="33">
        <v>5</v>
      </c>
      <c r="F881" s="33">
        <v>0</v>
      </c>
      <c r="G881" s="33" t="s">
        <v>47</v>
      </c>
      <c r="H881" s="33" t="s">
        <v>1805</v>
      </c>
      <c r="I881" s="33" t="s">
        <v>46</v>
      </c>
      <c r="J881" s="33" t="s">
        <v>40</v>
      </c>
      <c r="K881" s="33"/>
      <c r="L881" s="33"/>
    </row>
    <row r="882" spans="1:12" s="1" customFormat="1" x14ac:dyDescent="0.3">
      <c r="A882" s="33" t="s">
        <v>1806</v>
      </c>
      <c r="B882" s="33">
        <v>1131043888</v>
      </c>
      <c r="C882" s="33" t="s">
        <v>45</v>
      </c>
      <c r="D882" s="33">
        <v>4430265054</v>
      </c>
      <c r="E882" s="33">
        <v>143</v>
      </c>
      <c r="F882" s="33">
        <v>125</v>
      </c>
      <c r="G882" s="33" t="s">
        <v>38</v>
      </c>
      <c r="H882" s="33" t="s">
        <v>1807</v>
      </c>
      <c r="I882" s="33" t="s">
        <v>39</v>
      </c>
      <c r="J882" s="33" t="s">
        <v>40</v>
      </c>
      <c r="K882" s="33" t="s">
        <v>41</v>
      </c>
      <c r="L882" s="33"/>
    </row>
    <row r="883" spans="1:12" s="1" customFormat="1" x14ac:dyDescent="0.3">
      <c r="A883" s="33" t="s">
        <v>1808</v>
      </c>
      <c r="B883" s="33" t="s">
        <v>44</v>
      </c>
      <c r="C883" s="33">
        <v>4430459001</v>
      </c>
      <c r="D883" s="33"/>
      <c r="E883" s="33">
        <v>107</v>
      </c>
      <c r="F883" s="33">
        <v>92</v>
      </c>
      <c r="G883" s="33" t="s">
        <v>38</v>
      </c>
      <c r="H883" s="33" t="s">
        <v>1809</v>
      </c>
      <c r="I883" s="33" t="s">
        <v>46</v>
      </c>
      <c r="J883" s="33" t="s">
        <v>40</v>
      </c>
      <c r="K883" s="33"/>
      <c r="L883" s="33"/>
    </row>
    <row r="884" spans="1:12" s="1" customFormat="1" x14ac:dyDescent="0.3">
      <c r="A884" s="33" t="s">
        <v>1810</v>
      </c>
      <c r="B884" s="33">
        <v>44988255390</v>
      </c>
      <c r="C884" s="33" t="s">
        <v>37</v>
      </c>
      <c r="D884" s="33">
        <v>4430265054</v>
      </c>
      <c r="E884" s="33">
        <v>878</v>
      </c>
      <c r="F884" s="33">
        <v>781</v>
      </c>
      <c r="G884" s="33" t="s">
        <v>38</v>
      </c>
      <c r="H884" s="33" t="s">
        <v>1811</v>
      </c>
      <c r="I884" s="33" t="s">
        <v>39</v>
      </c>
      <c r="J884" s="33" t="s">
        <v>40</v>
      </c>
      <c r="K884" s="33" t="s">
        <v>41</v>
      </c>
      <c r="L884" s="33"/>
    </row>
    <row r="885" spans="1:12" s="1" customFormat="1" x14ac:dyDescent="0.3">
      <c r="A885" s="33" t="s">
        <v>1812</v>
      </c>
      <c r="B885" s="33">
        <v>4330261969</v>
      </c>
      <c r="C885" s="33" t="s">
        <v>42</v>
      </c>
      <c r="D885" s="33">
        <v>4430265054</v>
      </c>
      <c r="E885" s="33">
        <v>229</v>
      </c>
      <c r="F885" s="33">
        <v>189</v>
      </c>
      <c r="G885" s="33" t="s">
        <v>38</v>
      </c>
      <c r="H885" s="33" t="s">
        <v>1813</v>
      </c>
      <c r="I885" s="33" t="s">
        <v>39</v>
      </c>
      <c r="J885" s="33" t="s">
        <v>40</v>
      </c>
      <c r="K885" s="33" t="s">
        <v>41</v>
      </c>
      <c r="L885" s="33"/>
    </row>
    <row r="886" spans="1:12" s="1" customFormat="1" x14ac:dyDescent="0.3">
      <c r="A886" s="33" t="s">
        <v>1814</v>
      </c>
      <c r="B886" s="33">
        <v>44991388221</v>
      </c>
      <c r="C886" s="33" t="s">
        <v>42</v>
      </c>
      <c r="D886" s="33">
        <v>4430265054</v>
      </c>
      <c r="E886" s="33">
        <v>104</v>
      </c>
      <c r="F886" s="33">
        <v>50</v>
      </c>
      <c r="G886" s="33" t="s">
        <v>38</v>
      </c>
      <c r="H886" s="33" t="s">
        <v>1815</v>
      </c>
      <c r="I886" s="33" t="s">
        <v>39</v>
      </c>
      <c r="J886" s="33" t="s">
        <v>40</v>
      </c>
      <c r="K886" s="33" t="s">
        <v>41</v>
      </c>
      <c r="L886" s="33"/>
    </row>
    <row r="887" spans="1:12" s="1" customFormat="1" x14ac:dyDescent="0.3">
      <c r="A887" s="33" t="s">
        <v>1816</v>
      </c>
      <c r="B887" s="33">
        <v>4430450103</v>
      </c>
      <c r="C887" s="33" t="s">
        <v>45</v>
      </c>
      <c r="D887" s="33">
        <v>4430265054</v>
      </c>
      <c r="E887" s="33">
        <v>414</v>
      </c>
      <c r="F887" s="33">
        <v>385</v>
      </c>
      <c r="G887" s="33" t="s">
        <v>38</v>
      </c>
      <c r="H887" s="33" t="s">
        <v>1817</v>
      </c>
      <c r="I887" s="33" t="s">
        <v>39</v>
      </c>
      <c r="J887" s="33" t="s">
        <v>40</v>
      </c>
      <c r="K887" s="33" t="s">
        <v>41</v>
      </c>
      <c r="L887" s="33">
        <v>5</v>
      </c>
    </row>
    <row r="888" spans="1:12" s="1" customFormat="1" x14ac:dyDescent="0.3">
      <c r="A888" s="33" t="s">
        <v>1818</v>
      </c>
      <c r="B888" s="33">
        <v>1128897100</v>
      </c>
      <c r="C888" s="33" t="s">
        <v>42</v>
      </c>
      <c r="D888" s="33">
        <v>4430265054</v>
      </c>
      <c r="E888" s="33">
        <v>222</v>
      </c>
      <c r="F888" s="33">
        <v>182</v>
      </c>
      <c r="G888" s="33" t="s">
        <v>38</v>
      </c>
      <c r="H888" s="33" t="s">
        <v>1819</v>
      </c>
      <c r="I888" s="33" t="s">
        <v>39</v>
      </c>
      <c r="J888" s="33" t="s">
        <v>40</v>
      </c>
      <c r="K888" s="33" t="s">
        <v>41</v>
      </c>
      <c r="L888" s="33"/>
    </row>
    <row r="889" spans="1:12" s="1" customFormat="1" x14ac:dyDescent="0.3">
      <c r="A889" s="33" t="s">
        <v>1820</v>
      </c>
      <c r="B889" s="33" t="s">
        <v>44</v>
      </c>
      <c r="C889" s="33">
        <v>4436351835</v>
      </c>
      <c r="D889" s="33"/>
      <c r="E889" s="33">
        <v>547</v>
      </c>
      <c r="F889" s="33">
        <v>540</v>
      </c>
      <c r="G889" s="33" t="s">
        <v>38</v>
      </c>
      <c r="H889" s="33" t="s">
        <v>1821</v>
      </c>
      <c r="I889" s="33" t="s">
        <v>46</v>
      </c>
      <c r="J889" s="33" t="s">
        <v>40</v>
      </c>
      <c r="K889" s="33"/>
      <c r="L889" s="33"/>
    </row>
    <row r="890" spans="1:12" s="1" customFormat="1" x14ac:dyDescent="0.3">
      <c r="A890" s="33" t="s">
        <v>1822</v>
      </c>
      <c r="B890" s="33" t="s">
        <v>44</v>
      </c>
      <c r="C890" s="33">
        <v>4436351835</v>
      </c>
      <c r="D890" s="33"/>
      <c r="E890" s="33">
        <v>8</v>
      </c>
      <c r="F890" s="33">
        <v>0</v>
      </c>
      <c r="G890" s="33" t="s">
        <v>47</v>
      </c>
      <c r="H890" s="33" t="s">
        <v>1823</v>
      </c>
      <c r="I890" s="33" t="s">
        <v>46</v>
      </c>
      <c r="J890" s="33" t="s">
        <v>40</v>
      </c>
      <c r="K890" s="33"/>
      <c r="L890" s="33"/>
    </row>
    <row r="891" spans="1:12" s="1" customFormat="1" x14ac:dyDescent="0.3">
      <c r="A891" s="33" t="s">
        <v>1824</v>
      </c>
      <c r="B891" s="33" t="s">
        <v>44</v>
      </c>
      <c r="C891" s="33">
        <v>4436351835</v>
      </c>
      <c r="D891" s="33"/>
      <c r="E891" s="33">
        <v>3</v>
      </c>
      <c r="F891" s="33">
        <v>0</v>
      </c>
      <c r="G891" s="33" t="s">
        <v>47</v>
      </c>
      <c r="H891" s="33" t="s">
        <v>1825</v>
      </c>
      <c r="I891" s="33" t="s">
        <v>46</v>
      </c>
      <c r="J891" s="33" t="s">
        <v>40</v>
      </c>
      <c r="K891" s="33"/>
      <c r="L891" s="33"/>
    </row>
    <row r="892" spans="1:12" s="1" customFormat="1" x14ac:dyDescent="0.3">
      <c r="A892" s="33" t="s">
        <v>1826</v>
      </c>
      <c r="B892" s="33">
        <v>4430450103</v>
      </c>
      <c r="C892" s="33" t="s">
        <v>44</v>
      </c>
      <c r="D892" s="33">
        <v>4430265054</v>
      </c>
      <c r="E892" s="33">
        <v>186</v>
      </c>
      <c r="F892" s="33">
        <v>134</v>
      </c>
      <c r="G892" s="33" t="s">
        <v>38</v>
      </c>
      <c r="H892" s="33" t="s">
        <v>1827</v>
      </c>
      <c r="I892" s="33" t="s">
        <v>39</v>
      </c>
      <c r="J892" s="33" t="s">
        <v>40</v>
      </c>
      <c r="K892" s="33" t="s">
        <v>41</v>
      </c>
      <c r="L892" s="33"/>
    </row>
    <row r="893" spans="1:12" s="1" customFormat="1" x14ac:dyDescent="0.3">
      <c r="A893" s="33" t="s">
        <v>1828</v>
      </c>
      <c r="B893" s="33">
        <v>4330261969</v>
      </c>
      <c r="C893" s="33" t="s">
        <v>37</v>
      </c>
      <c r="D893" s="33">
        <v>4430265054</v>
      </c>
      <c r="E893" s="33">
        <v>280</v>
      </c>
      <c r="F893" s="33">
        <v>197</v>
      </c>
      <c r="G893" s="33" t="s">
        <v>38</v>
      </c>
      <c r="H893" s="33" t="s">
        <v>1829</v>
      </c>
      <c r="I893" s="33" t="s">
        <v>39</v>
      </c>
      <c r="J893" s="33" t="s">
        <v>40</v>
      </c>
      <c r="K893" s="33" t="s">
        <v>41</v>
      </c>
      <c r="L893" s="33"/>
    </row>
    <row r="894" spans="1:12" s="1" customFormat="1" x14ac:dyDescent="0.3">
      <c r="A894" s="33" t="s">
        <v>1830</v>
      </c>
      <c r="B894" s="33">
        <v>1639391799</v>
      </c>
      <c r="C894" s="33" t="s">
        <v>45</v>
      </c>
      <c r="D894" s="33">
        <v>4430265054</v>
      </c>
      <c r="E894" s="33">
        <v>794</v>
      </c>
      <c r="F894" s="33">
        <v>743</v>
      </c>
      <c r="G894" s="33" t="s">
        <v>38</v>
      </c>
      <c r="H894" s="33" t="s">
        <v>1831</v>
      </c>
      <c r="I894" s="33" t="s">
        <v>39</v>
      </c>
      <c r="J894" s="33" t="s">
        <v>40</v>
      </c>
      <c r="K894" s="33" t="s">
        <v>41</v>
      </c>
      <c r="L894" s="33"/>
    </row>
    <row r="895" spans="1:12" s="1" customFormat="1" x14ac:dyDescent="0.3">
      <c r="A895" s="33" t="s">
        <v>1832</v>
      </c>
      <c r="B895" s="33" t="s">
        <v>42</v>
      </c>
      <c r="C895" s="33">
        <v>4432268889</v>
      </c>
      <c r="D895" s="33"/>
      <c r="E895" s="33">
        <v>521</v>
      </c>
      <c r="F895" s="33">
        <v>512</v>
      </c>
      <c r="G895" s="33" t="s">
        <v>38</v>
      </c>
      <c r="H895" s="33" t="s">
        <v>1833</v>
      </c>
      <c r="I895" s="33" t="s">
        <v>46</v>
      </c>
      <c r="J895" s="33" t="s">
        <v>40</v>
      </c>
      <c r="K895" s="33"/>
      <c r="L895" s="33"/>
    </row>
    <row r="896" spans="1:12" s="1" customFormat="1" x14ac:dyDescent="0.3">
      <c r="A896" s="33" t="s">
        <v>1834</v>
      </c>
      <c r="B896" s="33" t="s">
        <v>42</v>
      </c>
      <c r="C896" s="33">
        <v>4432268889</v>
      </c>
      <c r="D896" s="33"/>
      <c r="E896" s="33">
        <v>20</v>
      </c>
      <c r="F896" s="33">
        <v>5</v>
      </c>
      <c r="G896" s="33" t="s">
        <v>38</v>
      </c>
      <c r="H896" s="33" t="s">
        <v>1835</v>
      </c>
      <c r="I896" s="33" t="s">
        <v>46</v>
      </c>
      <c r="J896" s="33" t="s">
        <v>40</v>
      </c>
      <c r="K896" s="33"/>
      <c r="L896" s="33"/>
    </row>
    <row r="897" spans="1:12" s="1" customFormat="1" x14ac:dyDescent="0.3">
      <c r="A897" s="33" t="s">
        <v>1836</v>
      </c>
      <c r="B897" s="33">
        <v>4430459001</v>
      </c>
      <c r="C897" s="33" t="s">
        <v>48</v>
      </c>
      <c r="D897" s="33">
        <v>4430265054</v>
      </c>
      <c r="E897" s="33">
        <v>148</v>
      </c>
      <c r="F897" s="33">
        <v>148</v>
      </c>
      <c r="G897" s="33" t="s">
        <v>38</v>
      </c>
      <c r="H897" s="33" t="s">
        <v>1837</v>
      </c>
      <c r="I897" s="33" t="s">
        <v>39</v>
      </c>
      <c r="J897" s="33" t="s">
        <v>40</v>
      </c>
      <c r="K897" s="33" t="s">
        <v>41</v>
      </c>
      <c r="L897" s="33"/>
    </row>
    <row r="898" spans="1:12" s="1" customFormat="1" x14ac:dyDescent="0.3">
      <c r="A898" s="33" t="s">
        <v>1838</v>
      </c>
      <c r="B898" s="33">
        <v>93984112869</v>
      </c>
      <c r="C898" s="33" t="s">
        <v>37</v>
      </c>
      <c r="D898" s="33">
        <v>4431268225</v>
      </c>
      <c r="E898" s="33">
        <v>576</v>
      </c>
      <c r="F898" s="33">
        <v>493</v>
      </c>
      <c r="G898" s="33" t="s">
        <v>38</v>
      </c>
      <c r="H898" s="33" t="s">
        <v>1839</v>
      </c>
      <c r="I898" s="33" t="s">
        <v>39</v>
      </c>
      <c r="J898" s="33" t="s">
        <v>40</v>
      </c>
      <c r="K898" s="33" t="s">
        <v>41</v>
      </c>
      <c r="L898" s="33"/>
    </row>
    <row r="899" spans="1:12" s="1" customFormat="1" x14ac:dyDescent="0.3">
      <c r="A899" s="33" t="s">
        <v>1840</v>
      </c>
      <c r="B899" s="33" t="s">
        <v>37</v>
      </c>
      <c r="C899" s="33">
        <v>44988067937</v>
      </c>
      <c r="D899" s="33"/>
      <c r="E899" s="33">
        <v>84</v>
      </c>
      <c r="F899" s="33">
        <v>72</v>
      </c>
      <c r="G899" s="33" t="s">
        <v>38</v>
      </c>
      <c r="H899" s="33" t="s">
        <v>1841</v>
      </c>
      <c r="I899" s="33" t="s">
        <v>46</v>
      </c>
      <c r="J899" s="33" t="s">
        <v>40</v>
      </c>
      <c r="K899" s="33"/>
      <c r="L899" s="33"/>
    </row>
    <row r="900" spans="1:12" s="1" customFormat="1" x14ac:dyDescent="0.3">
      <c r="A900" s="33" t="s">
        <v>1842</v>
      </c>
      <c r="B900" s="33">
        <v>6234347959</v>
      </c>
      <c r="C900" s="33" t="s">
        <v>37</v>
      </c>
      <c r="D900" s="33">
        <v>4430265054</v>
      </c>
      <c r="E900" s="33">
        <v>172</v>
      </c>
      <c r="F900" s="33">
        <v>101</v>
      </c>
      <c r="G900" s="33" t="s">
        <v>38</v>
      </c>
      <c r="H900" s="33" t="s">
        <v>1843</v>
      </c>
      <c r="I900" s="33" t="s">
        <v>39</v>
      </c>
      <c r="J900" s="33" t="s">
        <v>40</v>
      </c>
      <c r="K900" s="33" t="s">
        <v>41</v>
      </c>
      <c r="L900" s="33"/>
    </row>
    <row r="901" spans="1:12" s="1" customFormat="1" x14ac:dyDescent="0.3">
      <c r="A901" s="33" t="s">
        <v>1844</v>
      </c>
      <c r="B901" s="33">
        <v>44988067937</v>
      </c>
      <c r="C901" s="33" t="s">
        <v>42</v>
      </c>
      <c r="D901" s="33">
        <v>4430265054</v>
      </c>
      <c r="E901" s="33">
        <v>446</v>
      </c>
      <c r="F901" s="33">
        <v>322</v>
      </c>
      <c r="G901" s="33" t="s">
        <v>38</v>
      </c>
      <c r="H901" s="33" t="s">
        <v>1845</v>
      </c>
      <c r="I901" s="33" t="s">
        <v>39</v>
      </c>
      <c r="J901" s="33" t="s">
        <v>40</v>
      </c>
      <c r="K901" s="33" t="s">
        <v>41</v>
      </c>
      <c r="L901" s="33"/>
    </row>
    <row r="902" spans="1:12" s="1" customFormat="1" x14ac:dyDescent="0.3">
      <c r="A902" s="33" t="s">
        <v>1846</v>
      </c>
      <c r="B902" s="33">
        <v>44997079838</v>
      </c>
      <c r="C902" s="33" t="s">
        <v>48</v>
      </c>
      <c r="D902" s="33">
        <v>4430265054</v>
      </c>
      <c r="E902" s="33">
        <v>240</v>
      </c>
      <c r="F902" s="33">
        <v>215</v>
      </c>
      <c r="G902" s="33" t="s">
        <v>38</v>
      </c>
      <c r="H902" s="33" t="s">
        <v>1847</v>
      </c>
      <c r="I902" s="33" t="s">
        <v>39</v>
      </c>
      <c r="J902" s="33" t="s">
        <v>40</v>
      </c>
      <c r="K902" s="33" t="s">
        <v>41</v>
      </c>
      <c r="L902" s="33">
        <v>5</v>
      </c>
    </row>
    <row r="903" spans="1:12" s="1" customFormat="1" x14ac:dyDescent="0.3">
      <c r="A903" s="33" t="s">
        <v>1848</v>
      </c>
      <c r="B903" s="33">
        <v>1131043888</v>
      </c>
      <c r="C903" s="33" t="s">
        <v>45</v>
      </c>
      <c r="D903" s="33">
        <v>4430265054</v>
      </c>
      <c r="E903" s="33">
        <v>180</v>
      </c>
      <c r="F903" s="33">
        <v>119</v>
      </c>
      <c r="G903" s="33" t="s">
        <v>38</v>
      </c>
      <c r="H903" s="33" t="s">
        <v>1849</v>
      </c>
      <c r="I903" s="33" t="s">
        <v>39</v>
      </c>
      <c r="J903" s="33" t="s">
        <v>40</v>
      </c>
      <c r="K903" s="33" t="s">
        <v>41</v>
      </c>
      <c r="L903" s="33"/>
    </row>
    <row r="904" spans="1:12" s="1" customFormat="1" x14ac:dyDescent="0.3">
      <c r="A904" s="33" t="s">
        <v>1850</v>
      </c>
      <c r="B904" s="33" t="s">
        <v>42</v>
      </c>
      <c r="C904" s="33">
        <v>4435226025</v>
      </c>
      <c r="D904" s="33"/>
      <c r="E904" s="33">
        <v>52</v>
      </c>
      <c r="F904" s="33">
        <v>42</v>
      </c>
      <c r="G904" s="33" t="s">
        <v>38</v>
      </c>
      <c r="H904" s="33" t="s">
        <v>1851</v>
      </c>
      <c r="I904" s="33" t="s">
        <v>46</v>
      </c>
      <c r="J904" s="33" t="s">
        <v>40</v>
      </c>
      <c r="K904" s="33"/>
      <c r="L904" s="33"/>
    </row>
    <row r="905" spans="1:12" s="1" customFormat="1" x14ac:dyDescent="0.3">
      <c r="A905" s="33" t="s">
        <v>1852</v>
      </c>
      <c r="B905" s="33">
        <v>4430286524</v>
      </c>
      <c r="C905" s="33" t="s">
        <v>44</v>
      </c>
      <c r="D905" s="33">
        <v>4430265054</v>
      </c>
      <c r="E905" s="33">
        <v>2658</v>
      </c>
      <c r="F905" s="33">
        <v>2627</v>
      </c>
      <c r="G905" s="33" t="s">
        <v>38</v>
      </c>
      <c r="H905" s="33" t="s">
        <v>1853</v>
      </c>
      <c r="I905" s="33" t="s">
        <v>39</v>
      </c>
      <c r="J905" s="33" t="s">
        <v>40</v>
      </c>
      <c r="K905" s="33" t="s">
        <v>41</v>
      </c>
      <c r="L905" s="33">
        <v>5</v>
      </c>
    </row>
    <row r="906" spans="1:12" s="1" customFormat="1" x14ac:dyDescent="0.3">
      <c r="A906" s="33" t="s">
        <v>1854</v>
      </c>
      <c r="B906" s="33" t="s">
        <v>43</v>
      </c>
      <c r="C906" s="33">
        <v>71991339954</v>
      </c>
      <c r="D906" s="33"/>
      <c r="E906" s="33">
        <v>7000</v>
      </c>
      <c r="F906" s="33">
        <v>6973</v>
      </c>
      <c r="G906" s="33" t="s">
        <v>38</v>
      </c>
      <c r="H906" s="33" t="s">
        <v>1855</v>
      </c>
      <c r="I906" s="33" t="s">
        <v>46</v>
      </c>
      <c r="J906" s="33" t="s">
        <v>40</v>
      </c>
      <c r="K906" s="33"/>
      <c r="L906" s="33"/>
    </row>
    <row r="907" spans="1:12" s="1" customFormat="1" x14ac:dyDescent="0.3">
      <c r="A907" s="33" t="s">
        <v>1856</v>
      </c>
      <c r="B907" s="33" t="s">
        <v>43</v>
      </c>
      <c r="C907" s="33">
        <v>71991339954</v>
      </c>
      <c r="D907" s="33"/>
      <c r="E907" s="33">
        <v>37</v>
      </c>
      <c r="F907" s="33">
        <v>0</v>
      </c>
      <c r="G907" s="33" t="s">
        <v>47</v>
      </c>
      <c r="H907" s="33" t="s">
        <v>1857</v>
      </c>
      <c r="I907" s="33" t="s">
        <v>46</v>
      </c>
      <c r="J907" s="33" t="s">
        <v>40</v>
      </c>
      <c r="K907" s="33"/>
      <c r="L907" s="33"/>
    </row>
    <row r="908" spans="1:12" s="1" customFormat="1" x14ac:dyDescent="0.3">
      <c r="A908" s="33" t="s">
        <v>1858</v>
      </c>
      <c r="B908" s="33">
        <v>44997079838</v>
      </c>
      <c r="C908" s="33" t="s">
        <v>44</v>
      </c>
      <c r="D908" s="33">
        <v>4430265054</v>
      </c>
      <c r="E908" s="33">
        <v>200</v>
      </c>
      <c r="F908" s="33">
        <v>88</v>
      </c>
      <c r="G908" s="33" t="s">
        <v>38</v>
      </c>
      <c r="H908" s="33" t="s">
        <v>1859</v>
      </c>
      <c r="I908" s="33" t="s">
        <v>39</v>
      </c>
      <c r="J908" s="33" t="s">
        <v>40</v>
      </c>
      <c r="K908" s="33" t="s">
        <v>41</v>
      </c>
      <c r="L908" s="33"/>
    </row>
    <row r="909" spans="1:12" s="1" customFormat="1" x14ac:dyDescent="0.3">
      <c r="A909" s="33" t="s">
        <v>1860</v>
      </c>
      <c r="B909" s="33">
        <v>44997343311</v>
      </c>
      <c r="C909" s="33" t="s">
        <v>48</v>
      </c>
      <c r="D909" s="33">
        <v>4430265054</v>
      </c>
      <c r="E909" s="33">
        <v>207</v>
      </c>
      <c r="F909" s="33">
        <v>206</v>
      </c>
      <c r="G909" s="33" t="s">
        <v>38</v>
      </c>
      <c r="H909" s="33" t="s">
        <v>1861</v>
      </c>
      <c r="I909" s="33" t="s">
        <v>39</v>
      </c>
      <c r="J909" s="33" t="s">
        <v>40</v>
      </c>
      <c r="K909" s="33" t="s">
        <v>41</v>
      </c>
      <c r="L909" s="33"/>
    </row>
    <row r="910" spans="1:12" s="1" customFormat="1" x14ac:dyDescent="0.3">
      <c r="A910" s="33" t="s">
        <v>1862</v>
      </c>
      <c r="B910" s="33" t="s">
        <v>45</v>
      </c>
      <c r="C910" s="33">
        <v>4430289496</v>
      </c>
      <c r="D910" s="33"/>
      <c r="E910" s="33">
        <v>972</v>
      </c>
      <c r="F910" s="33">
        <v>967</v>
      </c>
      <c r="G910" s="33" t="s">
        <v>38</v>
      </c>
      <c r="H910" s="33" t="s">
        <v>1863</v>
      </c>
      <c r="I910" s="33" t="s">
        <v>46</v>
      </c>
      <c r="J910" s="33" t="s">
        <v>40</v>
      </c>
      <c r="K910" s="33"/>
      <c r="L910" s="33"/>
    </row>
    <row r="911" spans="1:12" s="1" customFormat="1" x14ac:dyDescent="0.3">
      <c r="A911" s="33" t="s">
        <v>1864</v>
      </c>
      <c r="B911" s="33" t="s">
        <v>43</v>
      </c>
      <c r="C911" s="33">
        <v>44999457840</v>
      </c>
      <c r="D911" s="33"/>
      <c r="E911" s="33">
        <v>303</v>
      </c>
      <c r="F911" s="33">
        <v>299</v>
      </c>
      <c r="G911" s="33" t="s">
        <v>38</v>
      </c>
      <c r="H911" s="33" t="s">
        <v>1865</v>
      </c>
      <c r="I911" s="33" t="s">
        <v>46</v>
      </c>
      <c r="J911" s="33" t="s">
        <v>40</v>
      </c>
      <c r="K911" s="33"/>
      <c r="L911" s="33"/>
    </row>
    <row r="912" spans="1:12" s="1" customFormat="1" x14ac:dyDescent="0.3">
      <c r="A912" s="33" t="s">
        <v>1866</v>
      </c>
      <c r="B912" s="33">
        <v>4435226025</v>
      </c>
      <c r="C912" s="33" t="s">
        <v>42</v>
      </c>
      <c r="D912" s="33">
        <v>4430265054</v>
      </c>
      <c r="E912" s="33">
        <v>602</v>
      </c>
      <c r="F912" s="33">
        <v>573</v>
      </c>
      <c r="G912" s="33" t="s">
        <v>38</v>
      </c>
      <c r="H912" s="33" t="s">
        <v>1867</v>
      </c>
      <c r="I912" s="33" t="s">
        <v>39</v>
      </c>
      <c r="J912" s="33" t="s">
        <v>40</v>
      </c>
      <c r="K912" s="33" t="s">
        <v>41</v>
      </c>
      <c r="L912" s="33"/>
    </row>
    <row r="913" spans="1:12" s="1" customFormat="1" x14ac:dyDescent="0.3">
      <c r="A913" s="33" t="s">
        <v>1868</v>
      </c>
      <c r="B913" s="33" t="s">
        <v>43</v>
      </c>
      <c r="C913" s="33">
        <v>4430317020</v>
      </c>
      <c r="D913" s="33"/>
      <c r="E913" s="33">
        <v>123</v>
      </c>
      <c r="F913" s="33">
        <v>111</v>
      </c>
      <c r="G913" s="33" t="s">
        <v>38</v>
      </c>
      <c r="H913" s="33" t="s">
        <v>1869</v>
      </c>
      <c r="I913" s="33" t="s">
        <v>46</v>
      </c>
      <c r="J913" s="33" t="s">
        <v>40</v>
      </c>
      <c r="K913" s="33"/>
      <c r="L913" s="33"/>
    </row>
    <row r="914" spans="1:12" s="1" customFormat="1" x14ac:dyDescent="0.3">
      <c r="A914" s="33" t="s">
        <v>1870</v>
      </c>
      <c r="B914" s="33" t="s">
        <v>44</v>
      </c>
      <c r="C914" s="33">
        <v>4330261969</v>
      </c>
      <c r="D914" s="33"/>
      <c r="E914" s="33">
        <v>97</v>
      </c>
      <c r="F914" s="33">
        <v>0</v>
      </c>
      <c r="G914" s="33" t="s">
        <v>47</v>
      </c>
      <c r="H914" s="33" t="s">
        <v>1871</v>
      </c>
      <c r="I914" s="33" t="s">
        <v>46</v>
      </c>
      <c r="J914" s="33" t="s">
        <v>40</v>
      </c>
      <c r="K914" s="33"/>
      <c r="L914" s="33"/>
    </row>
    <row r="915" spans="1:12" s="1" customFormat="1" x14ac:dyDescent="0.3">
      <c r="A915" s="33" t="s">
        <v>1872</v>
      </c>
      <c r="B915" s="33" t="s">
        <v>44</v>
      </c>
      <c r="C915" s="33">
        <v>4330261969</v>
      </c>
      <c r="D915" s="33"/>
      <c r="E915" s="33">
        <v>96</v>
      </c>
      <c r="F915" s="33">
        <v>0</v>
      </c>
      <c r="G915" s="33" t="s">
        <v>47</v>
      </c>
      <c r="H915" s="33" t="s">
        <v>1873</v>
      </c>
      <c r="I915" s="33" t="s">
        <v>46</v>
      </c>
      <c r="J915" s="33" t="s">
        <v>40</v>
      </c>
      <c r="K915" s="33"/>
      <c r="L915" s="33"/>
    </row>
    <row r="916" spans="1:12" s="1" customFormat="1" x14ac:dyDescent="0.3">
      <c r="A916" s="33" t="s">
        <v>1874</v>
      </c>
      <c r="B916" s="33" t="s">
        <v>44</v>
      </c>
      <c r="C916" s="33">
        <v>4330261969</v>
      </c>
      <c r="D916" s="33"/>
      <c r="E916" s="33">
        <v>97</v>
      </c>
      <c r="F916" s="33">
        <v>0</v>
      </c>
      <c r="G916" s="33" t="s">
        <v>47</v>
      </c>
      <c r="H916" s="33" t="s">
        <v>1875</v>
      </c>
      <c r="I916" s="33" t="s">
        <v>46</v>
      </c>
      <c r="J916" s="33" t="s">
        <v>40</v>
      </c>
      <c r="K916" s="33"/>
      <c r="L916" s="33"/>
    </row>
    <row r="917" spans="1:12" s="1" customFormat="1" x14ac:dyDescent="0.3">
      <c r="A917" s="33" t="s">
        <v>1876</v>
      </c>
      <c r="B917" s="33">
        <v>6234347959</v>
      </c>
      <c r="C917" s="33" t="s">
        <v>43</v>
      </c>
      <c r="D917" s="33">
        <v>4430265054</v>
      </c>
      <c r="E917" s="33">
        <v>242</v>
      </c>
      <c r="F917" s="33">
        <v>88</v>
      </c>
      <c r="G917" s="33" t="s">
        <v>38</v>
      </c>
      <c r="H917" s="33" t="s">
        <v>1877</v>
      </c>
      <c r="I917" s="33" t="s">
        <v>39</v>
      </c>
      <c r="J917" s="33" t="s">
        <v>40</v>
      </c>
      <c r="K917" s="33" t="s">
        <v>41</v>
      </c>
      <c r="L917" s="33"/>
    </row>
    <row r="918" spans="1:12" s="1" customFormat="1" x14ac:dyDescent="0.3">
      <c r="A918" s="33" t="s">
        <v>1878</v>
      </c>
      <c r="B918" s="33" t="s">
        <v>43</v>
      </c>
      <c r="C918" s="33">
        <v>4430317020</v>
      </c>
      <c r="D918" s="33"/>
      <c r="E918" s="33">
        <v>127</v>
      </c>
      <c r="F918" s="33">
        <v>115</v>
      </c>
      <c r="G918" s="33" t="s">
        <v>38</v>
      </c>
      <c r="H918" s="33" t="s">
        <v>1879</v>
      </c>
      <c r="I918" s="33" t="s">
        <v>46</v>
      </c>
      <c r="J918" s="33" t="s">
        <v>40</v>
      </c>
      <c r="K918" s="33"/>
      <c r="L918" s="33"/>
    </row>
    <row r="919" spans="1:12" s="1" customFormat="1" x14ac:dyDescent="0.3">
      <c r="A919" s="33" t="s">
        <v>1880</v>
      </c>
      <c r="B919" s="33">
        <v>44998039090</v>
      </c>
      <c r="C919" s="33" t="s">
        <v>45</v>
      </c>
      <c r="D919" s="33">
        <v>4430265054</v>
      </c>
      <c r="E919" s="33">
        <v>481</v>
      </c>
      <c r="F919" s="33">
        <v>409</v>
      </c>
      <c r="G919" s="33" t="s">
        <v>38</v>
      </c>
      <c r="H919" s="33" t="s">
        <v>1881</v>
      </c>
      <c r="I919" s="33" t="s">
        <v>39</v>
      </c>
      <c r="J919" s="33" t="s">
        <v>40</v>
      </c>
      <c r="K919" s="33" t="s">
        <v>41</v>
      </c>
      <c r="L919" s="33">
        <v>4</v>
      </c>
    </row>
    <row r="920" spans="1:12" s="1" customFormat="1" x14ac:dyDescent="0.3">
      <c r="A920" s="33" t="s">
        <v>1882</v>
      </c>
      <c r="B920" s="33" t="s">
        <v>37</v>
      </c>
      <c r="C920" s="33">
        <v>44988067937</v>
      </c>
      <c r="D920" s="33"/>
      <c r="E920" s="33">
        <v>5</v>
      </c>
      <c r="F920" s="33">
        <v>0</v>
      </c>
      <c r="G920" s="33" t="s">
        <v>47</v>
      </c>
      <c r="H920" s="33" t="s">
        <v>1883</v>
      </c>
      <c r="I920" s="33" t="s">
        <v>46</v>
      </c>
      <c r="J920" s="33" t="s">
        <v>40</v>
      </c>
      <c r="K920" s="33"/>
      <c r="L920" s="33"/>
    </row>
    <row r="921" spans="1:12" s="1" customFormat="1" x14ac:dyDescent="0.3">
      <c r="A921" s="33" t="s">
        <v>1884</v>
      </c>
      <c r="B921" s="33" t="s">
        <v>37</v>
      </c>
      <c r="C921" s="33">
        <v>44988067937</v>
      </c>
      <c r="D921" s="33"/>
      <c r="E921" s="33">
        <v>7</v>
      </c>
      <c r="F921" s="33">
        <v>0</v>
      </c>
      <c r="G921" s="33" t="s">
        <v>47</v>
      </c>
      <c r="H921" s="33" t="s">
        <v>1885</v>
      </c>
      <c r="I921" s="33" t="s">
        <v>46</v>
      </c>
      <c r="J921" s="33" t="s">
        <v>40</v>
      </c>
      <c r="K921" s="33"/>
      <c r="L921" s="33"/>
    </row>
    <row r="922" spans="1:12" s="1" customFormat="1" x14ac:dyDescent="0.3">
      <c r="A922" s="33" t="s">
        <v>1886</v>
      </c>
      <c r="B922" s="33">
        <v>4330261969</v>
      </c>
      <c r="C922" s="33" t="s">
        <v>44</v>
      </c>
      <c r="D922" s="33">
        <v>4430265054</v>
      </c>
      <c r="E922" s="33">
        <v>929</v>
      </c>
      <c r="F922" s="33">
        <v>866</v>
      </c>
      <c r="G922" s="33" t="s">
        <v>38</v>
      </c>
      <c r="H922" s="33" t="s">
        <v>1887</v>
      </c>
      <c r="I922" s="33" t="s">
        <v>39</v>
      </c>
      <c r="J922" s="33" t="s">
        <v>40</v>
      </c>
      <c r="K922" s="33" t="s">
        <v>41</v>
      </c>
      <c r="L922" s="33"/>
    </row>
    <row r="923" spans="1:12" s="1" customFormat="1" x14ac:dyDescent="0.3">
      <c r="A923" s="33" t="s">
        <v>1888</v>
      </c>
      <c r="B923" s="33" t="s">
        <v>37</v>
      </c>
      <c r="C923" s="33">
        <v>4435232376</v>
      </c>
      <c r="D923" s="33"/>
      <c r="E923" s="33">
        <v>69</v>
      </c>
      <c r="F923" s="33">
        <v>0</v>
      </c>
      <c r="G923" s="33" t="s">
        <v>47</v>
      </c>
      <c r="H923" s="33" t="s">
        <v>1889</v>
      </c>
      <c r="I923" s="33" t="s">
        <v>46</v>
      </c>
      <c r="J923" s="33" t="s">
        <v>40</v>
      </c>
      <c r="K923" s="33"/>
      <c r="L923" s="33"/>
    </row>
    <row r="924" spans="1:12" s="1" customFormat="1" x14ac:dyDescent="0.3">
      <c r="A924" s="33" t="s">
        <v>1890</v>
      </c>
      <c r="B924" s="33" t="s">
        <v>43</v>
      </c>
      <c r="C924" s="33">
        <v>4430317020</v>
      </c>
      <c r="D924" s="33"/>
      <c r="E924" s="33">
        <v>90</v>
      </c>
      <c r="F924" s="33">
        <v>78</v>
      </c>
      <c r="G924" s="33" t="s">
        <v>38</v>
      </c>
      <c r="H924" s="33" t="s">
        <v>1891</v>
      </c>
      <c r="I924" s="33" t="s">
        <v>46</v>
      </c>
      <c r="J924" s="33" t="s">
        <v>40</v>
      </c>
      <c r="K924" s="33"/>
      <c r="L924" s="33"/>
    </row>
    <row r="925" spans="1:12" s="1" customFormat="1" x14ac:dyDescent="0.3">
      <c r="A925" s="33" t="s">
        <v>1892</v>
      </c>
      <c r="B925" s="33" t="s">
        <v>37</v>
      </c>
      <c r="C925" s="33">
        <v>4435232376</v>
      </c>
      <c r="D925" s="33"/>
      <c r="E925" s="33">
        <v>19</v>
      </c>
      <c r="F925" s="33">
        <v>0</v>
      </c>
      <c r="G925" s="33" t="s">
        <v>47</v>
      </c>
      <c r="H925" s="33" t="s">
        <v>1893</v>
      </c>
      <c r="I925" s="33" t="s">
        <v>46</v>
      </c>
      <c r="J925" s="33" t="s">
        <v>40</v>
      </c>
      <c r="K925" s="33"/>
      <c r="L925" s="33"/>
    </row>
    <row r="926" spans="1:12" s="1" customFormat="1" x14ac:dyDescent="0.3">
      <c r="A926" s="33" t="s">
        <v>1894</v>
      </c>
      <c r="B926" s="33" t="s">
        <v>43</v>
      </c>
      <c r="C926" s="33">
        <v>4430317020</v>
      </c>
      <c r="D926" s="33"/>
      <c r="E926" s="33">
        <v>2</v>
      </c>
      <c r="F926" s="33">
        <v>0</v>
      </c>
      <c r="G926" s="33" t="s">
        <v>47</v>
      </c>
      <c r="H926" s="33" t="s">
        <v>1895</v>
      </c>
      <c r="I926" s="33" t="s">
        <v>46</v>
      </c>
      <c r="J926" s="33" t="s">
        <v>40</v>
      </c>
      <c r="K926" s="33"/>
      <c r="L926" s="33"/>
    </row>
    <row r="927" spans="1:12" s="1" customFormat="1" x14ac:dyDescent="0.3">
      <c r="A927" s="33" t="s">
        <v>1896</v>
      </c>
      <c r="B927" s="33" t="s">
        <v>37</v>
      </c>
      <c r="C927" s="33">
        <v>4430162384</v>
      </c>
      <c r="D927" s="33"/>
      <c r="E927" s="33">
        <v>34</v>
      </c>
      <c r="F927" s="33">
        <v>0</v>
      </c>
      <c r="G927" s="33" t="s">
        <v>47</v>
      </c>
      <c r="H927" s="33" t="s">
        <v>1897</v>
      </c>
      <c r="I927" s="33" t="s">
        <v>46</v>
      </c>
      <c r="J927" s="33" t="s">
        <v>40</v>
      </c>
      <c r="K927" s="33"/>
      <c r="L927" s="33"/>
    </row>
    <row r="928" spans="1:12" s="1" customFormat="1" x14ac:dyDescent="0.3">
      <c r="A928" s="33" t="s">
        <v>1898</v>
      </c>
      <c r="B928" s="33" t="s">
        <v>37</v>
      </c>
      <c r="C928" s="33">
        <v>4430162384</v>
      </c>
      <c r="D928" s="33"/>
      <c r="E928" s="33">
        <v>4</v>
      </c>
      <c r="F928" s="33">
        <v>0</v>
      </c>
      <c r="G928" s="33" t="s">
        <v>47</v>
      </c>
      <c r="H928" s="33" t="s">
        <v>1899</v>
      </c>
      <c r="I928" s="33" t="s">
        <v>46</v>
      </c>
      <c r="J928" s="33" t="s">
        <v>40</v>
      </c>
      <c r="K928" s="33"/>
      <c r="L928" s="33"/>
    </row>
    <row r="929" spans="1:12" s="1" customFormat="1" x14ac:dyDescent="0.3">
      <c r="A929" s="33" t="s">
        <v>1900</v>
      </c>
      <c r="B929" s="33" t="s">
        <v>37</v>
      </c>
      <c r="C929" s="33">
        <v>4430162384</v>
      </c>
      <c r="D929" s="33"/>
      <c r="E929" s="33">
        <v>54</v>
      </c>
      <c r="F929" s="33">
        <v>0</v>
      </c>
      <c r="G929" s="33" t="s">
        <v>47</v>
      </c>
      <c r="H929" s="33" t="s">
        <v>1901</v>
      </c>
      <c r="I929" s="33" t="s">
        <v>46</v>
      </c>
      <c r="J929" s="33" t="s">
        <v>40</v>
      </c>
      <c r="K929" s="33"/>
      <c r="L929" s="33"/>
    </row>
    <row r="930" spans="1:12" s="1" customFormat="1" x14ac:dyDescent="0.3">
      <c r="A930" s="33" t="s">
        <v>1902</v>
      </c>
      <c r="B930" s="33" t="s">
        <v>37</v>
      </c>
      <c r="C930" s="33">
        <v>4430162376</v>
      </c>
      <c r="D930" s="33"/>
      <c r="E930" s="33">
        <v>56</v>
      </c>
      <c r="F930" s="33">
        <v>0</v>
      </c>
      <c r="G930" s="33" t="s">
        <v>47</v>
      </c>
      <c r="H930" s="33" t="s">
        <v>1903</v>
      </c>
      <c r="I930" s="33" t="s">
        <v>46</v>
      </c>
      <c r="J930" s="33" t="s">
        <v>40</v>
      </c>
      <c r="K930" s="33"/>
      <c r="L930" s="33"/>
    </row>
    <row r="931" spans="1:12" s="1" customFormat="1" x14ac:dyDescent="0.3">
      <c r="A931" s="33" t="s">
        <v>1904</v>
      </c>
      <c r="B931" s="33">
        <v>1639391799</v>
      </c>
      <c r="C931" s="33" t="s">
        <v>45</v>
      </c>
      <c r="D931" s="33">
        <v>4430265054</v>
      </c>
      <c r="E931" s="33">
        <v>2475</v>
      </c>
      <c r="F931" s="33">
        <v>2255</v>
      </c>
      <c r="G931" s="33" t="s">
        <v>38</v>
      </c>
      <c r="H931" s="33" t="s">
        <v>1905</v>
      </c>
      <c r="I931" s="33" t="s">
        <v>39</v>
      </c>
      <c r="J931" s="33" t="s">
        <v>40</v>
      </c>
      <c r="K931" s="33" t="s">
        <v>41</v>
      </c>
      <c r="L931" s="33">
        <v>5</v>
      </c>
    </row>
    <row r="932" spans="1:12" s="1" customFormat="1" x14ac:dyDescent="0.3">
      <c r="A932" s="33" t="s">
        <v>1906</v>
      </c>
      <c r="B932" s="33">
        <v>44991558823</v>
      </c>
      <c r="C932" s="33" t="s">
        <v>42</v>
      </c>
      <c r="D932" s="33">
        <v>4430265054</v>
      </c>
      <c r="E932" s="33">
        <v>1923</v>
      </c>
      <c r="F932" s="33">
        <v>1867</v>
      </c>
      <c r="G932" s="33" t="s">
        <v>38</v>
      </c>
      <c r="H932" s="33" t="s">
        <v>1907</v>
      </c>
      <c r="I932" s="33" t="s">
        <v>39</v>
      </c>
      <c r="J932" s="33" t="s">
        <v>40</v>
      </c>
      <c r="K932" s="33" t="s">
        <v>41</v>
      </c>
      <c r="L932" s="33">
        <v>5</v>
      </c>
    </row>
    <row r="933" spans="1:12" s="1" customFormat="1" x14ac:dyDescent="0.3">
      <c r="A933" s="33" t="s">
        <v>1908</v>
      </c>
      <c r="B933" s="33">
        <v>44999629349</v>
      </c>
      <c r="C933" s="33" t="s">
        <v>45</v>
      </c>
      <c r="D933" s="33">
        <v>4430265054</v>
      </c>
      <c r="E933" s="33">
        <v>875</v>
      </c>
      <c r="F933" s="33">
        <v>829</v>
      </c>
      <c r="G933" s="33" t="s">
        <v>38</v>
      </c>
      <c r="H933" s="33" t="s">
        <v>1909</v>
      </c>
      <c r="I933" s="33" t="s">
        <v>39</v>
      </c>
      <c r="J933" s="33" t="s">
        <v>40</v>
      </c>
      <c r="K933" s="33" t="s">
        <v>41</v>
      </c>
      <c r="L933" s="33">
        <v>5</v>
      </c>
    </row>
    <row r="934" spans="1:12" s="1" customFormat="1" x14ac:dyDescent="0.3">
      <c r="A934" s="33" t="s">
        <v>1910</v>
      </c>
      <c r="B934" s="33" t="s">
        <v>45</v>
      </c>
      <c r="C934" s="33">
        <v>4430293755</v>
      </c>
      <c r="D934" s="33"/>
      <c r="E934" s="33">
        <v>118</v>
      </c>
      <c r="F934" s="33">
        <v>112</v>
      </c>
      <c r="G934" s="33" t="s">
        <v>38</v>
      </c>
      <c r="H934" s="33" t="s">
        <v>1911</v>
      </c>
      <c r="I934" s="33" t="s">
        <v>46</v>
      </c>
      <c r="J934" s="33" t="s">
        <v>40</v>
      </c>
      <c r="K934" s="33"/>
      <c r="L934" s="33"/>
    </row>
    <row r="935" spans="1:12" s="1" customFormat="1" x14ac:dyDescent="0.3">
      <c r="A935" s="33" t="s">
        <v>1912</v>
      </c>
      <c r="B935" s="33" t="s">
        <v>45</v>
      </c>
      <c r="C935" s="33">
        <v>4430293755</v>
      </c>
      <c r="D935" s="33"/>
      <c r="E935" s="33">
        <v>5</v>
      </c>
      <c r="F935" s="33">
        <v>0</v>
      </c>
      <c r="G935" s="33" t="s">
        <v>47</v>
      </c>
      <c r="H935" s="33" t="s">
        <v>1913</v>
      </c>
      <c r="I935" s="33" t="s">
        <v>46</v>
      </c>
      <c r="J935" s="33" t="s">
        <v>40</v>
      </c>
      <c r="K935" s="33"/>
      <c r="L935" s="33"/>
    </row>
    <row r="936" spans="1:12" s="1" customFormat="1" x14ac:dyDescent="0.3">
      <c r="A936" s="33" t="s">
        <v>1914</v>
      </c>
      <c r="B936" s="33" t="s">
        <v>48</v>
      </c>
      <c r="C936" s="33">
        <v>1131043888</v>
      </c>
      <c r="D936" s="33"/>
      <c r="E936" s="33">
        <v>90</v>
      </c>
      <c r="F936" s="33">
        <v>88</v>
      </c>
      <c r="G936" s="33" t="s">
        <v>38</v>
      </c>
      <c r="H936" s="33" t="s">
        <v>1915</v>
      </c>
      <c r="I936" s="33" t="s">
        <v>46</v>
      </c>
      <c r="J936" s="33" t="s">
        <v>40</v>
      </c>
      <c r="K936" s="33"/>
      <c r="L936" s="33"/>
    </row>
    <row r="937" spans="1:12" s="1" customFormat="1" x14ac:dyDescent="0.3">
      <c r="A937" s="33" t="s">
        <v>1916</v>
      </c>
      <c r="B937" s="33">
        <v>44991486467</v>
      </c>
      <c r="C937" s="33" t="s">
        <v>48</v>
      </c>
      <c r="D937" s="33">
        <v>4430265054</v>
      </c>
      <c r="E937" s="33">
        <v>1034</v>
      </c>
      <c r="F937" s="33">
        <v>1034</v>
      </c>
      <c r="G937" s="33" t="s">
        <v>38</v>
      </c>
      <c r="H937" s="33" t="s">
        <v>1917</v>
      </c>
      <c r="I937" s="33" t="s">
        <v>39</v>
      </c>
      <c r="J937" s="33" t="s">
        <v>40</v>
      </c>
      <c r="K937" s="33" t="s">
        <v>41</v>
      </c>
      <c r="L937" s="33"/>
    </row>
    <row r="938" spans="1:12" s="1" customFormat="1" x14ac:dyDescent="0.3">
      <c r="A938" s="33" t="s">
        <v>1918</v>
      </c>
      <c r="B938" s="33" t="s">
        <v>48</v>
      </c>
      <c r="C938" s="33">
        <v>1131043888</v>
      </c>
      <c r="D938" s="33"/>
      <c r="E938" s="33">
        <v>163</v>
      </c>
      <c r="F938" s="33">
        <v>161</v>
      </c>
      <c r="G938" s="33" t="s">
        <v>38</v>
      </c>
      <c r="H938" s="33" t="s">
        <v>1919</v>
      </c>
      <c r="I938" s="33" t="s">
        <v>46</v>
      </c>
      <c r="J938" s="33" t="s">
        <v>40</v>
      </c>
      <c r="K938" s="33"/>
      <c r="L938" s="33"/>
    </row>
    <row r="939" spans="1:12" s="1" customFormat="1" x14ac:dyDescent="0.3">
      <c r="A939" s="33" t="s">
        <v>1920</v>
      </c>
      <c r="B939" s="33">
        <v>4430317020</v>
      </c>
      <c r="C939" s="33" t="s">
        <v>43</v>
      </c>
      <c r="D939" s="33">
        <v>4430265054</v>
      </c>
      <c r="E939" s="33">
        <v>612</v>
      </c>
      <c r="F939" s="33">
        <v>553</v>
      </c>
      <c r="G939" s="33" t="s">
        <v>38</v>
      </c>
      <c r="H939" s="33" t="s">
        <v>1921</v>
      </c>
      <c r="I939" s="33" t="s">
        <v>39</v>
      </c>
      <c r="J939" s="33" t="s">
        <v>40</v>
      </c>
      <c r="K939" s="33" t="s">
        <v>41</v>
      </c>
      <c r="L939" s="33"/>
    </row>
    <row r="940" spans="1:12" s="1" customFormat="1" x14ac:dyDescent="0.3">
      <c r="A940" s="33" t="s">
        <v>1922</v>
      </c>
      <c r="B940" s="33">
        <v>4430562296</v>
      </c>
      <c r="C940" s="33" t="s">
        <v>42</v>
      </c>
      <c r="D940" s="33">
        <v>4430265054</v>
      </c>
      <c r="E940" s="33">
        <v>638</v>
      </c>
      <c r="F940" s="33">
        <v>557</v>
      </c>
      <c r="G940" s="33" t="s">
        <v>38</v>
      </c>
      <c r="H940" s="33" t="s">
        <v>1923</v>
      </c>
      <c r="I940" s="33" t="s">
        <v>39</v>
      </c>
      <c r="J940" s="33" t="s">
        <v>40</v>
      </c>
      <c r="K940" s="33" t="s">
        <v>41</v>
      </c>
      <c r="L940" s="33"/>
    </row>
    <row r="941" spans="1:12" s="1" customFormat="1" x14ac:dyDescent="0.3">
      <c r="A941" s="33" t="s">
        <v>1924</v>
      </c>
      <c r="B941" s="33">
        <v>6234347959</v>
      </c>
      <c r="C941" s="33" t="s">
        <v>44</v>
      </c>
      <c r="D941" s="33">
        <v>4430265054</v>
      </c>
      <c r="E941" s="33">
        <v>1218</v>
      </c>
      <c r="F941" s="33">
        <v>1161</v>
      </c>
      <c r="G941" s="33" t="s">
        <v>38</v>
      </c>
      <c r="H941" s="33" t="s">
        <v>1925</v>
      </c>
      <c r="I941" s="33" t="s">
        <v>39</v>
      </c>
      <c r="J941" s="33" t="s">
        <v>40</v>
      </c>
      <c r="K941" s="33" t="s">
        <v>41</v>
      </c>
      <c r="L941" s="33"/>
    </row>
    <row r="942" spans="1:12" s="1" customFormat="1" x14ac:dyDescent="0.3">
      <c r="A942" s="33" t="s">
        <v>1926</v>
      </c>
      <c r="B942" s="33" t="s">
        <v>48</v>
      </c>
      <c r="C942" s="33">
        <v>1131043888</v>
      </c>
      <c r="D942" s="33"/>
      <c r="E942" s="33">
        <v>171</v>
      </c>
      <c r="F942" s="33">
        <v>169</v>
      </c>
      <c r="G942" s="33" t="s">
        <v>38</v>
      </c>
      <c r="H942" s="33" t="s">
        <v>1927</v>
      </c>
      <c r="I942" s="33" t="s">
        <v>46</v>
      </c>
      <c r="J942" s="33" t="s">
        <v>40</v>
      </c>
      <c r="K942" s="33"/>
      <c r="L942" s="33"/>
    </row>
    <row r="943" spans="1:12" s="1" customFormat="1" x14ac:dyDescent="0.3">
      <c r="A943" s="33" t="s">
        <v>1928</v>
      </c>
      <c r="B943" s="33">
        <v>4430293755</v>
      </c>
      <c r="C943" s="33" t="s">
        <v>45</v>
      </c>
      <c r="D943" s="33">
        <v>4430265054</v>
      </c>
      <c r="E943" s="33">
        <v>711</v>
      </c>
      <c r="F943" s="33">
        <v>683</v>
      </c>
      <c r="G943" s="33" t="s">
        <v>38</v>
      </c>
      <c r="H943" s="33" t="s">
        <v>1929</v>
      </c>
      <c r="I943" s="33" t="s">
        <v>39</v>
      </c>
      <c r="J943" s="33" t="s">
        <v>40</v>
      </c>
      <c r="K943" s="33" t="s">
        <v>41</v>
      </c>
      <c r="L943" s="33">
        <v>4</v>
      </c>
    </row>
    <row r="944" spans="1:12" s="1" customFormat="1" x14ac:dyDescent="0.3">
      <c r="A944" s="33" t="s">
        <v>1930</v>
      </c>
      <c r="B944" s="33" t="s">
        <v>48</v>
      </c>
      <c r="C944" s="33">
        <v>4435224706</v>
      </c>
      <c r="D944" s="33"/>
      <c r="E944" s="33">
        <v>100</v>
      </c>
      <c r="F944" s="33">
        <v>99</v>
      </c>
      <c r="G944" s="33" t="s">
        <v>38</v>
      </c>
      <c r="H944" s="33" t="s">
        <v>1931</v>
      </c>
      <c r="I944" s="33" t="s">
        <v>46</v>
      </c>
      <c r="J944" s="33" t="s">
        <v>40</v>
      </c>
      <c r="K944" s="33"/>
      <c r="L944" s="33"/>
    </row>
    <row r="945" spans="1:12" s="1" customFormat="1" x14ac:dyDescent="0.3">
      <c r="A945" s="33" t="s">
        <v>1932</v>
      </c>
      <c r="B945" s="33">
        <v>11964449514</v>
      </c>
      <c r="C945" s="33" t="s">
        <v>37</v>
      </c>
      <c r="D945" s="33">
        <v>4431268225</v>
      </c>
      <c r="E945" s="33">
        <v>756</v>
      </c>
      <c r="F945" s="33">
        <v>736</v>
      </c>
      <c r="G945" s="33" t="s">
        <v>38</v>
      </c>
      <c r="H945" s="33" t="s">
        <v>1933</v>
      </c>
      <c r="I945" s="33" t="s">
        <v>39</v>
      </c>
      <c r="J945" s="33" t="s">
        <v>40</v>
      </c>
      <c r="K945" s="33" t="s">
        <v>41</v>
      </c>
      <c r="L945" s="33">
        <v>5</v>
      </c>
    </row>
    <row r="946" spans="1:12" s="1" customFormat="1" x14ac:dyDescent="0.3">
      <c r="A946" s="33" t="s">
        <v>1934</v>
      </c>
      <c r="B946" s="33">
        <v>12997346335</v>
      </c>
      <c r="C946" s="33" t="s">
        <v>42</v>
      </c>
      <c r="D946" s="33">
        <v>4430265054</v>
      </c>
      <c r="E946" s="33">
        <v>831</v>
      </c>
      <c r="F946" s="33">
        <v>771</v>
      </c>
      <c r="G946" s="33" t="s">
        <v>38</v>
      </c>
      <c r="H946" s="33" t="s">
        <v>1935</v>
      </c>
      <c r="I946" s="33" t="s">
        <v>39</v>
      </c>
      <c r="J946" s="33" t="s">
        <v>40</v>
      </c>
      <c r="K946" s="33" t="s">
        <v>41</v>
      </c>
      <c r="L946" s="33"/>
    </row>
    <row r="947" spans="1:12" s="1" customFormat="1" x14ac:dyDescent="0.3">
      <c r="A947" s="33" t="s">
        <v>1936</v>
      </c>
      <c r="B947" s="33">
        <v>1131043888</v>
      </c>
      <c r="C947" s="33" t="s">
        <v>48</v>
      </c>
      <c r="D947" s="33">
        <v>4430265054</v>
      </c>
      <c r="E947" s="33">
        <v>157</v>
      </c>
      <c r="F947" s="33">
        <v>89</v>
      </c>
      <c r="G947" s="33" t="s">
        <v>38</v>
      </c>
      <c r="H947" s="33" t="s">
        <v>1937</v>
      </c>
      <c r="I947" s="33" t="s">
        <v>39</v>
      </c>
      <c r="J947" s="33" t="s">
        <v>40</v>
      </c>
      <c r="K947" s="33" t="s">
        <v>41</v>
      </c>
      <c r="L947" s="33">
        <v>5</v>
      </c>
    </row>
    <row r="948" spans="1:12" s="1" customFormat="1" x14ac:dyDescent="0.3">
      <c r="A948" s="33" t="s">
        <v>1938</v>
      </c>
      <c r="B948" s="33">
        <v>12997346335</v>
      </c>
      <c r="C948" s="33" t="s">
        <v>44</v>
      </c>
      <c r="D948" s="33">
        <v>4430265054</v>
      </c>
      <c r="E948" s="33">
        <v>179</v>
      </c>
      <c r="F948" s="33">
        <v>35</v>
      </c>
      <c r="G948" s="33" t="s">
        <v>38</v>
      </c>
      <c r="H948" s="33" t="s">
        <v>1939</v>
      </c>
      <c r="I948" s="33" t="s">
        <v>39</v>
      </c>
      <c r="J948" s="33" t="s">
        <v>40</v>
      </c>
      <c r="K948" s="33" t="s">
        <v>41</v>
      </c>
      <c r="L948" s="33"/>
    </row>
    <row r="949" spans="1:12" s="1" customFormat="1" x14ac:dyDescent="0.3">
      <c r="A949" s="33" t="s">
        <v>1940</v>
      </c>
      <c r="B949" s="33">
        <v>1129630984</v>
      </c>
      <c r="C949" s="33" t="s">
        <v>43</v>
      </c>
      <c r="D949" s="33">
        <v>4430265054</v>
      </c>
      <c r="E949" s="33">
        <v>1634</v>
      </c>
      <c r="F949" s="33">
        <v>1506</v>
      </c>
      <c r="G949" s="33" t="s">
        <v>38</v>
      </c>
      <c r="H949" s="33" t="s">
        <v>1941</v>
      </c>
      <c r="I949" s="33" t="s">
        <v>39</v>
      </c>
      <c r="J949" s="33" t="s">
        <v>40</v>
      </c>
      <c r="K949" s="33" t="s">
        <v>41</v>
      </c>
      <c r="L949" s="33"/>
    </row>
    <row r="950" spans="1:12" s="1" customFormat="1" x14ac:dyDescent="0.3">
      <c r="A950" s="33" t="s">
        <v>1942</v>
      </c>
      <c r="B950" s="33">
        <v>1143744993</v>
      </c>
      <c r="C950" s="33" t="s">
        <v>43</v>
      </c>
      <c r="D950" s="33">
        <v>4431268225</v>
      </c>
      <c r="E950" s="33">
        <v>581</v>
      </c>
      <c r="F950" s="33">
        <v>500</v>
      </c>
      <c r="G950" s="33" t="s">
        <v>38</v>
      </c>
      <c r="H950" s="33" t="s">
        <v>1943</v>
      </c>
      <c r="I950" s="33" t="s">
        <v>39</v>
      </c>
      <c r="J950" s="33" t="s">
        <v>40</v>
      </c>
      <c r="K950" s="33" t="s">
        <v>41</v>
      </c>
      <c r="L950" s="33">
        <v>5</v>
      </c>
    </row>
    <row r="951" spans="1:12" s="1" customFormat="1" x14ac:dyDescent="0.3">
      <c r="A951" s="33" t="s">
        <v>1944</v>
      </c>
      <c r="B951" s="33">
        <v>11964449514</v>
      </c>
      <c r="C951" s="33" t="s">
        <v>44</v>
      </c>
      <c r="D951" s="33">
        <v>4431268225</v>
      </c>
      <c r="E951" s="33">
        <v>116</v>
      </c>
      <c r="F951" s="33">
        <v>56</v>
      </c>
      <c r="G951" s="33" t="s">
        <v>38</v>
      </c>
      <c r="H951" s="33" t="s">
        <v>1945</v>
      </c>
      <c r="I951" s="33" t="s">
        <v>39</v>
      </c>
      <c r="J951" s="33" t="s">
        <v>40</v>
      </c>
      <c r="K951" s="33" t="s">
        <v>41</v>
      </c>
      <c r="L951" s="33"/>
    </row>
    <row r="952" spans="1:12" s="1" customFormat="1" x14ac:dyDescent="0.3">
      <c r="A952" s="33" t="s">
        <v>1946</v>
      </c>
      <c r="B952" s="33">
        <v>4432272377</v>
      </c>
      <c r="C952" s="33" t="s">
        <v>42</v>
      </c>
      <c r="D952" s="33">
        <v>4430265054</v>
      </c>
      <c r="E952" s="33">
        <v>1464</v>
      </c>
      <c r="F952" s="33">
        <v>1410</v>
      </c>
      <c r="G952" s="33" t="s">
        <v>38</v>
      </c>
      <c r="H952" s="33" t="s">
        <v>1947</v>
      </c>
      <c r="I952" s="33" t="s">
        <v>39</v>
      </c>
      <c r="J952" s="33" t="s">
        <v>40</v>
      </c>
      <c r="K952" s="33" t="s">
        <v>41</v>
      </c>
      <c r="L952" s="33"/>
    </row>
    <row r="953" spans="1:12" s="1" customFormat="1" x14ac:dyDescent="0.3">
      <c r="A953" s="33" t="s">
        <v>1948</v>
      </c>
      <c r="B953" s="33">
        <v>1008</v>
      </c>
      <c r="C953" s="33" t="s">
        <v>44</v>
      </c>
      <c r="D953" s="33"/>
      <c r="E953" s="33">
        <v>402</v>
      </c>
      <c r="F953" s="33">
        <v>384</v>
      </c>
      <c r="G953" s="33" t="s">
        <v>38</v>
      </c>
      <c r="H953" s="33" t="s">
        <v>1949</v>
      </c>
      <c r="I953" s="33" t="s">
        <v>46</v>
      </c>
      <c r="J953" s="33" t="s">
        <v>40</v>
      </c>
      <c r="K953" s="33"/>
      <c r="L953" s="33"/>
    </row>
    <row r="954" spans="1:12" s="1" customFormat="1" x14ac:dyDescent="0.3">
      <c r="A954" s="33" t="s">
        <v>1950</v>
      </c>
      <c r="B954" s="33">
        <v>44999629349</v>
      </c>
      <c r="C954" s="33" t="s">
        <v>37</v>
      </c>
      <c r="D954" s="33">
        <v>4430265054</v>
      </c>
      <c r="E954" s="33">
        <v>138</v>
      </c>
      <c r="F954" s="33">
        <v>2</v>
      </c>
      <c r="G954" s="33" t="s">
        <v>38</v>
      </c>
      <c r="H954" s="33" t="s">
        <v>1951</v>
      </c>
      <c r="I954" s="33" t="s">
        <v>39</v>
      </c>
      <c r="J954" s="33" t="s">
        <v>40</v>
      </c>
      <c r="K954" s="33" t="s">
        <v>41</v>
      </c>
      <c r="L954" s="33"/>
    </row>
    <row r="955" spans="1:12" s="1" customFormat="1" x14ac:dyDescent="0.3">
      <c r="A955" s="33" t="s">
        <v>1952</v>
      </c>
      <c r="B955" s="33">
        <v>4532541802</v>
      </c>
      <c r="C955" s="33" t="s">
        <v>43</v>
      </c>
      <c r="D955" s="33">
        <v>4430265054</v>
      </c>
      <c r="E955" s="33">
        <v>791</v>
      </c>
      <c r="F955" s="33">
        <v>762</v>
      </c>
      <c r="G955" s="33" t="s">
        <v>38</v>
      </c>
      <c r="H955" s="33" t="s">
        <v>1953</v>
      </c>
      <c r="I955" s="33" t="s">
        <v>39</v>
      </c>
      <c r="J955" s="33" t="s">
        <v>40</v>
      </c>
      <c r="K955" s="33" t="s">
        <v>41</v>
      </c>
      <c r="L955" s="33"/>
    </row>
    <row r="956" spans="1:12" s="1" customFormat="1" x14ac:dyDescent="0.3">
      <c r="A956" s="33" t="s">
        <v>1954</v>
      </c>
      <c r="B956" s="33" t="s">
        <v>43</v>
      </c>
      <c r="C956" s="33">
        <v>4430456242</v>
      </c>
      <c r="D956" s="33"/>
      <c r="E956" s="33">
        <v>111</v>
      </c>
      <c r="F956" s="33">
        <v>102</v>
      </c>
      <c r="G956" s="33" t="s">
        <v>38</v>
      </c>
      <c r="H956" s="33" t="s">
        <v>1955</v>
      </c>
      <c r="I956" s="33" t="s">
        <v>46</v>
      </c>
      <c r="J956" s="33" t="s">
        <v>40</v>
      </c>
      <c r="K956" s="33"/>
      <c r="L956" s="33"/>
    </row>
    <row r="957" spans="1:12" s="1" customFormat="1" x14ac:dyDescent="0.3">
      <c r="A957" s="33" t="s">
        <v>1956</v>
      </c>
      <c r="B957" s="33" t="s">
        <v>43</v>
      </c>
      <c r="C957" s="33">
        <v>4430456242</v>
      </c>
      <c r="D957" s="33"/>
      <c r="E957" s="33">
        <v>1</v>
      </c>
      <c r="F957" s="33">
        <v>0</v>
      </c>
      <c r="G957" s="33" t="s">
        <v>47</v>
      </c>
      <c r="H957" s="33" t="s">
        <v>1957</v>
      </c>
      <c r="I957" s="33" t="s">
        <v>46</v>
      </c>
      <c r="J957" s="33" t="s">
        <v>40</v>
      </c>
      <c r="K957" s="33"/>
      <c r="L957" s="33"/>
    </row>
    <row r="958" spans="1:12" s="1" customFormat="1" x14ac:dyDescent="0.3">
      <c r="A958" s="33" t="s">
        <v>1958</v>
      </c>
      <c r="B958" s="33" t="s">
        <v>43</v>
      </c>
      <c r="C958" s="33">
        <v>4430456242</v>
      </c>
      <c r="D958" s="33"/>
      <c r="E958" s="33">
        <v>1</v>
      </c>
      <c r="F958" s="33">
        <v>0</v>
      </c>
      <c r="G958" s="33" t="s">
        <v>47</v>
      </c>
      <c r="H958" s="33" t="s">
        <v>1959</v>
      </c>
      <c r="I958" s="33" t="s">
        <v>46</v>
      </c>
      <c r="J958" s="33" t="s">
        <v>40</v>
      </c>
      <c r="K958" s="33"/>
      <c r="L958" s="33"/>
    </row>
    <row r="959" spans="1:12" s="1" customFormat="1" x14ac:dyDescent="0.3">
      <c r="A959" s="33" t="s">
        <v>1960</v>
      </c>
      <c r="B959" s="33" t="s">
        <v>43</v>
      </c>
      <c r="C959" s="33">
        <v>4430456242</v>
      </c>
      <c r="D959" s="33"/>
      <c r="E959" s="33">
        <v>1</v>
      </c>
      <c r="F959" s="33">
        <v>0</v>
      </c>
      <c r="G959" s="33" t="s">
        <v>47</v>
      </c>
      <c r="H959" s="33" t="s">
        <v>1961</v>
      </c>
      <c r="I959" s="33" t="s">
        <v>46</v>
      </c>
      <c r="J959" s="33" t="s">
        <v>40</v>
      </c>
      <c r="K959" s="33"/>
      <c r="L959" s="33"/>
    </row>
    <row r="960" spans="1:12" s="1" customFormat="1" x14ac:dyDescent="0.3">
      <c r="A960" s="33" t="s">
        <v>1962</v>
      </c>
      <c r="B960" s="33" t="s">
        <v>43</v>
      </c>
      <c r="C960" s="33">
        <v>4430456242</v>
      </c>
      <c r="D960" s="33"/>
      <c r="E960" s="33">
        <v>2</v>
      </c>
      <c r="F960" s="33">
        <v>0</v>
      </c>
      <c r="G960" s="33" t="s">
        <v>47</v>
      </c>
      <c r="H960" s="33" t="s">
        <v>1963</v>
      </c>
      <c r="I960" s="33" t="s">
        <v>46</v>
      </c>
      <c r="J960" s="33" t="s">
        <v>40</v>
      </c>
      <c r="K960" s="33"/>
      <c r="L960" s="33"/>
    </row>
    <row r="961" spans="1:13" x14ac:dyDescent="0.3">
      <c r="A961" s="33" t="s">
        <v>1964</v>
      </c>
      <c r="B961" s="33" t="s">
        <v>43</v>
      </c>
      <c r="C961" s="33">
        <v>4430456242</v>
      </c>
      <c r="E961" s="33">
        <v>36</v>
      </c>
      <c r="F961" s="33">
        <v>27</v>
      </c>
      <c r="G961" s="33" t="s">
        <v>38</v>
      </c>
      <c r="H961" s="33" t="s">
        <v>1965</v>
      </c>
      <c r="I961" s="33" t="s">
        <v>46</v>
      </c>
      <c r="J961" s="33" t="s">
        <v>40</v>
      </c>
      <c r="L961" s="37"/>
      <c r="M961" s="34" t="s">
        <v>3443</v>
      </c>
    </row>
    <row r="962" spans="1:13" x14ac:dyDescent="0.3">
      <c r="A962" s="33" t="s">
        <v>1966</v>
      </c>
      <c r="B962" s="33">
        <v>44997680266</v>
      </c>
      <c r="C962" s="33" t="s">
        <v>44</v>
      </c>
      <c r="D962" s="33">
        <v>4430265054</v>
      </c>
      <c r="E962" s="33">
        <v>520</v>
      </c>
      <c r="F962" s="33">
        <v>406</v>
      </c>
      <c r="G962" s="33" t="s">
        <v>38</v>
      </c>
      <c r="H962" s="33" t="s">
        <v>1967</v>
      </c>
      <c r="I962" s="33" t="s">
        <v>39</v>
      </c>
      <c r="J962" s="33" t="s">
        <v>40</v>
      </c>
      <c r="K962" s="33" t="s">
        <v>41</v>
      </c>
      <c r="M962" s="1"/>
    </row>
    <row r="963" spans="1:13" x14ac:dyDescent="0.3">
      <c r="A963" s="33" t="s">
        <v>1968</v>
      </c>
      <c r="B963" s="33">
        <v>41996631918</v>
      </c>
      <c r="C963" s="33" t="s">
        <v>37</v>
      </c>
      <c r="D963" s="33">
        <v>4430265054</v>
      </c>
      <c r="E963" s="33">
        <v>453</v>
      </c>
      <c r="F963" s="33">
        <v>366</v>
      </c>
      <c r="G963" s="33" t="s">
        <v>38</v>
      </c>
      <c r="H963" s="33" t="s">
        <v>1969</v>
      </c>
      <c r="I963" s="33" t="s">
        <v>39</v>
      </c>
      <c r="J963" s="33" t="s">
        <v>40</v>
      </c>
      <c r="K963" s="33" t="s">
        <v>41</v>
      </c>
      <c r="L963" s="33">
        <v>5</v>
      </c>
      <c r="M963" s="1"/>
    </row>
    <row r="964" spans="1:13" x14ac:dyDescent="0.3">
      <c r="A964" s="33" t="s">
        <v>1970</v>
      </c>
      <c r="B964" s="33" t="s">
        <v>43</v>
      </c>
      <c r="C964" s="33">
        <v>93984112869</v>
      </c>
      <c r="E964" s="33">
        <v>376</v>
      </c>
      <c r="F964" s="33">
        <v>362</v>
      </c>
      <c r="G964" s="33" t="s">
        <v>38</v>
      </c>
      <c r="H964" s="33" t="s">
        <v>1971</v>
      </c>
      <c r="I964" s="33" t="s">
        <v>46</v>
      </c>
      <c r="J964" s="33" t="s">
        <v>40</v>
      </c>
      <c r="L964" s="33">
        <v>5</v>
      </c>
      <c r="M964" s="1"/>
    </row>
    <row r="965" spans="1:13" x14ac:dyDescent="0.3">
      <c r="A965" s="33" t="s">
        <v>1972</v>
      </c>
      <c r="B965" s="33" t="s">
        <v>43</v>
      </c>
      <c r="C965" s="33">
        <v>93984112869</v>
      </c>
      <c r="E965" s="33">
        <v>19</v>
      </c>
      <c r="F965" s="33">
        <v>8</v>
      </c>
      <c r="G965" s="33" t="s">
        <v>38</v>
      </c>
      <c r="H965" s="33" t="s">
        <v>1973</v>
      </c>
      <c r="I965" s="33" t="s">
        <v>46</v>
      </c>
      <c r="J965" s="33" t="s">
        <v>40</v>
      </c>
      <c r="M965" s="1"/>
    </row>
    <row r="966" spans="1:13" x14ac:dyDescent="0.3">
      <c r="A966" s="33" t="s">
        <v>1974</v>
      </c>
      <c r="B966" s="33" t="s">
        <v>37</v>
      </c>
      <c r="C966" s="33">
        <v>44988067937</v>
      </c>
      <c r="E966" s="33">
        <v>38</v>
      </c>
      <c r="F966" s="33">
        <v>0</v>
      </c>
      <c r="G966" s="33" t="s">
        <v>47</v>
      </c>
      <c r="H966" s="33" t="s">
        <v>1975</v>
      </c>
      <c r="I966" s="33" t="s">
        <v>46</v>
      </c>
      <c r="J966" s="33" t="s">
        <v>40</v>
      </c>
      <c r="M966" s="1"/>
    </row>
    <row r="967" spans="1:13" x14ac:dyDescent="0.3">
      <c r="A967" s="33" t="s">
        <v>1976</v>
      </c>
      <c r="B967" s="33" t="s">
        <v>37</v>
      </c>
      <c r="C967" s="33">
        <v>44988067937</v>
      </c>
      <c r="E967" s="33">
        <v>4</v>
      </c>
      <c r="F967" s="33">
        <v>0</v>
      </c>
      <c r="G967" s="33" t="s">
        <v>47</v>
      </c>
      <c r="H967" s="33" t="s">
        <v>1977</v>
      </c>
      <c r="I967" s="33" t="s">
        <v>46</v>
      </c>
      <c r="J967" s="33" t="s">
        <v>40</v>
      </c>
      <c r="M967" s="1"/>
    </row>
    <row r="968" spans="1:13" x14ac:dyDescent="0.3">
      <c r="A968" s="33" t="s">
        <v>1978</v>
      </c>
      <c r="B968" s="33" t="s">
        <v>37</v>
      </c>
      <c r="C968" s="33">
        <v>44988067937</v>
      </c>
      <c r="E968" s="33">
        <v>67</v>
      </c>
      <c r="F968" s="33">
        <v>28</v>
      </c>
      <c r="G968" s="33" t="s">
        <v>38</v>
      </c>
      <c r="H968" s="33" t="s">
        <v>1979</v>
      </c>
      <c r="I968" s="33" t="s">
        <v>46</v>
      </c>
      <c r="J968" s="33" t="s">
        <v>40</v>
      </c>
      <c r="M968" s="1"/>
    </row>
    <row r="969" spans="1:13" x14ac:dyDescent="0.3">
      <c r="A969" s="33" t="s">
        <v>1980</v>
      </c>
      <c r="B969" s="33" t="s">
        <v>37</v>
      </c>
      <c r="C969" s="33">
        <v>44988067937</v>
      </c>
      <c r="E969" s="33">
        <v>6</v>
      </c>
      <c r="F969" s="33">
        <v>0</v>
      </c>
      <c r="G969" s="33" t="s">
        <v>47</v>
      </c>
      <c r="H969" s="33" t="s">
        <v>1981</v>
      </c>
      <c r="I969" s="33" t="s">
        <v>46</v>
      </c>
      <c r="J969" s="33" t="s">
        <v>40</v>
      </c>
      <c r="M969" s="1"/>
    </row>
    <row r="970" spans="1:13" x14ac:dyDescent="0.3">
      <c r="A970" s="33" t="s">
        <v>1982</v>
      </c>
      <c r="B970" s="33">
        <v>93984112869</v>
      </c>
      <c r="C970" s="33" t="s">
        <v>43</v>
      </c>
      <c r="D970" s="33">
        <v>4431268225</v>
      </c>
      <c r="E970" s="33">
        <v>215</v>
      </c>
      <c r="F970" s="33">
        <v>119</v>
      </c>
      <c r="G970" s="33" t="s">
        <v>38</v>
      </c>
      <c r="H970" s="33" t="s">
        <v>1983</v>
      </c>
      <c r="I970" s="33" t="s">
        <v>39</v>
      </c>
      <c r="J970" s="33" t="s">
        <v>40</v>
      </c>
      <c r="K970" s="33" t="s">
        <v>41</v>
      </c>
      <c r="M970" s="1"/>
    </row>
    <row r="971" spans="1:13" x14ac:dyDescent="0.3">
      <c r="A971" s="33" t="s">
        <v>1984</v>
      </c>
      <c r="B971" s="33">
        <v>4435224706</v>
      </c>
      <c r="C971" s="33" t="s">
        <v>48</v>
      </c>
      <c r="D971" s="33">
        <v>4430265054</v>
      </c>
      <c r="E971" s="33">
        <v>346</v>
      </c>
      <c r="F971" s="33">
        <v>318</v>
      </c>
      <c r="G971" s="33" t="s">
        <v>38</v>
      </c>
      <c r="H971" s="33" t="s">
        <v>1985</v>
      </c>
      <c r="I971" s="33" t="s">
        <v>39</v>
      </c>
      <c r="J971" s="33" t="s">
        <v>40</v>
      </c>
      <c r="K971" s="33" t="s">
        <v>41</v>
      </c>
      <c r="M971" s="1"/>
    </row>
    <row r="972" spans="1:13" x14ac:dyDescent="0.3">
      <c r="A972" s="33" t="s">
        <v>1986</v>
      </c>
      <c r="B972" s="33">
        <v>44988067937</v>
      </c>
      <c r="C972" s="33" t="s">
        <v>37</v>
      </c>
      <c r="D972" s="33">
        <v>4430265054</v>
      </c>
      <c r="E972" s="33">
        <v>163</v>
      </c>
      <c r="F972" s="33">
        <v>31</v>
      </c>
      <c r="G972" s="33" t="s">
        <v>38</v>
      </c>
      <c r="H972" s="33" t="s">
        <v>1987</v>
      </c>
      <c r="I972" s="33" t="s">
        <v>39</v>
      </c>
      <c r="J972" s="33" t="s">
        <v>40</v>
      </c>
      <c r="K972" s="33" t="s">
        <v>41</v>
      </c>
      <c r="M972" s="1"/>
    </row>
    <row r="973" spans="1:13" x14ac:dyDescent="0.3">
      <c r="A973" s="33" t="s">
        <v>1988</v>
      </c>
      <c r="B973" s="33">
        <v>44991388221</v>
      </c>
      <c r="C973" s="33" t="s">
        <v>48</v>
      </c>
      <c r="D973" s="33">
        <v>4430265054</v>
      </c>
      <c r="E973" s="33">
        <v>91</v>
      </c>
      <c r="F973" s="33">
        <v>66</v>
      </c>
      <c r="G973" s="33" t="s">
        <v>38</v>
      </c>
      <c r="H973" s="33" t="s">
        <v>1989</v>
      </c>
      <c r="I973" s="33" t="s">
        <v>39</v>
      </c>
      <c r="J973" s="33" t="s">
        <v>40</v>
      </c>
      <c r="K973" s="33" t="s">
        <v>41</v>
      </c>
      <c r="M973" s="1"/>
    </row>
    <row r="974" spans="1:13" x14ac:dyDescent="0.3">
      <c r="A974" s="33" t="s">
        <v>1990</v>
      </c>
      <c r="B974" s="33">
        <v>73982188717</v>
      </c>
      <c r="C974" s="33" t="s">
        <v>37</v>
      </c>
      <c r="D974" s="33">
        <v>4430265054</v>
      </c>
      <c r="E974" s="33">
        <v>292</v>
      </c>
      <c r="F974" s="33">
        <v>224</v>
      </c>
      <c r="G974" s="33" t="s">
        <v>38</v>
      </c>
      <c r="H974" s="33" t="s">
        <v>1991</v>
      </c>
      <c r="I974" s="33" t="s">
        <v>39</v>
      </c>
      <c r="J974" s="33" t="s">
        <v>40</v>
      </c>
      <c r="K974" s="33" t="s">
        <v>41</v>
      </c>
      <c r="M974" s="1"/>
    </row>
    <row r="975" spans="1:13" x14ac:dyDescent="0.3">
      <c r="A975" s="33" t="s">
        <v>1992</v>
      </c>
      <c r="B975" s="33">
        <v>44998860140</v>
      </c>
      <c r="C975" s="33" t="s">
        <v>43</v>
      </c>
      <c r="D975" s="33">
        <v>4430265054</v>
      </c>
      <c r="E975" s="33">
        <v>340</v>
      </c>
      <c r="F975" s="33">
        <v>321</v>
      </c>
      <c r="G975" s="33" t="s">
        <v>38</v>
      </c>
      <c r="H975" s="33" t="s">
        <v>1993</v>
      </c>
      <c r="I975" s="33" t="s">
        <v>39</v>
      </c>
      <c r="J975" s="33" t="s">
        <v>40</v>
      </c>
      <c r="K975" s="33" t="s">
        <v>41</v>
      </c>
      <c r="M975" s="1"/>
    </row>
    <row r="976" spans="1:13" x14ac:dyDescent="0.3">
      <c r="A976" s="33" t="s">
        <v>1994</v>
      </c>
      <c r="B976" s="33">
        <v>43984996095</v>
      </c>
      <c r="C976" s="33" t="s">
        <v>44</v>
      </c>
      <c r="D976" s="33">
        <v>4430265054</v>
      </c>
      <c r="E976" s="33">
        <v>883</v>
      </c>
      <c r="F976" s="33">
        <v>700</v>
      </c>
      <c r="G976" s="33" t="s">
        <v>38</v>
      </c>
      <c r="H976" s="33" t="s">
        <v>1995</v>
      </c>
      <c r="I976" s="33" t="s">
        <v>39</v>
      </c>
      <c r="J976" s="33" t="s">
        <v>40</v>
      </c>
      <c r="K976" s="33" t="s">
        <v>41</v>
      </c>
      <c r="M976" s="1"/>
    </row>
    <row r="977" spans="1:12" s="1" customFormat="1" x14ac:dyDescent="0.3">
      <c r="A977" s="33" t="s">
        <v>1996</v>
      </c>
      <c r="B977" s="33" t="s">
        <v>45</v>
      </c>
      <c r="C977" s="33">
        <v>77998695504</v>
      </c>
      <c r="D977" s="33"/>
      <c r="E977" s="33">
        <v>4589</v>
      </c>
      <c r="F977" s="33">
        <v>4573</v>
      </c>
      <c r="G977" s="33" t="s">
        <v>38</v>
      </c>
      <c r="H977" s="33" t="s">
        <v>1997</v>
      </c>
      <c r="I977" s="33" t="s">
        <v>46</v>
      </c>
      <c r="J977" s="33" t="s">
        <v>40</v>
      </c>
      <c r="K977" s="33"/>
      <c r="L977" s="33"/>
    </row>
    <row r="978" spans="1:12" s="1" customFormat="1" x14ac:dyDescent="0.3">
      <c r="A978" s="33" t="s">
        <v>1998</v>
      </c>
      <c r="B978" s="33">
        <v>4432268889</v>
      </c>
      <c r="C978" s="33" t="s">
        <v>42</v>
      </c>
      <c r="D978" s="33">
        <v>4430265054</v>
      </c>
      <c r="E978" s="33">
        <v>2700</v>
      </c>
      <c r="F978" s="33">
        <v>2636</v>
      </c>
      <c r="G978" s="33" t="s">
        <v>38</v>
      </c>
      <c r="H978" s="33" t="s">
        <v>1999</v>
      </c>
      <c r="I978" s="33" t="s">
        <v>39</v>
      </c>
      <c r="J978" s="33" t="s">
        <v>40</v>
      </c>
      <c r="K978" s="33" t="s">
        <v>41</v>
      </c>
      <c r="L978" s="33"/>
    </row>
    <row r="979" spans="1:12" s="1" customFormat="1" x14ac:dyDescent="0.3">
      <c r="A979" s="33" t="s">
        <v>2000</v>
      </c>
      <c r="B979" s="33" t="s">
        <v>49</v>
      </c>
      <c r="C979" s="33" t="s">
        <v>51</v>
      </c>
      <c r="D979" s="33"/>
      <c r="E979" s="33">
        <v>131</v>
      </c>
      <c r="F979" s="33">
        <v>117</v>
      </c>
      <c r="G979" s="33" t="s">
        <v>38</v>
      </c>
      <c r="H979" s="33" t="s">
        <v>2001</v>
      </c>
      <c r="I979" s="33" t="s">
        <v>52</v>
      </c>
      <c r="J979" s="33" t="s">
        <v>40</v>
      </c>
      <c r="K979" s="33"/>
      <c r="L979" s="33"/>
    </row>
    <row r="980" spans="1:12" s="1" customFormat="1" x14ac:dyDescent="0.3">
      <c r="A980" s="33" t="s">
        <v>2002</v>
      </c>
      <c r="B980" s="33" t="s">
        <v>48</v>
      </c>
      <c r="C980" s="33">
        <v>44999999393</v>
      </c>
      <c r="D980" s="33"/>
      <c r="E980" s="33">
        <v>25</v>
      </c>
      <c r="F980" s="33">
        <v>15</v>
      </c>
      <c r="G980" s="33" t="s">
        <v>38</v>
      </c>
      <c r="H980" s="33" t="s">
        <v>2003</v>
      </c>
      <c r="I980" s="33" t="s">
        <v>46</v>
      </c>
      <c r="J980" s="33" t="s">
        <v>40</v>
      </c>
      <c r="K980" s="33"/>
      <c r="L980" s="33"/>
    </row>
    <row r="981" spans="1:12" s="1" customFormat="1" x14ac:dyDescent="0.3">
      <c r="A981" s="33" t="s">
        <v>2004</v>
      </c>
      <c r="B981" s="33" t="s">
        <v>44</v>
      </c>
      <c r="C981" s="33">
        <v>44991116911</v>
      </c>
      <c r="D981" s="33"/>
      <c r="E981" s="33">
        <v>457</v>
      </c>
      <c r="F981" s="33">
        <v>446</v>
      </c>
      <c r="G981" s="33" t="s">
        <v>38</v>
      </c>
      <c r="H981" s="33" t="s">
        <v>2005</v>
      </c>
      <c r="I981" s="33" t="s">
        <v>46</v>
      </c>
      <c r="J981" s="33" t="s">
        <v>40</v>
      </c>
      <c r="K981" s="33"/>
      <c r="L981" s="33">
        <v>5</v>
      </c>
    </row>
    <row r="982" spans="1:12" s="1" customFormat="1" x14ac:dyDescent="0.3">
      <c r="A982" s="33" t="s">
        <v>2006</v>
      </c>
      <c r="B982" s="33" t="s">
        <v>43</v>
      </c>
      <c r="C982" s="33">
        <v>4430456242</v>
      </c>
      <c r="D982" s="33"/>
      <c r="E982" s="33">
        <v>37</v>
      </c>
      <c r="F982" s="33">
        <v>28</v>
      </c>
      <c r="G982" s="33" t="s">
        <v>38</v>
      </c>
      <c r="H982" s="33" t="s">
        <v>2007</v>
      </c>
      <c r="I982" s="33" t="s">
        <v>46</v>
      </c>
      <c r="J982" s="33" t="s">
        <v>40</v>
      </c>
      <c r="K982" s="33"/>
      <c r="L982" s="33"/>
    </row>
    <row r="983" spans="1:12" s="1" customFormat="1" x14ac:dyDescent="0.3">
      <c r="A983" s="33" t="s">
        <v>2008</v>
      </c>
      <c r="B983" s="33">
        <v>44991116911</v>
      </c>
      <c r="C983" s="33" t="s">
        <v>44</v>
      </c>
      <c r="D983" s="33">
        <v>4430265054</v>
      </c>
      <c r="E983" s="33">
        <v>332</v>
      </c>
      <c r="F983" s="33">
        <v>310</v>
      </c>
      <c r="G983" s="33" t="s">
        <v>38</v>
      </c>
      <c r="H983" s="33" t="s">
        <v>2009</v>
      </c>
      <c r="I983" s="33" t="s">
        <v>39</v>
      </c>
      <c r="J983" s="33" t="s">
        <v>40</v>
      </c>
      <c r="K983" s="33" t="s">
        <v>41</v>
      </c>
      <c r="L983" s="33"/>
    </row>
    <row r="984" spans="1:12" s="1" customFormat="1" x14ac:dyDescent="0.3">
      <c r="A984" s="33" t="s">
        <v>2010</v>
      </c>
      <c r="B984" s="33">
        <v>44999680829</v>
      </c>
      <c r="C984" s="33" t="s">
        <v>43</v>
      </c>
      <c r="D984" s="33">
        <v>4431268225</v>
      </c>
      <c r="E984" s="33">
        <v>934</v>
      </c>
      <c r="F984" s="33">
        <v>783</v>
      </c>
      <c r="G984" s="33" t="s">
        <v>38</v>
      </c>
      <c r="H984" s="33" t="s">
        <v>2011</v>
      </c>
      <c r="I984" s="33" t="s">
        <v>39</v>
      </c>
      <c r="J984" s="33" t="s">
        <v>40</v>
      </c>
      <c r="K984" s="33" t="s">
        <v>41</v>
      </c>
      <c r="L984" s="33">
        <v>5</v>
      </c>
    </row>
    <row r="985" spans="1:12" s="1" customFormat="1" x14ac:dyDescent="0.3">
      <c r="A985" s="33" t="s">
        <v>2012</v>
      </c>
      <c r="B985" s="33">
        <v>44999680829</v>
      </c>
      <c r="C985" s="33" t="s">
        <v>44</v>
      </c>
      <c r="D985" s="33">
        <v>4431268225</v>
      </c>
      <c r="E985" s="33">
        <v>154</v>
      </c>
      <c r="F985" s="33">
        <v>1</v>
      </c>
      <c r="G985" s="33" t="s">
        <v>38</v>
      </c>
      <c r="H985" s="33" t="s">
        <v>2013</v>
      </c>
      <c r="I985" s="33" t="s">
        <v>39</v>
      </c>
      <c r="J985" s="33" t="s">
        <v>40</v>
      </c>
      <c r="K985" s="33" t="s">
        <v>41</v>
      </c>
      <c r="L985" s="33"/>
    </row>
    <row r="986" spans="1:12" s="1" customFormat="1" x14ac:dyDescent="0.3">
      <c r="A986" s="33" t="s">
        <v>2014</v>
      </c>
      <c r="B986" s="33" t="s">
        <v>37</v>
      </c>
      <c r="C986" s="33">
        <v>4432321232</v>
      </c>
      <c r="D986" s="33"/>
      <c r="E986" s="33">
        <v>694</v>
      </c>
      <c r="F986" s="33">
        <v>685</v>
      </c>
      <c r="G986" s="33" t="s">
        <v>38</v>
      </c>
      <c r="H986" s="33" t="s">
        <v>2015</v>
      </c>
      <c r="I986" s="33" t="s">
        <v>46</v>
      </c>
      <c r="J986" s="33" t="s">
        <v>40</v>
      </c>
      <c r="K986" s="33"/>
      <c r="L986" s="33"/>
    </row>
    <row r="987" spans="1:12" s="1" customFormat="1" x14ac:dyDescent="0.3">
      <c r="A987" s="33" t="s">
        <v>2016</v>
      </c>
      <c r="B987" s="33" t="s">
        <v>45</v>
      </c>
      <c r="C987" s="33">
        <v>77998695504</v>
      </c>
      <c r="D987" s="33"/>
      <c r="E987" s="33">
        <v>2250</v>
      </c>
      <c r="F987" s="33">
        <v>2238</v>
      </c>
      <c r="G987" s="33" t="s">
        <v>38</v>
      </c>
      <c r="H987" s="33" t="s">
        <v>2017</v>
      </c>
      <c r="I987" s="33" t="s">
        <v>46</v>
      </c>
      <c r="J987" s="33" t="s">
        <v>40</v>
      </c>
      <c r="K987" s="33"/>
      <c r="L987" s="33"/>
    </row>
    <row r="988" spans="1:12" s="1" customFormat="1" x14ac:dyDescent="0.3">
      <c r="A988" s="33" t="s">
        <v>2018</v>
      </c>
      <c r="B988" s="33" t="s">
        <v>49</v>
      </c>
      <c r="C988" s="33" t="s">
        <v>51</v>
      </c>
      <c r="D988" s="33"/>
      <c r="E988" s="33">
        <v>250</v>
      </c>
      <c r="F988" s="33">
        <v>245</v>
      </c>
      <c r="G988" s="33" t="s">
        <v>38</v>
      </c>
      <c r="H988" s="33" t="s">
        <v>2019</v>
      </c>
      <c r="I988" s="33" t="s">
        <v>52</v>
      </c>
      <c r="J988" s="33" t="s">
        <v>40</v>
      </c>
      <c r="K988" s="33"/>
      <c r="L988" s="33"/>
    </row>
    <row r="989" spans="1:12" s="1" customFormat="1" x14ac:dyDescent="0.3">
      <c r="A989" s="33" t="s">
        <v>2020</v>
      </c>
      <c r="B989" s="33" t="s">
        <v>44</v>
      </c>
      <c r="C989" s="33">
        <v>4434233230</v>
      </c>
      <c r="D989" s="33"/>
      <c r="E989" s="33">
        <v>357</v>
      </c>
      <c r="F989" s="33">
        <v>349</v>
      </c>
      <c r="G989" s="33" t="s">
        <v>38</v>
      </c>
      <c r="H989" s="33" t="s">
        <v>2021</v>
      </c>
      <c r="I989" s="33" t="s">
        <v>46</v>
      </c>
      <c r="J989" s="33" t="s">
        <v>40</v>
      </c>
      <c r="K989" s="33"/>
      <c r="L989" s="33"/>
    </row>
    <row r="990" spans="1:12" s="1" customFormat="1" x14ac:dyDescent="0.3">
      <c r="A990" s="33" t="s">
        <v>2022</v>
      </c>
      <c r="B990" s="33" t="s">
        <v>44</v>
      </c>
      <c r="C990" s="33">
        <v>4434233230</v>
      </c>
      <c r="D990" s="33"/>
      <c r="E990" s="33">
        <v>22</v>
      </c>
      <c r="F990" s="33">
        <v>22</v>
      </c>
      <c r="G990" s="33" t="s">
        <v>38</v>
      </c>
      <c r="H990" s="33" t="s">
        <v>2023</v>
      </c>
      <c r="I990" s="33" t="s">
        <v>46</v>
      </c>
      <c r="J990" s="33" t="s">
        <v>40</v>
      </c>
      <c r="K990" s="33"/>
      <c r="L990" s="33"/>
    </row>
    <row r="991" spans="1:12" s="1" customFormat="1" x14ac:dyDescent="0.3">
      <c r="A991" s="33" t="s">
        <v>2024</v>
      </c>
      <c r="B991" s="33">
        <v>93991495484</v>
      </c>
      <c r="C991" s="33" t="s">
        <v>37</v>
      </c>
      <c r="D991" s="33">
        <v>4430265054</v>
      </c>
      <c r="E991" s="33">
        <v>826</v>
      </c>
      <c r="F991" s="33">
        <v>668</v>
      </c>
      <c r="G991" s="33" t="s">
        <v>38</v>
      </c>
      <c r="H991" s="33" t="s">
        <v>2025</v>
      </c>
      <c r="I991" s="33" t="s">
        <v>39</v>
      </c>
      <c r="J991" s="33" t="s">
        <v>40</v>
      </c>
      <c r="K991" s="33" t="s">
        <v>41</v>
      </c>
      <c r="L991" s="33">
        <v>5</v>
      </c>
    </row>
    <row r="992" spans="1:12" s="1" customFormat="1" x14ac:dyDescent="0.3">
      <c r="A992" s="33" t="s">
        <v>2026</v>
      </c>
      <c r="B992" s="33">
        <v>41995884778</v>
      </c>
      <c r="C992" s="33" t="s">
        <v>49</v>
      </c>
      <c r="D992" s="33">
        <v>4430265054</v>
      </c>
      <c r="E992" s="33">
        <v>674</v>
      </c>
      <c r="F992" s="33">
        <v>651</v>
      </c>
      <c r="G992" s="33" t="s">
        <v>38</v>
      </c>
      <c r="H992" s="33" t="s">
        <v>2027</v>
      </c>
      <c r="I992" s="33" t="s">
        <v>39</v>
      </c>
      <c r="J992" s="33" t="s">
        <v>40</v>
      </c>
      <c r="K992" s="33" t="s">
        <v>50</v>
      </c>
      <c r="L992" s="33"/>
    </row>
    <row r="993" spans="1:12" s="1" customFormat="1" x14ac:dyDescent="0.3">
      <c r="A993" s="33" t="s">
        <v>2028</v>
      </c>
      <c r="B993" s="33" t="s">
        <v>48</v>
      </c>
      <c r="C993" s="33">
        <v>44999356816</v>
      </c>
      <c r="D993" s="33"/>
      <c r="E993" s="33">
        <v>236</v>
      </c>
      <c r="F993" s="33">
        <v>225</v>
      </c>
      <c r="G993" s="33" t="s">
        <v>38</v>
      </c>
      <c r="H993" s="33" t="s">
        <v>2029</v>
      </c>
      <c r="I993" s="33" t="s">
        <v>46</v>
      </c>
      <c r="J993" s="33" t="s">
        <v>40</v>
      </c>
      <c r="K993" s="33"/>
      <c r="L993" s="33"/>
    </row>
    <row r="994" spans="1:12" s="1" customFormat="1" x14ac:dyDescent="0.3">
      <c r="A994" s="33" t="s">
        <v>2030</v>
      </c>
      <c r="B994" s="33" t="s">
        <v>48</v>
      </c>
      <c r="C994" s="33">
        <v>4532541802</v>
      </c>
      <c r="D994" s="33"/>
      <c r="E994" s="33">
        <v>41</v>
      </c>
      <c r="F994" s="33">
        <v>41</v>
      </c>
      <c r="G994" s="33" t="s">
        <v>38</v>
      </c>
      <c r="H994" s="33" t="s">
        <v>2031</v>
      </c>
      <c r="I994" s="33" t="s">
        <v>46</v>
      </c>
      <c r="J994" s="33" t="s">
        <v>40</v>
      </c>
      <c r="K994" s="33"/>
      <c r="L994" s="33"/>
    </row>
    <row r="995" spans="1:12" s="1" customFormat="1" x14ac:dyDescent="0.3">
      <c r="A995" s="33" t="s">
        <v>2032</v>
      </c>
      <c r="B995" s="33">
        <v>1639391799</v>
      </c>
      <c r="C995" s="33" t="s">
        <v>42</v>
      </c>
      <c r="D995" s="33">
        <v>4430265054</v>
      </c>
      <c r="E995" s="33">
        <v>422</v>
      </c>
      <c r="F995" s="33">
        <v>403</v>
      </c>
      <c r="G995" s="33" t="s">
        <v>38</v>
      </c>
      <c r="H995" s="33" t="s">
        <v>2033</v>
      </c>
      <c r="I995" s="33" t="s">
        <v>39</v>
      </c>
      <c r="J995" s="33" t="s">
        <v>40</v>
      </c>
      <c r="K995" s="33" t="s">
        <v>41</v>
      </c>
      <c r="L995" s="33"/>
    </row>
    <row r="996" spans="1:12" s="1" customFormat="1" x14ac:dyDescent="0.3">
      <c r="A996" s="33" t="s">
        <v>2034</v>
      </c>
      <c r="B996" s="33">
        <v>1128787060</v>
      </c>
      <c r="C996" s="33" t="s">
        <v>43</v>
      </c>
      <c r="D996" s="33">
        <v>4430265054</v>
      </c>
      <c r="E996" s="33">
        <v>724</v>
      </c>
      <c r="F996" s="33">
        <v>684</v>
      </c>
      <c r="G996" s="33" t="s">
        <v>38</v>
      </c>
      <c r="H996" s="33" t="s">
        <v>2035</v>
      </c>
      <c r="I996" s="33" t="s">
        <v>39</v>
      </c>
      <c r="J996" s="33" t="s">
        <v>40</v>
      </c>
      <c r="K996" s="33" t="s">
        <v>41</v>
      </c>
      <c r="L996" s="33"/>
    </row>
    <row r="997" spans="1:12" s="1" customFormat="1" x14ac:dyDescent="0.3">
      <c r="A997" s="33" t="s">
        <v>2036</v>
      </c>
      <c r="B997" s="33" t="s">
        <v>44</v>
      </c>
      <c r="C997" s="33">
        <v>4434233230</v>
      </c>
      <c r="D997" s="33"/>
      <c r="E997" s="33">
        <v>22</v>
      </c>
      <c r="F997" s="33">
        <v>21</v>
      </c>
      <c r="G997" s="33" t="s">
        <v>38</v>
      </c>
      <c r="H997" s="33" t="s">
        <v>2037</v>
      </c>
      <c r="I997" s="33" t="s">
        <v>46</v>
      </c>
      <c r="J997" s="33" t="s">
        <v>40</v>
      </c>
      <c r="K997" s="33"/>
      <c r="L997" s="33"/>
    </row>
    <row r="998" spans="1:12" s="1" customFormat="1" x14ac:dyDescent="0.3">
      <c r="A998" s="33" t="s">
        <v>2038</v>
      </c>
      <c r="B998" s="33" t="s">
        <v>44</v>
      </c>
      <c r="C998" s="33">
        <v>4434233230</v>
      </c>
      <c r="D998" s="33"/>
      <c r="E998" s="33">
        <v>5</v>
      </c>
      <c r="F998" s="33">
        <v>0</v>
      </c>
      <c r="G998" s="33" t="s">
        <v>47</v>
      </c>
      <c r="H998" s="33" t="s">
        <v>2039</v>
      </c>
      <c r="I998" s="33" t="s">
        <v>46</v>
      </c>
      <c r="J998" s="33" t="s">
        <v>40</v>
      </c>
      <c r="K998" s="33"/>
      <c r="L998" s="33"/>
    </row>
    <row r="999" spans="1:12" s="1" customFormat="1" x14ac:dyDescent="0.3">
      <c r="A999" s="33" t="s">
        <v>2040</v>
      </c>
      <c r="B999" s="33">
        <v>4432321428</v>
      </c>
      <c r="C999" s="33" t="s">
        <v>43</v>
      </c>
      <c r="D999" s="33">
        <v>4430265054</v>
      </c>
      <c r="E999" s="33">
        <v>155</v>
      </c>
      <c r="F999" s="33">
        <v>70</v>
      </c>
      <c r="G999" s="33" t="s">
        <v>38</v>
      </c>
      <c r="H999" s="33" t="s">
        <v>2041</v>
      </c>
      <c r="I999" s="33" t="s">
        <v>39</v>
      </c>
      <c r="J999" s="33" t="s">
        <v>40</v>
      </c>
      <c r="K999" s="33" t="s">
        <v>41</v>
      </c>
      <c r="L999" s="33"/>
    </row>
    <row r="1000" spans="1:12" s="1" customFormat="1" x14ac:dyDescent="0.3">
      <c r="A1000" s="33" t="s">
        <v>2042</v>
      </c>
      <c r="B1000" s="33" t="s">
        <v>44</v>
      </c>
      <c r="C1000" s="33">
        <v>4334232912</v>
      </c>
      <c r="D1000" s="33"/>
      <c r="E1000" s="33">
        <v>797</v>
      </c>
      <c r="F1000" s="33">
        <v>786</v>
      </c>
      <c r="G1000" s="33" t="s">
        <v>38</v>
      </c>
      <c r="H1000" s="33" t="s">
        <v>2043</v>
      </c>
      <c r="I1000" s="33" t="s">
        <v>46</v>
      </c>
      <c r="J1000" s="33" t="s">
        <v>40</v>
      </c>
      <c r="K1000" s="33"/>
      <c r="L1000" s="33">
        <v>5</v>
      </c>
    </row>
    <row r="1001" spans="1:12" s="1" customFormat="1" x14ac:dyDescent="0.3">
      <c r="A1001" s="33" t="s">
        <v>2044</v>
      </c>
      <c r="B1001" s="33">
        <v>4432481225</v>
      </c>
      <c r="C1001" s="33" t="s">
        <v>44</v>
      </c>
      <c r="D1001" s="33">
        <v>4430265054</v>
      </c>
      <c r="E1001" s="33">
        <v>264</v>
      </c>
      <c r="F1001" s="33">
        <v>192</v>
      </c>
      <c r="G1001" s="33" t="s">
        <v>38</v>
      </c>
      <c r="H1001" s="33" t="s">
        <v>2045</v>
      </c>
      <c r="I1001" s="33" t="s">
        <v>39</v>
      </c>
      <c r="J1001" s="33" t="s">
        <v>40</v>
      </c>
      <c r="K1001" s="33" t="s">
        <v>41</v>
      </c>
      <c r="L1001" s="33"/>
    </row>
    <row r="1002" spans="1:12" s="1" customFormat="1" x14ac:dyDescent="0.3">
      <c r="A1002" s="33" t="s">
        <v>2046</v>
      </c>
      <c r="B1002" s="33">
        <v>42998221810</v>
      </c>
      <c r="C1002" s="33" t="s">
        <v>37</v>
      </c>
      <c r="D1002" s="33">
        <v>4430265054</v>
      </c>
      <c r="E1002" s="33">
        <v>1562</v>
      </c>
      <c r="F1002" s="33">
        <v>1504</v>
      </c>
      <c r="G1002" s="33" t="s">
        <v>38</v>
      </c>
      <c r="H1002" s="33" t="s">
        <v>2047</v>
      </c>
      <c r="I1002" s="33" t="s">
        <v>39</v>
      </c>
      <c r="J1002" s="33" t="s">
        <v>40</v>
      </c>
      <c r="K1002" s="33" t="s">
        <v>41</v>
      </c>
      <c r="L1002" s="33">
        <v>5</v>
      </c>
    </row>
    <row r="1003" spans="1:12" s="1" customFormat="1" x14ac:dyDescent="0.3">
      <c r="A1003" s="33" t="s">
        <v>2048</v>
      </c>
      <c r="B1003" s="33">
        <v>4434233230</v>
      </c>
      <c r="C1003" s="33" t="s">
        <v>44</v>
      </c>
      <c r="D1003" s="33">
        <v>4430265054</v>
      </c>
      <c r="E1003" s="33">
        <v>311</v>
      </c>
      <c r="F1003" s="33">
        <v>268</v>
      </c>
      <c r="G1003" s="33" t="s">
        <v>38</v>
      </c>
      <c r="H1003" s="33" t="s">
        <v>2049</v>
      </c>
      <c r="I1003" s="33" t="s">
        <v>39</v>
      </c>
      <c r="J1003" s="33" t="s">
        <v>40</v>
      </c>
      <c r="K1003" s="33" t="s">
        <v>41</v>
      </c>
      <c r="L1003" s="33"/>
    </row>
    <row r="1004" spans="1:12" s="1" customFormat="1" x14ac:dyDescent="0.3">
      <c r="A1004" s="33" t="s">
        <v>2050</v>
      </c>
      <c r="B1004" s="33">
        <v>4430141533</v>
      </c>
      <c r="C1004" s="33" t="s">
        <v>43</v>
      </c>
      <c r="D1004" s="33">
        <v>4430265054</v>
      </c>
      <c r="E1004" s="33">
        <v>835</v>
      </c>
      <c r="F1004" s="33">
        <v>798</v>
      </c>
      <c r="G1004" s="33" t="s">
        <v>38</v>
      </c>
      <c r="H1004" s="33" t="s">
        <v>2051</v>
      </c>
      <c r="I1004" s="33" t="s">
        <v>39</v>
      </c>
      <c r="J1004" s="33" t="s">
        <v>40</v>
      </c>
      <c r="K1004" s="33" t="s">
        <v>41</v>
      </c>
      <c r="L1004" s="33">
        <v>5</v>
      </c>
    </row>
    <row r="1005" spans="1:12" s="1" customFormat="1" x14ac:dyDescent="0.3">
      <c r="A1005" s="33" t="s">
        <v>2052</v>
      </c>
      <c r="B1005" s="33">
        <v>4431337559</v>
      </c>
      <c r="C1005" s="33" t="s">
        <v>42</v>
      </c>
      <c r="D1005" s="33">
        <v>4430265054</v>
      </c>
      <c r="E1005" s="33">
        <v>1599</v>
      </c>
      <c r="F1005" s="33">
        <v>1530</v>
      </c>
      <c r="G1005" s="33" t="s">
        <v>38</v>
      </c>
      <c r="H1005" s="33" t="s">
        <v>2053</v>
      </c>
      <c r="I1005" s="33" t="s">
        <v>39</v>
      </c>
      <c r="J1005" s="33" t="s">
        <v>40</v>
      </c>
      <c r="K1005" s="33" t="s">
        <v>41</v>
      </c>
      <c r="L1005" s="33"/>
    </row>
    <row r="1006" spans="1:12" s="1" customFormat="1" x14ac:dyDescent="0.3">
      <c r="A1006" s="33" t="s">
        <v>2054</v>
      </c>
      <c r="B1006" s="33">
        <v>91984985454</v>
      </c>
      <c r="C1006" s="33" t="s">
        <v>43</v>
      </c>
      <c r="D1006" s="33">
        <v>4430265054</v>
      </c>
      <c r="E1006" s="33">
        <v>399</v>
      </c>
      <c r="F1006" s="33">
        <v>314</v>
      </c>
      <c r="G1006" s="33" t="s">
        <v>38</v>
      </c>
      <c r="H1006" s="33" t="s">
        <v>2055</v>
      </c>
      <c r="I1006" s="33" t="s">
        <v>39</v>
      </c>
      <c r="J1006" s="33" t="s">
        <v>40</v>
      </c>
      <c r="K1006" s="33" t="s">
        <v>41</v>
      </c>
      <c r="L1006" s="33"/>
    </row>
    <row r="1007" spans="1:12" s="1" customFormat="1" x14ac:dyDescent="0.3">
      <c r="A1007" s="33" t="s">
        <v>2056</v>
      </c>
      <c r="B1007" s="33">
        <v>4430286524</v>
      </c>
      <c r="C1007" s="33" t="s">
        <v>45</v>
      </c>
      <c r="D1007" s="33">
        <v>4430265054</v>
      </c>
      <c r="E1007" s="33">
        <v>2181</v>
      </c>
      <c r="F1007" s="33">
        <v>2029</v>
      </c>
      <c r="G1007" s="33" t="s">
        <v>38</v>
      </c>
      <c r="H1007" s="33" t="s">
        <v>2057</v>
      </c>
      <c r="I1007" s="33" t="s">
        <v>39</v>
      </c>
      <c r="J1007" s="33" t="s">
        <v>40</v>
      </c>
      <c r="K1007" s="33" t="s">
        <v>41</v>
      </c>
      <c r="L1007" s="33"/>
    </row>
    <row r="1008" spans="1:12" s="1" customFormat="1" x14ac:dyDescent="0.3">
      <c r="A1008" s="33" t="s">
        <v>2058</v>
      </c>
      <c r="B1008" s="33">
        <v>4432265534</v>
      </c>
      <c r="C1008" s="33" t="s">
        <v>42</v>
      </c>
      <c r="D1008" s="33">
        <v>4430265054</v>
      </c>
      <c r="E1008" s="33">
        <v>529</v>
      </c>
      <c r="F1008" s="33">
        <v>425</v>
      </c>
      <c r="G1008" s="33" t="s">
        <v>38</v>
      </c>
      <c r="H1008" s="33" t="s">
        <v>2059</v>
      </c>
      <c r="I1008" s="33" t="s">
        <v>39</v>
      </c>
      <c r="J1008" s="33" t="s">
        <v>40</v>
      </c>
      <c r="K1008" s="33" t="s">
        <v>41</v>
      </c>
      <c r="L1008" s="33">
        <v>5</v>
      </c>
    </row>
    <row r="1009" spans="1:12" s="1" customFormat="1" x14ac:dyDescent="0.3">
      <c r="A1009" s="33" t="s">
        <v>2060</v>
      </c>
      <c r="B1009" s="33">
        <v>4432524636</v>
      </c>
      <c r="C1009" s="33" t="s">
        <v>37</v>
      </c>
      <c r="D1009" s="33">
        <v>4430265054</v>
      </c>
      <c r="E1009" s="33">
        <v>799</v>
      </c>
      <c r="F1009" s="33">
        <v>713</v>
      </c>
      <c r="G1009" s="33" t="s">
        <v>38</v>
      </c>
      <c r="H1009" s="33" t="s">
        <v>2061</v>
      </c>
      <c r="I1009" s="33" t="s">
        <v>39</v>
      </c>
      <c r="J1009" s="33" t="s">
        <v>40</v>
      </c>
      <c r="K1009" s="33" t="s">
        <v>41</v>
      </c>
      <c r="L1009" s="33">
        <v>5</v>
      </c>
    </row>
    <row r="1010" spans="1:12" s="1" customFormat="1" x14ac:dyDescent="0.3">
      <c r="A1010" s="33" t="s">
        <v>2062</v>
      </c>
      <c r="B1010" s="33">
        <v>44991484476</v>
      </c>
      <c r="C1010" s="33" t="s">
        <v>45</v>
      </c>
      <c r="D1010" s="33">
        <v>4430265054</v>
      </c>
      <c r="E1010" s="33">
        <v>743</v>
      </c>
      <c r="F1010" s="33">
        <v>636</v>
      </c>
      <c r="G1010" s="33" t="s">
        <v>38</v>
      </c>
      <c r="H1010" s="33" t="s">
        <v>2063</v>
      </c>
      <c r="I1010" s="33" t="s">
        <v>39</v>
      </c>
      <c r="J1010" s="33" t="s">
        <v>40</v>
      </c>
      <c r="K1010" s="33" t="s">
        <v>41</v>
      </c>
      <c r="L1010" s="33">
        <v>5</v>
      </c>
    </row>
    <row r="1011" spans="1:12" s="1" customFormat="1" x14ac:dyDescent="0.3">
      <c r="A1011" s="33" t="s">
        <v>2064</v>
      </c>
      <c r="B1011" s="33">
        <v>4430162384</v>
      </c>
      <c r="C1011" s="33" t="s">
        <v>37</v>
      </c>
      <c r="D1011" s="33">
        <v>4430265054</v>
      </c>
      <c r="E1011" s="33">
        <v>479</v>
      </c>
      <c r="F1011" s="33">
        <v>329</v>
      </c>
      <c r="G1011" s="33" t="s">
        <v>38</v>
      </c>
      <c r="H1011" s="33" t="s">
        <v>2065</v>
      </c>
      <c r="I1011" s="33" t="s">
        <v>39</v>
      </c>
      <c r="J1011" s="33" t="s">
        <v>40</v>
      </c>
      <c r="K1011" s="33" t="s">
        <v>41</v>
      </c>
      <c r="L1011" s="33"/>
    </row>
    <row r="1012" spans="1:12" s="1" customFormat="1" x14ac:dyDescent="0.3">
      <c r="A1012" s="33" t="s">
        <v>2066</v>
      </c>
      <c r="B1012" s="33">
        <v>45999211357</v>
      </c>
      <c r="C1012" s="33" t="s">
        <v>43</v>
      </c>
      <c r="D1012" s="33">
        <v>4431268225</v>
      </c>
      <c r="E1012" s="33">
        <v>1181</v>
      </c>
      <c r="F1012" s="33">
        <v>1139</v>
      </c>
      <c r="G1012" s="33" t="s">
        <v>38</v>
      </c>
      <c r="H1012" s="33" t="s">
        <v>2067</v>
      </c>
      <c r="I1012" s="33" t="s">
        <v>39</v>
      </c>
      <c r="J1012" s="33" t="s">
        <v>40</v>
      </c>
      <c r="K1012" s="33" t="s">
        <v>41</v>
      </c>
      <c r="L1012" s="33">
        <v>5</v>
      </c>
    </row>
    <row r="1013" spans="1:12" s="1" customFormat="1" x14ac:dyDescent="0.3">
      <c r="A1013" s="33" t="s">
        <v>2068</v>
      </c>
      <c r="B1013" s="33">
        <v>4430288517</v>
      </c>
      <c r="C1013" s="33" t="s">
        <v>45</v>
      </c>
      <c r="D1013" s="33">
        <v>4430265054</v>
      </c>
      <c r="E1013" s="33">
        <v>40</v>
      </c>
      <c r="F1013" s="33">
        <v>14</v>
      </c>
      <c r="G1013" s="33" t="s">
        <v>38</v>
      </c>
      <c r="H1013" s="33" t="s">
        <v>2069</v>
      </c>
      <c r="I1013" s="33" t="s">
        <v>39</v>
      </c>
      <c r="J1013" s="33" t="s">
        <v>40</v>
      </c>
      <c r="K1013" s="33" t="s">
        <v>41</v>
      </c>
      <c r="L1013" s="33"/>
    </row>
    <row r="1014" spans="1:12" s="1" customFormat="1" x14ac:dyDescent="0.3">
      <c r="A1014" s="33" t="s">
        <v>2070</v>
      </c>
      <c r="B1014" s="33" t="s">
        <v>37</v>
      </c>
      <c r="C1014" s="33">
        <v>4436313274</v>
      </c>
      <c r="D1014" s="33"/>
      <c r="E1014" s="33">
        <v>916</v>
      </c>
      <c r="F1014" s="33">
        <v>910</v>
      </c>
      <c r="G1014" s="33" t="s">
        <v>38</v>
      </c>
      <c r="H1014" s="33" t="s">
        <v>2071</v>
      </c>
      <c r="I1014" s="33" t="s">
        <v>46</v>
      </c>
      <c r="J1014" s="33" t="s">
        <v>40</v>
      </c>
      <c r="K1014" s="33"/>
      <c r="L1014" s="33"/>
    </row>
    <row r="1015" spans="1:12" s="1" customFormat="1" x14ac:dyDescent="0.3">
      <c r="A1015" s="33" t="s">
        <v>2072</v>
      </c>
      <c r="B1015" s="33">
        <v>1131043888</v>
      </c>
      <c r="C1015" s="33" t="s">
        <v>43</v>
      </c>
      <c r="D1015" s="33">
        <v>4430265054</v>
      </c>
      <c r="E1015" s="33">
        <v>165</v>
      </c>
      <c r="F1015" s="33">
        <v>96</v>
      </c>
      <c r="G1015" s="33" t="s">
        <v>38</v>
      </c>
      <c r="H1015" s="33" t="s">
        <v>2073</v>
      </c>
      <c r="I1015" s="33" t="s">
        <v>39</v>
      </c>
      <c r="J1015" s="33" t="s">
        <v>40</v>
      </c>
      <c r="K1015" s="33" t="s">
        <v>41</v>
      </c>
      <c r="L1015" s="33"/>
    </row>
    <row r="1016" spans="1:12" s="1" customFormat="1" x14ac:dyDescent="0.3">
      <c r="A1016" s="33" t="s">
        <v>2074</v>
      </c>
      <c r="B1016" s="33">
        <v>35998295948</v>
      </c>
      <c r="C1016" s="33" t="s">
        <v>42</v>
      </c>
      <c r="D1016" s="33">
        <v>4430265054</v>
      </c>
      <c r="E1016" s="33">
        <v>1305</v>
      </c>
      <c r="F1016" s="33">
        <v>1276</v>
      </c>
      <c r="G1016" s="33" t="s">
        <v>38</v>
      </c>
      <c r="H1016" s="33" t="s">
        <v>2075</v>
      </c>
      <c r="I1016" s="33" t="s">
        <v>39</v>
      </c>
      <c r="J1016" s="33" t="s">
        <v>40</v>
      </c>
      <c r="K1016" s="33" t="s">
        <v>41</v>
      </c>
      <c r="L1016" s="33"/>
    </row>
    <row r="1017" spans="1:12" s="1" customFormat="1" x14ac:dyDescent="0.3">
      <c r="A1017" s="33" t="s">
        <v>2076</v>
      </c>
      <c r="B1017" s="33">
        <v>4436761185</v>
      </c>
      <c r="C1017" s="33" t="s">
        <v>48</v>
      </c>
      <c r="D1017" s="33">
        <v>4430265054</v>
      </c>
      <c r="E1017" s="33">
        <v>166</v>
      </c>
      <c r="F1017" s="33">
        <v>112</v>
      </c>
      <c r="G1017" s="33" t="s">
        <v>38</v>
      </c>
      <c r="H1017" s="33" t="s">
        <v>2077</v>
      </c>
      <c r="I1017" s="33" t="s">
        <v>39</v>
      </c>
      <c r="J1017" s="33" t="s">
        <v>40</v>
      </c>
      <c r="K1017" s="33" t="s">
        <v>41</v>
      </c>
      <c r="L1017" s="33"/>
    </row>
    <row r="1018" spans="1:12" s="1" customFormat="1" x14ac:dyDescent="0.3">
      <c r="A1018" s="33" t="s">
        <v>2078</v>
      </c>
      <c r="B1018" s="33" t="s">
        <v>43</v>
      </c>
      <c r="C1018" s="33">
        <v>44998601838</v>
      </c>
      <c r="D1018" s="33"/>
      <c r="E1018" s="33">
        <v>277</v>
      </c>
      <c r="F1018" s="33">
        <v>266</v>
      </c>
      <c r="G1018" s="33" t="s">
        <v>38</v>
      </c>
      <c r="H1018" s="33" t="s">
        <v>2079</v>
      </c>
      <c r="I1018" s="33" t="s">
        <v>46</v>
      </c>
      <c r="J1018" s="33" t="s">
        <v>40</v>
      </c>
      <c r="K1018" s="33"/>
      <c r="L1018" s="33"/>
    </row>
    <row r="1019" spans="1:12" s="1" customFormat="1" x14ac:dyDescent="0.3">
      <c r="A1019" s="33" t="s">
        <v>2080</v>
      </c>
      <c r="B1019" s="33">
        <v>4430315534</v>
      </c>
      <c r="C1019" s="33" t="s">
        <v>45</v>
      </c>
      <c r="D1019" s="33">
        <v>4430265054</v>
      </c>
      <c r="E1019" s="33">
        <v>858</v>
      </c>
      <c r="F1019" s="33">
        <v>739</v>
      </c>
      <c r="G1019" s="33" t="s">
        <v>38</v>
      </c>
      <c r="H1019" s="33" t="s">
        <v>2081</v>
      </c>
      <c r="I1019" s="33" t="s">
        <v>39</v>
      </c>
      <c r="J1019" s="33" t="s">
        <v>40</v>
      </c>
      <c r="K1019" s="33" t="s">
        <v>41</v>
      </c>
      <c r="L1019" s="33">
        <v>4</v>
      </c>
    </row>
    <row r="1020" spans="1:12" s="1" customFormat="1" x14ac:dyDescent="0.3">
      <c r="A1020" s="33" t="s">
        <v>2082</v>
      </c>
      <c r="B1020" s="33" t="s">
        <v>44</v>
      </c>
      <c r="C1020" s="33">
        <v>44988255390</v>
      </c>
      <c r="D1020" s="33"/>
      <c r="E1020" s="33">
        <v>362</v>
      </c>
      <c r="F1020" s="33">
        <v>345</v>
      </c>
      <c r="G1020" s="33" t="s">
        <v>38</v>
      </c>
      <c r="H1020" s="33" t="s">
        <v>2083</v>
      </c>
      <c r="I1020" s="33" t="s">
        <v>46</v>
      </c>
      <c r="J1020" s="33" t="s">
        <v>40</v>
      </c>
      <c r="K1020" s="33"/>
      <c r="L1020" s="33"/>
    </row>
    <row r="1021" spans="1:12" s="1" customFormat="1" x14ac:dyDescent="0.3">
      <c r="A1021" s="33" t="s">
        <v>2084</v>
      </c>
      <c r="B1021" s="33" t="s">
        <v>44</v>
      </c>
      <c r="C1021" s="33">
        <v>44988255390</v>
      </c>
      <c r="D1021" s="33"/>
      <c r="E1021" s="33">
        <v>6</v>
      </c>
      <c r="F1021" s="33">
        <v>0</v>
      </c>
      <c r="G1021" s="33" t="s">
        <v>47</v>
      </c>
      <c r="H1021" s="33" t="s">
        <v>2085</v>
      </c>
      <c r="I1021" s="33" t="s">
        <v>46</v>
      </c>
      <c r="J1021" s="33" t="s">
        <v>40</v>
      </c>
      <c r="K1021" s="33"/>
      <c r="L1021" s="33"/>
    </row>
    <row r="1022" spans="1:12" s="1" customFormat="1" x14ac:dyDescent="0.3">
      <c r="A1022" s="33" t="s">
        <v>2086</v>
      </c>
      <c r="B1022" s="33">
        <v>4432321371</v>
      </c>
      <c r="C1022" s="33" t="s">
        <v>37</v>
      </c>
      <c r="D1022" s="33">
        <v>4430265054</v>
      </c>
      <c r="E1022" s="33">
        <v>446</v>
      </c>
      <c r="F1022" s="33">
        <v>410</v>
      </c>
      <c r="G1022" s="33" t="s">
        <v>38</v>
      </c>
      <c r="H1022" s="33" t="s">
        <v>2087</v>
      </c>
      <c r="I1022" s="33" t="s">
        <v>39</v>
      </c>
      <c r="J1022" s="33" t="s">
        <v>40</v>
      </c>
      <c r="K1022" s="33" t="s">
        <v>41</v>
      </c>
      <c r="L1022" s="33"/>
    </row>
    <row r="1023" spans="1:12" s="1" customFormat="1" x14ac:dyDescent="0.3">
      <c r="A1023" s="33" t="s">
        <v>2088</v>
      </c>
      <c r="B1023" s="33" t="s">
        <v>37</v>
      </c>
      <c r="C1023" s="33">
        <v>4432321428</v>
      </c>
      <c r="D1023" s="33"/>
      <c r="E1023" s="33">
        <v>127</v>
      </c>
      <c r="F1023" s="33">
        <v>119</v>
      </c>
      <c r="G1023" s="33" t="s">
        <v>38</v>
      </c>
      <c r="H1023" s="33" t="s">
        <v>2089</v>
      </c>
      <c r="I1023" s="33" t="s">
        <v>46</v>
      </c>
      <c r="J1023" s="33" t="s">
        <v>40</v>
      </c>
      <c r="K1023" s="33"/>
      <c r="L1023" s="33"/>
    </row>
    <row r="1024" spans="1:12" s="1" customFormat="1" x14ac:dyDescent="0.3">
      <c r="A1024" s="33" t="s">
        <v>2090</v>
      </c>
      <c r="B1024" s="33" t="s">
        <v>45</v>
      </c>
      <c r="C1024" s="33">
        <v>44991486467</v>
      </c>
      <c r="D1024" s="33"/>
      <c r="E1024" s="33">
        <v>49</v>
      </c>
      <c r="F1024" s="33">
        <v>30</v>
      </c>
      <c r="G1024" s="33" t="s">
        <v>38</v>
      </c>
      <c r="H1024" s="33" t="s">
        <v>2091</v>
      </c>
      <c r="I1024" s="33" t="s">
        <v>46</v>
      </c>
      <c r="J1024" s="33" t="s">
        <v>40</v>
      </c>
      <c r="K1024" s="33"/>
      <c r="L1024" s="33"/>
    </row>
    <row r="1025" spans="1:12" s="1" customFormat="1" x14ac:dyDescent="0.3">
      <c r="A1025" s="33" t="s">
        <v>2092</v>
      </c>
      <c r="B1025" s="33" t="s">
        <v>45</v>
      </c>
      <c r="C1025" s="33">
        <v>44991486467</v>
      </c>
      <c r="D1025" s="33"/>
      <c r="E1025" s="33">
        <v>9</v>
      </c>
      <c r="F1025" s="33">
        <v>0</v>
      </c>
      <c r="G1025" s="33" t="s">
        <v>47</v>
      </c>
      <c r="H1025" s="33" t="s">
        <v>2093</v>
      </c>
      <c r="I1025" s="33" t="s">
        <v>46</v>
      </c>
      <c r="J1025" s="33" t="s">
        <v>40</v>
      </c>
      <c r="K1025" s="33"/>
      <c r="L1025" s="33"/>
    </row>
    <row r="1026" spans="1:12" s="1" customFormat="1" x14ac:dyDescent="0.3">
      <c r="A1026" s="33" t="s">
        <v>2094</v>
      </c>
      <c r="B1026" s="33" t="s">
        <v>37</v>
      </c>
      <c r="C1026" s="33">
        <v>4432321232</v>
      </c>
      <c r="D1026" s="33"/>
      <c r="E1026" s="33">
        <v>128</v>
      </c>
      <c r="F1026" s="33">
        <v>119</v>
      </c>
      <c r="G1026" s="33" t="s">
        <v>38</v>
      </c>
      <c r="H1026" s="33" t="s">
        <v>2095</v>
      </c>
      <c r="I1026" s="33" t="s">
        <v>46</v>
      </c>
      <c r="J1026" s="33" t="s">
        <v>40</v>
      </c>
      <c r="K1026" s="33"/>
      <c r="L1026" s="33"/>
    </row>
    <row r="1027" spans="1:12" s="1" customFormat="1" x14ac:dyDescent="0.3">
      <c r="A1027" s="33" t="s">
        <v>2096</v>
      </c>
      <c r="B1027" s="33" t="s">
        <v>37</v>
      </c>
      <c r="C1027" s="33">
        <v>4432321428</v>
      </c>
      <c r="D1027" s="33"/>
      <c r="E1027" s="33">
        <v>128</v>
      </c>
      <c r="F1027" s="33">
        <v>119</v>
      </c>
      <c r="G1027" s="33" t="s">
        <v>38</v>
      </c>
      <c r="H1027" s="33" t="s">
        <v>2097</v>
      </c>
      <c r="I1027" s="33" t="s">
        <v>46</v>
      </c>
      <c r="J1027" s="33" t="s">
        <v>40</v>
      </c>
      <c r="K1027" s="33"/>
      <c r="L1027" s="33"/>
    </row>
    <row r="1028" spans="1:12" s="1" customFormat="1" x14ac:dyDescent="0.3">
      <c r="A1028" s="33" t="s">
        <v>2098</v>
      </c>
      <c r="B1028" s="33">
        <v>62991155122</v>
      </c>
      <c r="C1028" s="33" t="s">
        <v>43</v>
      </c>
      <c r="D1028" s="33">
        <v>4430265054</v>
      </c>
      <c r="E1028" s="33">
        <v>311</v>
      </c>
      <c r="F1028" s="33">
        <v>268</v>
      </c>
      <c r="G1028" s="33" t="s">
        <v>38</v>
      </c>
      <c r="H1028" s="33" t="s">
        <v>2099</v>
      </c>
      <c r="I1028" s="33" t="s">
        <v>39</v>
      </c>
      <c r="J1028" s="33" t="s">
        <v>40</v>
      </c>
      <c r="K1028" s="33" t="s">
        <v>41</v>
      </c>
      <c r="L1028" s="33">
        <v>5</v>
      </c>
    </row>
    <row r="1029" spans="1:12" s="1" customFormat="1" x14ac:dyDescent="0.3">
      <c r="A1029" s="33" t="s">
        <v>2100</v>
      </c>
      <c r="B1029" s="33" t="s">
        <v>37</v>
      </c>
      <c r="C1029" s="33">
        <v>4432321428</v>
      </c>
      <c r="D1029" s="33"/>
      <c r="E1029" s="33">
        <v>43</v>
      </c>
      <c r="F1029" s="33">
        <v>34</v>
      </c>
      <c r="G1029" s="33" t="s">
        <v>38</v>
      </c>
      <c r="H1029" s="33" t="s">
        <v>2101</v>
      </c>
      <c r="I1029" s="33" t="s">
        <v>46</v>
      </c>
      <c r="J1029" s="33" t="s">
        <v>40</v>
      </c>
      <c r="K1029" s="33"/>
      <c r="L1029" s="33"/>
    </row>
    <row r="1030" spans="1:12" s="1" customFormat="1" x14ac:dyDescent="0.3">
      <c r="A1030" s="33" t="s">
        <v>2102</v>
      </c>
      <c r="B1030" s="33" t="s">
        <v>37</v>
      </c>
      <c r="C1030" s="33">
        <v>4432321428</v>
      </c>
      <c r="D1030" s="33"/>
      <c r="E1030" s="33">
        <v>41</v>
      </c>
      <c r="F1030" s="33">
        <v>33</v>
      </c>
      <c r="G1030" s="33" t="s">
        <v>38</v>
      </c>
      <c r="H1030" s="33" t="s">
        <v>2103</v>
      </c>
      <c r="I1030" s="33" t="s">
        <v>46</v>
      </c>
      <c r="J1030" s="33" t="s">
        <v>40</v>
      </c>
      <c r="K1030" s="33"/>
      <c r="L1030" s="33"/>
    </row>
    <row r="1031" spans="1:12" s="1" customFormat="1" x14ac:dyDescent="0.3">
      <c r="A1031" s="33" t="s">
        <v>2104</v>
      </c>
      <c r="B1031" s="33" t="s">
        <v>37</v>
      </c>
      <c r="C1031" s="33">
        <v>4432321232</v>
      </c>
      <c r="D1031" s="33"/>
      <c r="E1031" s="33">
        <v>6</v>
      </c>
      <c r="F1031" s="33">
        <v>0</v>
      </c>
      <c r="G1031" s="33" t="s">
        <v>47</v>
      </c>
      <c r="H1031" s="33" t="s">
        <v>2105</v>
      </c>
      <c r="I1031" s="33" t="s">
        <v>46</v>
      </c>
      <c r="J1031" s="33" t="s">
        <v>40</v>
      </c>
      <c r="K1031" s="33"/>
      <c r="L1031" s="33"/>
    </row>
    <row r="1032" spans="1:12" s="1" customFormat="1" x14ac:dyDescent="0.3">
      <c r="A1032" s="33" t="s">
        <v>2106</v>
      </c>
      <c r="B1032" s="33">
        <v>4430459032</v>
      </c>
      <c r="C1032" s="33" t="s">
        <v>48</v>
      </c>
      <c r="D1032" s="33">
        <v>4430265054</v>
      </c>
      <c r="E1032" s="33">
        <v>335</v>
      </c>
      <c r="F1032" s="33">
        <v>334</v>
      </c>
      <c r="G1032" s="33" t="s">
        <v>38</v>
      </c>
      <c r="H1032" s="33" t="s">
        <v>2107</v>
      </c>
      <c r="I1032" s="33" t="s">
        <v>39</v>
      </c>
      <c r="J1032" s="33" t="s">
        <v>40</v>
      </c>
      <c r="K1032" s="33" t="s">
        <v>41</v>
      </c>
      <c r="L1032" s="33">
        <v>5</v>
      </c>
    </row>
    <row r="1033" spans="1:12" s="1" customFormat="1" x14ac:dyDescent="0.3">
      <c r="A1033" s="33" t="s">
        <v>2108</v>
      </c>
      <c r="B1033" s="33" t="s">
        <v>37</v>
      </c>
      <c r="C1033" s="33">
        <v>4432321232</v>
      </c>
      <c r="D1033" s="33"/>
      <c r="E1033" s="33">
        <v>4</v>
      </c>
      <c r="F1033" s="33">
        <v>0</v>
      </c>
      <c r="G1033" s="33" t="s">
        <v>47</v>
      </c>
      <c r="H1033" s="33" t="s">
        <v>2109</v>
      </c>
      <c r="I1033" s="33" t="s">
        <v>46</v>
      </c>
      <c r="J1033" s="33" t="s">
        <v>40</v>
      </c>
      <c r="K1033" s="33"/>
      <c r="L1033" s="33"/>
    </row>
    <row r="1034" spans="1:12" s="1" customFormat="1" x14ac:dyDescent="0.3">
      <c r="A1034" s="33" t="s">
        <v>2110</v>
      </c>
      <c r="B1034" s="33">
        <v>4432321428</v>
      </c>
      <c r="C1034" s="33" t="s">
        <v>43</v>
      </c>
      <c r="D1034" s="33">
        <v>4430265054</v>
      </c>
      <c r="E1034" s="33">
        <v>105</v>
      </c>
      <c r="F1034" s="33">
        <v>70</v>
      </c>
      <c r="G1034" s="33" t="s">
        <v>38</v>
      </c>
      <c r="H1034" s="33" t="s">
        <v>2111</v>
      </c>
      <c r="I1034" s="33" t="s">
        <v>39</v>
      </c>
      <c r="J1034" s="33" t="s">
        <v>40</v>
      </c>
      <c r="K1034" s="33" t="s">
        <v>41</v>
      </c>
      <c r="L1034" s="33"/>
    </row>
    <row r="1035" spans="1:12" s="1" customFormat="1" x14ac:dyDescent="0.3">
      <c r="A1035" s="33" t="s">
        <v>2112</v>
      </c>
      <c r="B1035" s="33" t="s">
        <v>37</v>
      </c>
      <c r="C1035" s="33">
        <v>4432321232</v>
      </c>
      <c r="D1035" s="33"/>
      <c r="E1035" s="33">
        <v>127</v>
      </c>
      <c r="F1035" s="33">
        <v>118</v>
      </c>
      <c r="G1035" s="33" t="s">
        <v>38</v>
      </c>
      <c r="H1035" s="33" t="s">
        <v>2113</v>
      </c>
      <c r="I1035" s="33" t="s">
        <v>46</v>
      </c>
      <c r="J1035" s="33" t="s">
        <v>40</v>
      </c>
      <c r="K1035" s="33"/>
      <c r="L1035" s="33"/>
    </row>
    <row r="1036" spans="1:12" s="1" customFormat="1" x14ac:dyDescent="0.3">
      <c r="A1036" s="33" t="s">
        <v>2114</v>
      </c>
      <c r="B1036" s="33" t="s">
        <v>37</v>
      </c>
      <c r="C1036" s="33">
        <v>4432321232</v>
      </c>
      <c r="D1036" s="33"/>
      <c r="E1036" s="33">
        <v>5</v>
      </c>
      <c r="F1036" s="33">
        <v>0</v>
      </c>
      <c r="G1036" s="33" t="s">
        <v>47</v>
      </c>
      <c r="H1036" s="33" t="s">
        <v>2115</v>
      </c>
      <c r="I1036" s="33" t="s">
        <v>46</v>
      </c>
      <c r="J1036" s="33" t="s">
        <v>40</v>
      </c>
      <c r="K1036" s="33"/>
      <c r="L1036" s="33"/>
    </row>
    <row r="1037" spans="1:12" s="1" customFormat="1" x14ac:dyDescent="0.3">
      <c r="A1037" s="33" t="s">
        <v>2116</v>
      </c>
      <c r="B1037" s="33">
        <v>43999829064</v>
      </c>
      <c r="C1037" s="33" t="s">
        <v>42</v>
      </c>
      <c r="D1037" s="33">
        <v>4430265054</v>
      </c>
      <c r="E1037" s="33">
        <v>450</v>
      </c>
      <c r="F1037" s="33">
        <v>405</v>
      </c>
      <c r="G1037" s="33" t="s">
        <v>38</v>
      </c>
      <c r="H1037" s="33" t="s">
        <v>2117</v>
      </c>
      <c r="I1037" s="33" t="s">
        <v>39</v>
      </c>
      <c r="J1037" s="33" t="s">
        <v>40</v>
      </c>
      <c r="K1037" s="33" t="s">
        <v>41</v>
      </c>
      <c r="L1037" s="33"/>
    </row>
    <row r="1038" spans="1:12" s="1" customFormat="1" x14ac:dyDescent="0.3">
      <c r="A1038" s="33" t="s">
        <v>2118</v>
      </c>
      <c r="B1038" s="33">
        <v>44991486467</v>
      </c>
      <c r="C1038" s="33" t="s">
        <v>45</v>
      </c>
      <c r="D1038" s="33">
        <v>4430265054</v>
      </c>
      <c r="E1038" s="33">
        <v>1023</v>
      </c>
      <c r="F1038" s="33">
        <v>979</v>
      </c>
      <c r="G1038" s="33" t="s">
        <v>38</v>
      </c>
      <c r="H1038" s="33" t="s">
        <v>2119</v>
      </c>
      <c r="I1038" s="33" t="s">
        <v>39</v>
      </c>
      <c r="J1038" s="33" t="s">
        <v>40</v>
      </c>
      <c r="K1038" s="33" t="s">
        <v>41</v>
      </c>
      <c r="L1038" s="33"/>
    </row>
    <row r="1039" spans="1:12" s="1" customFormat="1" x14ac:dyDescent="0.3">
      <c r="A1039" s="33" t="s">
        <v>2120</v>
      </c>
      <c r="B1039" s="33">
        <v>4334232912</v>
      </c>
      <c r="C1039" s="33" t="s">
        <v>44</v>
      </c>
      <c r="D1039" s="33">
        <v>4430265054</v>
      </c>
      <c r="E1039" s="33">
        <v>797</v>
      </c>
      <c r="F1039" s="33">
        <v>745</v>
      </c>
      <c r="G1039" s="33" t="s">
        <v>38</v>
      </c>
      <c r="H1039" s="33" t="s">
        <v>2121</v>
      </c>
      <c r="I1039" s="33" t="s">
        <v>39</v>
      </c>
      <c r="J1039" s="33" t="s">
        <v>40</v>
      </c>
      <c r="K1039" s="33" t="s">
        <v>41</v>
      </c>
      <c r="L1039" s="33">
        <v>5</v>
      </c>
    </row>
    <row r="1040" spans="1:12" s="1" customFormat="1" x14ac:dyDescent="0.3">
      <c r="A1040" s="33" t="s">
        <v>2122</v>
      </c>
      <c r="B1040" s="33" t="s">
        <v>37</v>
      </c>
      <c r="C1040" s="33">
        <v>4432321428</v>
      </c>
      <c r="D1040" s="33"/>
      <c r="E1040" s="33">
        <v>127</v>
      </c>
      <c r="F1040" s="33">
        <v>118</v>
      </c>
      <c r="G1040" s="33" t="s">
        <v>38</v>
      </c>
      <c r="H1040" s="33" t="s">
        <v>2123</v>
      </c>
      <c r="I1040" s="33" t="s">
        <v>46</v>
      </c>
      <c r="J1040" s="33" t="s">
        <v>40</v>
      </c>
      <c r="K1040" s="33"/>
      <c r="L1040" s="33"/>
    </row>
    <row r="1041" spans="1:12" s="1" customFormat="1" x14ac:dyDescent="0.3">
      <c r="A1041" s="33" t="s">
        <v>2124</v>
      </c>
      <c r="B1041" s="33">
        <v>44999826655</v>
      </c>
      <c r="C1041" s="33" t="s">
        <v>43</v>
      </c>
      <c r="D1041" s="33">
        <v>4430265054</v>
      </c>
      <c r="E1041" s="33">
        <v>266</v>
      </c>
      <c r="F1041" s="33">
        <v>208</v>
      </c>
      <c r="G1041" s="33" t="s">
        <v>38</v>
      </c>
      <c r="H1041" s="33" t="s">
        <v>2125</v>
      </c>
      <c r="I1041" s="33" t="s">
        <v>39</v>
      </c>
      <c r="J1041" s="33" t="s">
        <v>40</v>
      </c>
      <c r="K1041" s="33" t="s">
        <v>41</v>
      </c>
      <c r="L1041" s="33"/>
    </row>
    <row r="1042" spans="1:12" s="1" customFormat="1" x14ac:dyDescent="0.3">
      <c r="A1042" s="33" t="s">
        <v>2126</v>
      </c>
      <c r="B1042" s="33" t="s">
        <v>45</v>
      </c>
      <c r="C1042" s="33">
        <v>4430289496</v>
      </c>
      <c r="D1042" s="33"/>
      <c r="E1042" s="33">
        <v>154</v>
      </c>
      <c r="F1042" s="33">
        <v>148</v>
      </c>
      <c r="G1042" s="33" t="s">
        <v>38</v>
      </c>
      <c r="H1042" s="33" t="s">
        <v>2127</v>
      </c>
      <c r="I1042" s="33" t="s">
        <v>46</v>
      </c>
      <c r="J1042" s="33" t="s">
        <v>40</v>
      </c>
      <c r="K1042" s="33"/>
      <c r="L1042" s="33"/>
    </row>
    <row r="1043" spans="1:12" s="1" customFormat="1" x14ac:dyDescent="0.3">
      <c r="A1043" s="33" t="s">
        <v>2128</v>
      </c>
      <c r="B1043" s="33" t="s">
        <v>45</v>
      </c>
      <c r="C1043" s="33">
        <v>4430289496</v>
      </c>
      <c r="D1043" s="33"/>
      <c r="E1043" s="33">
        <v>5</v>
      </c>
      <c r="F1043" s="33">
        <v>0</v>
      </c>
      <c r="G1043" s="33" t="s">
        <v>47</v>
      </c>
      <c r="H1043" s="33" t="s">
        <v>2129</v>
      </c>
      <c r="I1043" s="33" t="s">
        <v>46</v>
      </c>
      <c r="J1043" s="33" t="s">
        <v>40</v>
      </c>
      <c r="K1043" s="33"/>
      <c r="L1043" s="33"/>
    </row>
    <row r="1044" spans="1:12" s="1" customFormat="1" x14ac:dyDescent="0.3">
      <c r="A1044" s="33" t="s">
        <v>2130</v>
      </c>
      <c r="B1044" s="33" t="s">
        <v>45</v>
      </c>
      <c r="C1044" s="33">
        <v>4430289496</v>
      </c>
      <c r="D1044" s="33"/>
      <c r="E1044" s="33">
        <v>9</v>
      </c>
      <c r="F1044" s="33">
        <v>0</v>
      </c>
      <c r="G1044" s="33" t="s">
        <v>47</v>
      </c>
      <c r="H1044" s="33" t="s">
        <v>2131</v>
      </c>
      <c r="I1044" s="33" t="s">
        <v>46</v>
      </c>
      <c r="J1044" s="33" t="s">
        <v>40</v>
      </c>
      <c r="K1044" s="33"/>
      <c r="L1044" s="33"/>
    </row>
    <row r="1045" spans="1:12" s="1" customFormat="1" x14ac:dyDescent="0.3">
      <c r="A1045" s="33" t="s">
        <v>2132</v>
      </c>
      <c r="B1045" s="33" t="s">
        <v>45</v>
      </c>
      <c r="C1045" s="33">
        <v>4430289496</v>
      </c>
      <c r="D1045" s="33"/>
      <c r="E1045" s="33">
        <v>2</v>
      </c>
      <c r="F1045" s="33">
        <v>0</v>
      </c>
      <c r="G1045" s="33" t="s">
        <v>47</v>
      </c>
      <c r="H1045" s="33" t="s">
        <v>2133</v>
      </c>
      <c r="I1045" s="33" t="s">
        <v>46</v>
      </c>
      <c r="J1045" s="33" t="s">
        <v>40</v>
      </c>
      <c r="K1045" s="33"/>
      <c r="L1045" s="33"/>
    </row>
    <row r="1046" spans="1:12" s="1" customFormat="1" x14ac:dyDescent="0.3">
      <c r="A1046" s="33" t="s">
        <v>2134</v>
      </c>
      <c r="B1046" s="33">
        <v>4334234629</v>
      </c>
      <c r="C1046" s="33" t="s">
        <v>42</v>
      </c>
      <c r="D1046" s="33">
        <v>4430265054</v>
      </c>
      <c r="E1046" s="33">
        <v>565</v>
      </c>
      <c r="F1046" s="33">
        <v>445</v>
      </c>
      <c r="G1046" s="33" t="s">
        <v>38</v>
      </c>
      <c r="H1046" s="33" t="s">
        <v>2135</v>
      </c>
      <c r="I1046" s="33" t="s">
        <v>39</v>
      </c>
      <c r="J1046" s="33" t="s">
        <v>40</v>
      </c>
      <c r="K1046" s="33" t="s">
        <v>41</v>
      </c>
      <c r="L1046" s="33"/>
    </row>
    <row r="1047" spans="1:12" s="1" customFormat="1" x14ac:dyDescent="0.3">
      <c r="A1047" s="33" t="s">
        <v>2136</v>
      </c>
      <c r="B1047" s="33">
        <v>45999211357</v>
      </c>
      <c r="C1047" s="33" t="s">
        <v>43</v>
      </c>
      <c r="D1047" s="33">
        <v>4431268225</v>
      </c>
      <c r="E1047" s="33">
        <v>112</v>
      </c>
      <c r="F1047" s="33">
        <v>50</v>
      </c>
      <c r="G1047" s="33" t="s">
        <v>38</v>
      </c>
      <c r="H1047" s="33" t="s">
        <v>2137</v>
      </c>
      <c r="I1047" s="33" t="s">
        <v>39</v>
      </c>
      <c r="J1047" s="33" t="s">
        <v>40</v>
      </c>
      <c r="K1047" s="33" t="s">
        <v>41</v>
      </c>
      <c r="L1047" s="33"/>
    </row>
    <row r="1048" spans="1:12" s="1" customFormat="1" x14ac:dyDescent="0.3">
      <c r="A1048" s="33" t="s">
        <v>2138</v>
      </c>
      <c r="B1048" s="33">
        <v>93991495484</v>
      </c>
      <c r="C1048" s="33" t="s">
        <v>45</v>
      </c>
      <c r="D1048" s="33">
        <v>4430265054</v>
      </c>
      <c r="E1048" s="33">
        <v>240</v>
      </c>
      <c r="F1048" s="33">
        <v>180</v>
      </c>
      <c r="G1048" s="33" t="s">
        <v>38</v>
      </c>
      <c r="H1048" s="33" t="s">
        <v>2139</v>
      </c>
      <c r="I1048" s="33" t="s">
        <v>39</v>
      </c>
      <c r="J1048" s="33" t="s">
        <v>40</v>
      </c>
      <c r="K1048" s="33" t="s">
        <v>41</v>
      </c>
      <c r="L1048" s="33">
        <v>5</v>
      </c>
    </row>
    <row r="1049" spans="1:12" s="1" customFormat="1" x14ac:dyDescent="0.3">
      <c r="A1049" s="33" t="s">
        <v>2140</v>
      </c>
      <c r="B1049" s="33" t="s">
        <v>44</v>
      </c>
      <c r="C1049" s="33">
        <v>43999388040</v>
      </c>
      <c r="D1049" s="33"/>
      <c r="E1049" s="33">
        <v>1134</v>
      </c>
      <c r="F1049" s="33">
        <v>1120</v>
      </c>
      <c r="G1049" s="33" t="s">
        <v>38</v>
      </c>
      <c r="H1049" s="33" t="s">
        <v>2141</v>
      </c>
      <c r="I1049" s="33" t="s">
        <v>46</v>
      </c>
      <c r="J1049" s="33" t="s">
        <v>40</v>
      </c>
      <c r="K1049" s="33"/>
      <c r="L1049" s="33"/>
    </row>
    <row r="1050" spans="1:12" s="1" customFormat="1" x14ac:dyDescent="0.3">
      <c r="A1050" s="33" t="s">
        <v>2142</v>
      </c>
      <c r="B1050" s="33">
        <v>4430162384</v>
      </c>
      <c r="C1050" s="33" t="s">
        <v>37</v>
      </c>
      <c r="D1050" s="33">
        <v>4430265054</v>
      </c>
      <c r="E1050" s="33">
        <v>1674</v>
      </c>
      <c r="F1050" s="33">
        <v>1605</v>
      </c>
      <c r="G1050" s="33" t="s">
        <v>38</v>
      </c>
      <c r="H1050" s="33" t="s">
        <v>2143</v>
      </c>
      <c r="I1050" s="33" t="s">
        <v>39</v>
      </c>
      <c r="J1050" s="33" t="s">
        <v>40</v>
      </c>
      <c r="K1050" s="33" t="s">
        <v>41</v>
      </c>
      <c r="L1050" s="33">
        <v>5</v>
      </c>
    </row>
    <row r="1051" spans="1:12" s="1" customFormat="1" x14ac:dyDescent="0.3">
      <c r="A1051" s="33" t="s">
        <v>2144</v>
      </c>
      <c r="B1051" s="33">
        <v>4430450103</v>
      </c>
      <c r="C1051" s="33" t="s">
        <v>48</v>
      </c>
      <c r="D1051" s="33">
        <v>4430265054</v>
      </c>
      <c r="E1051" s="33">
        <v>304</v>
      </c>
      <c r="F1051" s="33">
        <v>221</v>
      </c>
      <c r="G1051" s="33" t="s">
        <v>38</v>
      </c>
      <c r="H1051" s="33" t="s">
        <v>2145</v>
      </c>
      <c r="I1051" s="33" t="s">
        <v>39</v>
      </c>
      <c r="J1051" s="33" t="s">
        <v>40</v>
      </c>
      <c r="K1051" s="33" t="s">
        <v>41</v>
      </c>
      <c r="L1051" s="33">
        <v>5</v>
      </c>
    </row>
    <row r="1052" spans="1:12" s="1" customFormat="1" x14ac:dyDescent="0.3">
      <c r="A1052" s="33" t="s">
        <v>2146</v>
      </c>
      <c r="B1052" s="33">
        <v>4431337559</v>
      </c>
      <c r="C1052" s="33" t="s">
        <v>42</v>
      </c>
      <c r="D1052" s="33">
        <v>4430265054</v>
      </c>
      <c r="E1052" s="33">
        <v>500</v>
      </c>
      <c r="F1052" s="33">
        <v>391</v>
      </c>
      <c r="G1052" s="33" t="s">
        <v>38</v>
      </c>
      <c r="H1052" s="33" t="s">
        <v>2147</v>
      </c>
      <c r="I1052" s="33" t="s">
        <v>39</v>
      </c>
      <c r="J1052" s="33" t="s">
        <v>40</v>
      </c>
      <c r="K1052" s="33" t="s">
        <v>41</v>
      </c>
      <c r="L1052" s="33"/>
    </row>
    <row r="1053" spans="1:12" s="1" customFormat="1" x14ac:dyDescent="0.3">
      <c r="A1053" s="33" t="s">
        <v>2148</v>
      </c>
      <c r="B1053" s="33">
        <v>1001</v>
      </c>
      <c r="C1053" s="33">
        <v>41999865917</v>
      </c>
      <c r="D1053" s="33"/>
      <c r="E1053" s="33">
        <v>1951</v>
      </c>
      <c r="F1053" s="33">
        <v>1949</v>
      </c>
      <c r="G1053" s="33" t="s">
        <v>38</v>
      </c>
      <c r="H1053" s="33" t="s">
        <v>2149</v>
      </c>
      <c r="I1053" s="33" t="s">
        <v>46</v>
      </c>
      <c r="J1053" s="33" t="s">
        <v>40</v>
      </c>
      <c r="K1053" s="33"/>
      <c r="L1053" s="33"/>
    </row>
    <row r="1054" spans="1:12" s="1" customFormat="1" x14ac:dyDescent="0.3">
      <c r="A1054" s="33" t="s">
        <v>2150</v>
      </c>
      <c r="B1054" s="33" t="s">
        <v>45</v>
      </c>
      <c r="C1054" s="33">
        <v>41999865917</v>
      </c>
      <c r="D1054" s="33"/>
      <c r="E1054" s="33">
        <v>39</v>
      </c>
      <c r="F1054" s="33">
        <v>0</v>
      </c>
      <c r="G1054" s="33" t="s">
        <v>47</v>
      </c>
      <c r="H1054" s="33" t="s">
        <v>2151</v>
      </c>
      <c r="I1054" s="33" t="s">
        <v>46</v>
      </c>
      <c r="J1054" s="33" t="s">
        <v>40</v>
      </c>
      <c r="K1054" s="33"/>
      <c r="L1054" s="33"/>
    </row>
    <row r="1055" spans="1:12" s="1" customFormat="1" x14ac:dyDescent="0.3">
      <c r="A1055" s="33" t="s">
        <v>2152</v>
      </c>
      <c r="B1055" s="33">
        <v>44988255390</v>
      </c>
      <c r="C1055" s="33" t="s">
        <v>44</v>
      </c>
      <c r="D1055" s="33">
        <v>4430265054</v>
      </c>
      <c r="E1055" s="33">
        <v>1333</v>
      </c>
      <c r="F1055" s="33">
        <v>1200</v>
      </c>
      <c r="G1055" s="33" t="s">
        <v>38</v>
      </c>
      <c r="H1055" s="33" t="s">
        <v>2153</v>
      </c>
      <c r="I1055" s="33" t="s">
        <v>39</v>
      </c>
      <c r="J1055" s="33" t="s">
        <v>40</v>
      </c>
      <c r="K1055" s="33" t="s">
        <v>41</v>
      </c>
      <c r="L1055" s="33"/>
    </row>
    <row r="1056" spans="1:12" s="1" customFormat="1" x14ac:dyDescent="0.3">
      <c r="A1056" s="33" t="s">
        <v>2154</v>
      </c>
      <c r="B1056" s="33" t="s">
        <v>45</v>
      </c>
      <c r="C1056" s="33">
        <v>41999865917</v>
      </c>
      <c r="D1056" s="33"/>
      <c r="E1056" s="33">
        <v>59</v>
      </c>
      <c r="F1056" s="33">
        <v>20</v>
      </c>
      <c r="G1056" s="33" t="s">
        <v>38</v>
      </c>
      <c r="H1056" s="33" t="s">
        <v>2155</v>
      </c>
      <c r="I1056" s="33" t="s">
        <v>46</v>
      </c>
      <c r="J1056" s="33" t="s">
        <v>40</v>
      </c>
      <c r="K1056" s="33"/>
      <c r="L1056" s="33"/>
    </row>
    <row r="1057" spans="1:12" s="1" customFormat="1" x14ac:dyDescent="0.3">
      <c r="A1057" s="33" t="s">
        <v>2156</v>
      </c>
      <c r="B1057" s="33" t="s">
        <v>45</v>
      </c>
      <c r="C1057" s="33">
        <v>41999865917</v>
      </c>
      <c r="D1057" s="33"/>
      <c r="E1057" s="33">
        <v>1</v>
      </c>
      <c r="F1057" s="33">
        <v>0</v>
      </c>
      <c r="G1057" s="33" t="s">
        <v>47</v>
      </c>
      <c r="H1057" s="33" t="s">
        <v>2157</v>
      </c>
      <c r="I1057" s="33" t="s">
        <v>46</v>
      </c>
      <c r="J1057" s="33" t="s">
        <v>40</v>
      </c>
      <c r="K1057" s="33"/>
      <c r="L1057" s="33"/>
    </row>
    <row r="1058" spans="1:12" s="1" customFormat="1" x14ac:dyDescent="0.3">
      <c r="A1058" s="33" t="s">
        <v>2158</v>
      </c>
      <c r="B1058" s="33">
        <v>45999211357</v>
      </c>
      <c r="C1058" s="33" t="s">
        <v>37</v>
      </c>
      <c r="D1058" s="33">
        <v>4431268225</v>
      </c>
      <c r="E1058" s="33">
        <v>601</v>
      </c>
      <c r="F1058" s="33">
        <v>491</v>
      </c>
      <c r="G1058" s="33" t="s">
        <v>38</v>
      </c>
      <c r="H1058" s="33" t="s">
        <v>2159</v>
      </c>
      <c r="I1058" s="33" t="s">
        <v>39</v>
      </c>
      <c r="J1058" s="33" t="s">
        <v>40</v>
      </c>
      <c r="K1058" s="33" t="s">
        <v>41</v>
      </c>
      <c r="L1058" s="33">
        <v>4</v>
      </c>
    </row>
    <row r="1059" spans="1:12" s="1" customFormat="1" x14ac:dyDescent="0.3">
      <c r="A1059" s="33" t="s">
        <v>2160</v>
      </c>
      <c r="B1059" s="33">
        <v>44991234625</v>
      </c>
      <c r="C1059" s="33" t="s">
        <v>43</v>
      </c>
      <c r="D1059" s="33">
        <v>4430265054</v>
      </c>
      <c r="E1059" s="33">
        <v>316</v>
      </c>
      <c r="F1059" s="33">
        <v>256</v>
      </c>
      <c r="G1059" s="33" t="s">
        <v>38</v>
      </c>
      <c r="H1059" s="33" t="s">
        <v>2161</v>
      </c>
      <c r="I1059" s="33" t="s">
        <v>39</v>
      </c>
      <c r="J1059" s="33" t="s">
        <v>40</v>
      </c>
      <c r="K1059" s="33" t="s">
        <v>41</v>
      </c>
      <c r="L1059" s="33"/>
    </row>
    <row r="1060" spans="1:12" s="1" customFormat="1" x14ac:dyDescent="0.3">
      <c r="A1060" s="33" t="s">
        <v>2162</v>
      </c>
      <c r="B1060" s="33">
        <v>43999388040</v>
      </c>
      <c r="C1060" s="33" t="s">
        <v>44</v>
      </c>
      <c r="D1060" s="33">
        <v>4430265054</v>
      </c>
      <c r="E1060" s="33">
        <v>650</v>
      </c>
      <c r="F1060" s="33">
        <v>527</v>
      </c>
      <c r="G1060" s="33" t="s">
        <v>38</v>
      </c>
      <c r="H1060" s="33" t="s">
        <v>2163</v>
      </c>
      <c r="I1060" s="33" t="s">
        <v>39</v>
      </c>
      <c r="J1060" s="33" t="s">
        <v>40</v>
      </c>
      <c r="K1060" s="33" t="s">
        <v>41</v>
      </c>
      <c r="L1060" s="33"/>
    </row>
    <row r="1061" spans="1:12" s="1" customFormat="1" x14ac:dyDescent="0.3">
      <c r="A1061" s="33" t="s">
        <v>2164</v>
      </c>
      <c r="B1061" s="33">
        <v>44998601838</v>
      </c>
      <c r="C1061" s="33" t="s">
        <v>43</v>
      </c>
      <c r="D1061" s="33">
        <v>4430265054</v>
      </c>
      <c r="E1061" s="33">
        <v>530</v>
      </c>
      <c r="F1061" s="33">
        <v>449</v>
      </c>
      <c r="G1061" s="33" t="s">
        <v>38</v>
      </c>
      <c r="H1061" s="33" t="s">
        <v>2165</v>
      </c>
      <c r="I1061" s="33" t="s">
        <v>39</v>
      </c>
      <c r="J1061" s="33" t="s">
        <v>40</v>
      </c>
      <c r="K1061" s="33" t="s">
        <v>41</v>
      </c>
      <c r="L1061" s="33"/>
    </row>
    <row r="1062" spans="1:12" s="1" customFormat="1" x14ac:dyDescent="0.3">
      <c r="A1062" s="33" t="s">
        <v>2166</v>
      </c>
      <c r="B1062" s="33" t="s">
        <v>43</v>
      </c>
      <c r="C1062" s="33">
        <v>4430456242</v>
      </c>
      <c r="D1062" s="33"/>
      <c r="E1062" s="33">
        <v>169</v>
      </c>
      <c r="F1062" s="33">
        <v>160</v>
      </c>
      <c r="G1062" s="33" t="s">
        <v>38</v>
      </c>
      <c r="H1062" s="33" t="s">
        <v>2167</v>
      </c>
      <c r="I1062" s="33" t="s">
        <v>46</v>
      </c>
      <c r="J1062" s="33" t="s">
        <v>40</v>
      </c>
      <c r="K1062" s="33"/>
      <c r="L1062" s="33"/>
    </row>
    <row r="1063" spans="1:12" s="1" customFormat="1" x14ac:dyDescent="0.3">
      <c r="A1063" s="33" t="s">
        <v>2168</v>
      </c>
      <c r="B1063" s="33">
        <v>4430289496</v>
      </c>
      <c r="C1063" s="33" t="s">
        <v>45</v>
      </c>
      <c r="D1063" s="33">
        <v>4430265054</v>
      </c>
      <c r="E1063" s="33">
        <v>1165</v>
      </c>
      <c r="F1063" s="33">
        <v>1072</v>
      </c>
      <c r="G1063" s="33" t="s">
        <v>38</v>
      </c>
      <c r="H1063" s="33" t="s">
        <v>2169</v>
      </c>
      <c r="I1063" s="33" t="s">
        <v>39</v>
      </c>
      <c r="J1063" s="33" t="s">
        <v>40</v>
      </c>
      <c r="K1063" s="33" t="s">
        <v>41</v>
      </c>
      <c r="L1063" s="33"/>
    </row>
    <row r="1064" spans="1:12" s="1" customFormat="1" x14ac:dyDescent="0.3">
      <c r="A1064" s="33" t="s">
        <v>2170</v>
      </c>
      <c r="B1064" s="33">
        <v>4334226481</v>
      </c>
      <c r="C1064" s="33" t="s">
        <v>44</v>
      </c>
      <c r="D1064" s="33">
        <v>4430265054</v>
      </c>
      <c r="E1064" s="33">
        <v>431</v>
      </c>
      <c r="F1064" s="33">
        <v>352</v>
      </c>
      <c r="G1064" s="33" t="s">
        <v>38</v>
      </c>
      <c r="H1064" s="33" t="s">
        <v>2171</v>
      </c>
      <c r="I1064" s="33" t="s">
        <v>39</v>
      </c>
      <c r="J1064" s="33" t="s">
        <v>40</v>
      </c>
      <c r="K1064" s="33" t="s">
        <v>41</v>
      </c>
      <c r="L1064" s="33"/>
    </row>
    <row r="1065" spans="1:12" s="1" customFormat="1" x14ac:dyDescent="0.3">
      <c r="A1065" s="33" t="s">
        <v>2172</v>
      </c>
      <c r="B1065" s="33">
        <v>4330333542</v>
      </c>
      <c r="C1065" s="33" t="s">
        <v>45</v>
      </c>
      <c r="D1065" s="33">
        <v>4430265054</v>
      </c>
      <c r="E1065" s="33">
        <v>296</v>
      </c>
      <c r="F1065" s="33">
        <v>262</v>
      </c>
      <c r="G1065" s="33" t="s">
        <v>38</v>
      </c>
      <c r="H1065" s="33" t="s">
        <v>2173</v>
      </c>
      <c r="I1065" s="33" t="s">
        <v>39</v>
      </c>
      <c r="J1065" s="33" t="s">
        <v>40</v>
      </c>
      <c r="K1065" s="33" t="s">
        <v>41</v>
      </c>
      <c r="L1065" s="33">
        <v>5</v>
      </c>
    </row>
    <row r="1066" spans="1:12" s="1" customFormat="1" x14ac:dyDescent="0.3">
      <c r="A1066" s="33" t="s">
        <v>2174</v>
      </c>
      <c r="B1066" s="33">
        <v>44997650834</v>
      </c>
      <c r="C1066" s="33" t="s">
        <v>45</v>
      </c>
      <c r="D1066" s="33">
        <v>4430265054</v>
      </c>
      <c r="E1066" s="33">
        <v>622</v>
      </c>
      <c r="F1066" s="33">
        <v>588</v>
      </c>
      <c r="G1066" s="33" t="s">
        <v>38</v>
      </c>
      <c r="H1066" s="33" t="s">
        <v>2175</v>
      </c>
      <c r="I1066" s="33" t="s">
        <v>39</v>
      </c>
      <c r="J1066" s="33" t="s">
        <v>40</v>
      </c>
      <c r="K1066" s="33" t="s">
        <v>41</v>
      </c>
      <c r="L1066" s="33"/>
    </row>
    <row r="1067" spans="1:12" s="1" customFormat="1" x14ac:dyDescent="0.3">
      <c r="A1067" s="33" t="s">
        <v>2176</v>
      </c>
      <c r="B1067" s="33">
        <v>4434221675</v>
      </c>
      <c r="C1067" s="33" t="s">
        <v>42</v>
      </c>
      <c r="D1067" s="33">
        <v>4430265054</v>
      </c>
      <c r="E1067" s="33">
        <v>396</v>
      </c>
      <c r="F1067" s="33">
        <v>354</v>
      </c>
      <c r="G1067" s="33" t="s">
        <v>38</v>
      </c>
      <c r="H1067" s="33" t="s">
        <v>2177</v>
      </c>
      <c r="I1067" s="33" t="s">
        <v>39</v>
      </c>
      <c r="J1067" s="33" t="s">
        <v>40</v>
      </c>
      <c r="K1067" s="33" t="s">
        <v>41</v>
      </c>
      <c r="L1067" s="33"/>
    </row>
    <row r="1068" spans="1:12" s="1" customFormat="1" x14ac:dyDescent="0.3">
      <c r="A1068" s="33" t="s">
        <v>2178</v>
      </c>
      <c r="B1068" s="33">
        <v>4432321232</v>
      </c>
      <c r="C1068" s="33" t="s">
        <v>37</v>
      </c>
      <c r="D1068" s="33">
        <v>4430265054</v>
      </c>
      <c r="E1068" s="33">
        <v>1244</v>
      </c>
      <c r="F1068" s="33">
        <v>1139</v>
      </c>
      <c r="G1068" s="33" t="s">
        <v>38</v>
      </c>
      <c r="H1068" s="33" t="s">
        <v>2179</v>
      </c>
      <c r="I1068" s="33" t="s">
        <v>39</v>
      </c>
      <c r="J1068" s="33" t="s">
        <v>40</v>
      </c>
      <c r="K1068" s="33" t="s">
        <v>41</v>
      </c>
      <c r="L1068" s="33"/>
    </row>
    <row r="1069" spans="1:12" s="1" customFormat="1" x14ac:dyDescent="0.3">
      <c r="A1069" s="33" t="s">
        <v>2180</v>
      </c>
      <c r="B1069" s="33">
        <v>4430318516</v>
      </c>
      <c r="C1069" s="33" t="s">
        <v>43</v>
      </c>
      <c r="D1069" s="33">
        <v>4430265054</v>
      </c>
      <c r="E1069" s="33">
        <v>2615</v>
      </c>
      <c r="F1069" s="33">
        <v>2569</v>
      </c>
      <c r="G1069" s="33" t="s">
        <v>38</v>
      </c>
      <c r="H1069" s="33" t="s">
        <v>2181</v>
      </c>
      <c r="I1069" s="33" t="s">
        <v>39</v>
      </c>
      <c r="J1069" s="33" t="s">
        <v>40</v>
      </c>
      <c r="K1069" s="33" t="s">
        <v>41</v>
      </c>
      <c r="L1069" s="33"/>
    </row>
    <row r="1070" spans="1:12" s="1" customFormat="1" x14ac:dyDescent="0.3">
      <c r="A1070" s="33" t="s">
        <v>2182</v>
      </c>
      <c r="B1070" s="33">
        <v>45999211357</v>
      </c>
      <c r="C1070" s="33" t="s">
        <v>37</v>
      </c>
      <c r="D1070" s="33">
        <v>4431268225</v>
      </c>
      <c r="E1070" s="33">
        <v>1611</v>
      </c>
      <c r="F1070" s="33">
        <v>1562</v>
      </c>
      <c r="G1070" s="33" t="s">
        <v>38</v>
      </c>
      <c r="H1070" s="33" t="s">
        <v>2183</v>
      </c>
      <c r="I1070" s="33" t="s">
        <v>39</v>
      </c>
      <c r="J1070" s="33" t="s">
        <v>40</v>
      </c>
      <c r="K1070" s="33" t="s">
        <v>41</v>
      </c>
      <c r="L1070" s="33">
        <v>4</v>
      </c>
    </row>
    <row r="1071" spans="1:12" s="1" customFormat="1" x14ac:dyDescent="0.3">
      <c r="A1071" s="33" t="s">
        <v>2184</v>
      </c>
      <c r="B1071" s="33" t="s">
        <v>45</v>
      </c>
      <c r="C1071" s="33">
        <v>1131043888</v>
      </c>
      <c r="D1071" s="33"/>
      <c r="E1071" s="33">
        <v>2320</v>
      </c>
      <c r="F1071" s="33">
        <v>2318</v>
      </c>
      <c r="G1071" s="33" t="s">
        <v>38</v>
      </c>
      <c r="H1071" s="33" t="s">
        <v>2185</v>
      </c>
      <c r="I1071" s="33" t="s">
        <v>46</v>
      </c>
      <c r="J1071" s="33" t="s">
        <v>40</v>
      </c>
      <c r="K1071" s="33"/>
      <c r="L1071" s="33">
        <v>5</v>
      </c>
    </row>
    <row r="1072" spans="1:12" s="1" customFormat="1" x14ac:dyDescent="0.3">
      <c r="A1072" s="33" t="s">
        <v>2186</v>
      </c>
      <c r="B1072" s="33">
        <v>4430289386</v>
      </c>
      <c r="C1072" s="33" t="s">
        <v>44</v>
      </c>
      <c r="D1072" s="33">
        <v>4430265054</v>
      </c>
      <c r="E1072" s="33">
        <v>574</v>
      </c>
      <c r="F1072" s="33">
        <v>505</v>
      </c>
      <c r="G1072" s="33" t="s">
        <v>38</v>
      </c>
      <c r="H1072" s="33" t="s">
        <v>2187</v>
      </c>
      <c r="I1072" s="33" t="s">
        <v>39</v>
      </c>
      <c r="J1072" s="33" t="s">
        <v>40</v>
      </c>
      <c r="K1072" s="33" t="s">
        <v>41</v>
      </c>
      <c r="L1072" s="33"/>
    </row>
    <row r="1073" spans="1:12" s="1" customFormat="1" x14ac:dyDescent="0.3">
      <c r="A1073" s="33" t="s">
        <v>2188</v>
      </c>
      <c r="B1073" s="33">
        <v>44998100737</v>
      </c>
      <c r="C1073" s="33" t="s">
        <v>42</v>
      </c>
      <c r="D1073" s="33">
        <v>4430265054</v>
      </c>
      <c r="E1073" s="33">
        <v>664</v>
      </c>
      <c r="F1073" s="33">
        <v>582</v>
      </c>
      <c r="G1073" s="33" t="s">
        <v>38</v>
      </c>
      <c r="H1073" s="33" t="s">
        <v>2189</v>
      </c>
      <c r="I1073" s="33" t="s">
        <v>39</v>
      </c>
      <c r="J1073" s="33" t="s">
        <v>40</v>
      </c>
      <c r="K1073" s="33" t="s">
        <v>41</v>
      </c>
      <c r="L1073" s="33">
        <v>5</v>
      </c>
    </row>
    <row r="1074" spans="1:12" s="1" customFormat="1" x14ac:dyDescent="0.3">
      <c r="A1074" s="33" t="s">
        <v>2190</v>
      </c>
      <c r="B1074" s="33" t="s">
        <v>37</v>
      </c>
      <c r="C1074" s="33">
        <v>1937562600</v>
      </c>
      <c r="D1074" s="33"/>
      <c r="E1074" s="33">
        <v>287</v>
      </c>
      <c r="F1074" s="33">
        <v>273</v>
      </c>
      <c r="G1074" s="33" t="s">
        <v>38</v>
      </c>
      <c r="H1074" s="33" t="s">
        <v>2191</v>
      </c>
      <c r="I1074" s="33" t="s">
        <v>46</v>
      </c>
      <c r="J1074" s="33" t="s">
        <v>40</v>
      </c>
      <c r="K1074" s="33"/>
      <c r="L1074" s="33"/>
    </row>
    <row r="1075" spans="1:12" s="1" customFormat="1" x14ac:dyDescent="0.3">
      <c r="A1075" s="33" t="s">
        <v>2192</v>
      </c>
      <c r="B1075" s="33">
        <v>1131043888</v>
      </c>
      <c r="C1075" s="33" t="s">
        <v>45</v>
      </c>
      <c r="D1075" s="33">
        <v>4430265054</v>
      </c>
      <c r="E1075" s="33">
        <v>760</v>
      </c>
      <c r="F1075" s="33">
        <v>739</v>
      </c>
      <c r="G1075" s="33" t="s">
        <v>38</v>
      </c>
      <c r="H1075" s="33" t="s">
        <v>2193</v>
      </c>
      <c r="I1075" s="33" t="s">
        <v>39</v>
      </c>
      <c r="J1075" s="33" t="s">
        <v>40</v>
      </c>
      <c r="K1075" s="33" t="s">
        <v>41</v>
      </c>
      <c r="L1075" s="33"/>
    </row>
    <row r="1076" spans="1:12" s="1" customFormat="1" x14ac:dyDescent="0.3">
      <c r="A1076" s="33" t="s">
        <v>2194</v>
      </c>
      <c r="B1076" s="33">
        <v>81988293889</v>
      </c>
      <c r="C1076" s="33" t="s">
        <v>44</v>
      </c>
      <c r="D1076" s="33">
        <v>4431268225</v>
      </c>
      <c r="E1076" s="33">
        <v>799</v>
      </c>
      <c r="F1076" s="33">
        <v>775</v>
      </c>
      <c r="G1076" s="33" t="s">
        <v>38</v>
      </c>
      <c r="H1076" s="33" t="s">
        <v>2195</v>
      </c>
      <c r="I1076" s="33" t="s">
        <v>39</v>
      </c>
      <c r="J1076" s="33" t="s">
        <v>40</v>
      </c>
      <c r="K1076" s="33" t="s">
        <v>41</v>
      </c>
      <c r="L1076" s="33"/>
    </row>
    <row r="1077" spans="1:12" s="1" customFormat="1" x14ac:dyDescent="0.3">
      <c r="A1077" s="33" t="s">
        <v>2196</v>
      </c>
      <c r="B1077" s="33">
        <v>35998295948</v>
      </c>
      <c r="C1077" s="33" t="s">
        <v>45</v>
      </c>
      <c r="D1077" s="33">
        <v>4430265054</v>
      </c>
      <c r="E1077" s="33">
        <v>650</v>
      </c>
      <c r="F1077" s="33">
        <v>623</v>
      </c>
      <c r="G1077" s="33" t="s">
        <v>38</v>
      </c>
      <c r="H1077" s="33" t="s">
        <v>2197</v>
      </c>
      <c r="I1077" s="33" t="s">
        <v>39</v>
      </c>
      <c r="J1077" s="33" t="s">
        <v>40</v>
      </c>
      <c r="K1077" s="33" t="s">
        <v>41</v>
      </c>
      <c r="L1077" s="33"/>
    </row>
    <row r="1078" spans="1:12" s="1" customFormat="1" x14ac:dyDescent="0.3">
      <c r="A1078" s="33" t="s">
        <v>2198</v>
      </c>
      <c r="B1078" s="33">
        <v>4432520627</v>
      </c>
      <c r="C1078" s="33" t="s">
        <v>37</v>
      </c>
      <c r="D1078" s="33">
        <v>4430265054</v>
      </c>
      <c r="E1078" s="33">
        <v>256</v>
      </c>
      <c r="F1078" s="33">
        <v>190</v>
      </c>
      <c r="G1078" s="33" t="s">
        <v>38</v>
      </c>
      <c r="H1078" s="33" t="s">
        <v>2199</v>
      </c>
      <c r="I1078" s="33" t="s">
        <v>39</v>
      </c>
      <c r="J1078" s="33" t="s">
        <v>40</v>
      </c>
      <c r="K1078" s="33" t="s">
        <v>41</v>
      </c>
      <c r="L1078" s="33">
        <v>5</v>
      </c>
    </row>
    <row r="1079" spans="1:12" s="1" customFormat="1" x14ac:dyDescent="0.3">
      <c r="A1079" s="33" t="s">
        <v>2200</v>
      </c>
      <c r="B1079" s="33">
        <v>81988293889</v>
      </c>
      <c r="C1079" s="33" t="s">
        <v>44</v>
      </c>
      <c r="D1079" s="33">
        <v>4431268225</v>
      </c>
      <c r="E1079" s="33">
        <v>190</v>
      </c>
      <c r="F1079" s="33">
        <v>149</v>
      </c>
      <c r="G1079" s="33" t="s">
        <v>38</v>
      </c>
      <c r="H1079" s="33" t="s">
        <v>2201</v>
      </c>
      <c r="I1079" s="33" t="s">
        <v>39</v>
      </c>
      <c r="J1079" s="33" t="s">
        <v>40</v>
      </c>
      <c r="K1079" s="33" t="s">
        <v>41</v>
      </c>
      <c r="L1079" s="33"/>
    </row>
    <row r="1080" spans="1:12" s="1" customFormat="1" x14ac:dyDescent="0.3">
      <c r="A1080" s="33" t="s">
        <v>2202</v>
      </c>
      <c r="B1080" s="33">
        <v>4334728840</v>
      </c>
      <c r="C1080" s="33" t="s">
        <v>43</v>
      </c>
      <c r="D1080" s="33">
        <v>4430265054</v>
      </c>
      <c r="E1080" s="33">
        <v>2083</v>
      </c>
      <c r="F1080" s="33">
        <v>1962</v>
      </c>
      <c r="G1080" s="33" t="s">
        <v>38</v>
      </c>
      <c r="H1080" s="33" t="s">
        <v>2203</v>
      </c>
      <c r="I1080" s="33" t="s">
        <v>39</v>
      </c>
      <c r="J1080" s="33" t="s">
        <v>40</v>
      </c>
      <c r="K1080" s="33" t="s">
        <v>41</v>
      </c>
      <c r="L1080" s="33"/>
    </row>
    <row r="1081" spans="1:12" s="1" customFormat="1" x14ac:dyDescent="0.3">
      <c r="A1081" s="33" t="s">
        <v>2204</v>
      </c>
      <c r="B1081" s="33">
        <v>11968505675</v>
      </c>
      <c r="C1081" s="33" t="s">
        <v>45</v>
      </c>
      <c r="D1081" s="33">
        <v>4430265054</v>
      </c>
      <c r="E1081" s="33">
        <v>1587</v>
      </c>
      <c r="F1081" s="33">
        <v>1523</v>
      </c>
      <c r="G1081" s="33" t="s">
        <v>38</v>
      </c>
      <c r="H1081" s="33" t="s">
        <v>2205</v>
      </c>
      <c r="I1081" s="33" t="s">
        <v>39</v>
      </c>
      <c r="J1081" s="33" t="s">
        <v>40</v>
      </c>
      <c r="K1081" s="33" t="s">
        <v>41</v>
      </c>
      <c r="L1081" s="33">
        <v>5</v>
      </c>
    </row>
    <row r="1082" spans="1:12" s="1" customFormat="1" x14ac:dyDescent="0.3">
      <c r="A1082" s="33" t="s">
        <v>2206</v>
      </c>
      <c r="B1082" s="33">
        <v>11964449514</v>
      </c>
      <c r="C1082" s="33" t="s">
        <v>43</v>
      </c>
      <c r="D1082" s="33">
        <v>4431268225</v>
      </c>
      <c r="E1082" s="33">
        <v>646</v>
      </c>
      <c r="F1082" s="33">
        <v>546</v>
      </c>
      <c r="G1082" s="33" t="s">
        <v>38</v>
      </c>
      <c r="H1082" s="33" t="s">
        <v>2207</v>
      </c>
      <c r="I1082" s="33" t="s">
        <v>39</v>
      </c>
      <c r="J1082" s="33" t="s">
        <v>40</v>
      </c>
      <c r="K1082" s="33" t="s">
        <v>41</v>
      </c>
      <c r="L1082" s="33"/>
    </row>
    <row r="1083" spans="1:12" s="1" customFormat="1" x14ac:dyDescent="0.3">
      <c r="A1083" s="33" t="s">
        <v>2208</v>
      </c>
      <c r="B1083" s="33" t="s">
        <v>37</v>
      </c>
      <c r="C1083" s="33">
        <v>4430191401</v>
      </c>
      <c r="D1083" s="33"/>
      <c r="E1083" s="33">
        <v>1344</v>
      </c>
      <c r="F1083" s="33">
        <v>1340</v>
      </c>
      <c r="G1083" s="33" t="s">
        <v>38</v>
      </c>
      <c r="H1083" s="33" t="s">
        <v>2209</v>
      </c>
      <c r="I1083" s="33" t="s">
        <v>46</v>
      </c>
      <c r="J1083" s="33" t="s">
        <v>40</v>
      </c>
      <c r="K1083" s="33"/>
      <c r="L1083" s="33"/>
    </row>
    <row r="1084" spans="1:12" s="1" customFormat="1" x14ac:dyDescent="0.3">
      <c r="A1084" s="33" t="s">
        <v>2210</v>
      </c>
      <c r="B1084" s="33" t="s">
        <v>48</v>
      </c>
      <c r="C1084" s="33">
        <v>1131043888</v>
      </c>
      <c r="D1084" s="33"/>
      <c r="E1084" s="33">
        <v>755</v>
      </c>
      <c r="F1084" s="33">
        <v>754</v>
      </c>
      <c r="G1084" s="33" t="s">
        <v>38</v>
      </c>
      <c r="H1084" s="33" t="s">
        <v>2211</v>
      </c>
      <c r="I1084" s="33" t="s">
        <v>46</v>
      </c>
      <c r="J1084" s="33" t="s">
        <v>40</v>
      </c>
      <c r="K1084" s="33"/>
      <c r="L1084" s="33">
        <v>5</v>
      </c>
    </row>
    <row r="1085" spans="1:12" s="1" customFormat="1" x14ac:dyDescent="0.3">
      <c r="A1085" s="33" t="s">
        <v>2212</v>
      </c>
      <c r="B1085" s="33" t="s">
        <v>48</v>
      </c>
      <c r="C1085" s="33">
        <v>1131043888</v>
      </c>
      <c r="D1085" s="33"/>
      <c r="E1085" s="33">
        <v>46</v>
      </c>
      <c r="F1085" s="33">
        <v>45</v>
      </c>
      <c r="G1085" s="33" t="s">
        <v>38</v>
      </c>
      <c r="H1085" s="33" t="s">
        <v>2213</v>
      </c>
      <c r="I1085" s="33" t="s">
        <v>46</v>
      </c>
      <c r="J1085" s="33" t="s">
        <v>40</v>
      </c>
      <c r="K1085" s="33"/>
      <c r="L1085" s="33"/>
    </row>
    <row r="1086" spans="1:12" s="1" customFormat="1" x14ac:dyDescent="0.3">
      <c r="A1086" s="33" t="s">
        <v>2214</v>
      </c>
      <c r="B1086" s="33" t="s">
        <v>48</v>
      </c>
      <c r="C1086" s="33">
        <v>1131043888</v>
      </c>
      <c r="D1086" s="33"/>
      <c r="E1086" s="33">
        <v>51</v>
      </c>
      <c r="F1086" s="33">
        <v>50</v>
      </c>
      <c r="G1086" s="33" t="s">
        <v>38</v>
      </c>
      <c r="H1086" s="33" t="s">
        <v>2215</v>
      </c>
      <c r="I1086" s="33" t="s">
        <v>46</v>
      </c>
      <c r="J1086" s="33" t="s">
        <v>40</v>
      </c>
      <c r="K1086" s="33"/>
      <c r="L1086" s="33"/>
    </row>
    <row r="1087" spans="1:12" s="1" customFormat="1" x14ac:dyDescent="0.3">
      <c r="A1087" s="33" t="s">
        <v>2216</v>
      </c>
      <c r="B1087" s="33">
        <v>4430459001</v>
      </c>
      <c r="C1087" s="33" t="s">
        <v>45</v>
      </c>
      <c r="D1087" s="33">
        <v>4430265054</v>
      </c>
      <c r="E1087" s="33">
        <v>1346</v>
      </c>
      <c r="F1087" s="33">
        <v>1302</v>
      </c>
      <c r="G1087" s="33" t="s">
        <v>38</v>
      </c>
      <c r="H1087" s="33" t="s">
        <v>2217</v>
      </c>
      <c r="I1087" s="33" t="s">
        <v>39</v>
      </c>
      <c r="J1087" s="33" t="s">
        <v>40</v>
      </c>
      <c r="K1087" s="33" t="s">
        <v>41</v>
      </c>
      <c r="L1087" s="33">
        <v>5</v>
      </c>
    </row>
    <row r="1088" spans="1:12" s="1" customFormat="1" x14ac:dyDescent="0.3">
      <c r="A1088" s="33" t="s">
        <v>2218</v>
      </c>
      <c r="B1088" s="33">
        <v>91985176746</v>
      </c>
      <c r="C1088" s="33" t="s">
        <v>44</v>
      </c>
      <c r="D1088" s="33">
        <v>4430265054</v>
      </c>
      <c r="E1088" s="33">
        <v>901</v>
      </c>
      <c r="F1088" s="33">
        <v>874</v>
      </c>
      <c r="G1088" s="33" t="s">
        <v>38</v>
      </c>
      <c r="H1088" s="33" t="s">
        <v>2219</v>
      </c>
      <c r="I1088" s="33" t="s">
        <v>39</v>
      </c>
      <c r="J1088" s="33" t="s">
        <v>40</v>
      </c>
      <c r="K1088" s="33" t="s">
        <v>41</v>
      </c>
      <c r="L1088" s="33">
        <v>5</v>
      </c>
    </row>
    <row r="1089" spans="1:12" s="1" customFormat="1" x14ac:dyDescent="0.3">
      <c r="A1089" s="33" t="s">
        <v>2220</v>
      </c>
      <c r="B1089" s="33">
        <v>47999115463</v>
      </c>
      <c r="C1089" s="33" t="s">
        <v>42</v>
      </c>
      <c r="D1089" s="33">
        <v>4430265054</v>
      </c>
      <c r="E1089" s="33">
        <v>183</v>
      </c>
      <c r="F1089" s="33">
        <v>155</v>
      </c>
      <c r="G1089" s="33" t="s">
        <v>38</v>
      </c>
      <c r="H1089" s="33" t="s">
        <v>2221</v>
      </c>
      <c r="I1089" s="33" t="s">
        <v>39</v>
      </c>
      <c r="J1089" s="33" t="s">
        <v>40</v>
      </c>
      <c r="K1089" s="33" t="s">
        <v>41</v>
      </c>
      <c r="L1089" s="33"/>
    </row>
    <row r="1090" spans="1:12" s="1" customFormat="1" x14ac:dyDescent="0.3">
      <c r="A1090" s="33" t="s">
        <v>2222</v>
      </c>
      <c r="B1090" s="33">
        <v>4432256273</v>
      </c>
      <c r="C1090" s="33" t="s">
        <v>37</v>
      </c>
      <c r="D1090" s="33">
        <v>4430265054</v>
      </c>
      <c r="E1090" s="33">
        <v>1830</v>
      </c>
      <c r="F1090" s="33">
        <v>1804</v>
      </c>
      <c r="G1090" s="33" t="s">
        <v>38</v>
      </c>
      <c r="H1090" s="33" t="s">
        <v>2223</v>
      </c>
      <c r="I1090" s="33" t="s">
        <v>39</v>
      </c>
      <c r="J1090" s="33" t="s">
        <v>40</v>
      </c>
      <c r="K1090" s="33" t="s">
        <v>41</v>
      </c>
      <c r="L1090" s="33">
        <v>5</v>
      </c>
    </row>
    <row r="1091" spans="1:12" s="1" customFormat="1" x14ac:dyDescent="0.3">
      <c r="A1091" s="33" t="s">
        <v>2224</v>
      </c>
      <c r="B1091" s="33">
        <v>11985890174</v>
      </c>
      <c r="C1091" s="33" t="s">
        <v>45</v>
      </c>
      <c r="D1091" s="33">
        <v>4430265054</v>
      </c>
      <c r="E1091" s="33">
        <v>122</v>
      </c>
      <c r="F1091" s="33">
        <v>96</v>
      </c>
      <c r="G1091" s="33" t="s">
        <v>38</v>
      </c>
      <c r="H1091" s="33" t="s">
        <v>2225</v>
      </c>
      <c r="I1091" s="33" t="s">
        <v>39</v>
      </c>
      <c r="J1091" s="33" t="s">
        <v>40</v>
      </c>
      <c r="K1091" s="33" t="s">
        <v>41</v>
      </c>
      <c r="L1091" s="33"/>
    </row>
    <row r="1092" spans="1:12" s="1" customFormat="1" x14ac:dyDescent="0.3">
      <c r="A1092" s="33" t="s">
        <v>2226</v>
      </c>
      <c r="B1092" s="33">
        <v>91985176746</v>
      </c>
      <c r="C1092" s="33" t="s">
        <v>37</v>
      </c>
      <c r="D1092" s="33">
        <v>4430265054</v>
      </c>
      <c r="E1092" s="33">
        <v>297</v>
      </c>
      <c r="F1092" s="33">
        <v>256</v>
      </c>
      <c r="G1092" s="33" t="s">
        <v>38</v>
      </c>
      <c r="H1092" s="33" t="s">
        <v>2227</v>
      </c>
      <c r="I1092" s="33" t="s">
        <v>39</v>
      </c>
      <c r="J1092" s="33" t="s">
        <v>40</v>
      </c>
      <c r="K1092" s="33" t="s">
        <v>41</v>
      </c>
      <c r="L1092" s="33"/>
    </row>
    <row r="1093" spans="1:12" s="1" customFormat="1" x14ac:dyDescent="0.3">
      <c r="A1093" s="33" t="s">
        <v>2228</v>
      </c>
      <c r="B1093" s="33">
        <v>11964449514</v>
      </c>
      <c r="C1093" s="33" t="s">
        <v>43</v>
      </c>
      <c r="D1093" s="33">
        <v>4431268225</v>
      </c>
      <c r="E1093" s="33">
        <v>2085</v>
      </c>
      <c r="F1093" s="33">
        <v>2060</v>
      </c>
      <c r="G1093" s="33" t="s">
        <v>38</v>
      </c>
      <c r="H1093" s="33" t="s">
        <v>2229</v>
      </c>
      <c r="I1093" s="33" t="s">
        <v>39</v>
      </c>
      <c r="J1093" s="33" t="s">
        <v>40</v>
      </c>
      <c r="K1093" s="33" t="s">
        <v>41</v>
      </c>
      <c r="L1093" s="33"/>
    </row>
    <row r="1094" spans="1:12" s="1" customFormat="1" x14ac:dyDescent="0.3">
      <c r="A1094" s="33" t="s">
        <v>2230</v>
      </c>
      <c r="B1094" s="33">
        <v>47999115463</v>
      </c>
      <c r="C1094" s="33" t="s">
        <v>37</v>
      </c>
      <c r="D1094" s="33">
        <v>4430265054</v>
      </c>
      <c r="E1094" s="33">
        <v>236</v>
      </c>
      <c r="F1094" s="33">
        <v>159</v>
      </c>
      <c r="G1094" s="33" t="s">
        <v>38</v>
      </c>
      <c r="H1094" s="33" t="s">
        <v>2231</v>
      </c>
      <c r="I1094" s="33" t="s">
        <v>39</v>
      </c>
      <c r="J1094" s="33" t="s">
        <v>40</v>
      </c>
      <c r="K1094" s="33" t="s">
        <v>41</v>
      </c>
      <c r="L1094" s="33">
        <v>5</v>
      </c>
    </row>
    <row r="1095" spans="1:12" s="1" customFormat="1" x14ac:dyDescent="0.3">
      <c r="A1095" s="33" t="s">
        <v>2232</v>
      </c>
      <c r="B1095" s="33">
        <v>47999115463</v>
      </c>
      <c r="C1095" s="33" t="s">
        <v>45</v>
      </c>
      <c r="D1095" s="33">
        <v>4430265054</v>
      </c>
      <c r="E1095" s="33">
        <v>166</v>
      </c>
      <c r="F1095" s="33">
        <v>123</v>
      </c>
      <c r="G1095" s="33" t="s">
        <v>38</v>
      </c>
      <c r="H1095" s="33" t="s">
        <v>2233</v>
      </c>
      <c r="I1095" s="33" t="s">
        <v>39</v>
      </c>
      <c r="J1095" s="33" t="s">
        <v>40</v>
      </c>
      <c r="K1095" s="33" t="s">
        <v>41</v>
      </c>
      <c r="L1095" s="33"/>
    </row>
    <row r="1096" spans="1:12" s="1" customFormat="1" x14ac:dyDescent="0.3">
      <c r="A1096" s="33" t="s">
        <v>2234</v>
      </c>
      <c r="B1096" s="33" t="s">
        <v>44</v>
      </c>
      <c r="C1096" s="33">
        <v>4430459001</v>
      </c>
      <c r="D1096" s="33"/>
      <c r="E1096" s="33">
        <v>189</v>
      </c>
      <c r="F1096" s="33">
        <v>179</v>
      </c>
      <c r="G1096" s="33" t="s">
        <v>38</v>
      </c>
      <c r="H1096" s="33" t="s">
        <v>2235</v>
      </c>
      <c r="I1096" s="33" t="s">
        <v>46</v>
      </c>
      <c r="J1096" s="33" t="s">
        <v>40</v>
      </c>
      <c r="K1096" s="33"/>
      <c r="L1096" s="33"/>
    </row>
    <row r="1097" spans="1:12" s="1" customFormat="1" x14ac:dyDescent="0.3">
      <c r="A1097" s="33" t="s">
        <v>2236</v>
      </c>
      <c r="B1097" s="33">
        <v>4432321428</v>
      </c>
      <c r="C1097" s="33" t="s">
        <v>37</v>
      </c>
      <c r="D1097" s="33">
        <v>4430265054</v>
      </c>
      <c r="E1097" s="33">
        <v>619</v>
      </c>
      <c r="F1097" s="33">
        <v>599</v>
      </c>
      <c r="G1097" s="33" t="s">
        <v>38</v>
      </c>
      <c r="H1097" s="33" t="s">
        <v>2237</v>
      </c>
      <c r="I1097" s="33" t="s">
        <v>39</v>
      </c>
      <c r="J1097" s="33" t="s">
        <v>40</v>
      </c>
      <c r="K1097" s="33" t="s">
        <v>41</v>
      </c>
      <c r="L1097" s="33">
        <v>5</v>
      </c>
    </row>
    <row r="1098" spans="1:12" s="1" customFormat="1" x14ac:dyDescent="0.3">
      <c r="A1098" s="33" t="s">
        <v>2238</v>
      </c>
      <c r="B1098" s="33">
        <v>6234347959</v>
      </c>
      <c r="C1098" s="33" t="s">
        <v>45</v>
      </c>
      <c r="D1098" s="33">
        <v>4430265054</v>
      </c>
      <c r="E1098" s="33">
        <v>496</v>
      </c>
      <c r="F1098" s="33">
        <v>439</v>
      </c>
      <c r="G1098" s="33" t="s">
        <v>38</v>
      </c>
      <c r="H1098" s="33" t="s">
        <v>2239</v>
      </c>
      <c r="I1098" s="33" t="s">
        <v>39</v>
      </c>
      <c r="J1098" s="33" t="s">
        <v>40</v>
      </c>
      <c r="K1098" s="33" t="s">
        <v>41</v>
      </c>
      <c r="L1098" s="33"/>
    </row>
    <row r="1099" spans="1:12" s="1" customFormat="1" x14ac:dyDescent="0.3">
      <c r="A1099" s="33" t="s">
        <v>2240</v>
      </c>
      <c r="B1099" s="33">
        <v>44998039090</v>
      </c>
      <c r="C1099" s="33" t="s">
        <v>44</v>
      </c>
      <c r="D1099" s="33">
        <v>4430265054</v>
      </c>
      <c r="E1099" s="33">
        <v>421</v>
      </c>
      <c r="F1099" s="33">
        <v>365</v>
      </c>
      <c r="G1099" s="33" t="s">
        <v>38</v>
      </c>
      <c r="H1099" s="33" t="s">
        <v>2241</v>
      </c>
      <c r="I1099" s="33" t="s">
        <v>39</v>
      </c>
      <c r="J1099" s="33" t="s">
        <v>40</v>
      </c>
      <c r="K1099" s="33" t="s">
        <v>41</v>
      </c>
      <c r="L1099" s="33"/>
    </row>
    <row r="1100" spans="1:12" s="1" customFormat="1" x14ac:dyDescent="0.3">
      <c r="A1100" s="33" t="s">
        <v>2242</v>
      </c>
      <c r="B1100" s="33">
        <v>4430318515</v>
      </c>
      <c r="C1100" s="33" t="s">
        <v>37</v>
      </c>
      <c r="D1100" s="33">
        <v>4430265054</v>
      </c>
      <c r="E1100" s="33">
        <v>467</v>
      </c>
      <c r="F1100" s="33">
        <v>423</v>
      </c>
      <c r="G1100" s="33" t="s">
        <v>38</v>
      </c>
      <c r="H1100" s="33" t="s">
        <v>2243</v>
      </c>
      <c r="I1100" s="33" t="s">
        <v>39</v>
      </c>
      <c r="J1100" s="33" t="s">
        <v>40</v>
      </c>
      <c r="K1100" s="33" t="s">
        <v>41</v>
      </c>
      <c r="L1100" s="33"/>
    </row>
    <row r="1101" spans="1:12" s="1" customFormat="1" x14ac:dyDescent="0.3">
      <c r="A1101" s="33" t="s">
        <v>2244</v>
      </c>
      <c r="B1101" s="33">
        <v>41999865917</v>
      </c>
      <c r="C1101" s="33" t="s">
        <v>42</v>
      </c>
      <c r="D1101" s="33">
        <v>4430265054</v>
      </c>
      <c r="E1101" s="33">
        <v>1613</v>
      </c>
      <c r="F1101" s="33">
        <v>1595</v>
      </c>
      <c r="G1101" s="33" t="s">
        <v>38</v>
      </c>
      <c r="H1101" s="33" t="s">
        <v>2245</v>
      </c>
      <c r="I1101" s="33" t="s">
        <v>39</v>
      </c>
      <c r="J1101" s="33" t="s">
        <v>40</v>
      </c>
      <c r="K1101" s="33" t="s">
        <v>41</v>
      </c>
      <c r="L1101" s="33"/>
    </row>
    <row r="1102" spans="1:12" s="1" customFormat="1" x14ac:dyDescent="0.3">
      <c r="A1102" s="33" t="s">
        <v>2246</v>
      </c>
      <c r="B1102" s="33">
        <v>44997311122</v>
      </c>
      <c r="C1102" s="33" t="s">
        <v>42</v>
      </c>
      <c r="D1102" s="33">
        <v>4430265054</v>
      </c>
      <c r="E1102" s="33">
        <v>94</v>
      </c>
      <c r="F1102" s="33">
        <v>74</v>
      </c>
      <c r="G1102" s="33" t="s">
        <v>38</v>
      </c>
      <c r="H1102" s="33" t="s">
        <v>2247</v>
      </c>
      <c r="I1102" s="33" t="s">
        <v>39</v>
      </c>
      <c r="J1102" s="33" t="s">
        <v>40</v>
      </c>
      <c r="K1102" s="33" t="s">
        <v>41</v>
      </c>
      <c r="L1102" s="33"/>
    </row>
    <row r="1103" spans="1:12" s="1" customFormat="1" x14ac:dyDescent="0.3">
      <c r="A1103" s="33" t="s">
        <v>2248</v>
      </c>
      <c r="B1103" s="33">
        <v>4432263417</v>
      </c>
      <c r="C1103" s="33" t="s">
        <v>37</v>
      </c>
      <c r="D1103" s="33">
        <v>4430265054</v>
      </c>
      <c r="E1103" s="33">
        <v>445</v>
      </c>
      <c r="F1103" s="33">
        <v>414</v>
      </c>
      <c r="G1103" s="33" t="s">
        <v>38</v>
      </c>
      <c r="H1103" s="33" t="s">
        <v>2249</v>
      </c>
      <c r="I1103" s="33" t="s">
        <v>39</v>
      </c>
      <c r="J1103" s="33" t="s">
        <v>40</v>
      </c>
      <c r="K1103" s="33" t="s">
        <v>41</v>
      </c>
      <c r="L1103" s="33">
        <v>5</v>
      </c>
    </row>
    <row r="1104" spans="1:12" s="1" customFormat="1" x14ac:dyDescent="0.3">
      <c r="A1104" s="33" t="s">
        <v>2250</v>
      </c>
      <c r="B1104" s="33" t="s">
        <v>42</v>
      </c>
      <c r="C1104" s="33">
        <v>4430459032</v>
      </c>
      <c r="D1104" s="33"/>
      <c r="E1104" s="33">
        <v>76</v>
      </c>
      <c r="F1104" s="33">
        <v>75</v>
      </c>
      <c r="G1104" s="33" t="s">
        <v>38</v>
      </c>
      <c r="H1104" s="33" t="s">
        <v>2251</v>
      </c>
      <c r="I1104" s="33" t="s">
        <v>46</v>
      </c>
      <c r="J1104" s="33" t="s">
        <v>40</v>
      </c>
      <c r="K1104" s="33"/>
      <c r="L1104" s="33"/>
    </row>
    <row r="1105" spans="1:12" s="1" customFormat="1" x14ac:dyDescent="0.3">
      <c r="A1105" s="33" t="s">
        <v>2252</v>
      </c>
      <c r="B1105" s="33" t="s">
        <v>48</v>
      </c>
      <c r="C1105" s="33">
        <v>1131043888</v>
      </c>
      <c r="D1105" s="33"/>
      <c r="E1105" s="33">
        <v>276</v>
      </c>
      <c r="F1105" s="33">
        <v>274</v>
      </c>
      <c r="G1105" s="33" t="s">
        <v>38</v>
      </c>
      <c r="H1105" s="33" t="s">
        <v>2253</v>
      </c>
      <c r="I1105" s="33" t="s">
        <v>46</v>
      </c>
      <c r="J1105" s="33" t="s">
        <v>40</v>
      </c>
      <c r="K1105" s="33"/>
      <c r="L1105" s="33"/>
    </row>
    <row r="1106" spans="1:12" s="1" customFormat="1" x14ac:dyDescent="0.3">
      <c r="A1106" s="33" t="s">
        <v>2254</v>
      </c>
      <c r="B1106" s="33">
        <v>4430162376</v>
      </c>
      <c r="C1106" s="33" t="s">
        <v>43</v>
      </c>
      <c r="D1106" s="33">
        <v>4430265054</v>
      </c>
      <c r="E1106" s="33">
        <v>857</v>
      </c>
      <c r="F1106" s="33">
        <v>759</v>
      </c>
      <c r="G1106" s="33" t="s">
        <v>38</v>
      </c>
      <c r="H1106" s="33" t="s">
        <v>2255</v>
      </c>
      <c r="I1106" s="33" t="s">
        <v>39</v>
      </c>
      <c r="J1106" s="33" t="s">
        <v>40</v>
      </c>
      <c r="K1106" s="33" t="s">
        <v>41</v>
      </c>
      <c r="L1106" s="33"/>
    </row>
    <row r="1107" spans="1:12" s="1" customFormat="1" x14ac:dyDescent="0.3">
      <c r="A1107" s="33" t="s">
        <v>2256</v>
      </c>
      <c r="B1107" s="33">
        <v>4432520627</v>
      </c>
      <c r="C1107" s="33" t="s">
        <v>43</v>
      </c>
      <c r="D1107" s="33">
        <v>4430265054</v>
      </c>
      <c r="E1107" s="33">
        <v>384</v>
      </c>
      <c r="F1107" s="33">
        <v>360</v>
      </c>
      <c r="G1107" s="33" t="s">
        <v>38</v>
      </c>
      <c r="H1107" s="33" t="s">
        <v>2257</v>
      </c>
      <c r="I1107" s="33" t="s">
        <v>39</v>
      </c>
      <c r="J1107" s="33" t="s">
        <v>40</v>
      </c>
      <c r="K1107" s="33" t="s">
        <v>41</v>
      </c>
      <c r="L1107" s="33">
        <v>5</v>
      </c>
    </row>
    <row r="1108" spans="1:12" s="1" customFormat="1" x14ac:dyDescent="0.3">
      <c r="A1108" s="33" t="s">
        <v>2258</v>
      </c>
      <c r="B1108" s="33">
        <v>4436761185</v>
      </c>
      <c r="C1108" s="33" t="s">
        <v>45</v>
      </c>
      <c r="D1108" s="33">
        <v>4430265054</v>
      </c>
      <c r="E1108" s="33">
        <v>471</v>
      </c>
      <c r="F1108" s="33">
        <v>429</v>
      </c>
      <c r="G1108" s="33" t="s">
        <v>38</v>
      </c>
      <c r="H1108" s="33" t="s">
        <v>2259</v>
      </c>
      <c r="I1108" s="33" t="s">
        <v>39</v>
      </c>
      <c r="J1108" s="33" t="s">
        <v>40</v>
      </c>
      <c r="K1108" s="33" t="s">
        <v>41</v>
      </c>
      <c r="L1108" s="33"/>
    </row>
    <row r="1109" spans="1:12" s="1" customFormat="1" x14ac:dyDescent="0.3">
      <c r="A1109" s="33" t="s">
        <v>2260</v>
      </c>
      <c r="B1109" s="33">
        <v>4432520627</v>
      </c>
      <c r="C1109" s="33" t="s">
        <v>42</v>
      </c>
      <c r="D1109" s="33">
        <v>4430265054</v>
      </c>
      <c r="E1109" s="33">
        <v>52</v>
      </c>
      <c r="F1109" s="33">
        <v>10</v>
      </c>
      <c r="G1109" s="33" t="s">
        <v>38</v>
      </c>
      <c r="H1109" s="33" t="s">
        <v>2261</v>
      </c>
      <c r="I1109" s="33" t="s">
        <v>39</v>
      </c>
      <c r="J1109" s="33" t="s">
        <v>40</v>
      </c>
      <c r="K1109" s="33" t="s">
        <v>41</v>
      </c>
      <c r="L1109" s="33"/>
    </row>
    <row r="1110" spans="1:12" s="1" customFormat="1" x14ac:dyDescent="0.3">
      <c r="A1110" s="33" t="s">
        <v>2262</v>
      </c>
      <c r="B1110" s="33">
        <v>6234347959</v>
      </c>
      <c r="C1110" s="33" t="s">
        <v>44</v>
      </c>
      <c r="D1110" s="33">
        <v>4430265054</v>
      </c>
      <c r="E1110" s="33">
        <v>1666</v>
      </c>
      <c r="F1110" s="33">
        <v>1501</v>
      </c>
      <c r="G1110" s="33" t="s">
        <v>38</v>
      </c>
      <c r="H1110" s="33" t="s">
        <v>2263</v>
      </c>
      <c r="I1110" s="33" t="s">
        <v>39</v>
      </c>
      <c r="J1110" s="33" t="s">
        <v>40</v>
      </c>
      <c r="K1110" s="33" t="s">
        <v>41</v>
      </c>
      <c r="L1110" s="33"/>
    </row>
    <row r="1111" spans="1:12" s="1" customFormat="1" x14ac:dyDescent="0.3">
      <c r="A1111" s="33" t="s">
        <v>2264</v>
      </c>
      <c r="B1111" s="33">
        <v>1131043888</v>
      </c>
      <c r="C1111" s="33" t="s">
        <v>48</v>
      </c>
      <c r="D1111" s="33">
        <v>4430265054</v>
      </c>
      <c r="E1111" s="33">
        <v>1051</v>
      </c>
      <c r="F1111" s="33">
        <v>1029</v>
      </c>
      <c r="G1111" s="33" t="s">
        <v>38</v>
      </c>
      <c r="H1111" s="33" t="s">
        <v>2265</v>
      </c>
      <c r="I1111" s="33" t="s">
        <v>39</v>
      </c>
      <c r="J1111" s="33" t="s">
        <v>40</v>
      </c>
      <c r="K1111" s="33" t="s">
        <v>41</v>
      </c>
      <c r="L1111" s="33"/>
    </row>
    <row r="1112" spans="1:12" s="1" customFormat="1" x14ac:dyDescent="0.3">
      <c r="A1112" s="33" t="s">
        <v>2266</v>
      </c>
      <c r="B1112" s="33">
        <v>44988135387</v>
      </c>
      <c r="C1112" s="33" t="s">
        <v>37</v>
      </c>
      <c r="D1112" s="33">
        <v>4430265054</v>
      </c>
      <c r="E1112" s="33">
        <v>447</v>
      </c>
      <c r="F1112" s="33">
        <v>385</v>
      </c>
      <c r="G1112" s="33" t="s">
        <v>38</v>
      </c>
      <c r="H1112" s="33" t="s">
        <v>2267</v>
      </c>
      <c r="I1112" s="33" t="s">
        <v>39</v>
      </c>
      <c r="J1112" s="33" t="s">
        <v>40</v>
      </c>
      <c r="K1112" s="33" t="s">
        <v>41</v>
      </c>
      <c r="L1112" s="33"/>
    </row>
    <row r="1113" spans="1:12" s="1" customFormat="1" x14ac:dyDescent="0.3">
      <c r="A1113" s="33" t="s">
        <v>2268</v>
      </c>
      <c r="B1113" s="33">
        <v>4433543396</v>
      </c>
      <c r="C1113" s="33" t="s">
        <v>48</v>
      </c>
      <c r="D1113" s="33">
        <v>4430265054</v>
      </c>
      <c r="E1113" s="33">
        <v>217</v>
      </c>
      <c r="F1113" s="33">
        <v>173</v>
      </c>
      <c r="G1113" s="33" t="s">
        <v>38</v>
      </c>
      <c r="H1113" s="33" t="s">
        <v>2269</v>
      </c>
      <c r="I1113" s="33" t="s">
        <v>39</v>
      </c>
      <c r="J1113" s="33" t="s">
        <v>40</v>
      </c>
      <c r="K1113" s="33" t="s">
        <v>41</v>
      </c>
      <c r="L1113" s="33"/>
    </row>
    <row r="1114" spans="1:12" s="1" customFormat="1" x14ac:dyDescent="0.3">
      <c r="A1114" s="33" t="s">
        <v>2270</v>
      </c>
      <c r="B1114" s="33">
        <v>4430162384</v>
      </c>
      <c r="C1114" s="33" t="s">
        <v>44</v>
      </c>
      <c r="D1114" s="33">
        <v>4430265054</v>
      </c>
      <c r="E1114" s="33">
        <v>677</v>
      </c>
      <c r="F1114" s="33">
        <v>477</v>
      </c>
      <c r="G1114" s="33" t="s">
        <v>38</v>
      </c>
      <c r="H1114" s="33" t="s">
        <v>2271</v>
      </c>
      <c r="I1114" s="33" t="s">
        <v>39</v>
      </c>
      <c r="J1114" s="33" t="s">
        <v>40</v>
      </c>
      <c r="K1114" s="33" t="s">
        <v>41</v>
      </c>
      <c r="L1114" s="33"/>
    </row>
    <row r="1115" spans="1:12" s="1" customFormat="1" x14ac:dyDescent="0.3">
      <c r="A1115" s="33" t="s">
        <v>2272</v>
      </c>
      <c r="B1115" s="33">
        <v>35998295948</v>
      </c>
      <c r="C1115" s="33" t="s">
        <v>42</v>
      </c>
      <c r="D1115" s="33">
        <v>4430265054</v>
      </c>
      <c r="E1115" s="33">
        <v>815</v>
      </c>
      <c r="F1115" s="33">
        <v>712</v>
      </c>
      <c r="G1115" s="33" t="s">
        <v>38</v>
      </c>
      <c r="H1115" s="33" t="s">
        <v>2273</v>
      </c>
      <c r="I1115" s="33" t="s">
        <v>39</v>
      </c>
      <c r="J1115" s="33" t="s">
        <v>40</v>
      </c>
      <c r="K1115" s="33" t="s">
        <v>41</v>
      </c>
      <c r="L1115" s="33"/>
    </row>
    <row r="1116" spans="1:12" s="1" customFormat="1" x14ac:dyDescent="0.3">
      <c r="A1116" s="33" t="s">
        <v>2274</v>
      </c>
      <c r="B1116" s="33">
        <v>4430152533</v>
      </c>
      <c r="C1116" s="33" t="s">
        <v>37</v>
      </c>
      <c r="D1116" s="33">
        <v>4430265054</v>
      </c>
      <c r="E1116" s="33">
        <v>323</v>
      </c>
      <c r="F1116" s="33">
        <v>201</v>
      </c>
      <c r="G1116" s="33" t="s">
        <v>38</v>
      </c>
      <c r="H1116" s="33" t="s">
        <v>2275</v>
      </c>
      <c r="I1116" s="33" t="s">
        <v>39</v>
      </c>
      <c r="J1116" s="33" t="s">
        <v>40</v>
      </c>
      <c r="K1116" s="33" t="s">
        <v>41</v>
      </c>
      <c r="L1116" s="33">
        <v>5</v>
      </c>
    </row>
    <row r="1117" spans="1:12" s="1" customFormat="1" x14ac:dyDescent="0.3">
      <c r="A1117" s="33" t="s">
        <v>2276</v>
      </c>
      <c r="B1117" s="33">
        <v>4435228300</v>
      </c>
      <c r="C1117" s="33" t="s">
        <v>44</v>
      </c>
      <c r="D1117" s="33">
        <v>4430265054</v>
      </c>
      <c r="E1117" s="33">
        <v>372</v>
      </c>
      <c r="F1117" s="33">
        <v>334</v>
      </c>
      <c r="G1117" s="33" t="s">
        <v>38</v>
      </c>
      <c r="H1117" s="33" t="s">
        <v>2277</v>
      </c>
      <c r="I1117" s="33" t="s">
        <v>39</v>
      </c>
      <c r="J1117" s="33" t="s">
        <v>40</v>
      </c>
      <c r="K1117" s="33" t="s">
        <v>41</v>
      </c>
      <c r="L1117" s="33"/>
    </row>
    <row r="1118" spans="1:12" s="1" customFormat="1" x14ac:dyDescent="0.3">
      <c r="A1118" s="33" t="s">
        <v>2278</v>
      </c>
      <c r="B1118" s="33">
        <v>62984961358</v>
      </c>
      <c r="C1118" s="33" t="s">
        <v>45</v>
      </c>
      <c r="D1118" s="33">
        <v>4430265054</v>
      </c>
      <c r="E1118" s="33">
        <v>1105</v>
      </c>
      <c r="F1118" s="33">
        <v>1082</v>
      </c>
      <c r="G1118" s="33" t="s">
        <v>38</v>
      </c>
      <c r="H1118" s="33" t="s">
        <v>2279</v>
      </c>
      <c r="I1118" s="33" t="s">
        <v>39</v>
      </c>
      <c r="J1118" s="33" t="s">
        <v>40</v>
      </c>
      <c r="K1118" s="33" t="s">
        <v>41</v>
      </c>
      <c r="L1118" s="33">
        <v>5</v>
      </c>
    </row>
    <row r="1119" spans="1:12" s="1" customFormat="1" x14ac:dyDescent="0.3">
      <c r="A1119" s="33" t="s">
        <v>2280</v>
      </c>
      <c r="B1119" s="33">
        <v>1732146970</v>
      </c>
      <c r="C1119" s="33" t="s">
        <v>43</v>
      </c>
      <c r="D1119" s="33">
        <v>4431268225</v>
      </c>
      <c r="E1119" s="33">
        <v>1502</v>
      </c>
      <c r="F1119" s="33">
        <v>1451</v>
      </c>
      <c r="G1119" s="33" t="s">
        <v>38</v>
      </c>
      <c r="H1119" s="33" t="s">
        <v>2281</v>
      </c>
      <c r="I1119" s="33" t="s">
        <v>39</v>
      </c>
      <c r="J1119" s="33" t="s">
        <v>40</v>
      </c>
      <c r="K1119" s="33" t="s">
        <v>41</v>
      </c>
      <c r="L1119" s="33"/>
    </row>
    <row r="1120" spans="1:12" s="1" customFormat="1" x14ac:dyDescent="0.3">
      <c r="A1120" s="33" t="s">
        <v>2282</v>
      </c>
      <c r="B1120" s="33">
        <v>62984961358</v>
      </c>
      <c r="C1120" s="33" t="s">
        <v>45</v>
      </c>
      <c r="D1120" s="33">
        <v>4430265054</v>
      </c>
      <c r="E1120" s="33">
        <v>255</v>
      </c>
      <c r="F1120" s="33">
        <v>167</v>
      </c>
      <c r="G1120" s="33" t="s">
        <v>38</v>
      </c>
      <c r="H1120" s="33" t="s">
        <v>2283</v>
      </c>
      <c r="I1120" s="33" t="s">
        <v>39</v>
      </c>
      <c r="J1120" s="33" t="s">
        <v>40</v>
      </c>
      <c r="K1120" s="33" t="s">
        <v>41</v>
      </c>
      <c r="L1120" s="33"/>
    </row>
    <row r="1121" spans="1:12" s="1" customFormat="1" x14ac:dyDescent="0.3">
      <c r="A1121" s="33" t="s">
        <v>2284</v>
      </c>
      <c r="B1121" s="33">
        <v>44984241715</v>
      </c>
      <c r="C1121" s="33" t="s">
        <v>37</v>
      </c>
      <c r="D1121" s="33">
        <v>4430265054</v>
      </c>
      <c r="E1121" s="33">
        <v>389</v>
      </c>
      <c r="F1121" s="33">
        <v>283</v>
      </c>
      <c r="G1121" s="33" t="s">
        <v>38</v>
      </c>
      <c r="H1121" s="33" t="s">
        <v>2285</v>
      </c>
      <c r="I1121" s="33" t="s">
        <v>39</v>
      </c>
      <c r="J1121" s="33" t="s">
        <v>40</v>
      </c>
      <c r="K1121" s="33" t="s">
        <v>41</v>
      </c>
      <c r="L1121" s="33"/>
    </row>
    <row r="1122" spans="1:12" s="1" customFormat="1" x14ac:dyDescent="0.3">
      <c r="A1122" s="33" t="s">
        <v>2286</v>
      </c>
      <c r="B1122" s="33">
        <v>44991064446</v>
      </c>
      <c r="C1122" s="33" t="s">
        <v>42</v>
      </c>
      <c r="D1122" s="33">
        <v>4430265054</v>
      </c>
      <c r="E1122" s="33">
        <v>500</v>
      </c>
      <c r="F1122" s="33">
        <v>466</v>
      </c>
      <c r="G1122" s="33" t="s">
        <v>38</v>
      </c>
      <c r="H1122" s="33" t="s">
        <v>2287</v>
      </c>
      <c r="I1122" s="33" t="s">
        <v>39</v>
      </c>
      <c r="J1122" s="33" t="s">
        <v>40</v>
      </c>
      <c r="K1122" s="33" t="s">
        <v>41</v>
      </c>
      <c r="L1122" s="33"/>
    </row>
    <row r="1123" spans="1:12" s="1" customFormat="1" x14ac:dyDescent="0.3">
      <c r="A1123" s="33" t="s">
        <v>2288</v>
      </c>
      <c r="B1123" s="33" t="s">
        <v>44</v>
      </c>
      <c r="C1123" s="33">
        <v>44991234625</v>
      </c>
      <c r="D1123" s="33"/>
      <c r="E1123" s="33">
        <v>9</v>
      </c>
      <c r="F1123" s="33">
        <v>0</v>
      </c>
      <c r="G1123" s="33" t="s">
        <v>47</v>
      </c>
      <c r="H1123" s="33" t="s">
        <v>2289</v>
      </c>
      <c r="I1123" s="33" t="s">
        <v>46</v>
      </c>
      <c r="J1123" s="33" t="s">
        <v>40</v>
      </c>
      <c r="K1123" s="33"/>
      <c r="L1123" s="33"/>
    </row>
    <row r="1124" spans="1:12" s="1" customFormat="1" x14ac:dyDescent="0.3">
      <c r="A1124" s="33" t="s">
        <v>2290</v>
      </c>
      <c r="B1124" s="33" t="s">
        <v>44</v>
      </c>
      <c r="C1124" s="33">
        <v>44991234625</v>
      </c>
      <c r="D1124" s="33"/>
      <c r="E1124" s="33">
        <v>17</v>
      </c>
      <c r="F1124" s="33">
        <v>0</v>
      </c>
      <c r="G1124" s="33" t="s">
        <v>47</v>
      </c>
      <c r="H1124" s="33" t="s">
        <v>2291</v>
      </c>
      <c r="I1124" s="33" t="s">
        <v>46</v>
      </c>
      <c r="J1124" s="33" t="s">
        <v>40</v>
      </c>
      <c r="K1124" s="33"/>
      <c r="L1124" s="33"/>
    </row>
    <row r="1125" spans="1:12" s="1" customFormat="1" x14ac:dyDescent="0.3">
      <c r="A1125" s="33" t="s">
        <v>2292</v>
      </c>
      <c r="B1125" s="33">
        <v>4430162384</v>
      </c>
      <c r="C1125" s="33" t="s">
        <v>45</v>
      </c>
      <c r="D1125" s="33">
        <v>4430265054</v>
      </c>
      <c r="E1125" s="33">
        <v>411</v>
      </c>
      <c r="F1125" s="33">
        <v>369</v>
      </c>
      <c r="G1125" s="33" t="s">
        <v>38</v>
      </c>
      <c r="H1125" s="33" t="s">
        <v>2293</v>
      </c>
      <c r="I1125" s="33" t="s">
        <v>39</v>
      </c>
      <c r="J1125" s="33" t="s">
        <v>40</v>
      </c>
      <c r="K1125" s="33" t="s">
        <v>41</v>
      </c>
      <c r="L1125" s="33"/>
    </row>
    <row r="1126" spans="1:12" s="1" customFormat="1" x14ac:dyDescent="0.3">
      <c r="A1126" s="33" t="s">
        <v>2294</v>
      </c>
      <c r="B1126" s="33">
        <v>11972178961</v>
      </c>
      <c r="C1126" s="33" t="s">
        <v>37</v>
      </c>
      <c r="D1126" s="33">
        <v>4430265054</v>
      </c>
      <c r="E1126" s="33">
        <v>113</v>
      </c>
      <c r="F1126" s="33">
        <v>26</v>
      </c>
      <c r="G1126" s="33" t="s">
        <v>38</v>
      </c>
      <c r="H1126" s="33" t="s">
        <v>2295</v>
      </c>
      <c r="I1126" s="33" t="s">
        <v>39</v>
      </c>
      <c r="J1126" s="33" t="s">
        <v>40</v>
      </c>
      <c r="K1126" s="33" t="s">
        <v>41</v>
      </c>
      <c r="L1126" s="33"/>
    </row>
    <row r="1127" spans="1:12" s="1" customFormat="1" x14ac:dyDescent="0.3">
      <c r="A1127" s="33" t="s">
        <v>2296</v>
      </c>
      <c r="B1127" s="33" t="s">
        <v>49</v>
      </c>
      <c r="C1127" s="33">
        <v>11991409772</v>
      </c>
      <c r="D1127" s="33"/>
      <c r="E1127" s="33">
        <v>67</v>
      </c>
      <c r="F1127" s="33">
        <v>30</v>
      </c>
      <c r="G1127" s="33" t="s">
        <v>38</v>
      </c>
      <c r="H1127" s="33" t="s">
        <v>2297</v>
      </c>
      <c r="I1127" s="33" t="s">
        <v>46</v>
      </c>
      <c r="J1127" s="33" t="s">
        <v>40</v>
      </c>
      <c r="K1127" s="33"/>
      <c r="L1127" s="33"/>
    </row>
    <row r="1128" spans="1:12" s="1" customFormat="1" x14ac:dyDescent="0.3">
      <c r="A1128" s="33" t="s">
        <v>2298</v>
      </c>
      <c r="B1128" s="33" t="s">
        <v>49</v>
      </c>
      <c r="C1128" s="33">
        <v>11997719878</v>
      </c>
      <c r="D1128" s="33"/>
      <c r="E1128" s="33">
        <v>4</v>
      </c>
      <c r="F1128" s="33">
        <v>0</v>
      </c>
      <c r="G1128" s="33" t="s">
        <v>47</v>
      </c>
      <c r="H1128" s="33" t="s">
        <v>2299</v>
      </c>
      <c r="I1128" s="33" t="s">
        <v>46</v>
      </c>
      <c r="J1128" s="33" t="s">
        <v>40</v>
      </c>
      <c r="K1128" s="33"/>
      <c r="L1128" s="33"/>
    </row>
    <row r="1129" spans="1:12" s="1" customFormat="1" x14ac:dyDescent="0.3">
      <c r="A1129" s="33" t="s">
        <v>2300</v>
      </c>
      <c r="B1129" s="33">
        <v>44998039090</v>
      </c>
      <c r="C1129" s="33" t="s">
        <v>37</v>
      </c>
      <c r="D1129" s="33">
        <v>4430265054</v>
      </c>
      <c r="E1129" s="33">
        <v>237</v>
      </c>
      <c r="F1129" s="33">
        <v>139</v>
      </c>
      <c r="G1129" s="33" t="s">
        <v>38</v>
      </c>
      <c r="H1129" s="33" t="s">
        <v>2301</v>
      </c>
      <c r="I1129" s="33" t="s">
        <v>39</v>
      </c>
      <c r="J1129" s="33" t="s">
        <v>40</v>
      </c>
      <c r="K1129" s="33" t="s">
        <v>41</v>
      </c>
      <c r="L1129" s="33">
        <v>4</v>
      </c>
    </row>
    <row r="1130" spans="1:12" s="1" customFormat="1" x14ac:dyDescent="0.3">
      <c r="A1130" s="33" t="s">
        <v>2302</v>
      </c>
      <c r="B1130" s="33">
        <v>45999211357</v>
      </c>
      <c r="C1130" s="33" t="s">
        <v>45</v>
      </c>
      <c r="D1130" s="33">
        <v>4431268225</v>
      </c>
      <c r="E1130" s="33">
        <v>845</v>
      </c>
      <c r="F1130" s="33">
        <v>776</v>
      </c>
      <c r="G1130" s="33" t="s">
        <v>38</v>
      </c>
      <c r="H1130" s="33" t="s">
        <v>2303</v>
      </c>
      <c r="I1130" s="33" t="s">
        <v>39</v>
      </c>
      <c r="J1130" s="33" t="s">
        <v>40</v>
      </c>
      <c r="K1130" s="33" t="s">
        <v>41</v>
      </c>
      <c r="L1130" s="33">
        <v>4</v>
      </c>
    </row>
    <row r="1131" spans="1:12" s="1" customFormat="1" x14ac:dyDescent="0.3">
      <c r="A1131" s="33" t="s">
        <v>2304</v>
      </c>
      <c r="B1131" s="33">
        <v>1129630984</v>
      </c>
      <c r="C1131" s="33" t="s">
        <v>43</v>
      </c>
      <c r="D1131" s="33">
        <v>4430265054</v>
      </c>
      <c r="E1131" s="33">
        <v>873</v>
      </c>
      <c r="F1131" s="33">
        <v>825</v>
      </c>
      <c r="G1131" s="33" t="s">
        <v>38</v>
      </c>
      <c r="H1131" s="33" t="s">
        <v>2305</v>
      </c>
      <c r="I1131" s="33" t="s">
        <v>39</v>
      </c>
      <c r="J1131" s="33" t="s">
        <v>40</v>
      </c>
      <c r="K1131" s="33" t="s">
        <v>41</v>
      </c>
      <c r="L1131" s="33"/>
    </row>
    <row r="1132" spans="1:12" s="1" customFormat="1" x14ac:dyDescent="0.3">
      <c r="A1132" s="33" t="s">
        <v>2306</v>
      </c>
      <c r="B1132" s="33">
        <v>4330333558</v>
      </c>
      <c r="C1132" s="33" t="s">
        <v>45</v>
      </c>
      <c r="D1132" s="33">
        <v>4430265054</v>
      </c>
      <c r="E1132" s="33">
        <v>426</v>
      </c>
      <c r="F1132" s="33">
        <v>368</v>
      </c>
      <c r="G1132" s="33" t="s">
        <v>38</v>
      </c>
      <c r="H1132" s="33" t="s">
        <v>2307</v>
      </c>
      <c r="I1132" s="33" t="s">
        <v>39</v>
      </c>
      <c r="J1132" s="33" t="s">
        <v>40</v>
      </c>
      <c r="K1132" s="33" t="s">
        <v>41</v>
      </c>
      <c r="L1132" s="33">
        <v>5</v>
      </c>
    </row>
    <row r="1133" spans="1:12" s="1" customFormat="1" x14ac:dyDescent="0.3">
      <c r="A1133" s="33" t="s">
        <v>2308</v>
      </c>
      <c r="B1133" s="33">
        <v>4430456242</v>
      </c>
      <c r="C1133" s="33" t="s">
        <v>43</v>
      </c>
      <c r="D1133" s="33">
        <v>4430265054</v>
      </c>
      <c r="E1133" s="33">
        <v>274</v>
      </c>
      <c r="F1133" s="33">
        <v>253</v>
      </c>
      <c r="G1133" s="33" t="s">
        <v>38</v>
      </c>
      <c r="H1133" s="33" t="s">
        <v>2309</v>
      </c>
      <c r="I1133" s="33" t="s">
        <v>39</v>
      </c>
      <c r="J1133" s="33" t="s">
        <v>40</v>
      </c>
      <c r="K1133" s="33" t="s">
        <v>41</v>
      </c>
      <c r="L1133" s="33"/>
    </row>
    <row r="1134" spans="1:12" s="1" customFormat="1" x14ac:dyDescent="0.3">
      <c r="A1134" s="33" t="s">
        <v>2310</v>
      </c>
      <c r="B1134" s="33">
        <v>4435226025</v>
      </c>
      <c r="C1134" s="33" t="s">
        <v>44</v>
      </c>
      <c r="D1134" s="33">
        <v>4430265054</v>
      </c>
      <c r="E1134" s="33">
        <v>324</v>
      </c>
      <c r="F1134" s="33">
        <v>263</v>
      </c>
      <c r="G1134" s="33" t="s">
        <v>38</v>
      </c>
      <c r="H1134" s="33" t="s">
        <v>2311</v>
      </c>
      <c r="I1134" s="33" t="s">
        <v>39</v>
      </c>
      <c r="J1134" s="33" t="s">
        <v>40</v>
      </c>
      <c r="K1134" s="33" t="s">
        <v>41</v>
      </c>
      <c r="L1134" s="33"/>
    </row>
    <row r="1135" spans="1:12" s="1" customFormat="1" x14ac:dyDescent="0.3">
      <c r="A1135" s="33" t="s">
        <v>2312</v>
      </c>
      <c r="B1135" s="33">
        <v>4430459032</v>
      </c>
      <c r="C1135" s="33" t="s">
        <v>42</v>
      </c>
      <c r="D1135" s="33">
        <v>4430265054</v>
      </c>
      <c r="E1135" s="33">
        <v>1200</v>
      </c>
      <c r="F1135" s="33">
        <v>1128</v>
      </c>
      <c r="G1135" s="33" t="s">
        <v>38</v>
      </c>
      <c r="H1135" s="33" t="s">
        <v>2313</v>
      </c>
      <c r="I1135" s="33" t="s">
        <v>39</v>
      </c>
      <c r="J1135" s="33" t="s">
        <v>40</v>
      </c>
      <c r="K1135" s="33" t="s">
        <v>41</v>
      </c>
      <c r="L1135" s="33"/>
    </row>
    <row r="1136" spans="1:12" s="1" customFormat="1" x14ac:dyDescent="0.3">
      <c r="A1136" s="33" t="s">
        <v>2314</v>
      </c>
      <c r="B1136" s="33">
        <v>44988255390</v>
      </c>
      <c r="C1136" s="33" t="s">
        <v>37</v>
      </c>
      <c r="D1136" s="33">
        <v>4430265054</v>
      </c>
      <c r="E1136" s="33">
        <v>1108</v>
      </c>
      <c r="F1136" s="33">
        <v>1030</v>
      </c>
      <c r="G1136" s="33" t="s">
        <v>38</v>
      </c>
      <c r="H1136" s="33" t="s">
        <v>2315</v>
      </c>
      <c r="I1136" s="33" t="s">
        <v>39</v>
      </c>
      <c r="J1136" s="33" t="s">
        <v>40</v>
      </c>
      <c r="K1136" s="33" t="s">
        <v>41</v>
      </c>
      <c r="L1136" s="33">
        <v>5</v>
      </c>
    </row>
    <row r="1137" spans="1:13" x14ac:dyDescent="0.3">
      <c r="A1137" s="33" t="s">
        <v>2316</v>
      </c>
      <c r="B1137" s="33">
        <v>44998601838</v>
      </c>
      <c r="C1137" s="33" t="s">
        <v>44</v>
      </c>
      <c r="D1137" s="33">
        <v>4430265054</v>
      </c>
      <c r="E1137" s="33">
        <v>305</v>
      </c>
      <c r="F1137" s="33">
        <v>270</v>
      </c>
      <c r="G1137" s="33" t="s">
        <v>38</v>
      </c>
      <c r="H1137" s="33" t="s">
        <v>2317</v>
      </c>
      <c r="I1137" s="33" t="s">
        <v>39</v>
      </c>
      <c r="J1137" s="33" t="s">
        <v>40</v>
      </c>
      <c r="K1137" s="33" t="s">
        <v>41</v>
      </c>
      <c r="L1137" s="33">
        <v>5</v>
      </c>
      <c r="M1137" s="1"/>
    </row>
    <row r="1138" spans="1:13" x14ac:dyDescent="0.3">
      <c r="A1138" s="33" t="s">
        <v>2318</v>
      </c>
      <c r="B1138" s="33">
        <v>11964449514</v>
      </c>
      <c r="C1138" s="33" t="s">
        <v>43</v>
      </c>
      <c r="D1138" s="33">
        <v>4431268225</v>
      </c>
      <c r="E1138" s="33">
        <v>911</v>
      </c>
      <c r="F1138" s="33">
        <v>842</v>
      </c>
      <c r="G1138" s="33" t="s">
        <v>38</v>
      </c>
      <c r="H1138" s="33" t="s">
        <v>2319</v>
      </c>
      <c r="I1138" s="33" t="s">
        <v>39</v>
      </c>
      <c r="J1138" s="33" t="s">
        <v>40</v>
      </c>
      <c r="K1138" s="33" t="s">
        <v>41</v>
      </c>
      <c r="M1138" s="1"/>
    </row>
    <row r="1139" spans="1:13" x14ac:dyDescent="0.3">
      <c r="A1139" s="33" t="s">
        <v>2320</v>
      </c>
      <c r="B1139" s="33">
        <v>44991798896</v>
      </c>
      <c r="C1139" s="33" t="s">
        <v>37</v>
      </c>
      <c r="D1139" s="33">
        <v>4430265054</v>
      </c>
      <c r="E1139" s="33">
        <v>1037</v>
      </c>
      <c r="F1139" s="33">
        <v>996</v>
      </c>
      <c r="G1139" s="33" t="s">
        <v>38</v>
      </c>
      <c r="H1139" s="33" t="s">
        <v>2321</v>
      </c>
      <c r="I1139" s="33" t="s">
        <v>39</v>
      </c>
      <c r="J1139" s="33" t="s">
        <v>40</v>
      </c>
      <c r="K1139" s="33" t="s">
        <v>41</v>
      </c>
      <c r="M1139" s="1"/>
    </row>
    <row r="1140" spans="1:13" x14ac:dyDescent="0.3">
      <c r="A1140" s="33" t="s">
        <v>2322</v>
      </c>
      <c r="B1140" s="33">
        <v>44999827582</v>
      </c>
      <c r="C1140" s="33" t="s">
        <v>45</v>
      </c>
      <c r="D1140" s="33">
        <v>4430265054</v>
      </c>
      <c r="E1140" s="33">
        <v>2111</v>
      </c>
      <c r="F1140" s="33">
        <v>2094</v>
      </c>
      <c r="G1140" s="33" t="s">
        <v>38</v>
      </c>
      <c r="H1140" s="33" t="s">
        <v>2323</v>
      </c>
      <c r="I1140" s="33" t="s">
        <v>39</v>
      </c>
      <c r="J1140" s="33" t="s">
        <v>40</v>
      </c>
      <c r="K1140" s="33" t="s">
        <v>41</v>
      </c>
      <c r="L1140" s="37">
        <v>4</v>
      </c>
      <c r="M1140" s="34" t="s">
        <v>3446</v>
      </c>
    </row>
    <row r="1141" spans="1:13" x14ac:dyDescent="0.3">
      <c r="A1141" s="33" t="s">
        <v>2324</v>
      </c>
      <c r="B1141" s="33">
        <v>4430459001</v>
      </c>
      <c r="C1141" s="33" t="s">
        <v>44</v>
      </c>
      <c r="D1141" s="33">
        <v>4430265054</v>
      </c>
      <c r="E1141" s="33">
        <v>116</v>
      </c>
      <c r="F1141" s="33">
        <v>80</v>
      </c>
      <c r="G1141" s="33" t="s">
        <v>38</v>
      </c>
      <c r="H1141" s="33" t="s">
        <v>2325</v>
      </c>
      <c r="I1141" s="33" t="s">
        <v>39</v>
      </c>
      <c r="J1141" s="33" t="s">
        <v>40</v>
      </c>
      <c r="K1141" s="33" t="s">
        <v>41</v>
      </c>
      <c r="M1141" s="1"/>
    </row>
    <row r="1142" spans="1:13" x14ac:dyDescent="0.3">
      <c r="A1142" s="33" t="s">
        <v>2326</v>
      </c>
      <c r="B1142" s="33">
        <v>4436313274</v>
      </c>
      <c r="C1142" s="33" t="s">
        <v>37</v>
      </c>
      <c r="D1142" s="33">
        <v>4430265054</v>
      </c>
      <c r="E1142" s="33">
        <v>601</v>
      </c>
      <c r="F1142" s="33">
        <v>527</v>
      </c>
      <c r="G1142" s="33" t="s">
        <v>38</v>
      </c>
      <c r="H1142" s="33" t="s">
        <v>2327</v>
      </c>
      <c r="I1142" s="33" t="s">
        <v>39</v>
      </c>
      <c r="J1142" s="33" t="s">
        <v>40</v>
      </c>
      <c r="K1142" s="33" t="s">
        <v>41</v>
      </c>
      <c r="L1142" s="33">
        <v>5</v>
      </c>
      <c r="M1142" s="1"/>
    </row>
    <row r="1143" spans="1:13" x14ac:dyDescent="0.3">
      <c r="A1143" s="33" t="s">
        <v>2328</v>
      </c>
      <c r="B1143" s="33">
        <v>44997134514</v>
      </c>
      <c r="C1143" s="33" t="s">
        <v>42</v>
      </c>
      <c r="D1143" s="33">
        <v>4430265054</v>
      </c>
      <c r="E1143" s="33">
        <v>268</v>
      </c>
      <c r="F1143" s="33">
        <v>233</v>
      </c>
      <c r="G1143" s="33" t="s">
        <v>38</v>
      </c>
      <c r="H1143" s="33" t="s">
        <v>2329</v>
      </c>
      <c r="I1143" s="33" t="s">
        <v>39</v>
      </c>
      <c r="J1143" s="33" t="s">
        <v>40</v>
      </c>
      <c r="K1143" s="33" t="s">
        <v>41</v>
      </c>
      <c r="M1143" s="1"/>
    </row>
    <row r="1144" spans="1:13" x14ac:dyDescent="0.3">
      <c r="A1144" s="33" t="s">
        <v>2330</v>
      </c>
      <c r="B1144" s="33">
        <v>4430459001</v>
      </c>
      <c r="C1144" s="33" t="s">
        <v>44</v>
      </c>
      <c r="D1144" s="33">
        <v>4430265054</v>
      </c>
      <c r="E1144" s="33">
        <v>838</v>
      </c>
      <c r="F1144" s="33">
        <v>782</v>
      </c>
      <c r="G1144" s="33" t="s">
        <v>38</v>
      </c>
      <c r="H1144" s="33" t="s">
        <v>2331</v>
      </c>
      <c r="I1144" s="33" t="s">
        <v>39</v>
      </c>
      <c r="J1144" s="33" t="s">
        <v>40</v>
      </c>
      <c r="K1144" s="33" t="s">
        <v>41</v>
      </c>
      <c r="M1144" s="1"/>
    </row>
    <row r="1145" spans="1:13" x14ac:dyDescent="0.3">
      <c r="A1145" s="33" t="s">
        <v>2332</v>
      </c>
      <c r="B1145" s="33">
        <v>4432677399</v>
      </c>
      <c r="C1145" s="33" t="s">
        <v>45</v>
      </c>
      <c r="D1145" s="33">
        <v>4430265054</v>
      </c>
      <c r="E1145" s="33">
        <v>2049</v>
      </c>
      <c r="F1145" s="33">
        <v>2012</v>
      </c>
      <c r="G1145" s="33" t="s">
        <v>38</v>
      </c>
      <c r="H1145" s="33" t="s">
        <v>2333</v>
      </c>
      <c r="I1145" s="33" t="s">
        <v>39</v>
      </c>
      <c r="J1145" s="33" t="s">
        <v>40</v>
      </c>
      <c r="K1145" s="33" t="s">
        <v>41</v>
      </c>
      <c r="M1145" s="1"/>
    </row>
    <row r="1146" spans="1:13" x14ac:dyDescent="0.3">
      <c r="A1146" s="33" t="s">
        <v>2334</v>
      </c>
      <c r="B1146" s="33">
        <v>44988255390</v>
      </c>
      <c r="C1146" s="33" t="s">
        <v>37</v>
      </c>
      <c r="D1146" s="33">
        <v>4430265054</v>
      </c>
      <c r="E1146" s="33">
        <v>448</v>
      </c>
      <c r="F1146" s="33">
        <v>414</v>
      </c>
      <c r="G1146" s="33" t="s">
        <v>38</v>
      </c>
      <c r="H1146" s="33" t="s">
        <v>2335</v>
      </c>
      <c r="I1146" s="33" t="s">
        <v>39</v>
      </c>
      <c r="J1146" s="33" t="s">
        <v>40</v>
      </c>
      <c r="K1146" s="33" t="s">
        <v>41</v>
      </c>
      <c r="M1146" s="1"/>
    </row>
    <row r="1147" spans="1:13" x14ac:dyDescent="0.3">
      <c r="A1147" s="33" t="s">
        <v>2336</v>
      </c>
      <c r="B1147" s="33" t="s">
        <v>48</v>
      </c>
      <c r="C1147" s="33">
        <v>44991234625</v>
      </c>
      <c r="E1147" s="33">
        <v>50</v>
      </c>
      <c r="F1147" s="33">
        <v>33</v>
      </c>
      <c r="G1147" s="33" t="s">
        <v>38</v>
      </c>
      <c r="H1147" s="33" t="s">
        <v>2337</v>
      </c>
      <c r="I1147" s="33" t="s">
        <v>46</v>
      </c>
      <c r="J1147" s="33" t="s">
        <v>40</v>
      </c>
      <c r="M1147" s="1"/>
    </row>
    <row r="1148" spans="1:13" x14ac:dyDescent="0.3">
      <c r="A1148" s="33" t="s">
        <v>2338</v>
      </c>
      <c r="B1148" s="33" t="s">
        <v>48</v>
      </c>
      <c r="C1148" s="33">
        <v>44991234625</v>
      </c>
      <c r="E1148" s="33">
        <v>53</v>
      </c>
      <c r="F1148" s="33">
        <v>32</v>
      </c>
      <c r="G1148" s="33" t="s">
        <v>38</v>
      </c>
      <c r="H1148" s="33" t="s">
        <v>2339</v>
      </c>
      <c r="I1148" s="33" t="s">
        <v>46</v>
      </c>
      <c r="J1148" s="33" t="s">
        <v>40</v>
      </c>
      <c r="M1148" s="1"/>
    </row>
    <row r="1149" spans="1:13" x14ac:dyDescent="0.3">
      <c r="A1149" s="33" t="s">
        <v>2340</v>
      </c>
      <c r="B1149" s="33" t="s">
        <v>48</v>
      </c>
      <c r="C1149" s="33">
        <v>4433321380</v>
      </c>
      <c r="E1149" s="33">
        <v>12</v>
      </c>
      <c r="F1149" s="33">
        <v>0</v>
      </c>
      <c r="G1149" s="33" t="s">
        <v>47</v>
      </c>
      <c r="H1149" s="33" t="s">
        <v>2341</v>
      </c>
      <c r="I1149" s="33" t="s">
        <v>46</v>
      </c>
      <c r="J1149" s="33" t="s">
        <v>40</v>
      </c>
      <c r="M1149" s="1"/>
    </row>
    <row r="1150" spans="1:13" x14ac:dyDescent="0.3">
      <c r="A1150" s="33" t="s">
        <v>2342</v>
      </c>
      <c r="B1150" s="33" t="s">
        <v>48</v>
      </c>
      <c r="C1150" s="33">
        <v>4433321380</v>
      </c>
      <c r="E1150" s="33">
        <v>2</v>
      </c>
      <c r="F1150" s="33">
        <v>0</v>
      </c>
      <c r="G1150" s="33" t="s">
        <v>47</v>
      </c>
      <c r="H1150" s="33" t="s">
        <v>2343</v>
      </c>
      <c r="I1150" s="33" t="s">
        <v>46</v>
      </c>
      <c r="J1150" s="33" t="s">
        <v>40</v>
      </c>
      <c r="M1150" s="1"/>
    </row>
    <row r="1151" spans="1:13" x14ac:dyDescent="0.3">
      <c r="A1151" s="33" t="s">
        <v>2344</v>
      </c>
      <c r="B1151" s="33" t="s">
        <v>43</v>
      </c>
      <c r="C1151" s="33">
        <v>43999388040</v>
      </c>
      <c r="E1151" s="33">
        <v>373</v>
      </c>
      <c r="F1151" s="33">
        <v>364</v>
      </c>
      <c r="G1151" s="33" t="s">
        <v>38</v>
      </c>
      <c r="H1151" s="33" t="s">
        <v>2345</v>
      </c>
      <c r="I1151" s="33" t="s">
        <v>46</v>
      </c>
      <c r="J1151" s="33" t="s">
        <v>40</v>
      </c>
      <c r="M1151" s="1"/>
    </row>
    <row r="1152" spans="1:13" x14ac:dyDescent="0.3">
      <c r="A1152" s="33" t="s">
        <v>2346</v>
      </c>
      <c r="B1152" s="33">
        <v>4430450103</v>
      </c>
      <c r="C1152" s="33" t="s">
        <v>42</v>
      </c>
      <c r="D1152" s="33">
        <v>4430265054</v>
      </c>
      <c r="E1152" s="33">
        <v>142</v>
      </c>
      <c r="F1152" s="33">
        <v>121</v>
      </c>
      <c r="G1152" s="33" t="s">
        <v>38</v>
      </c>
      <c r="H1152" s="33" t="s">
        <v>2347</v>
      </c>
      <c r="I1152" s="33" t="s">
        <v>39</v>
      </c>
      <c r="J1152" s="33" t="s">
        <v>40</v>
      </c>
      <c r="K1152" s="33" t="s">
        <v>41</v>
      </c>
      <c r="L1152" s="33">
        <v>5</v>
      </c>
      <c r="M1152" s="1"/>
    </row>
    <row r="1153" spans="1:13" x14ac:dyDescent="0.3">
      <c r="A1153" s="33" t="s">
        <v>2348</v>
      </c>
      <c r="B1153" s="33" t="s">
        <v>48</v>
      </c>
      <c r="C1153" s="33">
        <v>1131043888</v>
      </c>
      <c r="E1153" s="33">
        <v>289</v>
      </c>
      <c r="F1153" s="33">
        <v>287</v>
      </c>
      <c r="G1153" s="33" t="s">
        <v>38</v>
      </c>
      <c r="H1153" s="33" t="s">
        <v>2349</v>
      </c>
      <c r="I1153" s="33" t="s">
        <v>46</v>
      </c>
      <c r="J1153" s="33" t="s">
        <v>40</v>
      </c>
      <c r="M1153" s="1"/>
    </row>
    <row r="1154" spans="1:13" x14ac:dyDescent="0.3">
      <c r="A1154" s="33" t="s">
        <v>2350</v>
      </c>
      <c r="B1154" s="33" t="s">
        <v>37</v>
      </c>
      <c r="C1154" s="33">
        <v>4430153708</v>
      </c>
      <c r="E1154" s="33">
        <v>25</v>
      </c>
      <c r="F1154" s="33">
        <v>3</v>
      </c>
      <c r="G1154" s="33" t="s">
        <v>38</v>
      </c>
      <c r="H1154" s="33" t="s">
        <v>2351</v>
      </c>
      <c r="I1154" s="33" t="s">
        <v>46</v>
      </c>
      <c r="J1154" s="33" t="s">
        <v>40</v>
      </c>
      <c r="M1154" s="1"/>
    </row>
    <row r="1155" spans="1:13" x14ac:dyDescent="0.3">
      <c r="A1155" s="33" t="s">
        <v>2352</v>
      </c>
      <c r="B1155" s="33">
        <v>11990144272</v>
      </c>
      <c r="C1155" s="33" t="s">
        <v>45</v>
      </c>
      <c r="D1155" s="33">
        <v>4431268225</v>
      </c>
      <c r="E1155" s="33">
        <v>857</v>
      </c>
      <c r="F1155" s="33">
        <v>844</v>
      </c>
      <c r="G1155" s="33" t="s">
        <v>38</v>
      </c>
      <c r="H1155" s="33" t="s">
        <v>2353</v>
      </c>
      <c r="I1155" s="33" t="s">
        <v>39</v>
      </c>
      <c r="J1155" s="33" t="s">
        <v>40</v>
      </c>
      <c r="K1155" s="33" t="s">
        <v>41</v>
      </c>
      <c r="M1155" s="1"/>
    </row>
    <row r="1156" spans="1:13" x14ac:dyDescent="0.3">
      <c r="A1156" s="33" t="s">
        <v>2354</v>
      </c>
      <c r="B1156" s="33" t="s">
        <v>45</v>
      </c>
      <c r="C1156" s="33">
        <v>4430141533</v>
      </c>
      <c r="E1156" s="33">
        <v>145</v>
      </c>
      <c r="F1156" s="33">
        <v>126</v>
      </c>
      <c r="G1156" s="33" t="s">
        <v>38</v>
      </c>
      <c r="H1156" s="33" t="s">
        <v>2355</v>
      </c>
      <c r="I1156" s="33" t="s">
        <v>46</v>
      </c>
      <c r="J1156" s="33" t="s">
        <v>40</v>
      </c>
      <c r="L1156" s="33">
        <v>5</v>
      </c>
      <c r="M1156" s="1"/>
    </row>
    <row r="1157" spans="1:13" x14ac:dyDescent="0.3">
      <c r="A1157" s="33" t="s">
        <v>2356</v>
      </c>
      <c r="B1157" s="33">
        <v>43999388040</v>
      </c>
      <c r="C1157" s="33" t="s">
        <v>43</v>
      </c>
      <c r="D1157" s="33">
        <v>4430265054</v>
      </c>
      <c r="E1157" s="33">
        <v>1115</v>
      </c>
      <c r="F1157" s="33">
        <v>993</v>
      </c>
      <c r="G1157" s="33" t="s">
        <v>38</v>
      </c>
      <c r="H1157" s="33" t="s">
        <v>2357</v>
      </c>
      <c r="I1157" s="33" t="s">
        <v>39</v>
      </c>
      <c r="J1157" s="33" t="s">
        <v>40</v>
      </c>
      <c r="K1157" s="33" t="s">
        <v>41</v>
      </c>
      <c r="M1157" s="1"/>
    </row>
    <row r="1158" spans="1:13" x14ac:dyDescent="0.3">
      <c r="A1158" s="33" t="s">
        <v>2358</v>
      </c>
      <c r="B1158" s="33">
        <v>4430459001</v>
      </c>
      <c r="C1158" s="33" t="s">
        <v>44</v>
      </c>
      <c r="D1158" s="33">
        <v>4430265054</v>
      </c>
      <c r="E1158" s="33">
        <v>358</v>
      </c>
      <c r="F1158" s="33">
        <v>291</v>
      </c>
      <c r="G1158" s="33" t="s">
        <v>38</v>
      </c>
      <c r="H1158" s="33" t="s">
        <v>2359</v>
      </c>
      <c r="I1158" s="33" t="s">
        <v>39</v>
      </c>
      <c r="J1158" s="33" t="s">
        <v>40</v>
      </c>
      <c r="K1158" s="33" t="s">
        <v>41</v>
      </c>
      <c r="M1158" s="1"/>
    </row>
    <row r="1159" spans="1:13" x14ac:dyDescent="0.3">
      <c r="A1159" s="33" t="s">
        <v>2360</v>
      </c>
      <c r="B1159" s="33">
        <v>44999827582</v>
      </c>
      <c r="C1159" s="33" t="s">
        <v>45</v>
      </c>
      <c r="D1159" s="33">
        <v>4430265054</v>
      </c>
      <c r="E1159" s="33">
        <v>220</v>
      </c>
      <c r="F1159" s="33">
        <v>178</v>
      </c>
      <c r="G1159" s="33" t="s">
        <v>38</v>
      </c>
      <c r="H1159" s="33" t="s">
        <v>2361</v>
      </c>
      <c r="I1159" s="33" t="s">
        <v>39</v>
      </c>
      <c r="J1159" s="33" t="s">
        <v>40</v>
      </c>
      <c r="K1159" s="33" t="s">
        <v>41</v>
      </c>
      <c r="L1159" s="37">
        <v>5</v>
      </c>
      <c r="M1159" s="34" t="s">
        <v>3445</v>
      </c>
    </row>
    <row r="1160" spans="1:13" x14ac:dyDescent="0.3">
      <c r="A1160" s="33" t="s">
        <v>2362</v>
      </c>
      <c r="B1160" s="33" t="s">
        <v>45</v>
      </c>
      <c r="C1160" s="33">
        <v>4430141533</v>
      </c>
      <c r="E1160" s="33">
        <v>154</v>
      </c>
      <c r="F1160" s="33">
        <v>133</v>
      </c>
      <c r="G1160" s="33" t="s">
        <v>38</v>
      </c>
      <c r="H1160" s="33" t="s">
        <v>2363</v>
      </c>
      <c r="I1160" s="33" t="s">
        <v>46</v>
      </c>
      <c r="J1160" s="33" t="s">
        <v>40</v>
      </c>
      <c r="M1160" s="1"/>
    </row>
    <row r="1161" spans="1:13" x14ac:dyDescent="0.3">
      <c r="A1161" s="33" t="s">
        <v>2364</v>
      </c>
      <c r="B1161" s="33">
        <v>44998266194</v>
      </c>
      <c r="C1161" s="33" t="s">
        <v>43</v>
      </c>
      <c r="D1161" s="33">
        <v>4431268225</v>
      </c>
      <c r="E1161" s="33">
        <v>460</v>
      </c>
      <c r="F1161" s="33">
        <v>423</v>
      </c>
      <c r="G1161" s="33" t="s">
        <v>38</v>
      </c>
      <c r="H1161" s="33" t="s">
        <v>2365</v>
      </c>
      <c r="I1161" s="33" t="s">
        <v>39</v>
      </c>
      <c r="J1161" s="33" t="s">
        <v>40</v>
      </c>
      <c r="K1161" s="33" t="s">
        <v>41</v>
      </c>
      <c r="M1161" s="1"/>
    </row>
    <row r="1162" spans="1:13" x14ac:dyDescent="0.3">
      <c r="A1162" s="33" t="s">
        <v>2366</v>
      </c>
      <c r="B1162" s="33">
        <v>44999448759</v>
      </c>
      <c r="C1162" s="33" t="s">
        <v>37</v>
      </c>
      <c r="D1162" s="33">
        <v>4430265054</v>
      </c>
      <c r="E1162" s="33">
        <v>743</v>
      </c>
      <c r="F1162" s="33">
        <v>701</v>
      </c>
      <c r="G1162" s="33" t="s">
        <v>38</v>
      </c>
      <c r="H1162" s="33" t="s">
        <v>2367</v>
      </c>
      <c r="I1162" s="33" t="s">
        <v>39</v>
      </c>
      <c r="J1162" s="33" t="s">
        <v>40</v>
      </c>
      <c r="K1162" s="33" t="s">
        <v>41</v>
      </c>
      <c r="M1162" s="1"/>
    </row>
    <row r="1163" spans="1:13" x14ac:dyDescent="0.3">
      <c r="A1163" s="33" t="s">
        <v>2368</v>
      </c>
      <c r="B1163" s="33">
        <v>44999497001</v>
      </c>
      <c r="C1163" s="33" t="s">
        <v>44</v>
      </c>
      <c r="D1163" s="33">
        <v>4430265054</v>
      </c>
      <c r="E1163" s="33">
        <v>880</v>
      </c>
      <c r="F1163" s="33">
        <v>869</v>
      </c>
      <c r="G1163" s="33" t="s">
        <v>38</v>
      </c>
      <c r="H1163" s="33" t="s">
        <v>2369</v>
      </c>
      <c r="I1163" s="33" t="s">
        <v>39</v>
      </c>
      <c r="J1163" s="33" t="s">
        <v>40</v>
      </c>
      <c r="K1163" s="33" t="s">
        <v>41</v>
      </c>
      <c r="M1163" s="1"/>
    </row>
    <row r="1164" spans="1:13" x14ac:dyDescent="0.3">
      <c r="A1164" s="33" t="s">
        <v>2370</v>
      </c>
      <c r="B1164" s="33" t="s">
        <v>45</v>
      </c>
      <c r="C1164" s="33">
        <v>4430141533</v>
      </c>
      <c r="E1164" s="33">
        <v>244</v>
      </c>
      <c r="F1164" s="33">
        <v>223</v>
      </c>
      <c r="G1164" s="33" t="s">
        <v>38</v>
      </c>
      <c r="H1164" s="33" t="s">
        <v>2371</v>
      </c>
      <c r="I1164" s="33" t="s">
        <v>46</v>
      </c>
      <c r="J1164" s="33" t="s">
        <v>40</v>
      </c>
      <c r="M1164" s="1"/>
    </row>
    <row r="1165" spans="1:13" x14ac:dyDescent="0.3">
      <c r="A1165" s="33" t="s">
        <v>2372</v>
      </c>
      <c r="B1165" s="33" t="s">
        <v>45</v>
      </c>
      <c r="C1165" s="33">
        <v>4430141533</v>
      </c>
      <c r="E1165" s="33">
        <v>28</v>
      </c>
      <c r="F1165" s="33">
        <v>13</v>
      </c>
      <c r="G1165" s="33" t="s">
        <v>38</v>
      </c>
      <c r="H1165" s="33" t="s">
        <v>2373</v>
      </c>
      <c r="I1165" s="33" t="s">
        <v>46</v>
      </c>
      <c r="J1165" s="33" t="s">
        <v>40</v>
      </c>
      <c r="M1165" s="1"/>
    </row>
    <row r="1166" spans="1:13" x14ac:dyDescent="0.3">
      <c r="A1166" s="33" t="s">
        <v>2374</v>
      </c>
      <c r="B1166" s="33" t="s">
        <v>48</v>
      </c>
      <c r="C1166" s="33">
        <v>4430318515</v>
      </c>
      <c r="E1166" s="33">
        <v>832</v>
      </c>
      <c r="F1166" s="33">
        <v>825</v>
      </c>
      <c r="G1166" s="33" t="s">
        <v>38</v>
      </c>
      <c r="H1166" s="33" t="s">
        <v>2375</v>
      </c>
      <c r="I1166" s="33" t="s">
        <v>46</v>
      </c>
      <c r="J1166" s="33" t="s">
        <v>40</v>
      </c>
      <c r="M1166" s="1"/>
    </row>
    <row r="1167" spans="1:13" x14ac:dyDescent="0.3">
      <c r="A1167" s="33" t="s">
        <v>2376</v>
      </c>
      <c r="B1167" s="33" t="s">
        <v>48</v>
      </c>
      <c r="C1167" s="33">
        <v>4430318515</v>
      </c>
      <c r="E1167" s="33">
        <v>2</v>
      </c>
      <c r="F1167" s="33">
        <v>0</v>
      </c>
      <c r="G1167" s="33" t="s">
        <v>47</v>
      </c>
      <c r="H1167" s="33" t="s">
        <v>2377</v>
      </c>
      <c r="I1167" s="33" t="s">
        <v>46</v>
      </c>
      <c r="J1167" s="33" t="s">
        <v>40</v>
      </c>
      <c r="M1167" s="1"/>
    </row>
    <row r="1168" spans="1:13" x14ac:dyDescent="0.3">
      <c r="A1168" s="33" t="s">
        <v>2378</v>
      </c>
      <c r="B1168" s="33">
        <v>44988255390</v>
      </c>
      <c r="C1168" s="33" t="s">
        <v>44</v>
      </c>
      <c r="D1168" s="33">
        <v>4430265054</v>
      </c>
      <c r="E1168" s="33">
        <v>422</v>
      </c>
      <c r="F1168" s="33">
        <v>298</v>
      </c>
      <c r="G1168" s="33" t="s">
        <v>38</v>
      </c>
      <c r="H1168" s="33" t="s">
        <v>2379</v>
      </c>
      <c r="I1168" s="33" t="s">
        <v>39</v>
      </c>
      <c r="J1168" s="33" t="s">
        <v>40</v>
      </c>
      <c r="K1168" s="33" t="s">
        <v>41</v>
      </c>
      <c r="M1168" s="1"/>
    </row>
    <row r="1169" spans="1:12" s="1" customFormat="1" x14ac:dyDescent="0.3">
      <c r="A1169" s="33" t="s">
        <v>2380</v>
      </c>
      <c r="B1169" s="33">
        <v>4132440491</v>
      </c>
      <c r="C1169" s="33" t="s">
        <v>44</v>
      </c>
      <c r="D1169" s="33">
        <v>4430265054</v>
      </c>
      <c r="E1169" s="33">
        <v>69</v>
      </c>
      <c r="F1169" s="33">
        <v>3</v>
      </c>
      <c r="G1169" s="33" t="s">
        <v>38</v>
      </c>
      <c r="H1169" s="33" t="s">
        <v>2381</v>
      </c>
      <c r="I1169" s="33" t="s">
        <v>39</v>
      </c>
      <c r="J1169" s="33" t="s">
        <v>40</v>
      </c>
      <c r="K1169" s="33" t="s">
        <v>41</v>
      </c>
      <c r="L1169" s="33"/>
    </row>
    <row r="1170" spans="1:12" s="1" customFormat="1" x14ac:dyDescent="0.3">
      <c r="A1170" s="33" t="s">
        <v>2382</v>
      </c>
      <c r="B1170" s="33" t="s">
        <v>45</v>
      </c>
      <c r="C1170" s="33">
        <v>71991339954</v>
      </c>
      <c r="D1170" s="33"/>
      <c r="E1170" s="33">
        <v>406</v>
      </c>
      <c r="F1170" s="33">
        <v>393</v>
      </c>
      <c r="G1170" s="33" t="s">
        <v>38</v>
      </c>
      <c r="H1170" s="33" t="s">
        <v>2383</v>
      </c>
      <c r="I1170" s="33" t="s">
        <v>46</v>
      </c>
      <c r="J1170" s="33" t="s">
        <v>40</v>
      </c>
      <c r="K1170" s="33"/>
      <c r="L1170" s="33"/>
    </row>
    <row r="1171" spans="1:12" s="1" customFormat="1" x14ac:dyDescent="0.3">
      <c r="A1171" s="33" t="s">
        <v>2384</v>
      </c>
      <c r="B1171" s="33">
        <v>4432263417</v>
      </c>
      <c r="C1171" s="33" t="s">
        <v>42</v>
      </c>
      <c r="D1171" s="33">
        <v>4430265054</v>
      </c>
      <c r="E1171" s="33">
        <v>773</v>
      </c>
      <c r="F1171" s="33">
        <v>712</v>
      </c>
      <c r="G1171" s="33" t="s">
        <v>38</v>
      </c>
      <c r="H1171" s="33" t="s">
        <v>2385</v>
      </c>
      <c r="I1171" s="33" t="s">
        <v>39</v>
      </c>
      <c r="J1171" s="33" t="s">
        <v>40</v>
      </c>
      <c r="K1171" s="33" t="s">
        <v>41</v>
      </c>
      <c r="L1171" s="33"/>
    </row>
    <row r="1172" spans="1:12" s="1" customFormat="1" x14ac:dyDescent="0.3">
      <c r="A1172" s="33" t="s">
        <v>2386</v>
      </c>
      <c r="B1172" s="33" t="s">
        <v>45</v>
      </c>
      <c r="C1172" s="33">
        <v>71991339954</v>
      </c>
      <c r="D1172" s="33"/>
      <c r="E1172" s="33">
        <v>65</v>
      </c>
      <c r="F1172" s="33">
        <v>28</v>
      </c>
      <c r="G1172" s="33" t="s">
        <v>38</v>
      </c>
      <c r="H1172" s="33" t="s">
        <v>2387</v>
      </c>
      <c r="I1172" s="33" t="s">
        <v>46</v>
      </c>
      <c r="J1172" s="33" t="s">
        <v>40</v>
      </c>
      <c r="K1172" s="33"/>
      <c r="L1172" s="33"/>
    </row>
    <row r="1173" spans="1:12" s="1" customFormat="1" x14ac:dyDescent="0.3">
      <c r="A1173" s="33" t="s">
        <v>2388</v>
      </c>
      <c r="B1173" s="33">
        <v>4430141533</v>
      </c>
      <c r="C1173" s="33" t="s">
        <v>37</v>
      </c>
      <c r="D1173" s="33">
        <v>4430265054</v>
      </c>
      <c r="E1173" s="33">
        <v>199</v>
      </c>
      <c r="F1173" s="33">
        <v>87</v>
      </c>
      <c r="G1173" s="33" t="s">
        <v>38</v>
      </c>
      <c r="H1173" s="33" t="s">
        <v>2389</v>
      </c>
      <c r="I1173" s="33" t="s">
        <v>39</v>
      </c>
      <c r="J1173" s="33" t="s">
        <v>40</v>
      </c>
      <c r="K1173" s="33" t="s">
        <v>41</v>
      </c>
      <c r="L1173" s="33"/>
    </row>
    <row r="1174" spans="1:12" s="1" customFormat="1" x14ac:dyDescent="0.3">
      <c r="A1174" s="33" t="s">
        <v>2390</v>
      </c>
      <c r="B1174" s="33">
        <v>4132440491</v>
      </c>
      <c r="C1174" s="33" t="s">
        <v>44</v>
      </c>
      <c r="D1174" s="33">
        <v>4430265054</v>
      </c>
      <c r="E1174" s="33">
        <v>433</v>
      </c>
      <c r="F1174" s="33">
        <v>373</v>
      </c>
      <c r="G1174" s="33" t="s">
        <v>38</v>
      </c>
      <c r="H1174" s="33" t="s">
        <v>2391</v>
      </c>
      <c r="I1174" s="33" t="s">
        <v>39</v>
      </c>
      <c r="J1174" s="33" t="s">
        <v>40</v>
      </c>
      <c r="K1174" s="33" t="s">
        <v>41</v>
      </c>
      <c r="L1174" s="33"/>
    </row>
    <row r="1175" spans="1:12" s="1" customFormat="1" x14ac:dyDescent="0.3">
      <c r="A1175" s="33" t="s">
        <v>2392</v>
      </c>
      <c r="B1175" s="33">
        <v>44991486467</v>
      </c>
      <c r="C1175" s="33" t="s">
        <v>42</v>
      </c>
      <c r="D1175" s="33">
        <v>4430265054</v>
      </c>
      <c r="E1175" s="33">
        <v>504</v>
      </c>
      <c r="F1175" s="33">
        <v>469</v>
      </c>
      <c r="G1175" s="33" t="s">
        <v>38</v>
      </c>
      <c r="H1175" s="33" t="s">
        <v>2393</v>
      </c>
      <c r="I1175" s="33" t="s">
        <v>39</v>
      </c>
      <c r="J1175" s="33" t="s">
        <v>40</v>
      </c>
      <c r="K1175" s="33" t="s">
        <v>41</v>
      </c>
      <c r="L1175" s="33"/>
    </row>
    <row r="1176" spans="1:12" s="1" customFormat="1" x14ac:dyDescent="0.3">
      <c r="A1176" s="33" t="s">
        <v>2394</v>
      </c>
      <c r="B1176" s="33">
        <v>44999387742</v>
      </c>
      <c r="C1176" s="33" t="s">
        <v>43</v>
      </c>
      <c r="D1176" s="33">
        <v>4430265054</v>
      </c>
      <c r="E1176" s="33">
        <v>847</v>
      </c>
      <c r="F1176" s="33">
        <v>768</v>
      </c>
      <c r="G1176" s="33" t="s">
        <v>38</v>
      </c>
      <c r="H1176" s="33" t="s">
        <v>2395</v>
      </c>
      <c r="I1176" s="33" t="s">
        <v>39</v>
      </c>
      <c r="J1176" s="33" t="s">
        <v>40</v>
      </c>
      <c r="K1176" s="33" t="s">
        <v>41</v>
      </c>
      <c r="L1176" s="33"/>
    </row>
    <row r="1177" spans="1:12" s="1" customFormat="1" x14ac:dyDescent="0.3">
      <c r="A1177" s="33" t="s">
        <v>2396</v>
      </c>
      <c r="B1177" s="33">
        <v>4430152533</v>
      </c>
      <c r="C1177" s="33" t="s">
        <v>44</v>
      </c>
      <c r="D1177" s="33">
        <v>4430265054</v>
      </c>
      <c r="E1177" s="33">
        <v>351</v>
      </c>
      <c r="F1177" s="33">
        <v>313</v>
      </c>
      <c r="G1177" s="33" t="s">
        <v>38</v>
      </c>
      <c r="H1177" s="33" t="s">
        <v>2397</v>
      </c>
      <c r="I1177" s="33" t="s">
        <v>39</v>
      </c>
      <c r="J1177" s="33" t="s">
        <v>40</v>
      </c>
      <c r="K1177" s="33" t="s">
        <v>41</v>
      </c>
      <c r="L1177" s="33">
        <v>5</v>
      </c>
    </row>
    <row r="1178" spans="1:12" s="1" customFormat="1" x14ac:dyDescent="0.3">
      <c r="A1178" s="33" t="s">
        <v>2398</v>
      </c>
      <c r="B1178" s="33">
        <v>44991388221</v>
      </c>
      <c r="C1178" s="33" t="s">
        <v>37</v>
      </c>
      <c r="D1178" s="33">
        <v>4430265054</v>
      </c>
      <c r="E1178" s="33">
        <v>1012</v>
      </c>
      <c r="F1178" s="33">
        <v>994</v>
      </c>
      <c r="G1178" s="33" t="s">
        <v>38</v>
      </c>
      <c r="H1178" s="33" t="s">
        <v>2399</v>
      </c>
      <c r="I1178" s="33" t="s">
        <v>39</v>
      </c>
      <c r="J1178" s="33" t="s">
        <v>40</v>
      </c>
      <c r="K1178" s="33" t="s">
        <v>41</v>
      </c>
      <c r="L1178" s="33">
        <v>5</v>
      </c>
    </row>
    <row r="1179" spans="1:12" s="1" customFormat="1" x14ac:dyDescent="0.3">
      <c r="A1179" s="33" t="s">
        <v>2400</v>
      </c>
      <c r="B1179" s="33">
        <v>4430346845</v>
      </c>
      <c r="C1179" s="33" t="s">
        <v>43</v>
      </c>
      <c r="D1179" s="33">
        <v>4430265054</v>
      </c>
      <c r="E1179" s="33">
        <v>919</v>
      </c>
      <c r="F1179" s="33">
        <v>879</v>
      </c>
      <c r="G1179" s="33" t="s">
        <v>38</v>
      </c>
      <c r="H1179" s="33" t="s">
        <v>2401</v>
      </c>
      <c r="I1179" s="33" t="s">
        <v>39</v>
      </c>
      <c r="J1179" s="33" t="s">
        <v>40</v>
      </c>
      <c r="K1179" s="33" t="s">
        <v>41</v>
      </c>
      <c r="L1179" s="33">
        <v>5</v>
      </c>
    </row>
    <row r="1180" spans="1:12" s="1" customFormat="1" x14ac:dyDescent="0.3">
      <c r="A1180" s="33" t="s">
        <v>2402</v>
      </c>
      <c r="B1180" s="33" t="s">
        <v>45</v>
      </c>
      <c r="C1180" s="33">
        <v>4430141533</v>
      </c>
      <c r="D1180" s="33"/>
      <c r="E1180" s="33">
        <v>277</v>
      </c>
      <c r="F1180" s="33">
        <v>266</v>
      </c>
      <c r="G1180" s="33" t="s">
        <v>38</v>
      </c>
      <c r="H1180" s="33" t="s">
        <v>2403</v>
      </c>
      <c r="I1180" s="33" t="s">
        <v>46</v>
      </c>
      <c r="J1180" s="33" t="s">
        <v>40</v>
      </c>
      <c r="K1180" s="33"/>
      <c r="L1180" s="33"/>
    </row>
    <row r="1181" spans="1:12" s="1" customFormat="1" x14ac:dyDescent="0.3">
      <c r="A1181" s="33" t="s">
        <v>2404</v>
      </c>
      <c r="B1181" s="33" t="s">
        <v>45</v>
      </c>
      <c r="C1181" s="33">
        <v>4430141533</v>
      </c>
      <c r="D1181" s="33"/>
      <c r="E1181" s="33">
        <v>4</v>
      </c>
      <c r="F1181" s="33">
        <v>0</v>
      </c>
      <c r="G1181" s="33" t="s">
        <v>47</v>
      </c>
      <c r="H1181" s="33" t="s">
        <v>2405</v>
      </c>
      <c r="I1181" s="33" t="s">
        <v>46</v>
      </c>
      <c r="J1181" s="33" t="s">
        <v>40</v>
      </c>
      <c r="K1181" s="33"/>
      <c r="L1181" s="33"/>
    </row>
    <row r="1182" spans="1:12" s="1" customFormat="1" x14ac:dyDescent="0.3">
      <c r="A1182" s="33" t="s">
        <v>2406</v>
      </c>
      <c r="B1182" s="33">
        <v>4432520077</v>
      </c>
      <c r="C1182" s="33" t="s">
        <v>42</v>
      </c>
      <c r="D1182" s="33">
        <v>4430265054</v>
      </c>
      <c r="E1182" s="33">
        <v>1915</v>
      </c>
      <c r="F1182" s="33">
        <v>1883</v>
      </c>
      <c r="G1182" s="33" t="s">
        <v>38</v>
      </c>
      <c r="H1182" s="33" t="s">
        <v>2407</v>
      </c>
      <c r="I1182" s="33" t="s">
        <v>39</v>
      </c>
      <c r="J1182" s="33" t="s">
        <v>40</v>
      </c>
      <c r="K1182" s="33" t="s">
        <v>41</v>
      </c>
      <c r="L1182" s="33">
        <v>5</v>
      </c>
    </row>
    <row r="1183" spans="1:12" s="1" customFormat="1" x14ac:dyDescent="0.3">
      <c r="A1183" s="33" t="s">
        <v>2408</v>
      </c>
      <c r="B1183" s="33">
        <v>4432321428</v>
      </c>
      <c r="C1183" s="33" t="s">
        <v>44</v>
      </c>
      <c r="D1183" s="33">
        <v>4430265054</v>
      </c>
      <c r="E1183" s="33">
        <v>591</v>
      </c>
      <c r="F1183" s="33">
        <v>527</v>
      </c>
      <c r="G1183" s="33" t="s">
        <v>38</v>
      </c>
      <c r="H1183" s="33" t="s">
        <v>2409</v>
      </c>
      <c r="I1183" s="33" t="s">
        <v>39</v>
      </c>
      <c r="J1183" s="33" t="s">
        <v>40</v>
      </c>
      <c r="K1183" s="33" t="s">
        <v>41</v>
      </c>
      <c r="L1183" s="33"/>
    </row>
    <row r="1184" spans="1:12" s="1" customFormat="1" x14ac:dyDescent="0.3">
      <c r="A1184" s="33" t="s">
        <v>2410</v>
      </c>
      <c r="B1184" s="33" t="s">
        <v>44</v>
      </c>
      <c r="C1184" s="33">
        <v>4430459001</v>
      </c>
      <c r="D1184" s="33"/>
      <c r="E1184" s="33">
        <v>83</v>
      </c>
      <c r="F1184" s="33">
        <v>72</v>
      </c>
      <c r="G1184" s="33" t="s">
        <v>38</v>
      </c>
      <c r="H1184" s="33" t="s">
        <v>2411</v>
      </c>
      <c r="I1184" s="33" t="s">
        <v>46</v>
      </c>
      <c r="J1184" s="33" t="s">
        <v>40</v>
      </c>
      <c r="K1184" s="33"/>
      <c r="L1184" s="33"/>
    </row>
    <row r="1185" spans="1:12" s="1" customFormat="1" x14ac:dyDescent="0.3">
      <c r="A1185" s="33" t="s">
        <v>2412</v>
      </c>
      <c r="B1185" s="33">
        <v>1128897100</v>
      </c>
      <c r="C1185" s="33" t="s">
        <v>37</v>
      </c>
      <c r="D1185" s="33">
        <v>4430265054</v>
      </c>
      <c r="E1185" s="33">
        <v>289</v>
      </c>
      <c r="F1185" s="33">
        <v>214</v>
      </c>
      <c r="G1185" s="33" t="s">
        <v>38</v>
      </c>
      <c r="H1185" s="33" t="s">
        <v>2413</v>
      </c>
      <c r="I1185" s="33" t="s">
        <v>39</v>
      </c>
      <c r="J1185" s="33" t="s">
        <v>40</v>
      </c>
      <c r="K1185" s="33" t="s">
        <v>41</v>
      </c>
      <c r="L1185" s="33"/>
    </row>
    <row r="1186" spans="1:12" s="1" customFormat="1" x14ac:dyDescent="0.3">
      <c r="A1186" s="33" t="s">
        <v>2414</v>
      </c>
      <c r="B1186" s="33">
        <v>4133491428</v>
      </c>
      <c r="C1186" s="33" t="s">
        <v>44</v>
      </c>
      <c r="D1186" s="33">
        <v>4430265054</v>
      </c>
      <c r="E1186" s="33">
        <v>241</v>
      </c>
      <c r="F1186" s="33">
        <v>226</v>
      </c>
      <c r="G1186" s="33" t="s">
        <v>38</v>
      </c>
      <c r="H1186" s="33" t="s">
        <v>2415</v>
      </c>
      <c r="I1186" s="33" t="s">
        <v>39</v>
      </c>
      <c r="J1186" s="33" t="s">
        <v>40</v>
      </c>
      <c r="K1186" s="33" t="s">
        <v>41</v>
      </c>
      <c r="L1186" s="33"/>
    </row>
    <row r="1187" spans="1:12" s="1" customFormat="1" x14ac:dyDescent="0.3">
      <c r="A1187" s="33" t="s">
        <v>2416</v>
      </c>
      <c r="B1187" s="33">
        <v>4430141533</v>
      </c>
      <c r="C1187" s="33" t="s">
        <v>45</v>
      </c>
      <c r="D1187" s="33">
        <v>4430265054</v>
      </c>
      <c r="E1187" s="33">
        <v>1407</v>
      </c>
      <c r="F1187" s="33">
        <v>1327</v>
      </c>
      <c r="G1187" s="33" t="s">
        <v>38</v>
      </c>
      <c r="H1187" s="33" t="s">
        <v>2417</v>
      </c>
      <c r="I1187" s="33" t="s">
        <v>39</v>
      </c>
      <c r="J1187" s="33" t="s">
        <v>40</v>
      </c>
      <c r="K1187" s="33" t="s">
        <v>41</v>
      </c>
      <c r="L1187" s="33"/>
    </row>
    <row r="1188" spans="1:12" s="1" customFormat="1" x14ac:dyDescent="0.3">
      <c r="A1188" s="33" t="s">
        <v>2418</v>
      </c>
      <c r="B1188" s="33">
        <v>4434231198</v>
      </c>
      <c r="C1188" s="33" t="s">
        <v>44</v>
      </c>
      <c r="D1188" s="33">
        <v>4430265054</v>
      </c>
      <c r="E1188" s="33">
        <v>1573</v>
      </c>
      <c r="F1188" s="33">
        <v>1533</v>
      </c>
      <c r="G1188" s="33" t="s">
        <v>38</v>
      </c>
      <c r="H1188" s="33" t="s">
        <v>2419</v>
      </c>
      <c r="I1188" s="33" t="s">
        <v>39</v>
      </c>
      <c r="J1188" s="33" t="s">
        <v>40</v>
      </c>
      <c r="K1188" s="33" t="s">
        <v>41</v>
      </c>
      <c r="L1188" s="33"/>
    </row>
    <row r="1189" spans="1:12" s="1" customFormat="1" x14ac:dyDescent="0.3">
      <c r="A1189" s="33" t="s">
        <v>2420</v>
      </c>
      <c r="B1189" s="33">
        <v>11998030658</v>
      </c>
      <c r="C1189" s="33" t="s">
        <v>45</v>
      </c>
      <c r="D1189" s="33">
        <v>4430265054</v>
      </c>
      <c r="E1189" s="33">
        <v>372</v>
      </c>
      <c r="F1189" s="33">
        <v>331</v>
      </c>
      <c r="G1189" s="33" t="s">
        <v>38</v>
      </c>
      <c r="H1189" s="33" t="s">
        <v>2421</v>
      </c>
      <c r="I1189" s="33" t="s">
        <v>39</v>
      </c>
      <c r="J1189" s="33" t="s">
        <v>40</v>
      </c>
      <c r="K1189" s="33" t="s">
        <v>41</v>
      </c>
      <c r="L1189" s="33"/>
    </row>
    <row r="1190" spans="1:12" s="1" customFormat="1" x14ac:dyDescent="0.3">
      <c r="A1190" s="33" t="s">
        <v>2422</v>
      </c>
      <c r="B1190" s="33">
        <v>45999334612</v>
      </c>
      <c r="C1190" s="33" t="s">
        <v>43</v>
      </c>
      <c r="D1190" s="33">
        <v>4430265054</v>
      </c>
      <c r="E1190" s="33">
        <v>153</v>
      </c>
      <c r="F1190" s="33">
        <v>130</v>
      </c>
      <c r="G1190" s="33" t="s">
        <v>38</v>
      </c>
      <c r="H1190" s="33" t="s">
        <v>2423</v>
      </c>
      <c r="I1190" s="33" t="s">
        <v>39</v>
      </c>
      <c r="J1190" s="33" t="s">
        <v>40</v>
      </c>
      <c r="K1190" s="33" t="s">
        <v>41</v>
      </c>
      <c r="L1190" s="33">
        <v>5</v>
      </c>
    </row>
    <row r="1191" spans="1:12" s="1" customFormat="1" x14ac:dyDescent="0.3">
      <c r="A1191" s="33" t="s">
        <v>2424</v>
      </c>
      <c r="B1191" s="33">
        <v>11972178961</v>
      </c>
      <c r="C1191" s="33" t="s">
        <v>45</v>
      </c>
      <c r="D1191" s="33">
        <v>4430265054</v>
      </c>
      <c r="E1191" s="33">
        <v>311</v>
      </c>
      <c r="F1191" s="33">
        <v>245</v>
      </c>
      <c r="G1191" s="33" t="s">
        <v>38</v>
      </c>
      <c r="H1191" s="33" t="s">
        <v>2425</v>
      </c>
      <c r="I1191" s="33" t="s">
        <v>39</v>
      </c>
      <c r="J1191" s="33" t="s">
        <v>40</v>
      </c>
      <c r="K1191" s="33" t="s">
        <v>41</v>
      </c>
      <c r="L1191" s="33"/>
    </row>
    <row r="1192" spans="1:12" s="1" customFormat="1" x14ac:dyDescent="0.3">
      <c r="A1192" s="33" t="s">
        <v>2426</v>
      </c>
      <c r="B1192" s="33">
        <v>44991177471</v>
      </c>
      <c r="C1192" s="33" t="s">
        <v>45</v>
      </c>
      <c r="D1192" s="33">
        <v>4430265054</v>
      </c>
      <c r="E1192" s="33">
        <v>103</v>
      </c>
      <c r="F1192" s="33">
        <v>43</v>
      </c>
      <c r="G1192" s="33" t="s">
        <v>38</v>
      </c>
      <c r="H1192" s="33" t="s">
        <v>2427</v>
      </c>
      <c r="I1192" s="33" t="s">
        <v>39</v>
      </c>
      <c r="J1192" s="33" t="s">
        <v>40</v>
      </c>
      <c r="K1192" s="33" t="s">
        <v>41</v>
      </c>
      <c r="L1192" s="33"/>
    </row>
    <row r="1193" spans="1:12" s="1" customFormat="1" x14ac:dyDescent="0.3">
      <c r="A1193" s="33" t="s">
        <v>2428</v>
      </c>
      <c r="B1193" s="33">
        <v>4430346845</v>
      </c>
      <c r="C1193" s="33" t="s">
        <v>42</v>
      </c>
      <c r="D1193" s="33">
        <v>4430265054</v>
      </c>
      <c r="E1193" s="33">
        <v>254</v>
      </c>
      <c r="F1193" s="33">
        <v>192</v>
      </c>
      <c r="G1193" s="33" t="s">
        <v>38</v>
      </c>
      <c r="H1193" s="33" t="s">
        <v>2429</v>
      </c>
      <c r="I1193" s="33" t="s">
        <v>39</v>
      </c>
      <c r="J1193" s="33" t="s">
        <v>40</v>
      </c>
      <c r="K1193" s="33" t="s">
        <v>41</v>
      </c>
      <c r="L1193" s="33">
        <v>5</v>
      </c>
    </row>
    <row r="1194" spans="1:12" s="1" customFormat="1" x14ac:dyDescent="0.3">
      <c r="A1194" s="33" t="s">
        <v>2430</v>
      </c>
      <c r="B1194" s="33">
        <v>4430279000</v>
      </c>
      <c r="C1194" s="33" t="s">
        <v>44</v>
      </c>
      <c r="D1194" s="33">
        <v>4430265054</v>
      </c>
      <c r="E1194" s="33">
        <v>394</v>
      </c>
      <c r="F1194" s="33">
        <v>361</v>
      </c>
      <c r="G1194" s="33" t="s">
        <v>38</v>
      </c>
      <c r="H1194" s="33" t="s">
        <v>2431</v>
      </c>
      <c r="I1194" s="33" t="s">
        <v>39</v>
      </c>
      <c r="J1194" s="33" t="s">
        <v>40</v>
      </c>
      <c r="K1194" s="33" t="s">
        <v>41</v>
      </c>
      <c r="L1194" s="33"/>
    </row>
    <row r="1195" spans="1:12" s="1" customFormat="1" x14ac:dyDescent="0.3">
      <c r="A1195" s="33" t="s">
        <v>2432</v>
      </c>
      <c r="B1195" s="33">
        <v>4430191401</v>
      </c>
      <c r="C1195" s="33" t="s">
        <v>48</v>
      </c>
      <c r="D1195" s="33">
        <v>4430265054</v>
      </c>
      <c r="E1195" s="33">
        <v>218</v>
      </c>
      <c r="F1195" s="33">
        <v>217</v>
      </c>
      <c r="G1195" s="33" t="s">
        <v>38</v>
      </c>
      <c r="H1195" s="33" t="s">
        <v>2433</v>
      </c>
      <c r="I1195" s="33" t="s">
        <v>39</v>
      </c>
      <c r="J1195" s="33" t="s">
        <v>40</v>
      </c>
      <c r="K1195" s="33" t="s">
        <v>41</v>
      </c>
      <c r="L1195" s="33"/>
    </row>
    <row r="1196" spans="1:12" s="1" customFormat="1" x14ac:dyDescent="0.3">
      <c r="A1196" s="33" t="s">
        <v>2434</v>
      </c>
      <c r="B1196" s="33" t="s">
        <v>37</v>
      </c>
      <c r="C1196" s="33">
        <v>4430282545</v>
      </c>
      <c r="D1196" s="33"/>
      <c r="E1196" s="33">
        <v>1196</v>
      </c>
      <c r="F1196" s="33">
        <v>1175</v>
      </c>
      <c r="G1196" s="33" t="s">
        <v>38</v>
      </c>
      <c r="H1196" s="33" t="s">
        <v>2435</v>
      </c>
      <c r="I1196" s="33" t="s">
        <v>46</v>
      </c>
      <c r="J1196" s="33" t="s">
        <v>40</v>
      </c>
      <c r="K1196" s="33"/>
      <c r="L1196" s="33">
        <v>5</v>
      </c>
    </row>
    <row r="1197" spans="1:12" s="1" customFormat="1" x14ac:dyDescent="0.3">
      <c r="A1197" s="33" t="s">
        <v>2436</v>
      </c>
      <c r="B1197" s="33" t="s">
        <v>37</v>
      </c>
      <c r="C1197" s="33">
        <v>4430265076</v>
      </c>
      <c r="D1197" s="33"/>
      <c r="E1197" s="33">
        <v>7</v>
      </c>
      <c r="F1197" s="33">
        <v>0</v>
      </c>
      <c r="G1197" s="33" t="s">
        <v>47</v>
      </c>
      <c r="H1197" s="33" t="s">
        <v>2437</v>
      </c>
      <c r="I1197" s="33" t="s">
        <v>46</v>
      </c>
      <c r="J1197" s="33" t="s">
        <v>40</v>
      </c>
      <c r="K1197" s="33"/>
      <c r="L1197" s="33"/>
    </row>
    <row r="1198" spans="1:12" s="1" customFormat="1" x14ac:dyDescent="0.3">
      <c r="A1198" s="33" t="s">
        <v>2438</v>
      </c>
      <c r="B1198" s="33" t="s">
        <v>37</v>
      </c>
      <c r="C1198" s="33">
        <v>44988255390</v>
      </c>
      <c r="D1198" s="33"/>
      <c r="E1198" s="33">
        <v>32</v>
      </c>
      <c r="F1198" s="33">
        <v>0</v>
      </c>
      <c r="G1198" s="33" t="s">
        <v>47</v>
      </c>
      <c r="H1198" s="33" t="s">
        <v>2439</v>
      </c>
      <c r="I1198" s="33" t="s">
        <v>46</v>
      </c>
      <c r="J1198" s="33" t="s">
        <v>40</v>
      </c>
      <c r="K1198" s="33"/>
      <c r="L1198" s="33"/>
    </row>
    <row r="1199" spans="1:12" s="1" customFormat="1" x14ac:dyDescent="0.3">
      <c r="A1199" s="33" t="s">
        <v>2440</v>
      </c>
      <c r="B1199" s="33">
        <v>44991388221</v>
      </c>
      <c r="C1199" s="33" t="s">
        <v>42</v>
      </c>
      <c r="D1199" s="33">
        <v>4430265054</v>
      </c>
      <c r="E1199" s="33">
        <v>161</v>
      </c>
      <c r="F1199" s="33">
        <v>114</v>
      </c>
      <c r="G1199" s="33" t="s">
        <v>38</v>
      </c>
      <c r="H1199" s="33" t="s">
        <v>2441</v>
      </c>
      <c r="I1199" s="33" t="s">
        <v>39</v>
      </c>
      <c r="J1199" s="33" t="s">
        <v>40</v>
      </c>
      <c r="K1199" s="33" t="s">
        <v>41</v>
      </c>
      <c r="L1199" s="33">
        <v>5</v>
      </c>
    </row>
    <row r="1200" spans="1:12" s="1" customFormat="1" x14ac:dyDescent="0.3">
      <c r="A1200" s="33" t="s">
        <v>2442</v>
      </c>
      <c r="B1200" s="33" t="s">
        <v>44</v>
      </c>
      <c r="C1200" s="33">
        <v>4430459001</v>
      </c>
      <c r="D1200" s="33"/>
      <c r="E1200" s="33">
        <v>101</v>
      </c>
      <c r="F1200" s="33">
        <v>91</v>
      </c>
      <c r="G1200" s="33" t="s">
        <v>38</v>
      </c>
      <c r="H1200" s="33" t="s">
        <v>2443</v>
      </c>
      <c r="I1200" s="33" t="s">
        <v>46</v>
      </c>
      <c r="J1200" s="33" t="s">
        <v>40</v>
      </c>
      <c r="K1200" s="33"/>
      <c r="L1200" s="33"/>
    </row>
    <row r="1201" spans="1:12" s="1" customFormat="1" x14ac:dyDescent="0.3">
      <c r="A1201" s="33" t="s">
        <v>2444</v>
      </c>
      <c r="B1201" s="33">
        <v>4430346845</v>
      </c>
      <c r="C1201" s="33" t="s">
        <v>37</v>
      </c>
      <c r="D1201" s="33">
        <v>4430265054</v>
      </c>
      <c r="E1201" s="33">
        <v>1023</v>
      </c>
      <c r="F1201" s="33">
        <v>989</v>
      </c>
      <c r="G1201" s="33" t="s">
        <v>38</v>
      </c>
      <c r="H1201" s="33" t="s">
        <v>2445</v>
      </c>
      <c r="I1201" s="33" t="s">
        <v>39</v>
      </c>
      <c r="J1201" s="33" t="s">
        <v>40</v>
      </c>
      <c r="K1201" s="33" t="s">
        <v>41</v>
      </c>
      <c r="L1201" s="33"/>
    </row>
    <row r="1202" spans="1:12" s="1" customFormat="1" x14ac:dyDescent="0.3">
      <c r="A1202" s="33" t="s">
        <v>2446</v>
      </c>
      <c r="B1202" s="33" t="s">
        <v>37</v>
      </c>
      <c r="C1202" s="33">
        <v>44988255390</v>
      </c>
      <c r="D1202" s="33"/>
      <c r="E1202" s="33">
        <v>37</v>
      </c>
      <c r="F1202" s="33">
        <v>0</v>
      </c>
      <c r="G1202" s="33" t="s">
        <v>47</v>
      </c>
      <c r="H1202" s="33" t="s">
        <v>2447</v>
      </c>
      <c r="I1202" s="33" t="s">
        <v>46</v>
      </c>
      <c r="J1202" s="33" t="s">
        <v>40</v>
      </c>
      <c r="K1202" s="33"/>
      <c r="L1202" s="33"/>
    </row>
    <row r="1203" spans="1:12" s="1" customFormat="1" x14ac:dyDescent="0.3">
      <c r="A1203" s="33" t="s">
        <v>2448</v>
      </c>
      <c r="B1203" s="33" t="s">
        <v>44</v>
      </c>
      <c r="C1203" s="33">
        <v>4430459001</v>
      </c>
      <c r="D1203" s="33"/>
      <c r="E1203" s="33">
        <v>213</v>
      </c>
      <c r="F1203" s="33">
        <v>192</v>
      </c>
      <c r="G1203" s="33" t="s">
        <v>38</v>
      </c>
      <c r="H1203" s="33" t="s">
        <v>2449</v>
      </c>
      <c r="I1203" s="33" t="s">
        <v>46</v>
      </c>
      <c r="J1203" s="33" t="s">
        <v>40</v>
      </c>
      <c r="K1203" s="33"/>
      <c r="L1203" s="33"/>
    </row>
    <row r="1204" spans="1:12" s="1" customFormat="1" x14ac:dyDescent="0.3">
      <c r="A1204" s="33" t="s">
        <v>2450</v>
      </c>
      <c r="B1204" s="33" t="s">
        <v>37</v>
      </c>
      <c r="C1204" s="33">
        <v>44988255390</v>
      </c>
      <c r="D1204" s="33"/>
      <c r="E1204" s="33">
        <v>68</v>
      </c>
      <c r="F1204" s="33">
        <v>29</v>
      </c>
      <c r="G1204" s="33" t="s">
        <v>38</v>
      </c>
      <c r="H1204" s="33" t="s">
        <v>2451</v>
      </c>
      <c r="I1204" s="33" t="s">
        <v>46</v>
      </c>
      <c r="J1204" s="33" t="s">
        <v>40</v>
      </c>
      <c r="K1204" s="33"/>
      <c r="L1204" s="33"/>
    </row>
    <row r="1205" spans="1:12" s="1" customFormat="1" x14ac:dyDescent="0.3">
      <c r="A1205" s="33" t="s">
        <v>2452</v>
      </c>
      <c r="B1205" s="33" t="s">
        <v>37</v>
      </c>
      <c r="C1205" s="33">
        <v>44988255390</v>
      </c>
      <c r="D1205" s="33"/>
      <c r="E1205" s="33">
        <v>5</v>
      </c>
      <c r="F1205" s="33">
        <v>0</v>
      </c>
      <c r="G1205" s="33" t="s">
        <v>47</v>
      </c>
      <c r="H1205" s="33" t="s">
        <v>2453</v>
      </c>
      <c r="I1205" s="33" t="s">
        <v>46</v>
      </c>
      <c r="J1205" s="33" t="s">
        <v>40</v>
      </c>
      <c r="K1205" s="33"/>
      <c r="L1205" s="33"/>
    </row>
    <row r="1206" spans="1:12" s="1" customFormat="1" x14ac:dyDescent="0.3">
      <c r="A1206" s="33" t="s">
        <v>2454</v>
      </c>
      <c r="B1206" s="33">
        <v>4430317020</v>
      </c>
      <c r="C1206" s="33" t="s">
        <v>45</v>
      </c>
      <c r="D1206" s="33">
        <v>4430265054</v>
      </c>
      <c r="E1206" s="33">
        <v>342</v>
      </c>
      <c r="F1206" s="33">
        <v>284</v>
      </c>
      <c r="G1206" s="33" t="s">
        <v>38</v>
      </c>
      <c r="H1206" s="33" t="s">
        <v>2455</v>
      </c>
      <c r="I1206" s="33" t="s">
        <v>39</v>
      </c>
      <c r="J1206" s="33" t="s">
        <v>40</v>
      </c>
      <c r="K1206" s="33" t="s">
        <v>41</v>
      </c>
      <c r="L1206" s="33">
        <v>5</v>
      </c>
    </row>
    <row r="1207" spans="1:12" s="1" customFormat="1" x14ac:dyDescent="0.3">
      <c r="A1207" s="33" t="s">
        <v>2456</v>
      </c>
      <c r="B1207" s="33">
        <v>44988255390</v>
      </c>
      <c r="C1207" s="33" t="s">
        <v>37</v>
      </c>
      <c r="D1207" s="33">
        <v>4430265054</v>
      </c>
      <c r="E1207" s="33">
        <v>277</v>
      </c>
      <c r="F1207" s="33">
        <v>199</v>
      </c>
      <c r="G1207" s="33" t="s">
        <v>38</v>
      </c>
      <c r="H1207" s="33" t="s">
        <v>2457</v>
      </c>
      <c r="I1207" s="33" t="s">
        <v>39</v>
      </c>
      <c r="J1207" s="33" t="s">
        <v>40</v>
      </c>
      <c r="K1207" s="33" t="s">
        <v>41</v>
      </c>
      <c r="L1207" s="33"/>
    </row>
    <row r="1208" spans="1:12" s="1" customFormat="1" x14ac:dyDescent="0.3">
      <c r="A1208" s="33" t="s">
        <v>2458</v>
      </c>
      <c r="B1208" s="33" t="s">
        <v>45</v>
      </c>
      <c r="C1208" s="33">
        <v>11972178961</v>
      </c>
      <c r="D1208" s="33"/>
      <c r="E1208" s="33">
        <v>110</v>
      </c>
      <c r="F1208" s="33">
        <v>94</v>
      </c>
      <c r="G1208" s="33" t="s">
        <v>38</v>
      </c>
      <c r="H1208" s="33" t="s">
        <v>2459</v>
      </c>
      <c r="I1208" s="33" t="s">
        <v>46</v>
      </c>
      <c r="J1208" s="33" t="s">
        <v>40</v>
      </c>
      <c r="K1208" s="33"/>
      <c r="L1208" s="33"/>
    </row>
    <row r="1209" spans="1:12" s="1" customFormat="1" x14ac:dyDescent="0.3">
      <c r="A1209" s="33" t="s">
        <v>2460</v>
      </c>
      <c r="B1209" s="33" t="s">
        <v>44</v>
      </c>
      <c r="C1209" s="33">
        <v>4430459001</v>
      </c>
      <c r="D1209" s="33"/>
      <c r="E1209" s="33">
        <v>442</v>
      </c>
      <c r="F1209" s="33">
        <v>432</v>
      </c>
      <c r="G1209" s="33" t="s">
        <v>38</v>
      </c>
      <c r="H1209" s="33" t="s">
        <v>2461</v>
      </c>
      <c r="I1209" s="33" t="s">
        <v>46</v>
      </c>
      <c r="J1209" s="33" t="s">
        <v>40</v>
      </c>
      <c r="K1209" s="33"/>
      <c r="L1209" s="33"/>
    </row>
    <row r="1210" spans="1:12" s="1" customFormat="1" x14ac:dyDescent="0.3">
      <c r="A1210" s="33" t="s">
        <v>2462</v>
      </c>
      <c r="B1210" s="33">
        <v>6234347959</v>
      </c>
      <c r="C1210" s="33" t="s">
        <v>37</v>
      </c>
      <c r="D1210" s="33">
        <v>4430265054</v>
      </c>
      <c r="E1210" s="33">
        <v>465</v>
      </c>
      <c r="F1210" s="33">
        <v>351</v>
      </c>
      <c r="G1210" s="33" t="s">
        <v>38</v>
      </c>
      <c r="H1210" s="33" t="s">
        <v>2463</v>
      </c>
      <c r="I1210" s="33" t="s">
        <v>39</v>
      </c>
      <c r="J1210" s="33" t="s">
        <v>40</v>
      </c>
      <c r="K1210" s="33" t="s">
        <v>41</v>
      </c>
      <c r="L1210" s="33">
        <v>5</v>
      </c>
    </row>
    <row r="1211" spans="1:12" s="1" customFormat="1" x14ac:dyDescent="0.3">
      <c r="A1211" s="33" t="s">
        <v>2464</v>
      </c>
      <c r="B1211" s="33">
        <v>44988255390</v>
      </c>
      <c r="C1211" s="33" t="s">
        <v>45</v>
      </c>
      <c r="D1211" s="33">
        <v>4430265054</v>
      </c>
      <c r="E1211" s="33">
        <v>273</v>
      </c>
      <c r="F1211" s="33">
        <v>181</v>
      </c>
      <c r="G1211" s="33" t="s">
        <v>38</v>
      </c>
      <c r="H1211" s="33" t="s">
        <v>2465</v>
      </c>
      <c r="I1211" s="33" t="s">
        <v>39</v>
      </c>
      <c r="J1211" s="33" t="s">
        <v>40</v>
      </c>
      <c r="K1211" s="33" t="s">
        <v>41</v>
      </c>
      <c r="L1211" s="33"/>
    </row>
    <row r="1212" spans="1:12" s="1" customFormat="1" x14ac:dyDescent="0.3">
      <c r="A1212" s="33" t="s">
        <v>2466</v>
      </c>
      <c r="B1212" s="33">
        <v>4431337559</v>
      </c>
      <c r="C1212" s="33" t="s">
        <v>45</v>
      </c>
      <c r="D1212" s="33">
        <v>4430265054</v>
      </c>
      <c r="E1212" s="33">
        <v>125</v>
      </c>
      <c r="F1212" s="33">
        <v>64</v>
      </c>
      <c r="G1212" s="33" t="s">
        <v>38</v>
      </c>
      <c r="H1212" s="33" t="s">
        <v>2467</v>
      </c>
      <c r="I1212" s="33" t="s">
        <v>39</v>
      </c>
      <c r="J1212" s="33" t="s">
        <v>40</v>
      </c>
      <c r="K1212" s="33" t="s">
        <v>41</v>
      </c>
      <c r="L1212" s="33"/>
    </row>
    <row r="1213" spans="1:12" s="1" customFormat="1" x14ac:dyDescent="0.3">
      <c r="A1213" s="33" t="s">
        <v>2468</v>
      </c>
      <c r="B1213" s="33" t="s">
        <v>45</v>
      </c>
      <c r="C1213" s="33">
        <v>4432269849</v>
      </c>
      <c r="D1213" s="33"/>
      <c r="E1213" s="33">
        <v>620</v>
      </c>
      <c r="F1213" s="33">
        <v>609</v>
      </c>
      <c r="G1213" s="33" t="s">
        <v>38</v>
      </c>
      <c r="H1213" s="33" t="s">
        <v>2469</v>
      </c>
      <c r="I1213" s="33" t="s">
        <v>46</v>
      </c>
      <c r="J1213" s="33" t="s">
        <v>40</v>
      </c>
      <c r="K1213" s="33"/>
      <c r="L1213" s="33">
        <v>5</v>
      </c>
    </row>
    <row r="1214" spans="1:12" s="1" customFormat="1" x14ac:dyDescent="0.3">
      <c r="A1214" s="33" t="s">
        <v>2470</v>
      </c>
      <c r="B1214" s="33" t="s">
        <v>45</v>
      </c>
      <c r="C1214" s="33">
        <v>4432269849</v>
      </c>
      <c r="D1214" s="33"/>
      <c r="E1214" s="33">
        <v>27</v>
      </c>
      <c r="F1214" s="33">
        <v>13</v>
      </c>
      <c r="G1214" s="33" t="s">
        <v>38</v>
      </c>
      <c r="H1214" s="33" t="s">
        <v>2471</v>
      </c>
      <c r="I1214" s="33" t="s">
        <v>46</v>
      </c>
      <c r="J1214" s="33" t="s">
        <v>40</v>
      </c>
      <c r="K1214" s="33"/>
      <c r="L1214" s="33"/>
    </row>
    <row r="1215" spans="1:12" s="1" customFormat="1" x14ac:dyDescent="0.3">
      <c r="A1215" s="33" t="s">
        <v>2472</v>
      </c>
      <c r="B1215" s="33" t="s">
        <v>45</v>
      </c>
      <c r="C1215" s="33">
        <v>4432269849</v>
      </c>
      <c r="D1215" s="33"/>
      <c r="E1215" s="33">
        <v>27</v>
      </c>
      <c r="F1215" s="33">
        <v>18</v>
      </c>
      <c r="G1215" s="33" t="s">
        <v>38</v>
      </c>
      <c r="H1215" s="33" t="s">
        <v>2473</v>
      </c>
      <c r="I1215" s="33" t="s">
        <v>46</v>
      </c>
      <c r="J1215" s="33" t="s">
        <v>40</v>
      </c>
      <c r="K1215" s="33"/>
      <c r="L1215" s="33"/>
    </row>
    <row r="1216" spans="1:12" s="1" customFormat="1" x14ac:dyDescent="0.3">
      <c r="A1216" s="33" t="s">
        <v>2474</v>
      </c>
      <c r="B1216" s="33" t="s">
        <v>42</v>
      </c>
      <c r="C1216" s="33">
        <v>44998266194</v>
      </c>
      <c r="D1216" s="33"/>
      <c r="E1216" s="33">
        <v>893</v>
      </c>
      <c r="F1216" s="33">
        <v>883</v>
      </c>
      <c r="G1216" s="33" t="s">
        <v>38</v>
      </c>
      <c r="H1216" s="33" t="s">
        <v>2475</v>
      </c>
      <c r="I1216" s="33" t="s">
        <v>46</v>
      </c>
      <c r="J1216" s="33" t="s">
        <v>40</v>
      </c>
      <c r="K1216" s="33"/>
      <c r="L1216" s="33"/>
    </row>
    <row r="1217" spans="1:12" s="1" customFormat="1" x14ac:dyDescent="0.3">
      <c r="A1217" s="33" t="s">
        <v>2476</v>
      </c>
      <c r="B1217" s="33" t="s">
        <v>45</v>
      </c>
      <c r="C1217" s="33">
        <v>4432269849</v>
      </c>
      <c r="D1217" s="33"/>
      <c r="E1217" s="33">
        <v>29</v>
      </c>
      <c r="F1217" s="33">
        <v>15</v>
      </c>
      <c r="G1217" s="33" t="s">
        <v>38</v>
      </c>
      <c r="H1217" s="33" t="s">
        <v>2477</v>
      </c>
      <c r="I1217" s="33" t="s">
        <v>46</v>
      </c>
      <c r="J1217" s="33" t="s">
        <v>40</v>
      </c>
      <c r="K1217" s="33"/>
      <c r="L1217" s="33"/>
    </row>
    <row r="1218" spans="1:12" s="1" customFormat="1" x14ac:dyDescent="0.3">
      <c r="A1218" s="33" t="s">
        <v>2478</v>
      </c>
      <c r="B1218" s="33" t="s">
        <v>45</v>
      </c>
      <c r="C1218" s="33">
        <v>4432269849</v>
      </c>
      <c r="D1218" s="33"/>
      <c r="E1218" s="33">
        <v>8</v>
      </c>
      <c r="F1218" s="33">
        <v>0</v>
      </c>
      <c r="G1218" s="33" t="s">
        <v>47</v>
      </c>
      <c r="H1218" s="33" t="s">
        <v>2479</v>
      </c>
      <c r="I1218" s="33" t="s">
        <v>46</v>
      </c>
      <c r="J1218" s="33" t="s">
        <v>40</v>
      </c>
      <c r="K1218" s="33"/>
      <c r="L1218" s="33"/>
    </row>
    <row r="1219" spans="1:12" s="1" customFormat="1" x14ac:dyDescent="0.3">
      <c r="A1219" s="33" t="s">
        <v>2480</v>
      </c>
      <c r="B1219" s="33" t="s">
        <v>37</v>
      </c>
      <c r="C1219" s="33">
        <v>4330333542</v>
      </c>
      <c r="D1219" s="33"/>
      <c r="E1219" s="33">
        <v>210</v>
      </c>
      <c r="F1219" s="33">
        <v>203</v>
      </c>
      <c r="G1219" s="33" t="s">
        <v>38</v>
      </c>
      <c r="H1219" s="33" t="s">
        <v>2481</v>
      </c>
      <c r="I1219" s="33" t="s">
        <v>46</v>
      </c>
      <c r="J1219" s="33" t="s">
        <v>40</v>
      </c>
      <c r="K1219" s="33"/>
      <c r="L1219" s="33"/>
    </row>
    <row r="1220" spans="1:12" s="1" customFormat="1" x14ac:dyDescent="0.3">
      <c r="A1220" s="33" t="s">
        <v>2482</v>
      </c>
      <c r="B1220" s="33">
        <v>44998039090</v>
      </c>
      <c r="C1220" s="33" t="s">
        <v>44</v>
      </c>
      <c r="D1220" s="33">
        <v>4430265054</v>
      </c>
      <c r="E1220" s="33">
        <v>239</v>
      </c>
      <c r="F1220" s="33">
        <v>143</v>
      </c>
      <c r="G1220" s="33" t="s">
        <v>38</v>
      </c>
      <c r="H1220" s="33" t="s">
        <v>2483</v>
      </c>
      <c r="I1220" s="33" t="s">
        <v>39</v>
      </c>
      <c r="J1220" s="33" t="s">
        <v>40</v>
      </c>
      <c r="K1220" s="33" t="s">
        <v>41</v>
      </c>
      <c r="L1220" s="33"/>
    </row>
    <row r="1221" spans="1:12" s="1" customFormat="1" x14ac:dyDescent="0.3">
      <c r="A1221" s="33" t="s">
        <v>2484</v>
      </c>
      <c r="B1221" s="33">
        <v>4432321371</v>
      </c>
      <c r="C1221" s="33" t="s">
        <v>48</v>
      </c>
      <c r="D1221" s="33">
        <v>4430265054</v>
      </c>
      <c r="E1221" s="33">
        <v>418</v>
      </c>
      <c r="F1221" s="33">
        <v>401</v>
      </c>
      <c r="G1221" s="33" t="s">
        <v>38</v>
      </c>
      <c r="H1221" s="33" t="s">
        <v>2485</v>
      </c>
      <c r="I1221" s="33" t="s">
        <v>39</v>
      </c>
      <c r="J1221" s="33" t="s">
        <v>40</v>
      </c>
      <c r="K1221" s="33" t="s">
        <v>41</v>
      </c>
      <c r="L1221" s="33"/>
    </row>
    <row r="1222" spans="1:12" s="1" customFormat="1" x14ac:dyDescent="0.3">
      <c r="A1222" s="33" t="s">
        <v>2486</v>
      </c>
      <c r="B1222" s="33">
        <v>11998030658</v>
      </c>
      <c r="C1222" s="33" t="s">
        <v>37</v>
      </c>
      <c r="D1222" s="33">
        <v>4430265054</v>
      </c>
      <c r="E1222" s="33">
        <v>698</v>
      </c>
      <c r="F1222" s="33">
        <v>616</v>
      </c>
      <c r="G1222" s="33" t="s">
        <v>38</v>
      </c>
      <c r="H1222" s="33" t="s">
        <v>2487</v>
      </c>
      <c r="I1222" s="33" t="s">
        <v>39</v>
      </c>
      <c r="J1222" s="33" t="s">
        <v>40</v>
      </c>
      <c r="K1222" s="33" t="s">
        <v>41</v>
      </c>
      <c r="L1222" s="33">
        <v>5</v>
      </c>
    </row>
    <row r="1223" spans="1:12" s="1" customFormat="1" x14ac:dyDescent="0.3">
      <c r="A1223" s="33" t="s">
        <v>2488</v>
      </c>
      <c r="B1223" s="33">
        <v>4432520627</v>
      </c>
      <c r="C1223" s="33" t="s">
        <v>43</v>
      </c>
      <c r="D1223" s="33">
        <v>4430265054</v>
      </c>
      <c r="E1223" s="33">
        <v>156</v>
      </c>
      <c r="F1223" s="33">
        <v>76</v>
      </c>
      <c r="G1223" s="33" t="s">
        <v>38</v>
      </c>
      <c r="H1223" s="33" t="s">
        <v>2489</v>
      </c>
      <c r="I1223" s="33" t="s">
        <v>39</v>
      </c>
      <c r="J1223" s="33" t="s">
        <v>40</v>
      </c>
      <c r="K1223" s="33" t="s">
        <v>41</v>
      </c>
      <c r="L1223" s="33">
        <v>5</v>
      </c>
    </row>
    <row r="1224" spans="1:12" s="1" customFormat="1" x14ac:dyDescent="0.3">
      <c r="A1224" s="33" t="s">
        <v>2490</v>
      </c>
      <c r="B1224" s="33">
        <v>44998266194</v>
      </c>
      <c r="C1224" s="33" t="s">
        <v>44</v>
      </c>
      <c r="D1224" s="33">
        <v>4431268225</v>
      </c>
      <c r="E1224" s="33">
        <v>685</v>
      </c>
      <c r="F1224" s="33">
        <v>651</v>
      </c>
      <c r="G1224" s="33" t="s">
        <v>38</v>
      </c>
      <c r="H1224" s="33" t="s">
        <v>2491</v>
      </c>
      <c r="I1224" s="33" t="s">
        <v>39</v>
      </c>
      <c r="J1224" s="33" t="s">
        <v>40</v>
      </c>
      <c r="K1224" s="33" t="s">
        <v>41</v>
      </c>
      <c r="L1224" s="33"/>
    </row>
    <row r="1225" spans="1:12" s="1" customFormat="1" x14ac:dyDescent="0.3">
      <c r="A1225" s="33" t="s">
        <v>2492</v>
      </c>
      <c r="B1225" s="33">
        <v>44999090169</v>
      </c>
      <c r="C1225" s="33" t="s">
        <v>45</v>
      </c>
      <c r="D1225" s="33">
        <v>4430265054</v>
      </c>
      <c r="E1225" s="33">
        <v>251</v>
      </c>
      <c r="F1225" s="33">
        <v>198</v>
      </c>
      <c r="G1225" s="33" t="s">
        <v>38</v>
      </c>
      <c r="H1225" s="33" t="s">
        <v>2493</v>
      </c>
      <c r="I1225" s="33" t="s">
        <v>39</v>
      </c>
      <c r="J1225" s="33" t="s">
        <v>40</v>
      </c>
      <c r="K1225" s="33" t="s">
        <v>41</v>
      </c>
      <c r="L1225" s="33">
        <v>5</v>
      </c>
    </row>
    <row r="1226" spans="1:12" s="1" customFormat="1" x14ac:dyDescent="0.3">
      <c r="A1226" s="33" t="s">
        <v>2494</v>
      </c>
      <c r="B1226" s="33">
        <v>4432321428</v>
      </c>
      <c r="C1226" s="33" t="s">
        <v>48</v>
      </c>
      <c r="D1226" s="33">
        <v>4430265054</v>
      </c>
      <c r="E1226" s="33">
        <v>181</v>
      </c>
      <c r="F1226" s="33">
        <v>180</v>
      </c>
      <c r="G1226" s="33" t="s">
        <v>38</v>
      </c>
      <c r="H1226" s="33" t="s">
        <v>2495</v>
      </c>
      <c r="I1226" s="33" t="s">
        <v>39</v>
      </c>
      <c r="J1226" s="33" t="s">
        <v>40</v>
      </c>
      <c r="K1226" s="33" t="s">
        <v>41</v>
      </c>
      <c r="L1226" s="33"/>
    </row>
    <row r="1227" spans="1:12" s="1" customFormat="1" x14ac:dyDescent="0.3">
      <c r="A1227" s="33" t="s">
        <v>2496</v>
      </c>
      <c r="B1227" s="33">
        <v>44988067937</v>
      </c>
      <c r="C1227" s="33" t="s">
        <v>43</v>
      </c>
      <c r="D1227" s="33">
        <v>4430265054</v>
      </c>
      <c r="E1227" s="33">
        <v>169</v>
      </c>
      <c r="F1227" s="33">
        <v>56</v>
      </c>
      <c r="G1227" s="33" t="s">
        <v>38</v>
      </c>
      <c r="H1227" s="33" t="s">
        <v>2497</v>
      </c>
      <c r="I1227" s="33" t="s">
        <v>39</v>
      </c>
      <c r="J1227" s="33" t="s">
        <v>40</v>
      </c>
      <c r="K1227" s="33" t="s">
        <v>41</v>
      </c>
      <c r="L1227" s="33"/>
    </row>
    <row r="1228" spans="1:12" s="1" customFormat="1" x14ac:dyDescent="0.3">
      <c r="A1228" s="33" t="s">
        <v>2498</v>
      </c>
      <c r="B1228" s="33">
        <v>44991234625</v>
      </c>
      <c r="C1228" s="33" t="s">
        <v>44</v>
      </c>
      <c r="D1228" s="33">
        <v>4430265054</v>
      </c>
      <c r="E1228" s="33">
        <v>317</v>
      </c>
      <c r="F1228" s="33">
        <v>241</v>
      </c>
      <c r="G1228" s="33" t="s">
        <v>38</v>
      </c>
      <c r="H1228" s="33" t="s">
        <v>2499</v>
      </c>
      <c r="I1228" s="33" t="s">
        <v>39</v>
      </c>
      <c r="J1228" s="33" t="s">
        <v>40</v>
      </c>
      <c r="K1228" s="33" t="s">
        <v>41</v>
      </c>
      <c r="L1228" s="33"/>
    </row>
    <row r="1229" spans="1:12" s="1" customFormat="1" x14ac:dyDescent="0.3">
      <c r="A1229" s="33" t="s">
        <v>2500</v>
      </c>
      <c r="B1229" s="33">
        <v>4432265534</v>
      </c>
      <c r="C1229" s="33" t="s">
        <v>37</v>
      </c>
      <c r="D1229" s="33">
        <v>4430265054</v>
      </c>
      <c r="E1229" s="33">
        <v>613</v>
      </c>
      <c r="F1229" s="33">
        <v>521</v>
      </c>
      <c r="G1229" s="33" t="s">
        <v>38</v>
      </c>
      <c r="H1229" s="33" t="s">
        <v>2501</v>
      </c>
      <c r="I1229" s="33" t="s">
        <v>39</v>
      </c>
      <c r="J1229" s="33" t="s">
        <v>40</v>
      </c>
      <c r="K1229" s="33" t="s">
        <v>41</v>
      </c>
      <c r="L1229" s="33"/>
    </row>
    <row r="1230" spans="1:12" s="1" customFormat="1" x14ac:dyDescent="0.3">
      <c r="A1230" s="33" t="s">
        <v>2502</v>
      </c>
      <c r="B1230" s="33">
        <v>44999787513</v>
      </c>
      <c r="C1230" s="33" t="s">
        <v>42</v>
      </c>
      <c r="D1230" s="33">
        <v>4430265054</v>
      </c>
      <c r="E1230" s="33">
        <v>975</v>
      </c>
      <c r="F1230" s="33">
        <v>892</v>
      </c>
      <c r="G1230" s="33" t="s">
        <v>38</v>
      </c>
      <c r="H1230" s="33" t="s">
        <v>2503</v>
      </c>
      <c r="I1230" s="33" t="s">
        <v>39</v>
      </c>
      <c r="J1230" s="33" t="s">
        <v>40</v>
      </c>
      <c r="K1230" s="33" t="s">
        <v>41</v>
      </c>
      <c r="L1230" s="33"/>
    </row>
    <row r="1231" spans="1:12" s="1" customFormat="1" x14ac:dyDescent="0.3">
      <c r="A1231" s="33" t="s">
        <v>2504</v>
      </c>
      <c r="B1231" s="33">
        <v>44999647912</v>
      </c>
      <c r="C1231" s="33" t="s">
        <v>45</v>
      </c>
      <c r="D1231" s="33">
        <v>4430265054</v>
      </c>
      <c r="E1231" s="33">
        <v>488</v>
      </c>
      <c r="F1231" s="33">
        <v>453</v>
      </c>
      <c r="G1231" s="33" t="s">
        <v>38</v>
      </c>
      <c r="H1231" s="33" t="s">
        <v>2505</v>
      </c>
      <c r="I1231" s="33" t="s">
        <v>39</v>
      </c>
      <c r="J1231" s="33" t="s">
        <v>40</v>
      </c>
      <c r="K1231" s="33" t="s">
        <v>41</v>
      </c>
      <c r="L1231" s="33"/>
    </row>
    <row r="1232" spans="1:12" s="1" customFormat="1" x14ac:dyDescent="0.3">
      <c r="A1232" s="33" t="s">
        <v>2506</v>
      </c>
      <c r="B1232" s="33">
        <v>81988293889</v>
      </c>
      <c r="C1232" s="33" t="s">
        <v>42</v>
      </c>
      <c r="D1232" s="33">
        <v>4431268225</v>
      </c>
      <c r="E1232" s="33">
        <v>179</v>
      </c>
      <c r="F1232" s="33">
        <v>155</v>
      </c>
      <c r="G1232" s="33" t="s">
        <v>38</v>
      </c>
      <c r="H1232" s="33" t="s">
        <v>2507</v>
      </c>
      <c r="I1232" s="33" t="s">
        <v>39</v>
      </c>
      <c r="J1232" s="33" t="s">
        <v>40</v>
      </c>
      <c r="K1232" s="33" t="s">
        <v>41</v>
      </c>
      <c r="L1232" s="33"/>
    </row>
    <row r="1233" spans="1:12" s="1" customFormat="1" x14ac:dyDescent="0.3">
      <c r="A1233" s="33" t="s">
        <v>2508</v>
      </c>
      <c r="B1233" s="33">
        <v>4430315534</v>
      </c>
      <c r="C1233" s="33" t="s">
        <v>37</v>
      </c>
      <c r="D1233" s="33">
        <v>4430265054</v>
      </c>
      <c r="E1233" s="33">
        <v>854</v>
      </c>
      <c r="F1233" s="33">
        <v>830</v>
      </c>
      <c r="G1233" s="33" t="s">
        <v>38</v>
      </c>
      <c r="H1233" s="33" t="s">
        <v>2509</v>
      </c>
      <c r="I1233" s="33" t="s">
        <v>39</v>
      </c>
      <c r="J1233" s="33" t="s">
        <v>40</v>
      </c>
      <c r="K1233" s="33" t="s">
        <v>41</v>
      </c>
      <c r="L1233" s="33"/>
    </row>
    <row r="1234" spans="1:12" s="1" customFormat="1" x14ac:dyDescent="0.3">
      <c r="A1234" s="33" t="s">
        <v>2510</v>
      </c>
      <c r="B1234" s="33">
        <v>4430459001</v>
      </c>
      <c r="C1234" s="33" t="s">
        <v>44</v>
      </c>
      <c r="D1234" s="33">
        <v>4430265054</v>
      </c>
      <c r="E1234" s="33">
        <v>181</v>
      </c>
      <c r="F1234" s="33">
        <v>133</v>
      </c>
      <c r="G1234" s="33" t="s">
        <v>38</v>
      </c>
      <c r="H1234" s="33" t="s">
        <v>2511</v>
      </c>
      <c r="I1234" s="33" t="s">
        <v>39</v>
      </c>
      <c r="J1234" s="33" t="s">
        <v>40</v>
      </c>
      <c r="K1234" s="33" t="s">
        <v>41</v>
      </c>
      <c r="L1234" s="33"/>
    </row>
    <row r="1235" spans="1:12" s="1" customFormat="1" x14ac:dyDescent="0.3">
      <c r="A1235" s="33" t="s">
        <v>2512</v>
      </c>
      <c r="B1235" s="33">
        <v>44988300360</v>
      </c>
      <c r="C1235" s="33" t="s">
        <v>43</v>
      </c>
      <c r="D1235" s="33">
        <v>4430265054</v>
      </c>
      <c r="E1235" s="33">
        <v>1587</v>
      </c>
      <c r="F1235" s="33">
        <v>1565</v>
      </c>
      <c r="G1235" s="33" t="s">
        <v>38</v>
      </c>
      <c r="H1235" s="33" t="s">
        <v>2513</v>
      </c>
      <c r="I1235" s="33" t="s">
        <v>39</v>
      </c>
      <c r="J1235" s="33" t="s">
        <v>40</v>
      </c>
      <c r="K1235" s="33" t="s">
        <v>41</v>
      </c>
      <c r="L1235" s="33"/>
    </row>
    <row r="1236" spans="1:12" s="1" customFormat="1" x14ac:dyDescent="0.3">
      <c r="A1236" s="33" t="s">
        <v>2514</v>
      </c>
      <c r="B1236" s="33">
        <v>4432269849</v>
      </c>
      <c r="C1236" s="33" t="s">
        <v>45</v>
      </c>
      <c r="D1236" s="33">
        <v>4430265054</v>
      </c>
      <c r="E1236" s="33">
        <v>1059</v>
      </c>
      <c r="F1236" s="33">
        <v>1017</v>
      </c>
      <c r="G1236" s="33" t="s">
        <v>38</v>
      </c>
      <c r="H1236" s="33" t="s">
        <v>2515</v>
      </c>
      <c r="I1236" s="33" t="s">
        <v>39</v>
      </c>
      <c r="J1236" s="33" t="s">
        <v>40</v>
      </c>
      <c r="K1236" s="33" t="s">
        <v>41</v>
      </c>
      <c r="L1236" s="33">
        <v>5</v>
      </c>
    </row>
    <row r="1237" spans="1:12" s="1" customFormat="1" x14ac:dyDescent="0.3">
      <c r="A1237" s="33" t="s">
        <v>2516</v>
      </c>
      <c r="B1237" s="33">
        <v>44988255390</v>
      </c>
      <c r="C1237" s="33" t="s">
        <v>37</v>
      </c>
      <c r="D1237" s="33">
        <v>4430265054</v>
      </c>
      <c r="E1237" s="33">
        <v>226</v>
      </c>
      <c r="F1237" s="33">
        <v>190</v>
      </c>
      <c r="G1237" s="33" t="s">
        <v>38</v>
      </c>
      <c r="H1237" s="33" t="s">
        <v>2517</v>
      </c>
      <c r="I1237" s="33" t="s">
        <v>39</v>
      </c>
      <c r="J1237" s="33" t="s">
        <v>40</v>
      </c>
      <c r="K1237" s="33" t="s">
        <v>41</v>
      </c>
      <c r="L1237" s="33">
        <v>5</v>
      </c>
    </row>
    <row r="1238" spans="1:12" s="1" customFormat="1" x14ac:dyDescent="0.3">
      <c r="A1238" s="33" t="s">
        <v>2518</v>
      </c>
      <c r="B1238" s="33" t="s">
        <v>42</v>
      </c>
      <c r="C1238" s="33">
        <v>44998266194</v>
      </c>
      <c r="D1238" s="33"/>
      <c r="E1238" s="33">
        <v>554</v>
      </c>
      <c r="F1238" s="33">
        <v>547</v>
      </c>
      <c r="G1238" s="33" t="s">
        <v>38</v>
      </c>
      <c r="H1238" s="33" t="s">
        <v>2519</v>
      </c>
      <c r="I1238" s="33" t="s">
        <v>46</v>
      </c>
      <c r="J1238" s="33" t="s">
        <v>40</v>
      </c>
      <c r="K1238" s="33"/>
      <c r="L1238" s="33"/>
    </row>
    <row r="1239" spans="1:12" s="1" customFormat="1" x14ac:dyDescent="0.3">
      <c r="A1239" s="33" t="s">
        <v>2520</v>
      </c>
      <c r="B1239" s="33" t="s">
        <v>42</v>
      </c>
      <c r="C1239" s="33">
        <v>44998266194</v>
      </c>
      <c r="D1239" s="33"/>
      <c r="E1239" s="33">
        <v>0</v>
      </c>
      <c r="F1239" s="33">
        <v>0</v>
      </c>
      <c r="G1239" s="33" t="s">
        <v>47</v>
      </c>
      <c r="H1239" s="33" t="s">
        <v>2521</v>
      </c>
      <c r="I1239" s="33" t="s">
        <v>46</v>
      </c>
      <c r="J1239" s="33" t="s">
        <v>40</v>
      </c>
      <c r="K1239" s="33"/>
      <c r="L1239" s="33"/>
    </row>
    <row r="1240" spans="1:12" s="1" customFormat="1" x14ac:dyDescent="0.3">
      <c r="A1240" s="33" t="s">
        <v>2522</v>
      </c>
      <c r="B1240" s="33">
        <v>44991484476</v>
      </c>
      <c r="C1240" s="33" t="s">
        <v>37</v>
      </c>
      <c r="D1240" s="33">
        <v>4430265054</v>
      </c>
      <c r="E1240" s="33">
        <v>451</v>
      </c>
      <c r="F1240" s="33">
        <v>413</v>
      </c>
      <c r="G1240" s="33" t="s">
        <v>38</v>
      </c>
      <c r="H1240" s="33" t="s">
        <v>2523</v>
      </c>
      <c r="I1240" s="33" t="s">
        <v>39</v>
      </c>
      <c r="J1240" s="33" t="s">
        <v>40</v>
      </c>
      <c r="K1240" s="33" t="s">
        <v>41</v>
      </c>
      <c r="L1240" s="33">
        <v>5</v>
      </c>
    </row>
    <row r="1241" spans="1:12" s="1" customFormat="1" x14ac:dyDescent="0.3">
      <c r="A1241" s="33" t="s">
        <v>2524</v>
      </c>
      <c r="B1241" s="33">
        <v>4434221675</v>
      </c>
      <c r="C1241" s="33" t="s">
        <v>44</v>
      </c>
      <c r="D1241" s="33">
        <v>4430265054</v>
      </c>
      <c r="E1241" s="33">
        <v>360</v>
      </c>
      <c r="F1241" s="33">
        <v>320</v>
      </c>
      <c r="G1241" s="33" t="s">
        <v>38</v>
      </c>
      <c r="H1241" s="33" t="s">
        <v>2525</v>
      </c>
      <c r="I1241" s="33" t="s">
        <v>39</v>
      </c>
      <c r="J1241" s="33" t="s">
        <v>40</v>
      </c>
      <c r="K1241" s="33" t="s">
        <v>41</v>
      </c>
      <c r="L1241" s="33"/>
    </row>
    <row r="1242" spans="1:12" s="1" customFormat="1" x14ac:dyDescent="0.3">
      <c r="A1242" s="33" t="s">
        <v>2526</v>
      </c>
      <c r="B1242" s="33">
        <v>4430562296</v>
      </c>
      <c r="C1242" s="33" t="s">
        <v>43</v>
      </c>
      <c r="D1242" s="33">
        <v>4430265054</v>
      </c>
      <c r="E1242" s="33">
        <v>355</v>
      </c>
      <c r="F1242" s="33">
        <v>300</v>
      </c>
      <c r="G1242" s="33" t="s">
        <v>38</v>
      </c>
      <c r="H1242" s="33" t="s">
        <v>2527</v>
      </c>
      <c r="I1242" s="33" t="s">
        <v>39</v>
      </c>
      <c r="J1242" s="33" t="s">
        <v>40</v>
      </c>
      <c r="K1242" s="33" t="s">
        <v>41</v>
      </c>
      <c r="L1242" s="33"/>
    </row>
    <row r="1243" spans="1:12" s="1" customFormat="1" x14ac:dyDescent="0.3">
      <c r="A1243" s="33" t="s">
        <v>2528</v>
      </c>
      <c r="B1243" s="33">
        <v>44998266194</v>
      </c>
      <c r="C1243" s="33" t="s">
        <v>42</v>
      </c>
      <c r="D1243" s="33">
        <v>4430265054</v>
      </c>
      <c r="E1243" s="33">
        <v>1249</v>
      </c>
      <c r="F1243" s="33">
        <v>1215</v>
      </c>
      <c r="G1243" s="33" t="s">
        <v>38</v>
      </c>
      <c r="H1243" s="33" t="s">
        <v>2529</v>
      </c>
      <c r="I1243" s="33" t="s">
        <v>39</v>
      </c>
      <c r="J1243" s="33" t="s">
        <v>40</v>
      </c>
      <c r="K1243" s="33" t="s">
        <v>41</v>
      </c>
      <c r="L1243" s="33"/>
    </row>
    <row r="1244" spans="1:12" s="1" customFormat="1" x14ac:dyDescent="0.3">
      <c r="A1244" s="33" t="s">
        <v>2530</v>
      </c>
      <c r="B1244" s="33">
        <v>4430191401</v>
      </c>
      <c r="C1244" s="33" t="s">
        <v>37</v>
      </c>
      <c r="D1244" s="33">
        <v>4430265054</v>
      </c>
      <c r="E1244" s="33">
        <v>1314</v>
      </c>
      <c r="F1244" s="33">
        <v>1241</v>
      </c>
      <c r="G1244" s="33" t="s">
        <v>38</v>
      </c>
      <c r="H1244" s="33" t="s">
        <v>2531</v>
      </c>
      <c r="I1244" s="33" t="s">
        <v>39</v>
      </c>
      <c r="J1244" s="33" t="s">
        <v>40</v>
      </c>
      <c r="K1244" s="33" t="s">
        <v>41</v>
      </c>
      <c r="L1244" s="33"/>
    </row>
    <row r="1245" spans="1:12" s="1" customFormat="1" x14ac:dyDescent="0.3">
      <c r="A1245" s="33" t="s">
        <v>2532</v>
      </c>
      <c r="B1245" s="33">
        <v>44984225332</v>
      </c>
      <c r="C1245" s="33" t="s">
        <v>43</v>
      </c>
      <c r="D1245" s="33">
        <v>4430265054</v>
      </c>
      <c r="E1245" s="33">
        <v>494</v>
      </c>
      <c r="F1245" s="33">
        <v>434</v>
      </c>
      <c r="G1245" s="33" t="s">
        <v>38</v>
      </c>
      <c r="H1245" s="33" t="s">
        <v>2533</v>
      </c>
      <c r="I1245" s="33" t="s">
        <v>39</v>
      </c>
      <c r="J1245" s="33" t="s">
        <v>40</v>
      </c>
      <c r="K1245" s="33" t="s">
        <v>41</v>
      </c>
      <c r="L1245" s="33">
        <v>5</v>
      </c>
    </row>
    <row r="1246" spans="1:12" s="1" customFormat="1" x14ac:dyDescent="0.3">
      <c r="A1246" s="33" t="s">
        <v>2534</v>
      </c>
      <c r="B1246" s="33" t="s">
        <v>42</v>
      </c>
      <c r="C1246" s="33">
        <v>4130263118</v>
      </c>
      <c r="D1246" s="33"/>
      <c r="E1246" s="33">
        <v>556</v>
      </c>
      <c r="F1246" s="33">
        <v>549</v>
      </c>
      <c r="G1246" s="33" t="s">
        <v>38</v>
      </c>
      <c r="H1246" s="33" t="s">
        <v>2535</v>
      </c>
      <c r="I1246" s="33" t="s">
        <v>46</v>
      </c>
      <c r="J1246" s="33" t="s">
        <v>40</v>
      </c>
      <c r="K1246" s="33"/>
      <c r="L1246" s="33"/>
    </row>
    <row r="1247" spans="1:12" s="1" customFormat="1" x14ac:dyDescent="0.3">
      <c r="A1247" s="33" t="s">
        <v>2536</v>
      </c>
      <c r="B1247" s="33" t="s">
        <v>42</v>
      </c>
      <c r="C1247" s="33">
        <v>1239533777</v>
      </c>
      <c r="D1247" s="33"/>
      <c r="E1247" s="33">
        <v>473</v>
      </c>
      <c r="F1247" s="33">
        <v>467</v>
      </c>
      <c r="G1247" s="33" t="s">
        <v>38</v>
      </c>
      <c r="H1247" s="33" t="s">
        <v>2537</v>
      </c>
      <c r="I1247" s="33" t="s">
        <v>46</v>
      </c>
      <c r="J1247" s="33" t="s">
        <v>40</v>
      </c>
      <c r="K1247" s="33"/>
      <c r="L1247" s="33"/>
    </row>
    <row r="1248" spans="1:12" s="1" customFormat="1" x14ac:dyDescent="0.3">
      <c r="A1248" s="33" t="s">
        <v>2538</v>
      </c>
      <c r="B1248" s="33" t="s">
        <v>42</v>
      </c>
      <c r="C1248" s="33">
        <v>1239533777</v>
      </c>
      <c r="D1248" s="33"/>
      <c r="E1248" s="33">
        <v>2</v>
      </c>
      <c r="F1248" s="33">
        <v>0</v>
      </c>
      <c r="G1248" s="33" t="s">
        <v>47</v>
      </c>
      <c r="H1248" s="33" t="s">
        <v>2539</v>
      </c>
      <c r="I1248" s="33" t="s">
        <v>46</v>
      </c>
      <c r="J1248" s="33" t="s">
        <v>40</v>
      </c>
      <c r="K1248" s="33"/>
      <c r="L1248" s="33"/>
    </row>
    <row r="1249" spans="1:12" s="1" customFormat="1" x14ac:dyDescent="0.3">
      <c r="A1249" s="33" t="s">
        <v>2540</v>
      </c>
      <c r="B1249" s="33" t="s">
        <v>42</v>
      </c>
      <c r="C1249" s="33">
        <v>1239533777</v>
      </c>
      <c r="D1249" s="33"/>
      <c r="E1249" s="33">
        <v>57</v>
      </c>
      <c r="F1249" s="33">
        <v>48</v>
      </c>
      <c r="G1249" s="33" t="s">
        <v>38</v>
      </c>
      <c r="H1249" s="33" t="s">
        <v>2541</v>
      </c>
      <c r="I1249" s="33" t="s">
        <v>46</v>
      </c>
      <c r="J1249" s="33" t="s">
        <v>40</v>
      </c>
      <c r="K1249" s="33"/>
      <c r="L1249" s="33"/>
    </row>
    <row r="1250" spans="1:12" s="1" customFormat="1" x14ac:dyDescent="0.3">
      <c r="A1250" s="33" t="s">
        <v>2542</v>
      </c>
      <c r="B1250" s="33" t="s">
        <v>42</v>
      </c>
      <c r="C1250" s="33">
        <v>12981700279</v>
      </c>
      <c r="D1250" s="33"/>
      <c r="E1250" s="33">
        <v>34</v>
      </c>
      <c r="F1250" s="33">
        <v>25</v>
      </c>
      <c r="G1250" s="33" t="s">
        <v>38</v>
      </c>
      <c r="H1250" s="33" t="s">
        <v>2543</v>
      </c>
      <c r="I1250" s="33" t="s">
        <v>46</v>
      </c>
      <c r="J1250" s="33" t="s">
        <v>40</v>
      </c>
      <c r="K1250" s="33"/>
      <c r="L1250" s="33"/>
    </row>
    <row r="1251" spans="1:12" s="1" customFormat="1" x14ac:dyDescent="0.3">
      <c r="A1251" s="33" t="s">
        <v>2544</v>
      </c>
      <c r="B1251" s="33" t="s">
        <v>42</v>
      </c>
      <c r="C1251" s="33">
        <v>12981700279</v>
      </c>
      <c r="D1251" s="33"/>
      <c r="E1251" s="33">
        <v>9</v>
      </c>
      <c r="F1251" s="33">
        <v>0</v>
      </c>
      <c r="G1251" s="33" t="s">
        <v>47</v>
      </c>
      <c r="H1251" s="33" t="s">
        <v>2545</v>
      </c>
      <c r="I1251" s="33" t="s">
        <v>46</v>
      </c>
      <c r="J1251" s="33" t="s">
        <v>40</v>
      </c>
      <c r="K1251" s="33"/>
      <c r="L1251" s="33"/>
    </row>
    <row r="1252" spans="1:12" s="1" customFormat="1" x14ac:dyDescent="0.3">
      <c r="A1252" s="33" t="s">
        <v>2546</v>
      </c>
      <c r="B1252" s="33">
        <v>11972178961</v>
      </c>
      <c r="C1252" s="33" t="s">
        <v>42</v>
      </c>
      <c r="D1252" s="33">
        <v>4430265054</v>
      </c>
      <c r="E1252" s="33">
        <v>847</v>
      </c>
      <c r="F1252" s="33">
        <v>782</v>
      </c>
      <c r="G1252" s="33" t="s">
        <v>38</v>
      </c>
      <c r="H1252" s="33" t="s">
        <v>2547</v>
      </c>
      <c r="I1252" s="33" t="s">
        <v>39</v>
      </c>
      <c r="J1252" s="33" t="s">
        <v>40</v>
      </c>
      <c r="K1252" s="33" t="s">
        <v>41</v>
      </c>
      <c r="L1252" s="33"/>
    </row>
    <row r="1253" spans="1:12" s="1" customFormat="1" x14ac:dyDescent="0.3">
      <c r="A1253" s="33" t="s">
        <v>2548</v>
      </c>
      <c r="B1253" s="33">
        <v>41996631918</v>
      </c>
      <c r="C1253" s="33" t="s">
        <v>37</v>
      </c>
      <c r="D1253" s="33">
        <v>4430265054</v>
      </c>
      <c r="E1253" s="33">
        <v>463</v>
      </c>
      <c r="F1253" s="33">
        <v>381</v>
      </c>
      <c r="G1253" s="33" t="s">
        <v>38</v>
      </c>
      <c r="H1253" s="33" t="s">
        <v>2549</v>
      </c>
      <c r="I1253" s="33" t="s">
        <v>39</v>
      </c>
      <c r="J1253" s="33" t="s">
        <v>40</v>
      </c>
      <c r="K1253" s="33" t="s">
        <v>41</v>
      </c>
      <c r="L1253" s="33"/>
    </row>
    <row r="1254" spans="1:12" s="1" customFormat="1" x14ac:dyDescent="0.3">
      <c r="A1254" s="33" t="s">
        <v>2550</v>
      </c>
      <c r="B1254" s="33">
        <v>44991484476</v>
      </c>
      <c r="C1254" s="33" t="s">
        <v>37</v>
      </c>
      <c r="D1254" s="33">
        <v>4430265054</v>
      </c>
      <c r="E1254" s="33">
        <v>296</v>
      </c>
      <c r="F1254" s="33">
        <v>145</v>
      </c>
      <c r="G1254" s="33" t="s">
        <v>38</v>
      </c>
      <c r="H1254" s="33" t="s">
        <v>2551</v>
      </c>
      <c r="I1254" s="33" t="s">
        <v>39</v>
      </c>
      <c r="J1254" s="33" t="s">
        <v>40</v>
      </c>
      <c r="K1254" s="33" t="s">
        <v>41</v>
      </c>
      <c r="L1254" s="33">
        <v>5</v>
      </c>
    </row>
    <row r="1255" spans="1:12" s="1" customFormat="1" x14ac:dyDescent="0.3">
      <c r="A1255" s="33" t="s">
        <v>2552</v>
      </c>
      <c r="B1255" s="33">
        <v>43999110029</v>
      </c>
      <c r="C1255" s="33" t="s">
        <v>44</v>
      </c>
      <c r="D1255" s="33">
        <v>4430265054</v>
      </c>
      <c r="E1255" s="33">
        <v>346</v>
      </c>
      <c r="F1255" s="33">
        <v>206</v>
      </c>
      <c r="G1255" s="33" t="s">
        <v>38</v>
      </c>
      <c r="H1255" s="33" t="s">
        <v>2553</v>
      </c>
      <c r="I1255" s="33" t="s">
        <v>39</v>
      </c>
      <c r="J1255" s="33" t="s">
        <v>40</v>
      </c>
      <c r="K1255" s="33" t="s">
        <v>41</v>
      </c>
      <c r="L1255" s="33"/>
    </row>
    <row r="1256" spans="1:12" s="1" customFormat="1" x14ac:dyDescent="0.3">
      <c r="A1256" s="33" t="s">
        <v>2554</v>
      </c>
      <c r="B1256" s="33">
        <v>44988067937</v>
      </c>
      <c r="C1256" s="33" t="s">
        <v>43</v>
      </c>
      <c r="D1256" s="33">
        <v>4430265054</v>
      </c>
      <c r="E1256" s="33">
        <v>500</v>
      </c>
      <c r="F1256" s="33">
        <v>277</v>
      </c>
      <c r="G1256" s="33" t="s">
        <v>38</v>
      </c>
      <c r="H1256" s="33" t="s">
        <v>2555</v>
      </c>
      <c r="I1256" s="33" t="s">
        <v>39</v>
      </c>
      <c r="J1256" s="33" t="s">
        <v>40</v>
      </c>
      <c r="K1256" s="33" t="s">
        <v>41</v>
      </c>
      <c r="L1256" s="33"/>
    </row>
    <row r="1257" spans="1:12" s="1" customFormat="1" x14ac:dyDescent="0.3">
      <c r="A1257" s="33" t="s">
        <v>2556</v>
      </c>
      <c r="B1257" s="33" t="s">
        <v>42</v>
      </c>
      <c r="C1257" s="33">
        <v>4130263118</v>
      </c>
      <c r="D1257" s="33"/>
      <c r="E1257" s="33">
        <v>247</v>
      </c>
      <c r="F1257" s="33">
        <v>240</v>
      </c>
      <c r="G1257" s="33" t="s">
        <v>38</v>
      </c>
      <c r="H1257" s="33" t="s">
        <v>2557</v>
      </c>
      <c r="I1257" s="33" t="s">
        <v>46</v>
      </c>
      <c r="J1257" s="33" t="s">
        <v>40</v>
      </c>
      <c r="K1257" s="33"/>
      <c r="L1257" s="33"/>
    </row>
    <row r="1258" spans="1:12" s="1" customFormat="1" x14ac:dyDescent="0.3">
      <c r="A1258" s="33" t="s">
        <v>2558</v>
      </c>
      <c r="B1258" s="33" t="s">
        <v>37</v>
      </c>
      <c r="C1258" s="33">
        <v>4430153708</v>
      </c>
      <c r="D1258" s="33"/>
      <c r="E1258" s="33">
        <v>10</v>
      </c>
      <c r="F1258" s="33">
        <v>4</v>
      </c>
      <c r="G1258" s="33" t="s">
        <v>38</v>
      </c>
      <c r="H1258" s="33" t="s">
        <v>2559</v>
      </c>
      <c r="I1258" s="33" t="s">
        <v>46</v>
      </c>
      <c r="J1258" s="33" t="s">
        <v>40</v>
      </c>
      <c r="K1258" s="33"/>
      <c r="L1258" s="33"/>
    </row>
    <row r="1259" spans="1:12" s="1" customFormat="1" x14ac:dyDescent="0.3">
      <c r="A1259" s="33" t="s">
        <v>2560</v>
      </c>
      <c r="B1259" s="33" t="s">
        <v>37</v>
      </c>
      <c r="C1259" s="33">
        <v>4430153708</v>
      </c>
      <c r="D1259" s="33"/>
      <c r="E1259" s="33">
        <v>12</v>
      </c>
      <c r="F1259" s="33">
        <v>4</v>
      </c>
      <c r="G1259" s="33" t="s">
        <v>38</v>
      </c>
      <c r="H1259" s="33" t="s">
        <v>2561</v>
      </c>
      <c r="I1259" s="33" t="s">
        <v>46</v>
      </c>
      <c r="J1259" s="33" t="s">
        <v>40</v>
      </c>
      <c r="K1259" s="33"/>
      <c r="L1259" s="33"/>
    </row>
    <row r="1260" spans="1:12" s="1" customFormat="1" x14ac:dyDescent="0.3">
      <c r="A1260" s="33" t="s">
        <v>2562</v>
      </c>
      <c r="B1260" s="33" t="s">
        <v>37</v>
      </c>
      <c r="C1260" s="33">
        <v>4434231198</v>
      </c>
      <c r="D1260" s="33"/>
      <c r="E1260" s="33">
        <v>2</v>
      </c>
      <c r="F1260" s="33">
        <v>0</v>
      </c>
      <c r="G1260" s="33" t="s">
        <v>47</v>
      </c>
      <c r="H1260" s="33" t="s">
        <v>2563</v>
      </c>
      <c r="I1260" s="33" t="s">
        <v>46</v>
      </c>
      <c r="J1260" s="33" t="s">
        <v>40</v>
      </c>
      <c r="K1260" s="33"/>
      <c r="L1260" s="33"/>
    </row>
    <row r="1261" spans="1:12" s="1" customFormat="1" x14ac:dyDescent="0.3">
      <c r="A1261" s="33" t="s">
        <v>2564</v>
      </c>
      <c r="B1261" s="33" t="s">
        <v>37</v>
      </c>
      <c r="C1261" s="33">
        <v>4434231198</v>
      </c>
      <c r="D1261" s="33"/>
      <c r="E1261" s="33">
        <v>8</v>
      </c>
      <c r="F1261" s="33">
        <v>0</v>
      </c>
      <c r="G1261" s="33" t="s">
        <v>47</v>
      </c>
      <c r="H1261" s="33" t="s">
        <v>2565</v>
      </c>
      <c r="I1261" s="33" t="s">
        <v>46</v>
      </c>
      <c r="J1261" s="33" t="s">
        <v>40</v>
      </c>
      <c r="K1261" s="33"/>
      <c r="L1261" s="33"/>
    </row>
    <row r="1262" spans="1:12" s="1" customFormat="1" x14ac:dyDescent="0.3">
      <c r="A1262" s="33" t="s">
        <v>2566</v>
      </c>
      <c r="B1262" s="33" t="s">
        <v>45</v>
      </c>
      <c r="C1262" s="33">
        <v>44997650834</v>
      </c>
      <c r="D1262" s="33"/>
      <c r="E1262" s="33">
        <v>427</v>
      </c>
      <c r="F1262" s="33">
        <v>411</v>
      </c>
      <c r="G1262" s="33" t="s">
        <v>38</v>
      </c>
      <c r="H1262" s="33" t="s">
        <v>2567</v>
      </c>
      <c r="I1262" s="33" t="s">
        <v>46</v>
      </c>
      <c r="J1262" s="33" t="s">
        <v>40</v>
      </c>
      <c r="K1262" s="33"/>
      <c r="L1262" s="33">
        <v>5</v>
      </c>
    </row>
    <row r="1263" spans="1:12" s="1" customFormat="1" x14ac:dyDescent="0.3">
      <c r="A1263" s="33" t="s">
        <v>2568</v>
      </c>
      <c r="B1263" s="33" t="s">
        <v>45</v>
      </c>
      <c r="C1263" s="33">
        <v>4430315534</v>
      </c>
      <c r="D1263" s="33"/>
      <c r="E1263" s="33">
        <v>193</v>
      </c>
      <c r="F1263" s="33">
        <v>178</v>
      </c>
      <c r="G1263" s="33" t="s">
        <v>38</v>
      </c>
      <c r="H1263" s="33" t="s">
        <v>2569</v>
      </c>
      <c r="I1263" s="33" t="s">
        <v>46</v>
      </c>
      <c r="J1263" s="33" t="s">
        <v>40</v>
      </c>
      <c r="K1263" s="33"/>
      <c r="L1263" s="33"/>
    </row>
    <row r="1264" spans="1:12" s="1" customFormat="1" x14ac:dyDescent="0.3">
      <c r="A1264" s="33" t="s">
        <v>2570</v>
      </c>
      <c r="B1264" s="33" t="s">
        <v>45</v>
      </c>
      <c r="C1264" s="33">
        <v>4430315534</v>
      </c>
      <c r="D1264" s="33"/>
      <c r="E1264" s="33">
        <v>0</v>
      </c>
      <c r="F1264" s="33">
        <v>0</v>
      </c>
      <c r="G1264" s="33" t="s">
        <v>47</v>
      </c>
      <c r="H1264" s="33" t="s">
        <v>2571</v>
      </c>
      <c r="I1264" s="33" t="s">
        <v>46</v>
      </c>
      <c r="J1264" s="33" t="s">
        <v>40</v>
      </c>
      <c r="K1264" s="33"/>
      <c r="L1264" s="33"/>
    </row>
    <row r="1265" spans="1:12" s="1" customFormat="1" x14ac:dyDescent="0.3">
      <c r="A1265" s="33" t="s">
        <v>2572</v>
      </c>
      <c r="B1265" s="33" t="s">
        <v>45</v>
      </c>
      <c r="C1265" s="33">
        <v>4430315534</v>
      </c>
      <c r="D1265" s="33"/>
      <c r="E1265" s="33">
        <v>4</v>
      </c>
      <c r="F1265" s="33">
        <v>0</v>
      </c>
      <c r="G1265" s="33" t="s">
        <v>47</v>
      </c>
      <c r="H1265" s="33" t="s">
        <v>2573</v>
      </c>
      <c r="I1265" s="33" t="s">
        <v>46</v>
      </c>
      <c r="J1265" s="33" t="s">
        <v>40</v>
      </c>
      <c r="K1265" s="33"/>
      <c r="L1265" s="33"/>
    </row>
    <row r="1266" spans="1:12" s="1" customFormat="1" x14ac:dyDescent="0.3">
      <c r="A1266" s="33" t="s">
        <v>2574</v>
      </c>
      <c r="B1266" s="33" t="s">
        <v>37</v>
      </c>
      <c r="C1266" s="33">
        <v>98985735103</v>
      </c>
      <c r="D1266" s="33"/>
      <c r="E1266" s="33">
        <v>387</v>
      </c>
      <c r="F1266" s="33">
        <v>377</v>
      </c>
      <c r="G1266" s="33" t="s">
        <v>38</v>
      </c>
      <c r="H1266" s="33" t="s">
        <v>2575</v>
      </c>
      <c r="I1266" s="33" t="s">
        <v>46</v>
      </c>
      <c r="J1266" s="33" t="s">
        <v>40</v>
      </c>
      <c r="K1266" s="33"/>
      <c r="L1266" s="33"/>
    </row>
    <row r="1267" spans="1:12" s="1" customFormat="1" x14ac:dyDescent="0.3">
      <c r="A1267" s="33" t="s">
        <v>2576</v>
      </c>
      <c r="B1267" s="33">
        <v>4432256273</v>
      </c>
      <c r="C1267" s="33" t="s">
        <v>45</v>
      </c>
      <c r="D1267" s="33">
        <v>4430265054</v>
      </c>
      <c r="E1267" s="33">
        <v>246</v>
      </c>
      <c r="F1267" s="33">
        <v>182</v>
      </c>
      <c r="G1267" s="33" t="s">
        <v>38</v>
      </c>
      <c r="H1267" s="33" t="s">
        <v>2577</v>
      </c>
      <c r="I1267" s="33" t="s">
        <v>39</v>
      </c>
      <c r="J1267" s="33" t="s">
        <v>40</v>
      </c>
      <c r="K1267" s="33" t="s">
        <v>41</v>
      </c>
      <c r="L1267" s="33">
        <v>5</v>
      </c>
    </row>
    <row r="1268" spans="1:12" s="1" customFormat="1" x14ac:dyDescent="0.3">
      <c r="A1268" s="33" t="s">
        <v>2578</v>
      </c>
      <c r="B1268" s="33">
        <v>4130263118</v>
      </c>
      <c r="C1268" s="33" t="s">
        <v>42</v>
      </c>
      <c r="D1268" s="33">
        <v>4430265054</v>
      </c>
      <c r="E1268" s="33">
        <v>1591</v>
      </c>
      <c r="F1268" s="33">
        <v>1550</v>
      </c>
      <c r="G1268" s="33" t="s">
        <v>38</v>
      </c>
      <c r="H1268" s="33" t="s">
        <v>2579</v>
      </c>
      <c r="I1268" s="33" t="s">
        <v>39</v>
      </c>
      <c r="J1268" s="33" t="s">
        <v>40</v>
      </c>
      <c r="K1268" s="33" t="s">
        <v>41</v>
      </c>
      <c r="L1268" s="33"/>
    </row>
    <row r="1269" spans="1:12" s="1" customFormat="1" x14ac:dyDescent="0.3">
      <c r="A1269" s="33" t="s">
        <v>2580</v>
      </c>
      <c r="B1269" s="33">
        <v>44997343311</v>
      </c>
      <c r="C1269" s="33" t="s">
        <v>44</v>
      </c>
      <c r="D1269" s="33">
        <v>4430265054</v>
      </c>
      <c r="E1269" s="33">
        <v>408</v>
      </c>
      <c r="F1269" s="33">
        <v>346</v>
      </c>
      <c r="G1269" s="33" t="s">
        <v>38</v>
      </c>
      <c r="H1269" s="33" t="s">
        <v>2581</v>
      </c>
      <c r="I1269" s="33" t="s">
        <v>39</v>
      </c>
      <c r="J1269" s="33" t="s">
        <v>40</v>
      </c>
      <c r="K1269" s="33" t="s">
        <v>41</v>
      </c>
      <c r="L1269" s="33">
        <v>5</v>
      </c>
    </row>
    <row r="1270" spans="1:12" s="1" customFormat="1" x14ac:dyDescent="0.3">
      <c r="A1270" s="33" t="s">
        <v>2582</v>
      </c>
      <c r="B1270" s="33" t="s">
        <v>43</v>
      </c>
      <c r="C1270" s="33">
        <v>43984996095</v>
      </c>
      <c r="D1270" s="33"/>
      <c r="E1270" s="33">
        <v>264</v>
      </c>
      <c r="F1270" s="33">
        <v>251</v>
      </c>
      <c r="G1270" s="33" t="s">
        <v>38</v>
      </c>
      <c r="H1270" s="33" t="s">
        <v>2583</v>
      </c>
      <c r="I1270" s="33" t="s">
        <v>46</v>
      </c>
      <c r="J1270" s="33" t="s">
        <v>40</v>
      </c>
      <c r="K1270" s="33"/>
      <c r="L1270" s="33"/>
    </row>
    <row r="1271" spans="1:12" s="1" customFormat="1" x14ac:dyDescent="0.3">
      <c r="A1271" s="33" t="s">
        <v>2584</v>
      </c>
      <c r="B1271" s="33">
        <v>43984996095</v>
      </c>
      <c r="C1271" s="33" t="s">
        <v>43</v>
      </c>
      <c r="D1271" s="33">
        <v>4430265054</v>
      </c>
      <c r="E1271" s="33">
        <v>390</v>
      </c>
      <c r="F1271" s="33">
        <v>288</v>
      </c>
      <c r="G1271" s="33" t="s">
        <v>38</v>
      </c>
      <c r="H1271" s="33" t="s">
        <v>2585</v>
      </c>
      <c r="I1271" s="33" t="s">
        <v>39</v>
      </c>
      <c r="J1271" s="33" t="s">
        <v>40</v>
      </c>
      <c r="K1271" s="33" t="s">
        <v>41</v>
      </c>
      <c r="L1271" s="33"/>
    </row>
    <row r="1272" spans="1:12" s="1" customFormat="1" x14ac:dyDescent="0.3">
      <c r="A1272" s="33" t="s">
        <v>2586</v>
      </c>
      <c r="B1272" s="33">
        <v>44997650834</v>
      </c>
      <c r="C1272" s="33" t="s">
        <v>45</v>
      </c>
      <c r="D1272" s="33">
        <v>4430265054</v>
      </c>
      <c r="E1272" s="33">
        <v>304</v>
      </c>
      <c r="F1272" s="33">
        <v>218</v>
      </c>
      <c r="G1272" s="33" t="s">
        <v>38</v>
      </c>
      <c r="H1272" s="33" t="s">
        <v>2587</v>
      </c>
      <c r="I1272" s="33" t="s">
        <v>39</v>
      </c>
      <c r="J1272" s="33" t="s">
        <v>40</v>
      </c>
      <c r="K1272" s="33" t="s">
        <v>41</v>
      </c>
      <c r="L1272" s="33">
        <v>5</v>
      </c>
    </row>
    <row r="1273" spans="1:12" s="1" customFormat="1" x14ac:dyDescent="0.3">
      <c r="A1273" s="33" t="s">
        <v>2588</v>
      </c>
      <c r="B1273" s="33">
        <v>1639391799</v>
      </c>
      <c r="C1273" s="33" t="s">
        <v>48</v>
      </c>
      <c r="D1273" s="33">
        <v>4430265054</v>
      </c>
      <c r="E1273" s="33">
        <v>1058</v>
      </c>
      <c r="F1273" s="33">
        <v>978</v>
      </c>
      <c r="G1273" s="33" t="s">
        <v>38</v>
      </c>
      <c r="H1273" s="33" t="s">
        <v>2589</v>
      </c>
      <c r="I1273" s="33" t="s">
        <v>39</v>
      </c>
      <c r="J1273" s="33" t="s">
        <v>40</v>
      </c>
      <c r="K1273" s="33" t="s">
        <v>41</v>
      </c>
      <c r="L1273" s="33"/>
    </row>
    <row r="1274" spans="1:12" s="1" customFormat="1" x14ac:dyDescent="0.3">
      <c r="A1274" s="33" t="s">
        <v>2590</v>
      </c>
      <c r="B1274" s="33">
        <v>4430315534</v>
      </c>
      <c r="C1274" s="33" t="s">
        <v>45</v>
      </c>
      <c r="D1274" s="33">
        <v>4430265054</v>
      </c>
      <c r="E1274" s="33">
        <v>140</v>
      </c>
      <c r="F1274" s="33">
        <v>84</v>
      </c>
      <c r="G1274" s="33" t="s">
        <v>38</v>
      </c>
      <c r="H1274" s="33" t="s">
        <v>2591</v>
      </c>
      <c r="I1274" s="33" t="s">
        <v>39</v>
      </c>
      <c r="J1274" s="33" t="s">
        <v>40</v>
      </c>
      <c r="K1274" s="33" t="s">
        <v>41</v>
      </c>
      <c r="L1274" s="33"/>
    </row>
    <row r="1275" spans="1:12" s="1" customFormat="1" x14ac:dyDescent="0.3">
      <c r="A1275" s="33" t="s">
        <v>2592</v>
      </c>
      <c r="B1275" s="33">
        <v>44991388221</v>
      </c>
      <c r="C1275" s="33" t="s">
        <v>44</v>
      </c>
      <c r="D1275" s="33">
        <v>4430265054</v>
      </c>
      <c r="E1275" s="33">
        <v>482</v>
      </c>
      <c r="F1275" s="33">
        <v>422</v>
      </c>
      <c r="G1275" s="33" t="s">
        <v>38</v>
      </c>
      <c r="H1275" s="33" t="s">
        <v>2593</v>
      </c>
      <c r="I1275" s="33" t="s">
        <v>39</v>
      </c>
      <c r="J1275" s="33" t="s">
        <v>40</v>
      </c>
      <c r="K1275" s="33" t="s">
        <v>41</v>
      </c>
      <c r="L1275" s="33">
        <v>5</v>
      </c>
    </row>
    <row r="1276" spans="1:12" s="1" customFormat="1" x14ac:dyDescent="0.3">
      <c r="A1276" s="33" t="s">
        <v>2594</v>
      </c>
      <c r="B1276" s="33" t="s">
        <v>37</v>
      </c>
      <c r="C1276" s="33">
        <v>98985735103</v>
      </c>
      <c r="D1276" s="33"/>
      <c r="E1276" s="33">
        <v>1496</v>
      </c>
      <c r="F1276" s="33">
        <v>1484</v>
      </c>
      <c r="G1276" s="33" t="s">
        <v>38</v>
      </c>
      <c r="H1276" s="33" t="s">
        <v>2595</v>
      </c>
      <c r="I1276" s="33" t="s">
        <v>46</v>
      </c>
      <c r="J1276" s="33" t="s">
        <v>40</v>
      </c>
      <c r="K1276" s="33"/>
      <c r="L1276" s="33"/>
    </row>
    <row r="1277" spans="1:12" s="1" customFormat="1" x14ac:dyDescent="0.3">
      <c r="A1277" s="33" t="s">
        <v>2596</v>
      </c>
      <c r="B1277" s="33">
        <v>4432322192</v>
      </c>
      <c r="C1277" s="33" t="s">
        <v>42</v>
      </c>
      <c r="D1277" s="33">
        <v>4430265054</v>
      </c>
      <c r="E1277" s="33">
        <v>900</v>
      </c>
      <c r="F1277" s="33">
        <v>843</v>
      </c>
      <c r="G1277" s="33" t="s">
        <v>38</v>
      </c>
      <c r="H1277" s="33" t="s">
        <v>2597</v>
      </c>
      <c r="I1277" s="33" t="s">
        <v>39</v>
      </c>
      <c r="J1277" s="33" t="s">
        <v>40</v>
      </c>
      <c r="K1277" s="33" t="s">
        <v>41</v>
      </c>
      <c r="L1277" s="33"/>
    </row>
    <row r="1278" spans="1:12" s="1" customFormat="1" x14ac:dyDescent="0.3">
      <c r="A1278" s="33" t="s">
        <v>2598</v>
      </c>
      <c r="B1278" s="33" t="s">
        <v>37</v>
      </c>
      <c r="C1278" s="33">
        <v>98985735103</v>
      </c>
      <c r="D1278" s="33"/>
      <c r="E1278" s="33">
        <v>16</v>
      </c>
      <c r="F1278" s="33">
        <v>0</v>
      </c>
      <c r="G1278" s="33" t="s">
        <v>47</v>
      </c>
      <c r="H1278" s="33" t="s">
        <v>2599</v>
      </c>
      <c r="I1278" s="33" t="s">
        <v>46</v>
      </c>
      <c r="J1278" s="33" t="s">
        <v>40</v>
      </c>
      <c r="K1278" s="33"/>
      <c r="L1278" s="33"/>
    </row>
    <row r="1279" spans="1:12" s="1" customFormat="1" x14ac:dyDescent="0.3">
      <c r="A1279" s="33" t="s">
        <v>2600</v>
      </c>
      <c r="B1279" s="33">
        <v>44988255390</v>
      </c>
      <c r="C1279" s="33" t="s">
        <v>43</v>
      </c>
      <c r="D1279" s="33">
        <v>4430265054</v>
      </c>
      <c r="E1279" s="33">
        <v>831</v>
      </c>
      <c r="F1279" s="33">
        <v>792</v>
      </c>
      <c r="G1279" s="33" t="s">
        <v>38</v>
      </c>
      <c r="H1279" s="33" t="s">
        <v>2601</v>
      </c>
      <c r="I1279" s="33" t="s">
        <v>39</v>
      </c>
      <c r="J1279" s="33" t="s">
        <v>40</v>
      </c>
      <c r="K1279" s="33" t="s">
        <v>41</v>
      </c>
      <c r="L1279" s="33"/>
    </row>
    <row r="1280" spans="1:12" s="1" customFormat="1" x14ac:dyDescent="0.3">
      <c r="A1280" s="33" t="s">
        <v>2602</v>
      </c>
      <c r="B1280" s="33">
        <v>4334234629</v>
      </c>
      <c r="C1280" s="33" t="s">
        <v>48</v>
      </c>
      <c r="D1280" s="33">
        <v>4430265054</v>
      </c>
      <c r="E1280" s="33">
        <v>849</v>
      </c>
      <c r="F1280" s="33">
        <v>849</v>
      </c>
      <c r="G1280" s="33" t="s">
        <v>38</v>
      </c>
      <c r="H1280" s="33" t="s">
        <v>2603</v>
      </c>
      <c r="I1280" s="33" t="s">
        <v>39</v>
      </c>
      <c r="J1280" s="33" t="s">
        <v>40</v>
      </c>
      <c r="K1280" s="33" t="s">
        <v>41</v>
      </c>
      <c r="L1280" s="33">
        <v>5</v>
      </c>
    </row>
    <row r="1281" spans="1:12" s="1" customFormat="1" x14ac:dyDescent="0.3">
      <c r="A1281" s="33" t="s">
        <v>2604</v>
      </c>
      <c r="B1281" s="33">
        <v>44999550006</v>
      </c>
      <c r="C1281" s="33" t="s">
        <v>45</v>
      </c>
      <c r="D1281" s="33">
        <v>4430265054</v>
      </c>
      <c r="E1281" s="33">
        <v>286</v>
      </c>
      <c r="F1281" s="33">
        <v>230</v>
      </c>
      <c r="G1281" s="33" t="s">
        <v>38</v>
      </c>
      <c r="H1281" s="33" t="s">
        <v>2605</v>
      </c>
      <c r="I1281" s="33" t="s">
        <v>39</v>
      </c>
      <c r="J1281" s="33" t="s">
        <v>40</v>
      </c>
      <c r="K1281" s="33" t="s">
        <v>41</v>
      </c>
      <c r="L1281" s="33"/>
    </row>
    <row r="1282" spans="1:12" s="1" customFormat="1" x14ac:dyDescent="0.3">
      <c r="A1282" s="33" t="s">
        <v>2606</v>
      </c>
      <c r="B1282" s="33" t="s">
        <v>37</v>
      </c>
      <c r="C1282" s="33">
        <v>4430146402</v>
      </c>
      <c r="D1282" s="33"/>
      <c r="E1282" s="33">
        <v>422</v>
      </c>
      <c r="F1282" s="33">
        <v>417</v>
      </c>
      <c r="G1282" s="33" t="s">
        <v>38</v>
      </c>
      <c r="H1282" s="33" t="s">
        <v>2607</v>
      </c>
      <c r="I1282" s="33" t="s">
        <v>46</v>
      </c>
      <c r="J1282" s="33" t="s">
        <v>40</v>
      </c>
      <c r="K1282" s="33"/>
      <c r="L1282" s="33"/>
    </row>
    <row r="1283" spans="1:12" s="1" customFormat="1" x14ac:dyDescent="0.3">
      <c r="A1283" s="33" t="s">
        <v>2608</v>
      </c>
      <c r="B1283" s="33" t="s">
        <v>37</v>
      </c>
      <c r="C1283" s="33">
        <v>4430146402</v>
      </c>
      <c r="D1283" s="33"/>
      <c r="E1283" s="33">
        <v>4</v>
      </c>
      <c r="F1283" s="33">
        <v>0</v>
      </c>
      <c r="G1283" s="33" t="s">
        <v>47</v>
      </c>
      <c r="H1283" s="33" t="s">
        <v>2609</v>
      </c>
      <c r="I1283" s="33" t="s">
        <v>46</v>
      </c>
      <c r="J1283" s="33" t="s">
        <v>40</v>
      </c>
      <c r="K1283" s="33"/>
      <c r="L1283" s="33"/>
    </row>
    <row r="1284" spans="1:12" s="1" customFormat="1" x14ac:dyDescent="0.3">
      <c r="A1284" s="33" t="s">
        <v>2610</v>
      </c>
      <c r="B1284" s="33">
        <v>4432265534</v>
      </c>
      <c r="C1284" s="33" t="s">
        <v>44</v>
      </c>
      <c r="D1284" s="33">
        <v>4430265054</v>
      </c>
      <c r="E1284" s="33">
        <v>661</v>
      </c>
      <c r="F1284" s="33">
        <v>562</v>
      </c>
      <c r="G1284" s="33" t="s">
        <v>38</v>
      </c>
      <c r="H1284" s="33" t="s">
        <v>2611</v>
      </c>
      <c r="I1284" s="33" t="s">
        <v>39</v>
      </c>
      <c r="J1284" s="33" t="s">
        <v>40</v>
      </c>
      <c r="K1284" s="33" t="s">
        <v>41</v>
      </c>
      <c r="L1284" s="33"/>
    </row>
    <row r="1285" spans="1:12" s="1" customFormat="1" x14ac:dyDescent="0.3">
      <c r="A1285" s="33" t="s">
        <v>2612</v>
      </c>
      <c r="B1285" s="33">
        <v>43999317663</v>
      </c>
      <c r="C1285" s="33" t="s">
        <v>43</v>
      </c>
      <c r="D1285" s="33">
        <v>4430265054</v>
      </c>
      <c r="E1285" s="33">
        <v>629</v>
      </c>
      <c r="F1285" s="33">
        <v>409</v>
      </c>
      <c r="G1285" s="33" t="s">
        <v>38</v>
      </c>
      <c r="H1285" s="33" t="s">
        <v>2613</v>
      </c>
      <c r="I1285" s="33" t="s">
        <v>39</v>
      </c>
      <c r="J1285" s="33" t="s">
        <v>40</v>
      </c>
      <c r="K1285" s="33" t="s">
        <v>41</v>
      </c>
      <c r="L1285" s="33"/>
    </row>
    <row r="1286" spans="1:12" s="1" customFormat="1" x14ac:dyDescent="0.3">
      <c r="A1286" s="33" t="s">
        <v>2614</v>
      </c>
      <c r="B1286" s="33">
        <v>83988398480</v>
      </c>
      <c r="C1286" s="33" t="s">
        <v>42</v>
      </c>
      <c r="D1286" s="33">
        <v>4430265054</v>
      </c>
      <c r="E1286" s="33">
        <v>572</v>
      </c>
      <c r="F1286" s="33">
        <v>563</v>
      </c>
      <c r="G1286" s="33" t="s">
        <v>38</v>
      </c>
      <c r="H1286" s="33" t="s">
        <v>2615</v>
      </c>
      <c r="I1286" s="33" t="s">
        <v>39</v>
      </c>
      <c r="J1286" s="33" t="s">
        <v>40</v>
      </c>
      <c r="K1286" s="33" t="s">
        <v>41</v>
      </c>
      <c r="L1286" s="33">
        <v>5</v>
      </c>
    </row>
    <row r="1287" spans="1:12" s="1" customFormat="1" x14ac:dyDescent="0.3">
      <c r="A1287" s="33" t="s">
        <v>2616</v>
      </c>
      <c r="B1287" s="33">
        <v>4430146402</v>
      </c>
      <c r="C1287" s="33" t="s">
        <v>37</v>
      </c>
      <c r="D1287" s="33">
        <v>4430265054</v>
      </c>
      <c r="E1287" s="33">
        <v>116</v>
      </c>
      <c r="F1287" s="33">
        <v>106</v>
      </c>
      <c r="G1287" s="33" t="s">
        <v>38</v>
      </c>
      <c r="H1287" s="33" t="s">
        <v>2617</v>
      </c>
      <c r="I1287" s="33" t="s">
        <v>39</v>
      </c>
      <c r="J1287" s="33" t="s">
        <v>40</v>
      </c>
      <c r="K1287" s="33" t="s">
        <v>41</v>
      </c>
      <c r="L1287" s="33"/>
    </row>
    <row r="1288" spans="1:12" s="1" customFormat="1" x14ac:dyDescent="0.3">
      <c r="A1288" s="33" t="s">
        <v>2618</v>
      </c>
      <c r="B1288" s="33">
        <v>4430141092</v>
      </c>
      <c r="C1288" s="33" t="s">
        <v>43</v>
      </c>
      <c r="D1288" s="33">
        <v>4430265054</v>
      </c>
      <c r="E1288" s="33">
        <v>937</v>
      </c>
      <c r="F1288" s="33">
        <v>879</v>
      </c>
      <c r="G1288" s="33" t="s">
        <v>38</v>
      </c>
      <c r="H1288" s="33" t="s">
        <v>2619</v>
      </c>
      <c r="I1288" s="33" t="s">
        <v>39</v>
      </c>
      <c r="J1288" s="33" t="s">
        <v>40</v>
      </c>
      <c r="K1288" s="33" t="s">
        <v>41</v>
      </c>
      <c r="L1288" s="33"/>
    </row>
    <row r="1289" spans="1:12" s="1" customFormat="1" x14ac:dyDescent="0.3">
      <c r="A1289" s="33" t="s">
        <v>2620</v>
      </c>
      <c r="B1289" s="33" t="s">
        <v>48</v>
      </c>
      <c r="C1289" s="33">
        <v>44991225699</v>
      </c>
      <c r="D1289" s="33"/>
      <c r="E1289" s="33">
        <v>149</v>
      </c>
      <c r="F1289" s="33">
        <v>140</v>
      </c>
      <c r="G1289" s="33" t="s">
        <v>38</v>
      </c>
      <c r="H1289" s="33" t="s">
        <v>2621</v>
      </c>
      <c r="I1289" s="33" t="s">
        <v>46</v>
      </c>
      <c r="J1289" s="33" t="s">
        <v>40</v>
      </c>
      <c r="K1289" s="33"/>
      <c r="L1289" s="33"/>
    </row>
    <row r="1290" spans="1:12" s="1" customFormat="1" x14ac:dyDescent="0.3">
      <c r="A1290" s="33" t="s">
        <v>2622</v>
      </c>
      <c r="B1290" s="33" t="s">
        <v>48</v>
      </c>
      <c r="C1290" s="33">
        <v>4434411284</v>
      </c>
      <c r="D1290" s="33"/>
      <c r="E1290" s="33">
        <v>2</v>
      </c>
      <c r="F1290" s="33">
        <v>0</v>
      </c>
      <c r="G1290" s="33" t="s">
        <v>47</v>
      </c>
      <c r="H1290" s="33" t="s">
        <v>2623</v>
      </c>
      <c r="I1290" s="33" t="s">
        <v>46</v>
      </c>
      <c r="J1290" s="33" t="s">
        <v>40</v>
      </c>
      <c r="K1290" s="33"/>
      <c r="L1290" s="33"/>
    </row>
    <row r="1291" spans="1:12" s="1" customFormat="1" x14ac:dyDescent="0.3">
      <c r="A1291" s="33" t="s">
        <v>2624</v>
      </c>
      <c r="B1291" s="33" t="s">
        <v>48</v>
      </c>
      <c r="C1291" s="33">
        <v>4434411284</v>
      </c>
      <c r="D1291" s="33"/>
      <c r="E1291" s="33">
        <v>1</v>
      </c>
      <c r="F1291" s="33">
        <v>0</v>
      </c>
      <c r="G1291" s="33" t="s">
        <v>47</v>
      </c>
      <c r="H1291" s="33" t="s">
        <v>2625</v>
      </c>
      <c r="I1291" s="33" t="s">
        <v>46</v>
      </c>
      <c r="J1291" s="33" t="s">
        <v>40</v>
      </c>
      <c r="K1291" s="33"/>
      <c r="L1291" s="33"/>
    </row>
    <row r="1292" spans="1:12" s="1" customFormat="1" x14ac:dyDescent="0.3">
      <c r="A1292" s="33" t="s">
        <v>2626</v>
      </c>
      <c r="B1292" s="33" t="s">
        <v>48</v>
      </c>
      <c r="C1292" s="33">
        <v>4434411284</v>
      </c>
      <c r="D1292" s="33"/>
      <c r="E1292" s="33">
        <v>3</v>
      </c>
      <c r="F1292" s="33">
        <v>0</v>
      </c>
      <c r="G1292" s="33" t="s">
        <v>47</v>
      </c>
      <c r="H1292" s="33" t="s">
        <v>2627</v>
      </c>
      <c r="I1292" s="33" t="s">
        <v>46</v>
      </c>
      <c r="J1292" s="33" t="s">
        <v>40</v>
      </c>
      <c r="K1292" s="33"/>
      <c r="L1292" s="33"/>
    </row>
    <row r="1293" spans="1:12" s="1" customFormat="1" x14ac:dyDescent="0.3">
      <c r="A1293" s="33" t="s">
        <v>2628</v>
      </c>
      <c r="B1293" s="33">
        <v>44998761561</v>
      </c>
      <c r="C1293" s="33" t="s">
        <v>44</v>
      </c>
      <c r="D1293" s="33">
        <v>4430265054</v>
      </c>
      <c r="E1293" s="33">
        <v>203</v>
      </c>
      <c r="F1293" s="33">
        <v>132</v>
      </c>
      <c r="G1293" s="33" t="s">
        <v>38</v>
      </c>
      <c r="H1293" s="33" t="s">
        <v>2629</v>
      </c>
      <c r="I1293" s="33" t="s">
        <v>39</v>
      </c>
      <c r="J1293" s="33" t="s">
        <v>40</v>
      </c>
      <c r="K1293" s="33" t="s">
        <v>41</v>
      </c>
      <c r="L1293" s="33"/>
    </row>
    <row r="1294" spans="1:12" s="1" customFormat="1" x14ac:dyDescent="0.3">
      <c r="A1294" s="33" t="s">
        <v>2630</v>
      </c>
      <c r="B1294" s="33" t="s">
        <v>48</v>
      </c>
      <c r="C1294" s="33">
        <v>4434411284</v>
      </c>
      <c r="D1294" s="33"/>
      <c r="E1294" s="33">
        <v>2</v>
      </c>
      <c r="F1294" s="33">
        <v>0</v>
      </c>
      <c r="G1294" s="33" t="s">
        <v>47</v>
      </c>
      <c r="H1294" s="33" t="s">
        <v>2631</v>
      </c>
      <c r="I1294" s="33" t="s">
        <v>46</v>
      </c>
      <c r="J1294" s="33" t="s">
        <v>40</v>
      </c>
      <c r="K1294" s="33"/>
      <c r="L1294" s="33"/>
    </row>
    <row r="1295" spans="1:12" s="1" customFormat="1" x14ac:dyDescent="0.3">
      <c r="A1295" s="33" t="s">
        <v>2632</v>
      </c>
      <c r="B1295" s="33" t="s">
        <v>48</v>
      </c>
      <c r="C1295" s="33">
        <v>4434411284</v>
      </c>
      <c r="D1295" s="33"/>
      <c r="E1295" s="33">
        <v>3</v>
      </c>
      <c r="F1295" s="33">
        <v>0</v>
      </c>
      <c r="G1295" s="33" t="s">
        <v>47</v>
      </c>
      <c r="H1295" s="33" t="s">
        <v>2633</v>
      </c>
      <c r="I1295" s="33" t="s">
        <v>46</v>
      </c>
      <c r="J1295" s="33" t="s">
        <v>40</v>
      </c>
      <c r="K1295" s="33"/>
      <c r="L1295" s="33"/>
    </row>
    <row r="1296" spans="1:12" s="1" customFormat="1" x14ac:dyDescent="0.3">
      <c r="A1296" s="33" t="s">
        <v>2634</v>
      </c>
      <c r="B1296" s="33">
        <v>4432524652</v>
      </c>
      <c r="C1296" s="33" t="s">
        <v>42</v>
      </c>
      <c r="D1296" s="33">
        <v>4430265054</v>
      </c>
      <c r="E1296" s="33">
        <v>505</v>
      </c>
      <c r="F1296" s="33">
        <v>482</v>
      </c>
      <c r="G1296" s="33" t="s">
        <v>38</v>
      </c>
      <c r="H1296" s="33" t="s">
        <v>2635</v>
      </c>
      <c r="I1296" s="33" t="s">
        <v>39</v>
      </c>
      <c r="J1296" s="33" t="s">
        <v>40</v>
      </c>
      <c r="K1296" s="33" t="s">
        <v>41</v>
      </c>
      <c r="L1296" s="33"/>
    </row>
    <row r="1297" spans="1:12" s="1" customFormat="1" x14ac:dyDescent="0.3">
      <c r="A1297" s="33" t="s">
        <v>2636</v>
      </c>
      <c r="B1297" s="33">
        <v>4436761185</v>
      </c>
      <c r="C1297" s="33" t="s">
        <v>43</v>
      </c>
      <c r="D1297" s="33">
        <v>4430265054</v>
      </c>
      <c r="E1297" s="33">
        <v>513</v>
      </c>
      <c r="F1297" s="33">
        <v>478</v>
      </c>
      <c r="G1297" s="33" t="s">
        <v>38</v>
      </c>
      <c r="H1297" s="33" t="s">
        <v>2637</v>
      </c>
      <c r="I1297" s="33" t="s">
        <v>39</v>
      </c>
      <c r="J1297" s="33" t="s">
        <v>40</v>
      </c>
      <c r="K1297" s="33" t="s">
        <v>41</v>
      </c>
      <c r="L1297" s="33"/>
    </row>
    <row r="1298" spans="1:12" s="1" customFormat="1" x14ac:dyDescent="0.3">
      <c r="A1298" s="33" t="s">
        <v>2638</v>
      </c>
      <c r="B1298" s="33" t="s">
        <v>42</v>
      </c>
      <c r="C1298" s="33">
        <v>4132440491</v>
      </c>
      <c r="D1298" s="33"/>
      <c r="E1298" s="33">
        <v>0</v>
      </c>
      <c r="F1298" s="33">
        <v>0</v>
      </c>
      <c r="G1298" s="33" t="s">
        <v>47</v>
      </c>
      <c r="H1298" s="33" t="s">
        <v>2639</v>
      </c>
      <c r="I1298" s="33" t="s">
        <v>46</v>
      </c>
      <c r="J1298" s="33" t="s">
        <v>40</v>
      </c>
      <c r="K1298" s="33"/>
      <c r="L1298" s="33"/>
    </row>
    <row r="1299" spans="1:12" s="1" customFormat="1" x14ac:dyDescent="0.3">
      <c r="A1299" s="33" t="s">
        <v>2640</v>
      </c>
      <c r="B1299" s="33" t="s">
        <v>42</v>
      </c>
      <c r="C1299" s="33">
        <v>4130263118</v>
      </c>
      <c r="D1299" s="33"/>
      <c r="E1299" s="33">
        <v>138</v>
      </c>
      <c r="F1299" s="33">
        <v>131</v>
      </c>
      <c r="G1299" s="33" t="s">
        <v>38</v>
      </c>
      <c r="H1299" s="33" t="s">
        <v>2641</v>
      </c>
      <c r="I1299" s="33" t="s">
        <v>46</v>
      </c>
      <c r="J1299" s="33" t="s">
        <v>40</v>
      </c>
      <c r="K1299" s="33"/>
      <c r="L1299" s="33"/>
    </row>
    <row r="1300" spans="1:12" s="1" customFormat="1" x14ac:dyDescent="0.3">
      <c r="A1300" s="33" t="s">
        <v>2642</v>
      </c>
      <c r="B1300" s="33" t="s">
        <v>42</v>
      </c>
      <c r="C1300" s="33">
        <v>4132440491</v>
      </c>
      <c r="D1300" s="33"/>
      <c r="E1300" s="33">
        <v>0</v>
      </c>
      <c r="F1300" s="33">
        <v>0</v>
      </c>
      <c r="G1300" s="33" t="s">
        <v>47</v>
      </c>
      <c r="H1300" s="33" t="s">
        <v>2643</v>
      </c>
      <c r="I1300" s="33" t="s">
        <v>46</v>
      </c>
      <c r="J1300" s="33" t="s">
        <v>40</v>
      </c>
      <c r="K1300" s="33"/>
      <c r="L1300" s="33"/>
    </row>
    <row r="1301" spans="1:12" s="1" customFormat="1" x14ac:dyDescent="0.3">
      <c r="A1301" s="33" t="s">
        <v>2644</v>
      </c>
      <c r="B1301" s="33" t="s">
        <v>42</v>
      </c>
      <c r="C1301" s="33">
        <v>4132440491</v>
      </c>
      <c r="D1301" s="33"/>
      <c r="E1301" s="33">
        <v>2</v>
      </c>
      <c r="F1301" s="33">
        <v>0</v>
      </c>
      <c r="G1301" s="33" t="s">
        <v>47</v>
      </c>
      <c r="H1301" s="33" t="s">
        <v>2645</v>
      </c>
      <c r="I1301" s="33" t="s">
        <v>46</v>
      </c>
      <c r="J1301" s="33" t="s">
        <v>40</v>
      </c>
      <c r="K1301" s="33"/>
      <c r="L1301" s="33"/>
    </row>
    <row r="1302" spans="1:12" s="1" customFormat="1" x14ac:dyDescent="0.3">
      <c r="A1302" s="33" t="s">
        <v>2646</v>
      </c>
      <c r="B1302" s="33" t="s">
        <v>42</v>
      </c>
      <c r="C1302" s="33">
        <v>4132440491</v>
      </c>
      <c r="D1302" s="33"/>
      <c r="E1302" s="33">
        <v>1</v>
      </c>
      <c r="F1302" s="33">
        <v>0</v>
      </c>
      <c r="G1302" s="33" t="s">
        <v>47</v>
      </c>
      <c r="H1302" s="33" t="s">
        <v>2647</v>
      </c>
      <c r="I1302" s="33" t="s">
        <v>46</v>
      </c>
      <c r="J1302" s="33" t="s">
        <v>40</v>
      </c>
      <c r="K1302" s="33"/>
      <c r="L1302" s="33"/>
    </row>
    <row r="1303" spans="1:12" s="1" customFormat="1" x14ac:dyDescent="0.3">
      <c r="A1303" s="33" t="s">
        <v>2648</v>
      </c>
      <c r="B1303" s="33" t="s">
        <v>42</v>
      </c>
      <c r="C1303" s="33">
        <v>4132440491</v>
      </c>
      <c r="D1303" s="33"/>
      <c r="E1303" s="33">
        <v>1</v>
      </c>
      <c r="F1303" s="33">
        <v>0</v>
      </c>
      <c r="G1303" s="33" t="s">
        <v>47</v>
      </c>
      <c r="H1303" s="33" t="s">
        <v>2649</v>
      </c>
      <c r="I1303" s="33" t="s">
        <v>46</v>
      </c>
      <c r="J1303" s="33" t="s">
        <v>40</v>
      </c>
      <c r="K1303" s="33"/>
      <c r="L1303" s="33"/>
    </row>
    <row r="1304" spans="1:12" s="1" customFormat="1" x14ac:dyDescent="0.3">
      <c r="A1304" s="33" t="s">
        <v>2650</v>
      </c>
      <c r="B1304" s="33">
        <v>35998295948</v>
      </c>
      <c r="C1304" s="33" t="s">
        <v>45</v>
      </c>
      <c r="D1304" s="33">
        <v>4430265054</v>
      </c>
      <c r="E1304" s="33">
        <v>461</v>
      </c>
      <c r="F1304" s="33">
        <v>335</v>
      </c>
      <c r="G1304" s="33" t="s">
        <v>38</v>
      </c>
      <c r="H1304" s="33" t="s">
        <v>2651</v>
      </c>
      <c r="I1304" s="33" t="s">
        <v>39</v>
      </c>
      <c r="J1304" s="33" t="s">
        <v>40</v>
      </c>
      <c r="K1304" s="33" t="s">
        <v>41</v>
      </c>
      <c r="L1304" s="33"/>
    </row>
    <row r="1305" spans="1:12" s="1" customFormat="1" x14ac:dyDescent="0.3">
      <c r="A1305" s="33" t="s">
        <v>2652</v>
      </c>
      <c r="B1305" s="33">
        <v>77999250878</v>
      </c>
      <c r="C1305" s="33" t="s">
        <v>45</v>
      </c>
      <c r="D1305" s="33">
        <v>4430265054</v>
      </c>
      <c r="E1305" s="33">
        <v>191</v>
      </c>
      <c r="F1305" s="33">
        <v>127</v>
      </c>
      <c r="G1305" s="33" t="s">
        <v>38</v>
      </c>
      <c r="H1305" s="33" t="s">
        <v>2653</v>
      </c>
      <c r="I1305" s="33" t="s">
        <v>39</v>
      </c>
      <c r="J1305" s="33" t="s">
        <v>40</v>
      </c>
      <c r="K1305" s="33" t="s">
        <v>41</v>
      </c>
      <c r="L1305" s="33">
        <v>5</v>
      </c>
    </row>
    <row r="1306" spans="1:12" s="1" customFormat="1" x14ac:dyDescent="0.3">
      <c r="A1306" s="33" t="s">
        <v>2654</v>
      </c>
      <c r="B1306" s="33" t="s">
        <v>43</v>
      </c>
      <c r="C1306" s="33">
        <v>81986261961</v>
      </c>
      <c r="D1306" s="33"/>
      <c r="E1306" s="33">
        <v>85</v>
      </c>
      <c r="F1306" s="33">
        <v>77</v>
      </c>
      <c r="G1306" s="33" t="s">
        <v>38</v>
      </c>
      <c r="H1306" s="33" t="s">
        <v>2655</v>
      </c>
      <c r="I1306" s="33" t="s">
        <v>46</v>
      </c>
      <c r="J1306" s="33" t="s">
        <v>40</v>
      </c>
      <c r="K1306" s="33"/>
      <c r="L1306" s="33"/>
    </row>
    <row r="1307" spans="1:12" s="1" customFormat="1" x14ac:dyDescent="0.3">
      <c r="A1307" s="33" t="s">
        <v>2656</v>
      </c>
      <c r="B1307" s="33">
        <v>4330333542</v>
      </c>
      <c r="C1307" s="33" t="s">
        <v>44</v>
      </c>
      <c r="D1307" s="33">
        <v>4430265054</v>
      </c>
      <c r="E1307" s="33">
        <v>282</v>
      </c>
      <c r="F1307" s="33">
        <v>183</v>
      </c>
      <c r="G1307" s="33" t="s">
        <v>38</v>
      </c>
      <c r="H1307" s="33" t="s">
        <v>2657</v>
      </c>
      <c r="I1307" s="33" t="s">
        <v>39</v>
      </c>
      <c r="J1307" s="33" t="s">
        <v>40</v>
      </c>
      <c r="K1307" s="33" t="s">
        <v>41</v>
      </c>
      <c r="L1307" s="33"/>
    </row>
    <row r="1308" spans="1:12" s="1" customFormat="1" x14ac:dyDescent="0.3">
      <c r="A1308" s="33" t="s">
        <v>2658</v>
      </c>
      <c r="B1308" s="33">
        <v>4432522019</v>
      </c>
      <c r="C1308" s="33" t="s">
        <v>45</v>
      </c>
      <c r="D1308" s="33">
        <v>4430265054</v>
      </c>
      <c r="E1308" s="33">
        <v>152</v>
      </c>
      <c r="F1308" s="33">
        <v>133</v>
      </c>
      <c r="G1308" s="33" t="s">
        <v>38</v>
      </c>
      <c r="H1308" s="33" t="s">
        <v>2659</v>
      </c>
      <c r="I1308" s="33" t="s">
        <v>39</v>
      </c>
      <c r="J1308" s="33" t="s">
        <v>40</v>
      </c>
      <c r="K1308" s="33" t="s">
        <v>41</v>
      </c>
      <c r="L1308" s="33"/>
    </row>
    <row r="1309" spans="1:12" s="1" customFormat="1" x14ac:dyDescent="0.3">
      <c r="A1309" s="33" t="s">
        <v>2660</v>
      </c>
      <c r="B1309" s="33">
        <v>4430146402</v>
      </c>
      <c r="C1309" s="33" t="s">
        <v>37</v>
      </c>
      <c r="D1309" s="33">
        <v>4430265054</v>
      </c>
      <c r="E1309" s="33">
        <v>1769</v>
      </c>
      <c r="F1309" s="33">
        <v>1711</v>
      </c>
      <c r="G1309" s="33" t="s">
        <v>38</v>
      </c>
      <c r="H1309" s="33" t="s">
        <v>2661</v>
      </c>
      <c r="I1309" s="33" t="s">
        <v>39</v>
      </c>
      <c r="J1309" s="33" t="s">
        <v>40</v>
      </c>
      <c r="K1309" s="33" t="s">
        <v>41</v>
      </c>
      <c r="L1309" s="33"/>
    </row>
    <row r="1310" spans="1:12" s="1" customFormat="1" x14ac:dyDescent="0.3">
      <c r="A1310" s="33" t="s">
        <v>2662</v>
      </c>
      <c r="B1310" s="33">
        <v>44988255390</v>
      </c>
      <c r="C1310" s="33" t="s">
        <v>43</v>
      </c>
      <c r="D1310" s="33">
        <v>4430265054</v>
      </c>
      <c r="E1310" s="33">
        <v>846</v>
      </c>
      <c r="F1310" s="33">
        <v>793</v>
      </c>
      <c r="G1310" s="33" t="s">
        <v>38</v>
      </c>
      <c r="H1310" s="33" t="s">
        <v>2663</v>
      </c>
      <c r="I1310" s="33" t="s">
        <v>39</v>
      </c>
      <c r="J1310" s="33" t="s">
        <v>40</v>
      </c>
      <c r="K1310" s="33" t="s">
        <v>41</v>
      </c>
      <c r="L1310" s="33">
        <v>5</v>
      </c>
    </row>
    <row r="1311" spans="1:12" s="1" customFormat="1" x14ac:dyDescent="0.3">
      <c r="A1311" s="33" t="s">
        <v>2664</v>
      </c>
      <c r="B1311" s="33">
        <v>4430289386</v>
      </c>
      <c r="C1311" s="33" t="s">
        <v>37</v>
      </c>
      <c r="D1311" s="33">
        <v>4430265054</v>
      </c>
      <c r="E1311" s="33">
        <v>190</v>
      </c>
      <c r="F1311" s="33">
        <v>170</v>
      </c>
      <c r="G1311" s="33" t="s">
        <v>38</v>
      </c>
      <c r="H1311" s="33" t="s">
        <v>2665</v>
      </c>
      <c r="I1311" s="33" t="s">
        <v>39</v>
      </c>
      <c r="J1311" s="33" t="s">
        <v>40</v>
      </c>
      <c r="K1311" s="33" t="s">
        <v>41</v>
      </c>
      <c r="L1311" s="33">
        <v>5</v>
      </c>
    </row>
    <row r="1312" spans="1:12" s="1" customFormat="1" x14ac:dyDescent="0.3">
      <c r="A1312" s="33" t="s">
        <v>2666</v>
      </c>
      <c r="B1312" s="33">
        <v>4532541802</v>
      </c>
      <c r="C1312" s="33" t="s">
        <v>45</v>
      </c>
      <c r="D1312" s="33">
        <v>4430265054</v>
      </c>
      <c r="E1312" s="33">
        <v>1044</v>
      </c>
      <c r="F1312" s="33">
        <v>944</v>
      </c>
      <c r="G1312" s="33" t="s">
        <v>38</v>
      </c>
      <c r="H1312" s="33" t="s">
        <v>2667</v>
      </c>
      <c r="I1312" s="33" t="s">
        <v>39</v>
      </c>
      <c r="J1312" s="33" t="s">
        <v>40</v>
      </c>
      <c r="K1312" s="33" t="s">
        <v>41</v>
      </c>
      <c r="L1312" s="33"/>
    </row>
    <row r="1313" spans="1:12" s="1" customFormat="1" x14ac:dyDescent="0.3">
      <c r="A1313" s="33" t="s">
        <v>2668</v>
      </c>
      <c r="B1313" s="33">
        <v>44991388221</v>
      </c>
      <c r="C1313" s="33" t="s">
        <v>42</v>
      </c>
      <c r="D1313" s="33">
        <v>4430265054</v>
      </c>
      <c r="E1313" s="33">
        <v>1482</v>
      </c>
      <c r="F1313" s="33">
        <v>1457</v>
      </c>
      <c r="G1313" s="33" t="s">
        <v>38</v>
      </c>
      <c r="H1313" s="33" t="s">
        <v>2669</v>
      </c>
      <c r="I1313" s="33" t="s">
        <v>39</v>
      </c>
      <c r="J1313" s="33" t="s">
        <v>40</v>
      </c>
      <c r="K1313" s="33" t="s">
        <v>41</v>
      </c>
      <c r="L1313" s="33">
        <v>5</v>
      </c>
    </row>
    <row r="1314" spans="1:12" s="1" customFormat="1" x14ac:dyDescent="0.3">
      <c r="A1314" s="33" t="s">
        <v>2670</v>
      </c>
      <c r="B1314" s="33">
        <v>4430145899</v>
      </c>
      <c r="C1314" s="33" t="s">
        <v>43</v>
      </c>
      <c r="D1314" s="33">
        <v>4430265054</v>
      </c>
      <c r="E1314" s="33">
        <v>130</v>
      </c>
      <c r="F1314" s="33">
        <v>90</v>
      </c>
      <c r="G1314" s="33" t="s">
        <v>38</v>
      </c>
      <c r="H1314" s="33" t="s">
        <v>2671</v>
      </c>
      <c r="I1314" s="33" t="s">
        <v>39</v>
      </c>
      <c r="J1314" s="33" t="s">
        <v>40</v>
      </c>
      <c r="K1314" s="33" t="s">
        <v>41</v>
      </c>
      <c r="L1314" s="33"/>
    </row>
    <row r="1315" spans="1:12" s="1" customFormat="1" x14ac:dyDescent="0.3">
      <c r="A1315" s="33" t="s">
        <v>2672</v>
      </c>
      <c r="B1315" s="33">
        <v>1140330393</v>
      </c>
      <c r="C1315" s="33" t="s">
        <v>42</v>
      </c>
      <c r="D1315" s="33">
        <v>4430265054</v>
      </c>
      <c r="E1315" s="33">
        <v>309</v>
      </c>
      <c r="F1315" s="33">
        <v>284</v>
      </c>
      <c r="G1315" s="33" t="s">
        <v>38</v>
      </c>
      <c r="H1315" s="33" t="s">
        <v>2673</v>
      </c>
      <c r="I1315" s="33" t="s">
        <v>39</v>
      </c>
      <c r="J1315" s="33" t="s">
        <v>40</v>
      </c>
      <c r="K1315" s="33" t="s">
        <v>41</v>
      </c>
      <c r="L1315" s="33"/>
    </row>
    <row r="1316" spans="1:12" s="1" customFormat="1" x14ac:dyDescent="0.3">
      <c r="A1316" s="33" t="s">
        <v>2674</v>
      </c>
      <c r="B1316" s="33">
        <v>44999743444</v>
      </c>
      <c r="C1316" s="33" t="s">
        <v>44</v>
      </c>
      <c r="D1316" s="33">
        <v>4430265054</v>
      </c>
      <c r="E1316" s="33">
        <v>215</v>
      </c>
      <c r="F1316" s="33">
        <v>102</v>
      </c>
      <c r="G1316" s="33" t="s">
        <v>38</v>
      </c>
      <c r="H1316" s="33" t="s">
        <v>2675</v>
      </c>
      <c r="I1316" s="33" t="s">
        <v>39</v>
      </c>
      <c r="J1316" s="33" t="s">
        <v>40</v>
      </c>
      <c r="K1316" s="33" t="s">
        <v>41</v>
      </c>
      <c r="L1316" s="33"/>
    </row>
    <row r="1317" spans="1:12" s="1" customFormat="1" x14ac:dyDescent="0.3">
      <c r="A1317" s="33" t="s">
        <v>2676</v>
      </c>
      <c r="B1317" s="33">
        <v>4430289386</v>
      </c>
      <c r="C1317" s="33" t="s">
        <v>43</v>
      </c>
      <c r="D1317" s="33">
        <v>4430265054</v>
      </c>
      <c r="E1317" s="33">
        <v>136</v>
      </c>
      <c r="F1317" s="33">
        <v>119</v>
      </c>
      <c r="G1317" s="33" t="s">
        <v>38</v>
      </c>
      <c r="H1317" s="33" t="s">
        <v>2677</v>
      </c>
      <c r="I1317" s="33" t="s">
        <v>39</v>
      </c>
      <c r="J1317" s="33" t="s">
        <v>40</v>
      </c>
      <c r="K1317" s="33" t="s">
        <v>41</v>
      </c>
      <c r="L1317" s="33"/>
    </row>
    <row r="1318" spans="1:12" s="1" customFormat="1" x14ac:dyDescent="0.3">
      <c r="A1318" s="33" t="s">
        <v>2678</v>
      </c>
      <c r="B1318" s="33">
        <v>43984996095</v>
      </c>
      <c r="C1318" s="33" t="s">
        <v>45</v>
      </c>
      <c r="D1318" s="33">
        <v>4430265054</v>
      </c>
      <c r="E1318" s="33">
        <v>1961</v>
      </c>
      <c r="F1318" s="33">
        <v>1932</v>
      </c>
      <c r="G1318" s="33" t="s">
        <v>38</v>
      </c>
      <c r="H1318" s="33" t="s">
        <v>2679</v>
      </c>
      <c r="I1318" s="33" t="s">
        <v>39</v>
      </c>
      <c r="J1318" s="33" t="s">
        <v>40</v>
      </c>
      <c r="K1318" s="33" t="s">
        <v>41</v>
      </c>
      <c r="L1318" s="33">
        <v>5</v>
      </c>
    </row>
    <row r="1319" spans="1:12" s="1" customFormat="1" x14ac:dyDescent="0.3">
      <c r="A1319" s="33" t="s">
        <v>2680</v>
      </c>
      <c r="B1319" s="33">
        <v>44999680829</v>
      </c>
      <c r="C1319" s="33" t="s">
        <v>37</v>
      </c>
      <c r="D1319" s="33">
        <v>4431268225</v>
      </c>
      <c r="E1319" s="33">
        <v>337</v>
      </c>
      <c r="F1319" s="33">
        <v>280</v>
      </c>
      <c r="G1319" s="33" t="s">
        <v>38</v>
      </c>
      <c r="H1319" s="33" t="s">
        <v>2681</v>
      </c>
      <c r="I1319" s="33" t="s">
        <v>39</v>
      </c>
      <c r="J1319" s="33" t="s">
        <v>40</v>
      </c>
      <c r="K1319" s="33" t="s">
        <v>41</v>
      </c>
      <c r="L1319" s="33">
        <v>5</v>
      </c>
    </row>
    <row r="1320" spans="1:12" s="1" customFormat="1" x14ac:dyDescent="0.3">
      <c r="A1320" s="33" t="s">
        <v>2682</v>
      </c>
      <c r="B1320" s="33" t="s">
        <v>43</v>
      </c>
      <c r="C1320" s="33">
        <v>81986261961</v>
      </c>
      <c r="D1320" s="33"/>
      <c r="E1320" s="33">
        <v>27</v>
      </c>
      <c r="F1320" s="33">
        <v>0</v>
      </c>
      <c r="G1320" s="33" t="s">
        <v>47</v>
      </c>
      <c r="H1320" s="33" t="s">
        <v>2683</v>
      </c>
      <c r="I1320" s="33" t="s">
        <v>46</v>
      </c>
      <c r="J1320" s="33" t="s">
        <v>40</v>
      </c>
      <c r="K1320" s="33"/>
      <c r="L1320" s="33"/>
    </row>
    <row r="1321" spans="1:12" s="1" customFormat="1" x14ac:dyDescent="0.3">
      <c r="A1321" s="33" t="s">
        <v>2684</v>
      </c>
      <c r="B1321" s="33">
        <v>4132440491</v>
      </c>
      <c r="C1321" s="33" t="s">
        <v>42</v>
      </c>
      <c r="D1321" s="33">
        <v>4430265054</v>
      </c>
      <c r="E1321" s="33">
        <v>763</v>
      </c>
      <c r="F1321" s="33">
        <v>744</v>
      </c>
      <c r="G1321" s="33" t="s">
        <v>38</v>
      </c>
      <c r="H1321" s="33" t="s">
        <v>2685</v>
      </c>
      <c r="I1321" s="33" t="s">
        <v>39</v>
      </c>
      <c r="J1321" s="33" t="s">
        <v>40</v>
      </c>
      <c r="K1321" s="33" t="s">
        <v>41</v>
      </c>
      <c r="L1321" s="33"/>
    </row>
    <row r="1322" spans="1:12" s="1" customFormat="1" x14ac:dyDescent="0.3">
      <c r="A1322" s="33" t="s">
        <v>2686</v>
      </c>
      <c r="B1322" s="33" t="s">
        <v>43</v>
      </c>
      <c r="C1322" s="33">
        <v>62994086124</v>
      </c>
      <c r="D1322" s="33"/>
      <c r="E1322" s="33">
        <v>6</v>
      </c>
      <c r="F1322" s="33">
        <v>0</v>
      </c>
      <c r="G1322" s="33" t="s">
        <v>47</v>
      </c>
      <c r="H1322" s="33" t="s">
        <v>2687</v>
      </c>
      <c r="I1322" s="33" t="s">
        <v>46</v>
      </c>
      <c r="J1322" s="33" t="s">
        <v>40</v>
      </c>
      <c r="K1322" s="33"/>
      <c r="L1322" s="33"/>
    </row>
    <row r="1323" spans="1:12" s="1" customFormat="1" x14ac:dyDescent="0.3">
      <c r="A1323" s="33" t="s">
        <v>2688</v>
      </c>
      <c r="B1323" s="33">
        <v>44988255390</v>
      </c>
      <c r="C1323" s="33" t="s">
        <v>45</v>
      </c>
      <c r="D1323" s="33">
        <v>4430265054</v>
      </c>
      <c r="E1323" s="33">
        <v>855</v>
      </c>
      <c r="F1323" s="33">
        <v>799</v>
      </c>
      <c r="G1323" s="33" t="s">
        <v>38</v>
      </c>
      <c r="H1323" s="33" t="s">
        <v>2689</v>
      </c>
      <c r="I1323" s="33" t="s">
        <v>39</v>
      </c>
      <c r="J1323" s="33" t="s">
        <v>40</v>
      </c>
      <c r="K1323" s="33" t="s">
        <v>41</v>
      </c>
      <c r="L1323" s="33"/>
    </row>
    <row r="1324" spans="1:12" s="1" customFormat="1" x14ac:dyDescent="0.3">
      <c r="A1324" s="33" t="s">
        <v>2690</v>
      </c>
      <c r="B1324" s="33">
        <v>83988398480</v>
      </c>
      <c r="C1324" s="33" t="s">
        <v>42</v>
      </c>
      <c r="D1324" s="33">
        <v>4430265054</v>
      </c>
      <c r="E1324" s="33">
        <v>887</v>
      </c>
      <c r="F1324" s="33">
        <v>838</v>
      </c>
      <c r="G1324" s="33" t="s">
        <v>38</v>
      </c>
      <c r="H1324" s="33" t="s">
        <v>2691</v>
      </c>
      <c r="I1324" s="33" t="s">
        <v>39</v>
      </c>
      <c r="J1324" s="33" t="s">
        <v>40</v>
      </c>
      <c r="K1324" s="33" t="s">
        <v>41</v>
      </c>
      <c r="L1324" s="33"/>
    </row>
    <row r="1325" spans="1:12" s="1" customFormat="1" x14ac:dyDescent="0.3">
      <c r="A1325" s="33" t="s">
        <v>2692</v>
      </c>
      <c r="B1325" s="33">
        <v>44997749003</v>
      </c>
      <c r="C1325" s="33" t="s">
        <v>37</v>
      </c>
      <c r="D1325" s="33">
        <v>4430265054</v>
      </c>
      <c r="E1325" s="33">
        <v>426</v>
      </c>
      <c r="F1325" s="33">
        <v>367</v>
      </c>
      <c r="G1325" s="33" t="s">
        <v>38</v>
      </c>
      <c r="H1325" s="33" t="s">
        <v>2693</v>
      </c>
      <c r="I1325" s="33" t="s">
        <v>39</v>
      </c>
      <c r="J1325" s="33" t="s">
        <v>40</v>
      </c>
      <c r="K1325" s="33" t="s">
        <v>41</v>
      </c>
      <c r="L1325" s="33">
        <v>5</v>
      </c>
    </row>
    <row r="1326" spans="1:12" s="1" customFormat="1" x14ac:dyDescent="0.3">
      <c r="A1326" s="33" t="s">
        <v>2694</v>
      </c>
      <c r="B1326" s="33">
        <v>4430289492</v>
      </c>
      <c r="C1326" s="33" t="s">
        <v>45</v>
      </c>
      <c r="D1326" s="33">
        <v>4430265054</v>
      </c>
      <c r="E1326" s="33">
        <v>301</v>
      </c>
      <c r="F1326" s="33">
        <v>261</v>
      </c>
      <c r="G1326" s="33" t="s">
        <v>38</v>
      </c>
      <c r="H1326" s="33" t="s">
        <v>2695</v>
      </c>
      <c r="I1326" s="33" t="s">
        <v>39</v>
      </c>
      <c r="J1326" s="33" t="s">
        <v>40</v>
      </c>
      <c r="K1326" s="33" t="s">
        <v>41</v>
      </c>
      <c r="L1326" s="33"/>
    </row>
    <row r="1327" spans="1:12" s="1" customFormat="1" x14ac:dyDescent="0.3">
      <c r="A1327" s="33" t="s">
        <v>2696</v>
      </c>
      <c r="B1327" s="33" t="s">
        <v>37</v>
      </c>
      <c r="C1327" s="33">
        <v>44997749003</v>
      </c>
      <c r="D1327" s="33"/>
      <c r="E1327" s="33">
        <v>1</v>
      </c>
      <c r="F1327" s="33">
        <v>0</v>
      </c>
      <c r="G1327" s="33" t="s">
        <v>47</v>
      </c>
      <c r="H1327" s="33" t="s">
        <v>2697</v>
      </c>
      <c r="I1327" s="33" t="s">
        <v>46</v>
      </c>
      <c r="J1327" s="33" t="s">
        <v>40</v>
      </c>
      <c r="K1327" s="33"/>
      <c r="L1327" s="33"/>
    </row>
    <row r="1328" spans="1:12" s="1" customFormat="1" x14ac:dyDescent="0.3">
      <c r="A1328" s="33" t="s">
        <v>2698</v>
      </c>
      <c r="B1328" s="33" t="s">
        <v>37</v>
      </c>
      <c r="C1328" s="33">
        <v>44997749003</v>
      </c>
      <c r="D1328" s="33"/>
      <c r="E1328" s="33">
        <v>1</v>
      </c>
      <c r="F1328" s="33">
        <v>0</v>
      </c>
      <c r="G1328" s="33" t="s">
        <v>47</v>
      </c>
      <c r="H1328" s="33" t="s">
        <v>2699</v>
      </c>
      <c r="I1328" s="33" t="s">
        <v>46</v>
      </c>
      <c r="J1328" s="33" t="s">
        <v>40</v>
      </c>
      <c r="K1328" s="33"/>
      <c r="L1328" s="33"/>
    </row>
    <row r="1329" spans="1:13" x14ac:dyDescent="0.3">
      <c r="A1329" s="33" t="s">
        <v>2700</v>
      </c>
      <c r="B1329" s="33" t="s">
        <v>37</v>
      </c>
      <c r="C1329" s="33">
        <v>44997749003</v>
      </c>
      <c r="E1329" s="33">
        <v>1</v>
      </c>
      <c r="F1329" s="33">
        <v>0</v>
      </c>
      <c r="G1329" s="33" t="s">
        <v>47</v>
      </c>
      <c r="H1329" s="33" t="s">
        <v>2701</v>
      </c>
      <c r="I1329" s="33" t="s">
        <v>46</v>
      </c>
      <c r="J1329" s="33" t="s">
        <v>40</v>
      </c>
      <c r="M1329" s="1"/>
    </row>
    <row r="1330" spans="1:13" x14ac:dyDescent="0.3">
      <c r="A1330" s="33" t="s">
        <v>2702</v>
      </c>
      <c r="B1330" s="33">
        <v>62994086124</v>
      </c>
      <c r="C1330" s="33" t="s">
        <v>43</v>
      </c>
      <c r="D1330" s="33">
        <v>4430265054</v>
      </c>
      <c r="E1330" s="33">
        <v>677</v>
      </c>
      <c r="F1330" s="33">
        <v>651</v>
      </c>
      <c r="G1330" s="33" t="s">
        <v>38</v>
      </c>
      <c r="H1330" s="33" t="s">
        <v>2703</v>
      </c>
      <c r="I1330" s="33" t="s">
        <v>39</v>
      </c>
      <c r="J1330" s="33" t="s">
        <v>40</v>
      </c>
      <c r="K1330" s="33" t="s">
        <v>41</v>
      </c>
      <c r="M1330" s="1"/>
    </row>
    <row r="1331" spans="1:13" x14ac:dyDescent="0.3">
      <c r="A1331" s="33" t="s">
        <v>2704</v>
      </c>
      <c r="B1331" s="33">
        <v>83988398480</v>
      </c>
      <c r="C1331" s="33" t="s">
        <v>44</v>
      </c>
      <c r="D1331" s="33">
        <v>4430265054</v>
      </c>
      <c r="E1331" s="33">
        <v>650</v>
      </c>
      <c r="F1331" s="33">
        <v>613</v>
      </c>
      <c r="G1331" s="33" t="s">
        <v>38</v>
      </c>
      <c r="H1331" s="33" t="s">
        <v>2705</v>
      </c>
      <c r="I1331" s="33" t="s">
        <v>39</v>
      </c>
      <c r="J1331" s="33" t="s">
        <v>40</v>
      </c>
      <c r="K1331" s="33" t="s">
        <v>41</v>
      </c>
      <c r="M1331" s="1"/>
    </row>
    <row r="1332" spans="1:13" x14ac:dyDescent="0.3">
      <c r="A1332" s="33" t="s">
        <v>2704</v>
      </c>
      <c r="B1332" s="33">
        <v>44997749003</v>
      </c>
      <c r="C1332" s="33" t="s">
        <v>37</v>
      </c>
      <c r="D1332" s="33">
        <v>4430265054</v>
      </c>
      <c r="E1332" s="33">
        <v>159</v>
      </c>
      <c r="F1332" s="33">
        <v>146</v>
      </c>
      <c r="G1332" s="33" t="s">
        <v>38</v>
      </c>
      <c r="H1332" s="33" t="s">
        <v>2706</v>
      </c>
      <c r="I1332" s="33" t="s">
        <v>39</v>
      </c>
      <c r="J1332" s="33" t="s">
        <v>40</v>
      </c>
      <c r="K1332" s="33" t="s">
        <v>41</v>
      </c>
      <c r="M1332" s="26"/>
    </row>
    <row r="1333" spans="1:13" x14ac:dyDescent="0.3">
      <c r="A1333" s="33" t="s">
        <v>2707</v>
      </c>
      <c r="B1333" s="33" t="s">
        <v>37</v>
      </c>
      <c r="C1333" s="33">
        <v>44997749003</v>
      </c>
      <c r="E1333" s="33">
        <v>1</v>
      </c>
      <c r="F1333" s="33">
        <v>0</v>
      </c>
      <c r="G1333" s="33" t="s">
        <v>47</v>
      </c>
      <c r="H1333" s="33" t="s">
        <v>2708</v>
      </c>
      <c r="I1333" s="33" t="s">
        <v>46</v>
      </c>
      <c r="J1333" s="33" t="s">
        <v>40</v>
      </c>
      <c r="M1333" s="1"/>
    </row>
    <row r="1334" spans="1:13" x14ac:dyDescent="0.3">
      <c r="A1334" s="33" t="s">
        <v>2709</v>
      </c>
      <c r="B1334" s="33" t="s">
        <v>37</v>
      </c>
      <c r="C1334" s="33">
        <v>44997749003</v>
      </c>
      <c r="E1334" s="33">
        <v>25</v>
      </c>
      <c r="F1334" s="33">
        <v>21</v>
      </c>
      <c r="G1334" s="33" t="s">
        <v>38</v>
      </c>
      <c r="H1334" s="33" t="s">
        <v>2710</v>
      </c>
      <c r="I1334" s="33" t="s">
        <v>46</v>
      </c>
      <c r="J1334" s="33" t="s">
        <v>40</v>
      </c>
      <c r="M1334" s="1"/>
    </row>
    <row r="1335" spans="1:13" x14ac:dyDescent="0.3">
      <c r="A1335" s="33" t="s">
        <v>2711</v>
      </c>
      <c r="B1335" s="33" t="s">
        <v>37</v>
      </c>
      <c r="C1335" s="33">
        <v>44997749003</v>
      </c>
      <c r="E1335" s="33">
        <v>6</v>
      </c>
      <c r="F1335" s="33">
        <v>0</v>
      </c>
      <c r="G1335" s="33" t="s">
        <v>47</v>
      </c>
      <c r="H1335" s="33" t="s">
        <v>2712</v>
      </c>
      <c r="I1335" s="33" t="s">
        <v>46</v>
      </c>
      <c r="J1335" s="33" t="s">
        <v>40</v>
      </c>
      <c r="M1335" s="1"/>
    </row>
    <row r="1336" spans="1:13" x14ac:dyDescent="0.3">
      <c r="A1336" s="33" t="s">
        <v>2713</v>
      </c>
      <c r="B1336" s="33">
        <v>44997749003</v>
      </c>
      <c r="C1336" s="33" t="s">
        <v>37</v>
      </c>
      <c r="D1336" s="33">
        <v>4430265054</v>
      </c>
      <c r="E1336" s="33">
        <v>889</v>
      </c>
      <c r="F1336" s="33">
        <v>848</v>
      </c>
      <c r="G1336" s="33" t="s">
        <v>38</v>
      </c>
      <c r="H1336" s="33" t="s">
        <v>2714</v>
      </c>
      <c r="I1336" s="33" t="s">
        <v>39</v>
      </c>
      <c r="J1336" s="33" t="s">
        <v>40</v>
      </c>
      <c r="K1336" s="33" t="s">
        <v>41</v>
      </c>
      <c r="L1336" s="33">
        <v>5</v>
      </c>
      <c r="M1336" s="1"/>
    </row>
    <row r="1337" spans="1:13" x14ac:dyDescent="0.3">
      <c r="A1337" s="33" t="s">
        <v>2715</v>
      </c>
      <c r="B1337" s="33">
        <v>44998601838</v>
      </c>
      <c r="C1337" s="33" t="s">
        <v>48</v>
      </c>
      <c r="D1337" s="33">
        <v>4430265054</v>
      </c>
      <c r="E1337" s="33">
        <v>188</v>
      </c>
      <c r="F1337" s="33">
        <v>128</v>
      </c>
      <c r="G1337" s="33" t="s">
        <v>38</v>
      </c>
      <c r="H1337" s="33" t="s">
        <v>2716</v>
      </c>
      <c r="I1337" s="33" t="s">
        <v>39</v>
      </c>
      <c r="J1337" s="33" t="s">
        <v>40</v>
      </c>
      <c r="K1337" s="33" t="s">
        <v>41</v>
      </c>
      <c r="M1337" s="1"/>
    </row>
    <row r="1338" spans="1:13" x14ac:dyDescent="0.3">
      <c r="A1338" s="33" t="s">
        <v>2717</v>
      </c>
      <c r="B1338" s="33">
        <v>11964449514</v>
      </c>
      <c r="C1338" s="33" t="s">
        <v>44</v>
      </c>
      <c r="D1338" s="33">
        <v>4431268225</v>
      </c>
      <c r="E1338" s="33">
        <v>633</v>
      </c>
      <c r="F1338" s="33">
        <v>555</v>
      </c>
      <c r="G1338" s="33" t="s">
        <v>38</v>
      </c>
      <c r="H1338" s="33" t="s">
        <v>2718</v>
      </c>
      <c r="I1338" s="33" t="s">
        <v>39</v>
      </c>
      <c r="J1338" s="33" t="s">
        <v>40</v>
      </c>
      <c r="K1338" s="33" t="s">
        <v>41</v>
      </c>
      <c r="L1338" s="33">
        <v>5</v>
      </c>
      <c r="M1338" s="1"/>
    </row>
    <row r="1339" spans="1:13" x14ac:dyDescent="0.3">
      <c r="A1339" s="33" t="s">
        <v>2719</v>
      </c>
      <c r="B1339" s="33">
        <v>81986261961</v>
      </c>
      <c r="C1339" s="33" t="s">
        <v>43</v>
      </c>
      <c r="D1339" s="33">
        <v>4430265054</v>
      </c>
      <c r="E1339" s="33">
        <v>533</v>
      </c>
      <c r="F1339" s="33">
        <v>487</v>
      </c>
      <c r="G1339" s="33" t="s">
        <v>38</v>
      </c>
      <c r="H1339" s="33" t="s">
        <v>2720</v>
      </c>
      <c r="I1339" s="33" t="s">
        <v>39</v>
      </c>
      <c r="J1339" s="33" t="s">
        <v>40</v>
      </c>
      <c r="K1339" s="33" t="s">
        <v>41</v>
      </c>
      <c r="M1339" s="1"/>
    </row>
    <row r="1340" spans="1:13" x14ac:dyDescent="0.3">
      <c r="A1340" s="33" t="s">
        <v>2721</v>
      </c>
      <c r="B1340" s="33">
        <v>4430286524</v>
      </c>
      <c r="C1340" s="33" t="s">
        <v>45</v>
      </c>
      <c r="D1340" s="33">
        <v>4430265054</v>
      </c>
      <c r="E1340" s="33">
        <v>1650</v>
      </c>
      <c r="F1340" s="33">
        <v>1558</v>
      </c>
      <c r="G1340" s="33" t="s">
        <v>38</v>
      </c>
      <c r="H1340" s="33" t="s">
        <v>2722</v>
      </c>
      <c r="I1340" s="33" t="s">
        <v>39</v>
      </c>
      <c r="J1340" s="33" t="s">
        <v>40</v>
      </c>
      <c r="K1340" s="33" t="s">
        <v>41</v>
      </c>
      <c r="M1340" s="1"/>
    </row>
    <row r="1341" spans="1:13" x14ac:dyDescent="0.3">
      <c r="A1341" s="33" t="s">
        <v>2723</v>
      </c>
      <c r="B1341" s="33">
        <v>4433540752</v>
      </c>
      <c r="C1341" s="33" t="s">
        <v>44</v>
      </c>
      <c r="D1341" s="33">
        <v>4430265054</v>
      </c>
      <c r="E1341" s="33">
        <v>155</v>
      </c>
      <c r="F1341" s="33">
        <v>138</v>
      </c>
      <c r="G1341" s="33" t="s">
        <v>38</v>
      </c>
      <c r="H1341" s="33" t="s">
        <v>2724</v>
      </c>
      <c r="I1341" s="33" t="s">
        <v>39</v>
      </c>
      <c r="J1341" s="33" t="s">
        <v>40</v>
      </c>
      <c r="K1341" s="33" t="s">
        <v>41</v>
      </c>
      <c r="M1341" s="1"/>
    </row>
    <row r="1342" spans="1:13" x14ac:dyDescent="0.3">
      <c r="A1342" s="33" t="s">
        <v>2725</v>
      </c>
      <c r="B1342" s="33">
        <v>1131043888</v>
      </c>
      <c r="C1342" s="33" t="s">
        <v>43</v>
      </c>
      <c r="D1342" s="33">
        <v>4430265054</v>
      </c>
      <c r="E1342" s="33">
        <v>112</v>
      </c>
      <c r="F1342" s="33">
        <v>96</v>
      </c>
      <c r="G1342" s="33" t="s">
        <v>38</v>
      </c>
      <c r="H1342" s="33" t="s">
        <v>2726</v>
      </c>
      <c r="I1342" s="33" t="s">
        <v>39</v>
      </c>
      <c r="J1342" s="33" t="s">
        <v>40</v>
      </c>
      <c r="K1342" s="33" t="s">
        <v>41</v>
      </c>
      <c r="M1342" s="1"/>
    </row>
    <row r="1343" spans="1:13" x14ac:dyDescent="0.3">
      <c r="A1343" s="33" t="s">
        <v>2727</v>
      </c>
      <c r="B1343" s="33" t="s">
        <v>43</v>
      </c>
      <c r="C1343" s="33">
        <v>1131043888</v>
      </c>
      <c r="E1343" s="33">
        <v>101</v>
      </c>
      <c r="F1343" s="33">
        <v>98</v>
      </c>
      <c r="G1343" s="33" t="s">
        <v>38</v>
      </c>
      <c r="H1343" s="33" t="s">
        <v>2728</v>
      </c>
      <c r="I1343" s="33" t="s">
        <v>46</v>
      </c>
      <c r="J1343" s="33" t="s">
        <v>40</v>
      </c>
      <c r="M1343" s="1"/>
    </row>
    <row r="1344" spans="1:13" x14ac:dyDescent="0.3">
      <c r="A1344" s="33" t="s">
        <v>2729</v>
      </c>
      <c r="B1344" s="33">
        <v>93984112869</v>
      </c>
      <c r="C1344" s="33" t="s">
        <v>48</v>
      </c>
      <c r="D1344" s="33">
        <v>4431268225</v>
      </c>
      <c r="E1344" s="33">
        <v>214</v>
      </c>
      <c r="F1344" s="33">
        <v>213</v>
      </c>
      <c r="G1344" s="33" t="s">
        <v>38</v>
      </c>
      <c r="H1344" s="33" t="s">
        <v>2730</v>
      </c>
      <c r="I1344" s="33" t="s">
        <v>39</v>
      </c>
      <c r="J1344" s="33" t="s">
        <v>40</v>
      </c>
      <c r="K1344" s="33" t="s">
        <v>41</v>
      </c>
      <c r="M1344" s="1"/>
    </row>
    <row r="1345" spans="1:12" s="1" customFormat="1" x14ac:dyDescent="0.3">
      <c r="A1345" s="33" t="s">
        <v>2731</v>
      </c>
      <c r="B1345" s="33">
        <v>4330261969</v>
      </c>
      <c r="C1345" s="33" t="s">
        <v>44</v>
      </c>
      <c r="D1345" s="33">
        <v>4430265054</v>
      </c>
      <c r="E1345" s="33">
        <v>361</v>
      </c>
      <c r="F1345" s="33">
        <v>346</v>
      </c>
      <c r="G1345" s="33" t="s">
        <v>38</v>
      </c>
      <c r="H1345" s="33" t="s">
        <v>2732</v>
      </c>
      <c r="I1345" s="33" t="s">
        <v>39</v>
      </c>
      <c r="J1345" s="33" t="s">
        <v>40</v>
      </c>
      <c r="K1345" s="33" t="s">
        <v>41</v>
      </c>
      <c r="L1345" s="33">
        <v>5</v>
      </c>
    </row>
    <row r="1346" spans="1:12" s="1" customFormat="1" x14ac:dyDescent="0.3">
      <c r="A1346" s="33" t="s">
        <v>2733</v>
      </c>
      <c r="B1346" s="33">
        <v>44991344038</v>
      </c>
      <c r="C1346" s="33" t="s">
        <v>37</v>
      </c>
      <c r="D1346" s="33">
        <v>4430265054</v>
      </c>
      <c r="E1346" s="33">
        <v>1247</v>
      </c>
      <c r="F1346" s="33">
        <v>1205</v>
      </c>
      <c r="G1346" s="33" t="s">
        <v>38</v>
      </c>
      <c r="H1346" s="33" t="s">
        <v>2734</v>
      </c>
      <c r="I1346" s="33" t="s">
        <v>39</v>
      </c>
      <c r="J1346" s="33" t="s">
        <v>40</v>
      </c>
      <c r="K1346" s="33" t="s">
        <v>41</v>
      </c>
      <c r="L1346" s="33">
        <v>5</v>
      </c>
    </row>
    <row r="1347" spans="1:12" s="1" customFormat="1" x14ac:dyDescent="0.3">
      <c r="A1347" s="33" t="s">
        <v>2735</v>
      </c>
      <c r="B1347" s="33">
        <v>1131043888</v>
      </c>
      <c r="C1347" s="33" t="s">
        <v>43</v>
      </c>
      <c r="D1347" s="33">
        <v>4430265054</v>
      </c>
      <c r="E1347" s="33">
        <v>481</v>
      </c>
      <c r="F1347" s="33">
        <v>458</v>
      </c>
      <c r="G1347" s="33" t="s">
        <v>38</v>
      </c>
      <c r="H1347" s="33" t="s">
        <v>2736</v>
      </c>
      <c r="I1347" s="33" t="s">
        <v>39</v>
      </c>
      <c r="J1347" s="33" t="s">
        <v>40</v>
      </c>
      <c r="K1347" s="33" t="s">
        <v>41</v>
      </c>
      <c r="L1347" s="33"/>
    </row>
    <row r="1348" spans="1:12" s="1" customFormat="1" x14ac:dyDescent="0.3">
      <c r="A1348" s="33" t="s">
        <v>2737</v>
      </c>
      <c r="B1348" s="33">
        <v>45999211357</v>
      </c>
      <c r="C1348" s="33" t="s">
        <v>45</v>
      </c>
      <c r="D1348" s="33">
        <v>4431268225</v>
      </c>
      <c r="E1348" s="33">
        <v>1145</v>
      </c>
      <c r="F1348" s="33">
        <v>1042</v>
      </c>
      <c r="G1348" s="33" t="s">
        <v>38</v>
      </c>
      <c r="H1348" s="33" t="s">
        <v>2738</v>
      </c>
      <c r="I1348" s="33" t="s">
        <v>39</v>
      </c>
      <c r="J1348" s="33" t="s">
        <v>40</v>
      </c>
      <c r="K1348" s="33" t="s">
        <v>41</v>
      </c>
      <c r="L1348" s="33">
        <v>4</v>
      </c>
    </row>
    <row r="1349" spans="1:12" s="1" customFormat="1" x14ac:dyDescent="0.3">
      <c r="A1349" s="33" t="s">
        <v>2739</v>
      </c>
      <c r="B1349" s="33">
        <v>4432322192</v>
      </c>
      <c r="C1349" s="33" t="s">
        <v>44</v>
      </c>
      <c r="D1349" s="33">
        <v>4430265054</v>
      </c>
      <c r="E1349" s="33">
        <v>1004</v>
      </c>
      <c r="F1349" s="33">
        <v>955</v>
      </c>
      <c r="G1349" s="33" t="s">
        <v>38</v>
      </c>
      <c r="H1349" s="33" t="s">
        <v>2740</v>
      </c>
      <c r="I1349" s="33" t="s">
        <v>39</v>
      </c>
      <c r="J1349" s="33" t="s">
        <v>40</v>
      </c>
      <c r="K1349" s="33" t="s">
        <v>41</v>
      </c>
      <c r="L1349" s="33"/>
    </row>
    <row r="1350" spans="1:12" s="1" customFormat="1" x14ac:dyDescent="0.3">
      <c r="A1350" s="33" t="s">
        <v>2741</v>
      </c>
      <c r="B1350" s="33">
        <v>4430289556</v>
      </c>
      <c r="C1350" s="33" t="s">
        <v>37</v>
      </c>
      <c r="D1350" s="33">
        <v>4430265054</v>
      </c>
      <c r="E1350" s="33">
        <v>126</v>
      </c>
      <c r="F1350" s="33">
        <v>101</v>
      </c>
      <c r="G1350" s="33" t="s">
        <v>38</v>
      </c>
      <c r="H1350" s="33" t="s">
        <v>2742</v>
      </c>
      <c r="I1350" s="33" t="s">
        <v>39</v>
      </c>
      <c r="J1350" s="33" t="s">
        <v>40</v>
      </c>
      <c r="K1350" s="33" t="s">
        <v>41</v>
      </c>
      <c r="L1350" s="33"/>
    </row>
    <row r="1351" spans="1:12" s="1" customFormat="1" x14ac:dyDescent="0.3">
      <c r="A1351" s="33" t="s">
        <v>2743</v>
      </c>
      <c r="B1351" s="33">
        <v>44999647912</v>
      </c>
      <c r="C1351" s="33" t="s">
        <v>45</v>
      </c>
      <c r="D1351" s="33">
        <v>4430265054</v>
      </c>
      <c r="E1351" s="33">
        <v>802</v>
      </c>
      <c r="F1351" s="33">
        <v>784</v>
      </c>
      <c r="G1351" s="33" t="s">
        <v>38</v>
      </c>
      <c r="H1351" s="33" t="s">
        <v>2744</v>
      </c>
      <c r="I1351" s="33" t="s">
        <v>39</v>
      </c>
      <c r="J1351" s="33" t="s">
        <v>40</v>
      </c>
      <c r="K1351" s="33" t="s">
        <v>41</v>
      </c>
      <c r="L1351" s="33">
        <v>4</v>
      </c>
    </row>
    <row r="1352" spans="1:12" s="1" customFormat="1" x14ac:dyDescent="0.3">
      <c r="A1352" s="33" t="s">
        <v>2745</v>
      </c>
      <c r="B1352" s="33" t="s">
        <v>37</v>
      </c>
      <c r="C1352" s="33">
        <v>89994229714</v>
      </c>
      <c r="D1352" s="33"/>
      <c r="E1352" s="33">
        <v>14</v>
      </c>
      <c r="F1352" s="33">
        <v>9</v>
      </c>
      <c r="G1352" s="33" t="s">
        <v>38</v>
      </c>
      <c r="H1352" s="33" t="s">
        <v>2746</v>
      </c>
      <c r="I1352" s="33" t="s">
        <v>46</v>
      </c>
      <c r="J1352" s="33" t="s">
        <v>40</v>
      </c>
      <c r="K1352" s="33"/>
      <c r="L1352" s="33"/>
    </row>
    <row r="1353" spans="1:12" s="1" customFormat="1" x14ac:dyDescent="0.3">
      <c r="A1353" s="33" t="s">
        <v>2747</v>
      </c>
      <c r="B1353" s="33" t="s">
        <v>37</v>
      </c>
      <c r="C1353" s="33">
        <v>89994229714</v>
      </c>
      <c r="D1353" s="33"/>
      <c r="E1353" s="33">
        <v>36</v>
      </c>
      <c r="F1353" s="33">
        <v>31</v>
      </c>
      <c r="G1353" s="33" t="s">
        <v>38</v>
      </c>
      <c r="H1353" s="33" t="s">
        <v>2748</v>
      </c>
      <c r="I1353" s="33" t="s">
        <v>46</v>
      </c>
      <c r="J1353" s="33" t="s">
        <v>40</v>
      </c>
      <c r="K1353" s="33"/>
      <c r="L1353" s="33"/>
    </row>
    <row r="1354" spans="1:12" s="1" customFormat="1" x14ac:dyDescent="0.3">
      <c r="A1354" s="33" t="s">
        <v>2749</v>
      </c>
      <c r="B1354" s="33">
        <v>4430141533</v>
      </c>
      <c r="C1354" s="33" t="s">
        <v>43</v>
      </c>
      <c r="D1354" s="33">
        <v>4430265054</v>
      </c>
      <c r="E1354" s="33">
        <v>461</v>
      </c>
      <c r="F1354" s="33">
        <v>424</v>
      </c>
      <c r="G1354" s="33" t="s">
        <v>38</v>
      </c>
      <c r="H1354" s="33" t="s">
        <v>2750</v>
      </c>
      <c r="I1354" s="33" t="s">
        <v>39</v>
      </c>
      <c r="J1354" s="33" t="s">
        <v>40</v>
      </c>
      <c r="K1354" s="33" t="s">
        <v>41</v>
      </c>
      <c r="L1354" s="33"/>
    </row>
    <row r="1355" spans="1:12" s="1" customFormat="1" x14ac:dyDescent="0.3">
      <c r="A1355" s="33" t="s">
        <v>2751</v>
      </c>
      <c r="B1355" s="33">
        <v>44998717172</v>
      </c>
      <c r="C1355" s="33" t="s">
        <v>42</v>
      </c>
      <c r="D1355" s="33">
        <v>4430265054</v>
      </c>
      <c r="E1355" s="33">
        <v>840</v>
      </c>
      <c r="F1355" s="33">
        <v>817</v>
      </c>
      <c r="G1355" s="33" t="s">
        <v>38</v>
      </c>
      <c r="H1355" s="33" t="s">
        <v>2752</v>
      </c>
      <c r="I1355" s="33" t="s">
        <v>39</v>
      </c>
      <c r="J1355" s="33" t="s">
        <v>40</v>
      </c>
      <c r="K1355" s="33" t="s">
        <v>41</v>
      </c>
      <c r="L1355" s="33"/>
    </row>
    <row r="1356" spans="1:12" s="1" customFormat="1" x14ac:dyDescent="0.3">
      <c r="A1356" s="33" t="s">
        <v>2753</v>
      </c>
      <c r="B1356" s="33">
        <v>4436761185</v>
      </c>
      <c r="C1356" s="33" t="s">
        <v>37</v>
      </c>
      <c r="D1356" s="33">
        <v>4430265054</v>
      </c>
      <c r="E1356" s="33">
        <v>395</v>
      </c>
      <c r="F1356" s="33">
        <v>323</v>
      </c>
      <c r="G1356" s="33" t="s">
        <v>38</v>
      </c>
      <c r="H1356" s="33" t="s">
        <v>2754</v>
      </c>
      <c r="I1356" s="33" t="s">
        <v>39</v>
      </c>
      <c r="J1356" s="33" t="s">
        <v>40</v>
      </c>
      <c r="K1356" s="33" t="s">
        <v>41</v>
      </c>
      <c r="L1356" s="33"/>
    </row>
    <row r="1357" spans="1:12" s="1" customFormat="1" x14ac:dyDescent="0.3">
      <c r="A1357" s="33" t="s">
        <v>2755</v>
      </c>
      <c r="B1357" s="33" t="s">
        <v>37</v>
      </c>
      <c r="C1357" s="33">
        <v>19996468864</v>
      </c>
      <c r="D1357" s="33"/>
      <c r="E1357" s="33">
        <v>15</v>
      </c>
      <c r="F1357" s="33">
        <v>0</v>
      </c>
      <c r="G1357" s="33" t="s">
        <v>47</v>
      </c>
      <c r="H1357" s="33" t="s">
        <v>2756</v>
      </c>
      <c r="I1357" s="33" t="s">
        <v>46</v>
      </c>
      <c r="J1357" s="33" t="s">
        <v>40</v>
      </c>
      <c r="K1357" s="33"/>
      <c r="L1357" s="33"/>
    </row>
    <row r="1358" spans="1:12" s="1" customFormat="1" x14ac:dyDescent="0.3">
      <c r="A1358" s="33" t="s">
        <v>2757</v>
      </c>
      <c r="B1358" s="33">
        <v>4432325260</v>
      </c>
      <c r="C1358" s="33" t="s">
        <v>45</v>
      </c>
      <c r="D1358" s="33">
        <v>4430265054</v>
      </c>
      <c r="E1358" s="33">
        <v>1288</v>
      </c>
      <c r="F1358" s="33">
        <v>1269</v>
      </c>
      <c r="G1358" s="33" t="s">
        <v>38</v>
      </c>
      <c r="H1358" s="33" t="s">
        <v>2758</v>
      </c>
      <c r="I1358" s="33" t="s">
        <v>39</v>
      </c>
      <c r="J1358" s="33" t="s">
        <v>40</v>
      </c>
      <c r="K1358" s="33" t="s">
        <v>41</v>
      </c>
      <c r="L1358" s="33">
        <v>5</v>
      </c>
    </row>
    <row r="1359" spans="1:12" s="1" customFormat="1" x14ac:dyDescent="0.3">
      <c r="A1359" s="33" t="s">
        <v>2759</v>
      </c>
      <c r="B1359" s="33">
        <v>44997650834</v>
      </c>
      <c r="C1359" s="33" t="s">
        <v>37</v>
      </c>
      <c r="D1359" s="33">
        <v>4430265054</v>
      </c>
      <c r="E1359" s="33">
        <v>588</v>
      </c>
      <c r="F1359" s="33">
        <v>561</v>
      </c>
      <c r="G1359" s="33" t="s">
        <v>38</v>
      </c>
      <c r="H1359" s="33" t="s">
        <v>2760</v>
      </c>
      <c r="I1359" s="33" t="s">
        <v>39</v>
      </c>
      <c r="J1359" s="33" t="s">
        <v>40</v>
      </c>
      <c r="K1359" s="33" t="s">
        <v>41</v>
      </c>
      <c r="L1359" s="33">
        <v>5</v>
      </c>
    </row>
    <row r="1360" spans="1:12" s="1" customFormat="1" x14ac:dyDescent="0.3">
      <c r="A1360" s="33" t="s">
        <v>2761</v>
      </c>
      <c r="B1360" s="33" t="s">
        <v>45</v>
      </c>
      <c r="C1360" s="33">
        <v>44999090169</v>
      </c>
      <c r="D1360" s="33"/>
      <c r="E1360" s="33">
        <v>352</v>
      </c>
      <c r="F1360" s="33">
        <v>342</v>
      </c>
      <c r="G1360" s="33" t="s">
        <v>38</v>
      </c>
      <c r="H1360" s="33" t="s">
        <v>2762</v>
      </c>
      <c r="I1360" s="33" t="s">
        <v>46</v>
      </c>
      <c r="J1360" s="33" t="s">
        <v>40</v>
      </c>
      <c r="K1360" s="33"/>
      <c r="L1360" s="33"/>
    </row>
    <row r="1361" spans="1:12" s="1" customFormat="1" x14ac:dyDescent="0.3">
      <c r="A1361" s="33" t="s">
        <v>2763</v>
      </c>
      <c r="B1361" s="33" t="s">
        <v>45</v>
      </c>
      <c r="C1361" s="33">
        <v>44999090169</v>
      </c>
      <c r="D1361" s="33"/>
      <c r="E1361" s="33">
        <v>28</v>
      </c>
      <c r="F1361" s="33">
        <v>20</v>
      </c>
      <c r="G1361" s="33" t="s">
        <v>38</v>
      </c>
      <c r="H1361" s="33" t="s">
        <v>2764</v>
      </c>
      <c r="I1361" s="33" t="s">
        <v>46</v>
      </c>
      <c r="J1361" s="33" t="s">
        <v>40</v>
      </c>
      <c r="K1361" s="33"/>
      <c r="L1361" s="33"/>
    </row>
    <row r="1362" spans="1:12" s="1" customFormat="1" x14ac:dyDescent="0.3">
      <c r="A1362" s="33" t="s">
        <v>2765</v>
      </c>
      <c r="B1362" s="33">
        <v>4432256273</v>
      </c>
      <c r="C1362" s="33" t="s">
        <v>43</v>
      </c>
      <c r="D1362" s="33">
        <v>4430265054</v>
      </c>
      <c r="E1362" s="33">
        <v>170</v>
      </c>
      <c r="F1362" s="33">
        <v>144</v>
      </c>
      <c r="G1362" s="33" t="s">
        <v>38</v>
      </c>
      <c r="H1362" s="33" t="s">
        <v>2766</v>
      </c>
      <c r="I1362" s="33" t="s">
        <v>39</v>
      </c>
      <c r="J1362" s="33" t="s">
        <v>40</v>
      </c>
      <c r="K1362" s="33" t="s">
        <v>41</v>
      </c>
      <c r="L1362" s="33">
        <v>5</v>
      </c>
    </row>
    <row r="1363" spans="1:12" s="1" customFormat="1" x14ac:dyDescent="0.3">
      <c r="A1363" s="33" t="s">
        <v>2767</v>
      </c>
      <c r="B1363" s="33">
        <v>44991622693</v>
      </c>
      <c r="C1363" s="33" t="s">
        <v>37</v>
      </c>
      <c r="D1363" s="33">
        <v>4430265054</v>
      </c>
      <c r="E1363" s="33">
        <v>437</v>
      </c>
      <c r="F1363" s="33">
        <v>415</v>
      </c>
      <c r="G1363" s="33" t="s">
        <v>38</v>
      </c>
      <c r="H1363" s="33" t="s">
        <v>2768</v>
      </c>
      <c r="I1363" s="33" t="s">
        <v>39</v>
      </c>
      <c r="J1363" s="33" t="s">
        <v>40</v>
      </c>
      <c r="K1363" s="33" t="s">
        <v>41</v>
      </c>
      <c r="L1363" s="33">
        <v>5</v>
      </c>
    </row>
    <row r="1364" spans="1:12" s="1" customFormat="1" x14ac:dyDescent="0.3">
      <c r="A1364" s="33" t="s">
        <v>2769</v>
      </c>
      <c r="B1364" s="33" t="s">
        <v>45</v>
      </c>
      <c r="C1364" s="33">
        <v>44999090169</v>
      </c>
      <c r="D1364" s="33"/>
      <c r="E1364" s="33">
        <v>83</v>
      </c>
      <c r="F1364" s="33">
        <v>74</v>
      </c>
      <c r="G1364" s="33" t="s">
        <v>38</v>
      </c>
      <c r="H1364" s="33" t="s">
        <v>2770</v>
      </c>
      <c r="I1364" s="33" t="s">
        <v>46</v>
      </c>
      <c r="J1364" s="33" t="s">
        <v>40</v>
      </c>
      <c r="K1364" s="33"/>
      <c r="L1364" s="33"/>
    </row>
    <row r="1365" spans="1:12" s="1" customFormat="1" x14ac:dyDescent="0.3">
      <c r="A1365" s="33" t="s">
        <v>2771</v>
      </c>
      <c r="B1365" s="33">
        <v>44999497001</v>
      </c>
      <c r="C1365" s="33" t="s">
        <v>44</v>
      </c>
      <c r="D1365" s="33">
        <v>4430265054</v>
      </c>
      <c r="E1365" s="33">
        <v>203</v>
      </c>
      <c r="F1365" s="33">
        <v>126</v>
      </c>
      <c r="G1365" s="33" t="s">
        <v>38</v>
      </c>
      <c r="H1365" s="33" t="s">
        <v>2772</v>
      </c>
      <c r="I1365" s="33" t="s">
        <v>39</v>
      </c>
      <c r="J1365" s="33" t="s">
        <v>40</v>
      </c>
      <c r="K1365" s="33" t="s">
        <v>41</v>
      </c>
      <c r="L1365" s="33"/>
    </row>
    <row r="1366" spans="1:12" s="1" customFormat="1" x14ac:dyDescent="0.3">
      <c r="A1366" s="33" t="s">
        <v>2773</v>
      </c>
      <c r="B1366" s="33">
        <v>44997650834</v>
      </c>
      <c r="C1366" s="33" t="s">
        <v>45</v>
      </c>
      <c r="D1366" s="33">
        <v>4430265054</v>
      </c>
      <c r="E1366" s="33">
        <v>433</v>
      </c>
      <c r="F1366" s="33">
        <v>383</v>
      </c>
      <c r="G1366" s="33" t="s">
        <v>38</v>
      </c>
      <c r="H1366" s="33" t="s">
        <v>2774</v>
      </c>
      <c r="I1366" s="33" t="s">
        <v>39</v>
      </c>
      <c r="J1366" s="33" t="s">
        <v>40</v>
      </c>
      <c r="K1366" s="33" t="s">
        <v>41</v>
      </c>
      <c r="L1366" s="33">
        <v>5</v>
      </c>
    </row>
    <row r="1367" spans="1:12" s="1" customFormat="1" x14ac:dyDescent="0.3">
      <c r="A1367" s="33" t="s">
        <v>2775</v>
      </c>
      <c r="B1367" s="33">
        <v>4436761185</v>
      </c>
      <c r="C1367" s="33" t="s">
        <v>44</v>
      </c>
      <c r="D1367" s="33">
        <v>4430265054</v>
      </c>
      <c r="E1367" s="33">
        <v>681</v>
      </c>
      <c r="F1367" s="33">
        <v>596</v>
      </c>
      <c r="G1367" s="33" t="s">
        <v>38</v>
      </c>
      <c r="H1367" s="33" t="s">
        <v>2776</v>
      </c>
      <c r="I1367" s="33" t="s">
        <v>39</v>
      </c>
      <c r="J1367" s="33" t="s">
        <v>40</v>
      </c>
      <c r="K1367" s="33" t="s">
        <v>41</v>
      </c>
      <c r="L1367" s="33"/>
    </row>
    <row r="1368" spans="1:12" s="1" customFormat="1" x14ac:dyDescent="0.3">
      <c r="A1368" s="33" t="s">
        <v>2777</v>
      </c>
      <c r="B1368" s="33" t="s">
        <v>42</v>
      </c>
      <c r="C1368" s="33">
        <v>44998717172</v>
      </c>
      <c r="D1368" s="33"/>
      <c r="E1368" s="33">
        <v>2258</v>
      </c>
      <c r="F1368" s="33">
        <v>2247</v>
      </c>
      <c r="G1368" s="33" t="s">
        <v>38</v>
      </c>
      <c r="H1368" s="33" t="s">
        <v>2778</v>
      </c>
      <c r="I1368" s="33" t="s">
        <v>46</v>
      </c>
      <c r="J1368" s="33" t="s">
        <v>40</v>
      </c>
      <c r="K1368" s="33"/>
      <c r="L1368" s="33"/>
    </row>
    <row r="1369" spans="1:12" s="1" customFormat="1" x14ac:dyDescent="0.3">
      <c r="A1369" s="33" t="s">
        <v>2779</v>
      </c>
      <c r="B1369" s="33" t="s">
        <v>45</v>
      </c>
      <c r="C1369" s="33">
        <v>44999090169</v>
      </c>
      <c r="D1369" s="33"/>
      <c r="E1369" s="33">
        <v>76</v>
      </c>
      <c r="F1369" s="33">
        <v>40</v>
      </c>
      <c r="G1369" s="33" t="s">
        <v>38</v>
      </c>
      <c r="H1369" s="33" t="s">
        <v>2780</v>
      </c>
      <c r="I1369" s="33" t="s">
        <v>46</v>
      </c>
      <c r="J1369" s="33" t="s">
        <v>40</v>
      </c>
      <c r="K1369" s="33"/>
      <c r="L1369" s="33"/>
    </row>
    <row r="1370" spans="1:12" s="1" customFormat="1" x14ac:dyDescent="0.3">
      <c r="A1370" s="33" t="s">
        <v>2781</v>
      </c>
      <c r="B1370" s="33" t="s">
        <v>45</v>
      </c>
      <c r="C1370" s="33">
        <v>44999090169</v>
      </c>
      <c r="D1370" s="33"/>
      <c r="E1370" s="33">
        <v>75</v>
      </c>
      <c r="F1370" s="33">
        <v>40</v>
      </c>
      <c r="G1370" s="33" t="s">
        <v>38</v>
      </c>
      <c r="H1370" s="33" t="s">
        <v>2782</v>
      </c>
      <c r="I1370" s="33" t="s">
        <v>46</v>
      </c>
      <c r="J1370" s="33" t="s">
        <v>40</v>
      </c>
      <c r="K1370" s="33"/>
      <c r="L1370" s="33"/>
    </row>
    <row r="1371" spans="1:12" s="1" customFormat="1" x14ac:dyDescent="0.3">
      <c r="A1371" s="33" t="s">
        <v>2783</v>
      </c>
      <c r="B1371" s="33" t="s">
        <v>42</v>
      </c>
      <c r="C1371" s="33">
        <v>4436281154</v>
      </c>
      <c r="D1371" s="33"/>
      <c r="E1371" s="33">
        <v>204</v>
      </c>
      <c r="F1371" s="33">
        <v>197</v>
      </c>
      <c r="G1371" s="33" t="s">
        <v>38</v>
      </c>
      <c r="H1371" s="33" t="s">
        <v>2784</v>
      </c>
      <c r="I1371" s="33" t="s">
        <v>46</v>
      </c>
      <c r="J1371" s="33" t="s">
        <v>40</v>
      </c>
      <c r="K1371" s="33"/>
      <c r="L1371" s="33"/>
    </row>
    <row r="1372" spans="1:12" s="1" customFormat="1" x14ac:dyDescent="0.3">
      <c r="A1372" s="33" t="s">
        <v>2785</v>
      </c>
      <c r="B1372" s="33" t="s">
        <v>42</v>
      </c>
      <c r="C1372" s="33">
        <v>44998717172</v>
      </c>
      <c r="D1372" s="33"/>
      <c r="E1372" s="33">
        <v>168</v>
      </c>
      <c r="F1372" s="33">
        <v>159</v>
      </c>
      <c r="G1372" s="33" t="s">
        <v>38</v>
      </c>
      <c r="H1372" s="33" t="s">
        <v>2786</v>
      </c>
      <c r="I1372" s="33" t="s">
        <v>46</v>
      </c>
      <c r="J1372" s="33" t="s">
        <v>40</v>
      </c>
      <c r="K1372" s="33"/>
      <c r="L1372" s="33"/>
    </row>
    <row r="1373" spans="1:12" s="1" customFormat="1" x14ac:dyDescent="0.3">
      <c r="A1373" s="33" t="s">
        <v>2787</v>
      </c>
      <c r="B1373" s="33" t="s">
        <v>42</v>
      </c>
      <c r="C1373" s="33">
        <v>4436281154</v>
      </c>
      <c r="D1373" s="33"/>
      <c r="E1373" s="33">
        <v>304</v>
      </c>
      <c r="F1373" s="33">
        <v>289</v>
      </c>
      <c r="G1373" s="33" t="s">
        <v>38</v>
      </c>
      <c r="H1373" s="33" t="s">
        <v>2788</v>
      </c>
      <c r="I1373" s="33" t="s">
        <v>46</v>
      </c>
      <c r="J1373" s="33" t="s">
        <v>40</v>
      </c>
      <c r="K1373" s="33"/>
      <c r="L1373" s="33"/>
    </row>
    <row r="1374" spans="1:12" s="1" customFormat="1" x14ac:dyDescent="0.3">
      <c r="A1374" s="33" t="s">
        <v>2789</v>
      </c>
      <c r="B1374" s="33" t="s">
        <v>44</v>
      </c>
      <c r="C1374" s="33">
        <v>1732146970</v>
      </c>
      <c r="D1374" s="33"/>
      <c r="E1374" s="33">
        <v>1409</v>
      </c>
      <c r="F1374" s="33">
        <v>1408</v>
      </c>
      <c r="G1374" s="33" t="s">
        <v>38</v>
      </c>
      <c r="H1374" s="33" t="s">
        <v>2790</v>
      </c>
      <c r="I1374" s="33" t="s">
        <v>46</v>
      </c>
      <c r="J1374" s="33" t="s">
        <v>40</v>
      </c>
      <c r="K1374" s="33"/>
      <c r="L1374" s="33">
        <v>5</v>
      </c>
    </row>
    <row r="1375" spans="1:12" s="1" customFormat="1" x14ac:dyDescent="0.3">
      <c r="A1375" s="33" t="s">
        <v>2791</v>
      </c>
      <c r="B1375" s="33" t="s">
        <v>44</v>
      </c>
      <c r="C1375" s="33">
        <v>1732146970</v>
      </c>
      <c r="D1375" s="33"/>
      <c r="E1375" s="33">
        <v>255</v>
      </c>
      <c r="F1375" s="33">
        <v>254</v>
      </c>
      <c r="G1375" s="33" t="s">
        <v>38</v>
      </c>
      <c r="H1375" s="33" t="s">
        <v>2792</v>
      </c>
      <c r="I1375" s="33" t="s">
        <v>46</v>
      </c>
      <c r="J1375" s="33" t="s">
        <v>40</v>
      </c>
      <c r="K1375" s="33"/>
      <c r="L1375" s="33"/>
    </row>
    <row r="1376" spans="1:12" s="1" customFormat="1" x14ac:dyDescent="0.3">
      <c r="A1376" s="33" t="s">
        <v>2793</v>
      </c>
      <c r="B1376" s="33">
        <v>44988255390</v>
      </c>
      <c r="C1376" s="33" t="s">
        <v>42</v>
      </c>
      <c r="D1376" s="33">
        <v>4430265054</v>
      </c>
      <c r="E1376" s="33">
        <v>1308</v>
      </c>
      <c r="F1376" s="33">
        <v>1233</v>
      </c>
      <c r="G1376" s="33" t="s">
        <v>38</v>
      </c>
      <c r="H1376" s="33" t="s">
        <v>2794</v>
      </c>
      <c r="I1376" s="33" t="s">
        <v>39</v>
      </c>
      <c r="J1376" s="33" t="s">
        <v>40</v>
      </c>
      <c r="K1376" s="33" t="s">
        <v>41</v>
      </c>
      <c r="L1376" s="33"/>
    </row>
    <row r="1377" spans="1:12" s="1" customFormat="1" x14ac:dyDescent="0.3">
      <c r="A1377" s="33" t="s">
        <v>2795</v>
      </c>
      <c r="B1377" s="33" t="s">
        <v>44</v>
      </c>
      <c r="C1377" s="33">
        <v>44999571792</v>
      </c>
      <c r="D1377" s="33"/>
      <c r="E1377" s="33">
        <v>53</v>
      </c>
      <c r="F1377" s="33">
        <v>43</v>
      </c>
      <c r="G1377" s="33" t="s">
        <v>38</v>
      </c>
      <c r="H1377" s="33" t="s">
        <v>2796</v>
      </c>
      <c r="I1377" s="33" t="s">
        <v>46</v>
      </c>
      <c r="J1377" s="33" t="s">
        <v>40</v>
      </c>
      <c r="K1377" s="33"/>
      <c r="L1377" s="33"/>
    </row>
    <row r="1378" spans="1:12" s="1" customFormat="1" x14ac:dyDescent="0.3">
      <c r="A1378" s="33" t="s">
        <v>2797</v>
      </c>
      <c r="B1378" s="33" t="s">
        <v>37</v>
      </c>
      <c r="C1378" s="33">
        <v>4430459001</v>
      </c>
      <c r="D1378" s="33"/>
      <c r="E1378" s="33">
        <v>216</v>
      </c>
      <c r="F1378" s="33">
        <v>203</v>
      </c>
      <c r="G1378" s="33" t="s">
        <v>38</v>
      </c>
      <c r="H1378" s="33" t="s">
        <v>2798</v>
      </c>
      <c r="I1378" s="33" t="s">
        <v>46</v>
      </c>
      <c r="J1378" s="33" t="s">
        <v>40</v>
      </c>
      <c r="K1378" s="33"/>
      <c r="L1378" s="33">
        <v>5</v>
      </c>
    </row>
    <row r="1379" spans="1:12" s="1" customFormat="1" x14ac:dyDescent="0.3">
      <c r="A1379" s="33" t="s">
        <v>2799</v>
      </c>
      <c r="B1379" s="33">
        <v>4334226481</v>
      </c>
      <c r="C1379" s="33" t="s">
        <v>42</v>
      </c>
      <c r="D1379" s="33">
        <v>4430265054</v>
      </c>
      <c r="E1379" s="33">
        <v>578</v>
      </c>
      <c r="F1379" s="33">
        <v>435</v>
      </c>
      <c r="G1379" s="33" t="s">
        <v>38</v>
      </c>
      <c r="H1379" s="33" t="s">
        <v>2800</v>
      </c>
      <c r="I1379" s="33" t="s">
        <v>39</v>
      </c>
      <c r="J1379" s="33" t="s">
        <v>40</v>
      </c>
      <c r="K1379" s="33" t="s">
        <v>41</v>
      </c>
      <c r="L1379" s="33">
        <v>5</v>
      </c>
    </row>
    <row r="1380" spans="1:12" s="1" customFormat="1" x14ac:dyDescent="0.3">
      <c r="A1380" s="33" t="s">
        <v>2801</v>
      </c>
      <c r="B1380" s="33">
        <v>44988255390</v>
      </c>
      <c r="C1380" s="33" t="s">
        <v>48</v>
      </c>
      <c r="D1380" s="33">
        <v>4430265054</v>
      </c>
      <c r="E1380" s="33">
        <v>730</v>
      </c>
      <c r="F1380" s="33">
        <v>352</v>
      </c>
      <c r="G1380" s="33" t="s">
        <v>38</v>
      </c>
      <c r="H1380" s="33" t="s">
        <v>2802</v>
      </c>
      <c r="I1380" s="33" t="s">
        <v>39</v>
      </c>
      <c r="J1380" s="33" t="s">
        <v>40</v>
      </c>
      <c r="K1380" s="33" t="s">
        <v>41</v>
      </c>
      <c r="L1380" s="33"/>
    </row>
    <row r="1381" spans="1:12" s="1" customFormat="1" x14ac:dyDescent="0.3">
      <c r="A1381" s="33" t="s">
        <v>2803</v>
      </c>
      <c r="B1381" s="33">
        <v>4432520627</v>
      </c>
      <c r="C1381" s="33" t="s">
        <v>48</v>
      </c>
      <c r="D1381" s="33">
        <v>4430265054</v>
      </c>
      <c r="E1381" s="33">
        <v>381</v>
      </c>
      <c r="F1381" s="33">
        <v>363</v>
      </c>
      <c r="G1381" s="33" t="s">
        <v>38</v>
      </c>
      <c r="H1381" s="33" t="s">
        <v>2804</v>
      </c>
      <c r="I1381" s="33" t="s">
        <v>39</v>
      </c>
      <c r="J1381" s="33" t="s">
        <v>40</v>
      </c>
      <c r="K1381" s="33" t="s">
        <v>41</v>
      </c>
      <c r="L1381" s="33">
        <v>5</v>
      </c>
    </row>
    <row r="1382" spans="1:12" s="1" customFormat="1" x14ac:dyDescent="0.3">
      <c r="A1382" s="33" t="s">
        <v>2805</v>
      </c>
      <c r="B1382" s="33">
        <v>11934552189</v>
      </c>
      <c r="C1382" s="33" t="s">
        <v>45</v>
      </c>
      <c r="D1382" s="33">
        <v>4430265054</v>
      </c>
      <c r="E1382" s="33">
        <v>790</v>
      </c>
      <c r="F1382" s="33">
        <v>744</v>
      </c>
      <c r="G1382" s="33" t="s">
        <v>38</v>
      </c>
      <c r="H1382" s="33" t="s">
        <v>2806</v>
      </c>
      <c r="I1382" s="33" t="s">
        <v>39</v>
      </c>
      <c r="J1382" s="33" t="s">
        <v>40</v>
      </c>
      <c r="K1382" s="33" t="s">
        <v>41</v>
      </c>
      <c r="L1382" s="33"/>
    </row>
    <row r="1383" spans="1:12" s="1" customFormat="1" x14ac:dyDescent="0.3">
      <c r="A1383" s="33" t="s">
        <v>2807</v>
      </c>
      <c r="B1383" s="33">
        <v>4430286521</v>
      </c>
      <c r="C1383" s="33" t="s">
        <v>42</v>
      </c>
      <c r="D1383" s="33">
        <v>4430265054</v>
      </c>
      <c r="E1383" s="33">
        <v>662</v>
      </c>
      <c r="F1383" s="33">
        <v>625</v>
      </c>
      <c r="G1383" s="33" t="s">
        <v>38</v>
      </c>
      <c r="H1383" s="33" t="s">
        <v>2808</v>
      </c>
      <c r="I1383" s="33" t="s">
        <v>39</v>
      </c>
      <c r="J1383" s="33" t="s">
        <v>40</v>
      </c>
      <c r="K1383" s="33" t="s">
        <v>41</v>
      </c>
      <c r="L1383" s="33">
        <v>5</v>
      </c>
    </row>
    <row r="1384" spans="1:12" s="1" customFormat="1" x14ac:dyDescent="0.3">
      <c r="A1384" s="33" t="s">
        <v>2809</v>
      </c>
      <c r="B1384" s="33">
        <v>41991944462</v>
      </c>
      <c r="C1384" s="33" t="s">
        <v>43</v>
      </c>
      <c r="D1384" s="33">
        <v>4430265054</v>
      </c>
      <c r="E1384" s="33">
        <v>1051</v>
      </c>
      <c r="F1384" s="33">
        <v>989</v>
      </c>
      <c r="G1384" s="33" t="s">
        <v>38</v>
      </c>
      <c r="H1384" s="33" t="s">
        <v>2810</v>
      </c>
      <c r="I1384" s="33" t="s">
        <v>39</v>
      </c>
      <c r="J1384" s="33" t="s">
        <v>40</v>
      </c>
      <c r="K1384" s="33" t="s">
        <v>41</v>
      </c>
      <c r="L1384" s="33"/>
    </row>
    <row r="1385" spans="1:12" s="1" customFormat="1" x14ac:dyDescent="0.3">
      <c r="A1385" s="33" t="s">
        <v>2811</v>
      </c>
      <c r="B1385" s="33">
        <v>11972178961</v>
      </c>
      <c r="C1385" s="33" t="s">
        <v>44</v>
      </c>
      <c r="D1385" s="33">
        <v>4430265054</v>
      </c>
      <c r="E1385" s="33">
        <v>2446</v>
      </c>
      <c r="F1385" s="33">
        <v>2268</v>
      </c>
      <c r="G1385" s="33" t="s">
        <v>38</v>
      </c>
      <c r="H1385" s="33" t="s">
        <v>2812</v>
      </c>
      <c r="I1385" s="33" t="s">
        <v>39</v>
      </c>
      <c r="J1385" s="33" t="s">
        <v>40</v>
      </c>
      <c r="K1385" s="33" t="s">
        <v>41</v>
      </c>
      <c r="L1385" s="33"/>
    </row>
    <row r="1386" spans="1:12" s="1" customFormat="1" x14ac:dyDescent="0.3">
      <c r="A1386" s="33" t="s">
        <v>2813</v>
      </c>
      <c r="B1386" s="33">
        <v>4430459001</v>
      </c>
      <c r="C1386" s="33" t="s">
        <v>37</v>
      </c>
      <c r="D1386" s="33">
        <v>4430265054</v>
      </c>
      <c r="E1386" s="33">
        <v>2696</v>
      </c>
      <c r="F1386" s="33">
        <v>2663</v>
      </c>
      <c r="G1386" s="33" t="s">
        <v>38</v>
      </c>
      <c r="H1386" s="33" t="s">
        <v>2814</v>
      </c>
      <c r="I1386" s="33" t="s">
        <v>39</v>
      </c>
      <c r="J1386" s="33" t="s">
        <v>40</v>
      </c>
      <c r="K1386" s="33" t="s">
        <v>41</v>
      </c>
      <c r="L1386" s="33"/>
    </row>
    <row r="1387" spans="1:12" s="1" customFormat="1" x14ac:dyDescent="0.3">
      <c r="A1387" s="33" t="s">
        <v>2815</v>
      </c>
      <c r="B1387" s="33">
        <v>44991396687</v>
      </c>
      <c r="C1387" s="33" t="s">
        <v>43</v>
      </c>
      <c r="D1387" s="33">
        <v>4430265054</v>
      </c>
      <c r="E1387" s="33">
        <v>912</v>
      </c>
      <c r="F1387" s="33">
        <v>876</v>
      </c>
      <c r="G1387" s="33" t="s">
        <v>38</v>
      </c>
      <c r="H1387" s="33" t="s">
        <v>2816</v>
      </c>
      <c r="I1387" s="33" t="s">
        <v>39</v>
      </c>
      <c r="J1387" s="33" t="s">
        <v>40</v>
      </c>
      <c r="K1387" s="33" t="s">
        <v>41</v>
      </c>
      <c r="L1387" s="33">
        <v>5</v>
      </c>
    </row>
    <row r="1388" spans="1:12" s="1" customFormat="1" x14ac:dyDescent="0.3">
      <c r="A1388" s="33" t="s">
        <v>2817</v>
      </c>
      <c r="B1388" s="33">
        <v>4436372125</v>
      </c>
      <c r="C1388" s="33" t="s">
        <v>42</v>
      </c>
      <c r="D1388" s="33">
        <v>4430265054</v>
      </c>
      <c r="E1388" s="33">
        <v>902</v>
      </c>
      <c r="F1388" s="33">
        <v>883</v>
      </c>
      <c r="G1388" s="33" t="s">
        <v>38</v>
      </c>
      <c r="H1388" s="33" t="s">
        <v>2818</v>
      </c>
      <c r="I1388" s="33" t="s">
        <v>39</v>
      </c>
      <c r="J1388" s="33" t="s">
        <v>40</v>
      </c>
      <c r="K1388" s="33" t="s">
        <v>41</v>
      </c>
      <c r="L1388" s="33"/>
    </row>
    <row r="1389" spans="1:12" s="1" customFormat="1" x14ac:dyDescent="0.3">
      <c r="A1389" s="33" t="s">
        <v>2819</v>
      </c>
      <c r="B1389" s="33">
        <v>44997710633</v>
      </c>
      <c r="C1389" s="33" t="s">
        <v>37</v>
      </c>
      <c r="D1389" s="33">
        <v>4430265054</v>
      </c>
      <c r="E1389" s="33">
        <v>211</v>
      </c>
      <c r="F1389" s="33">
        <v>113</v>
      </c>
      <c r="G1389" s="33" t="s">
        <v>38</v>
      </c>
      <c r="H1389" s="33" t="s">
        <v>2820</v>
      </c>
      <c r="I1389" s="33" t="s">
        <v>39</v>
      </c>
      <c r="J1389" s="33" t="s">
        <v>40</v>
      </c>
      <c r="K1389" s="33" t="s">
        <v>41</v>
      </c>
      <c r="L1389" s="33"/>
    </row>
    <row r="1390" spans="1:12" s="1" customFormat="1" x14ac:dyDescent="0.3">
      <c r="A1390" s="33" t="s">
        <v>2821</v>
      </c>
      <c r="B1390" s="33" t="s">
        <v>42</v>
      </c>
      <c r="C1390" s="33">
        <v>44998717172</v>
      </c>
      <c r="D1390" s="33"/>
      <c r="E1390" s="33">
        <v>534</v>
      </c>
      <c r="F1390" s="33">
        <v>519</v>
      </c>
      <c r="G1390" s="33" t="s">
        <v>38</v>
      </c>
      <c r="H1390" s="33" t="s">
        <v>2822</v>
      </c>
      <c r="I1390" s="33" t="s">
        <v>46</v>
      </c>
      <c r="J1390" s="33" t="s">
        <v>40</v>
      </c>
      <c r="K1390" s="33"/>
      <c r="L1390" s="33"/>
    </row>
    <row r="1391" spans="1:12" s="1" customFormat="1" x14ac:dyDescent="0.3">
      <c r="A1391" s="33" t="s">
        <v>2823</v>
      </c>
      <c r="B1391" s="33">
        <v>4130760170</v>
      </c>
      <c r="C1391" s="33" t="s">
        <v>37</v>
      </c>
      <c r="D1391" s="33">
        <v>4430265054</v>
      </c>
      <c r="E1391" s="33">
        <v>560</v>
      </c>
      <c r="F1391" s="33">
        <v>457</v>
      </c>
      <c r="G1391" s="33" t="s">
        <v>38</v>
      </c>
      <c r="H1391" s="33" t="s">
        <v>2824</v>
      </c>
      <c r="I1391" s="33" t="s">
        <v>39</v>
      </c>
      <c r="J1391" s="33" t="s">
        <v>40</v>
      </c>
      <c r="K1391" s="33" t="s">
        <v>41</v>
      </c>
      <c r="L1391" s="33">
        <v>5</v>
      </c>
    </row>
    <row r="1392" spans="1:12" s="1" customFormat="1" x14ac:dyDescent="0.3">
      <c r="A1392" s="33" t="s">
        <v>2825</v>
      </c>
      <c r="B1392" s="33">
        <v>11972178961</v>
      </c>
      <c r="C1392" s="33" t="s">
        <v>45</v>
      </c>
      <c r="D1392" s="33">
        <v>4430265054</v>
      </c>
      <c r="E1392" s="33">
        <v>1193</v>
      </c>
      <c r="F1392" s="33">
        <v>1141</v>
      </c>
      <c r="G1392" s="33" t="s">
        <v>38</v>
      </c>
      <c r="H1392" s="33" t="s">
        <v>2826</v>
      </c>
      <c r="I1392" s="33" t="s">
        <v>39</v>
      </c>
      <c r="J1392" s="33" t="s">
        <v>40</v>
      </c>
      <c r="K1392" s="33" t="s">
        <v>41</v>
      </c>
      <c r="L1392" s="33"/>
    </row>
    <row r="1393" spans="1:12" s="1" customFormat="1" x14ac:dyDescent="0.3">
      <c r="A1393" s="33" t="s">
        <v>2827</v>
      </c>
      <c r="B1393" s="33">
        <v>4430317020</v>
      </c>
      <c r="C1393" s="33" t="s">
        <v>43</v>
      </c>
      <c r="D1393" s="33">
        <v>4430265054</v>
      </c>
      <c r="E1393" s="33">
        <v>255</v>
      </c>
      <c r="F1393" s="33">
        <v>213</v>
      </c>
      <c r="G1393" s="33" t="s">
        <v>38</v>
      </c>
      <c r="H1393" s="33" t="s">
        <v>2828</v>
      </c>
      <c r="I1393" s="33" t="s">
        <v>39</v>
      </c>
      <c r="J1393" s="33" t="s">
        <v>40</v>
      </c>
      <c r="K1393" s="33" t="s">
        <v>41</v>
      </c>
      <c r="L1393" s="33"/>
    </row>
    <row r="1394" spans="1:12" s="1" customFormat="1" x14ac:dyDescent="0.3">
      <c r="A1394" s="33" t="s">
        <v>2829</v>
      </c>
      <c r="B1394" s="33">
        <v>1732146970</v>
      </c>
      <c r="C1394" s="33" t="s">
        <v>44</v>
      </c>
      <c r="D1394" s="33">
        <v>4431268225</v>
      </c>
      <c r="E1394" s="33">
        <v>213</v>
      </c>
      <c r="F1394" s="33">
        <v>170</v>
      </c>
      <c r="G1394" s="33" t="s">
        <v>38</v>
      </c>
      <c r="H1394" s="33" t="s">
        <v>2830</v>
      </c>
      <c r="I1394" s="33" t="s">
        <v>39</v>
      </c>
      <c r="J1394" s="33" t="s">
        <v>40</v>
      </c>
      <c r="K1394" s="33" t="s">
        <v>41</v>
      </c>
      <c r="L1394" s="33"/>
    </row>
    <row r="1395" spans="1:12" s="1" customFormat="1" x14ac:dyDescent="0.3">
      <c r="A1395" s="33" t="s">
        <v>2831</v>
      </c>
      <c r="B1395" s="33" t="s">
        <v>44</v>
      </c>
      <c r="C1395" s="33">
        <v>1732146970</v>
      </c>
      <c r="D1395" s="33"/>
      <c r="E1395" s="33">
        <v>78</v>
      </c>
      <c r="F1395" s="33">
        <v>77</v>
      </c>
      <c r="G1395" s="33" t="s">
        <v>38</v>
      </c>
      <c r="H1395" s="33" t="s">
        <v>2832</v>
      </c>
      <c r="I1395" s="33" t="s">
        <v>46</v>
      </c>
      <c r="J1395" s="33" t="s">
        <v>40</v>
      </c>
      <c r="K1395" s="33"/>
      <c r="L1395" s="33"/>
    </row>
    <row r="1396" spans="1:12" s="1" customFormat="1" x14ac:dyDescent="0.3">
      <c r="A1396" s="33" t="s">
        <v>2833</v>
      </c>
      <c r="B1396" s="33">
        <v>41992013248</v>
      </c>
      <c r="C1396" s="33" t="s">
        <v>48</v>
      </c>
      <c r="D1396" s="33">
        <v>4430265054</v>
      </c>
      <c r="E1396" s="33">
        <v>673</v>
      </c>
      <c r="F1396" s="33">
        <v>673</v>
      </c>
      <c r="G1396" s="33" t="s">
        <v>38</v>
      </c>
      <c r="H1396" s="33" t="s">
        <v>2834</v>
      </c>
      <c r="I1396" s="33" t="s">
        <v>39</v>
      </c>
      <c r="J1396" s="33" t="s">
        <v>40</v>
      </c>
      <c r="K1396" s="33" t="s">
        <v>41</v>
      </c>
      <c r="L1396" s="33"/>
    </row>
    <row r="1397" spans="1:12" s="1" customFormat="1" x14ac:dyDescent="0.3">
      <c r="A1397" s="33" t="s">
        <v>2835</v>
      </c>
      <c r="B1397" s="33">
        <v>11972178961</v>
      </c>
      <c r="C1397" s="33" t="s">
        <v>43</v>
      </c>
      <c r="D1397" s="33">
        <v>4430265054</v>
      </c>
      <c r="E1397" s="33">
        <v>153</v>
      </c>
      <c r="F1397" s="33">
        <v>81</v>
      </c>
      <c r="G1397" s="33" t="s">
        <v>38</v>
      </c>
      <c r="H1397" s="33" t="s">
        <v>2836</v>
      </c>
      <c r="I1397" s="33" t="s">
        <v>39</v>
      </c>
      <c r="J1397" s="33" t="s">
        <v>40</v>
      </c>
      <c r="K1397" s="33" t="s">
        <v>41</v>
      </c>
      <c r="L1397" s="33"/>
    </row>
    <row r="1398" spans="1:12" s="1" customFormat="1" x14ac:dyDescent="0.3">
      <c r="A1398" s="33" t="s">
        <v>2837</v>
      </c>
      <c r="B1398" s="33">
        <v>44998717172</v>
      </c>
      <c r="C1398" s="33" t="s">
        <v>42</v>
      </c>
      <c r="D1398" s="33">
        <v>4430265054</v>
      </c>
      <c r="E1398" s="33">
        <v>1844</v>
      </c>
      <c r="F1398" s="33">
        <v>1824</v>
      </c>
      <c r="G1398" s="33" t="s">
        <v>38</v>
      </c>
      <c r="H1398" s="33" t="s">
        <v>2838</v>
      </c>
      <c r="I1398" s="33" t="s">
        <v>39</v>
      </c>
      <c r="J1398" s="33" t="s">
        <v>40</v>
      </c>
      <c r="K1398" s="33" t="s">
        <v>41</v>
      </c>
      <c r="L1398" s="33"/>
    </row>
    <row r="1399" spans="1:12" s="1" customFormat="1" x14ac:dyDescent="0.3">
      <c r="A1399" s="33" t="s">
        <v>2839</v>
      </c>
      <c r="B1399" s="33">
        <v>4430286524</v>
      </c>
      <c r="C1399" s="33" t="s">
        <v>37</v>
      </c>
      <c r="D1399" s="33">
        <v>4430265054</v>
      </c>
      <c r="E1399" s="33">
        <v>1690</v>
      </c>
      <c r="F1399" s="33">
        <v>1625</v>
      </c>
      <c r="G1399" s="33" t="s">
        <v>38</v>
      </c>
      <c r="H1399" s="33" t="s">
        <v>2840</v>
      </c>
      <c r="I1399" s="33" t="s">
        <v>39</v>
      </c>
      <c r="J1399" s="33" t="s">
        <v>40</v>
      </c>
      <c r="K1399" s="33" t="s">
        <v>41</v>
      </c>
      <c r="L1399" s="33">
        <v>5</v>
      </c>
    </row>
    <row r="1400" spans="1:12" s="1" customFormat="1" x14ac:dyDescent="0.3">
      <c r="A1400" s="33" t="s">
        <v>2841</v>
      </c>
      <c r="B1400" s="33" t="s">
        <v>45</v>
      </c>
      <c r="C1400" s="33">
        <v>43999110029</v>
      </c>
      <c r="D1400" s="33"/>
      <c r="E1400" s="33">
        <v>117</v>
      </c>
      <c r="F1400" s="33">
        <v>107</v>
      </c>
      <c r="G1400" s="33" t="s">
        <v>38</v>
      </c>
      <c r="H1400" s="33" t="s">
        <v>2842</v>
      </c>
      <c r="I1400" s="33" t="s">
        <v>46</v>
      </c>
      <c r="J1400" s="33" t="s">
        <v>40</v>
      </c>
      <c r="K1400" s="33"/>
      <c r="L1400" s="33">
        <v>5</v>
      </c>
    </row>
    <row r="1401" spans="1:12" s="1" customFormat="1" x14ac:dyDescent="0.3">
      <c r="A1401" s="33" t="s">
        <v>2843</v>
      </c>
      <c r="B1401" s="33" t="s">
        <v>37</v>
      </c>
      <c r="C1401" s="33">
        <v>44999497001</v>
      </c>
      <c r="D1401" s="33"/>
      <c r="E1401" s="33">
        <v>316</v>
      </c>
      <c r="F1401" s="33">
        <v>308</v>
      </c>
      <c r="G1401" s="33" t="s">
        <v>38</v>
      </c>
      <c r="H1401" s="33" t="s">
        <v>2844</v>
      </c>
      <c r="I1401" s="33" t="s">
        <v>46</v>
      </c>
      <c r="J1401" s="33" t="s">
        <v>40</v>
      </c>
      <c r="K1401" s="33"/>
      <c r="L1401" s="33"/>
    </row>
    <row r="1402" spans="1:12" s="1" customFormat="1" x14ac:dyDescent="0.3">
      <c r="A1402" s="33" t="s">
        <v>2845</v>
      </c>
      <c r="B1402" s="33" t="s">
        <v>42</v>
      </c>
      <c r="C1402" s="33">
        <v>4430286521</v>
      </c>
      <c r="D1402" s="33"/>
      <c r="E1402" s="33">
        <v>1</v>
      </c>
      <c r="F1402" s="33">
        <v>0</v>
      </c>
      <c r="G1402" s="33" t="s">
        <v>47</v>
      </c>
      <c r="H1402" s="33" t="s">
        <v>2846</v>
      </c>
      <c r="I1402" s="33" t="s">
        <v>46</v>
      </c>
      <c r="J1402" s="33" t="s">
        <v>40</v>
      </c>
      <c r="K1402" s="33"/>
      <c r="L1402" s="33"/>
    </row>
    <row r="1403" spans="1:12" s="1" customFormat="1" x14ac:dyDescent="0.3">
      <c r="A1403" s="33" t="s">
        <v>2847</v>
      </c>
      <c r="B1403" s="33">
        <v>4430286521</v>
      </c>
      <c r="C1403" s="33" t="s">
        <v>42</v>
      </c>
      <c r="D1403" s="33">
        <v>4430265054</v>
      </c>
      <c r="E1403" s="33">
        <v>161</v>
      </c>
      <c r="F1403" s="33">
        <v>29</v>
      </c>
      <c r="G1403" s="33" t="s">
        <v>38</v>
      </c>
      <c r="H1403" s="33" t="s">
        <v>2848</v>
      </c>
      <c r="I1403" s="33" t="s">
        <v>39</v>
      </c>
      <c r="J1403" s="33" t="s">
        <v>40</v>
      </c>
      <c r="K1403" s="33" t="s">
        <v>41</v>
      </c>
      <c r="L1403" s="33"/>
    </row>
    <row r="1404" spans="1:12" s="1" customFormat="1" x14ac:dyDescent="0.3">
      <c r="A1404" s="33" t="s">
        <v>2849</v>
      </c>
      <c r="B1404" s="33">
        <v>4432524636</v>
      </c>
      <c r="C1404" s="33" t="s">
        <v>45</v>
      </c>
      <c r="D1404" s="33">
        <v>4430265054</v>
      </c>
      <c r="E1404" s="33">
        <v>116</v>
      </c>
      <c r="F1404" s="33">
        <v>96</v>
      </c>
      <c r="G1404" s="33" t="s">
        <v>38</v>
      </c>
      <c r="H1404" s="33" t="s">
        <v>2850</v>
      </c>
      <c r="I1404" s="33" t="s">
        <v>39</v>
      </c>
      <c r="J1404" s="33" t="s">
        <v>40</v>
      </c>
      <c r="K1404" s="33" t="s">
        <v>41</v>
      </c>
      <c r="L1404" s="33"/>
    </row>
    <row r="1405" spans="1:12" s="1" customFormat="1" x14ac:dyDescent="0.3">
      <c r="A1405" s="33" t="s">
        <v>2851</v>
      </c>
      <c r="B1405" s="33" t="s">
        <v>42</v>
      </c>
      <c r="C1405" s="33">
        <v>11980176021</v>
      </c>
      <c r="D1405" s="33"/>
      <c r="E1405" s="33">
        <v>4</v>
      </c>
      <c r="F1405" s="33">
        <v>0</v>
      </c>
      <c r="G1405" s="33" t="s">
        <v>47</v>
      </c>
      <c r="H1405" s="33" t="s">
        <v>2852</v>
      </c>
      <c r="I1405" s="33" t="s">
        <v>46</v>
      </c>
      <c r="J1405" s="33" t="s">
        <v>40</v>
      </c>
      <c r="K1405" s="33"/>
      <c r="L1405" s="33"/>
    </row>
    <row r="1406" spans="1:12" s="1" customFormat="1" x14ac:dyDescent="0.3">
      <c r="A1406" s="33" t="s">
        <v>2853</v>
      </c>
      <c r="B1406" s="33" t="s">
        <v>42</v>
      </c>
      <c r="C1406" s="33">
        <v>11980176021</v>
      </c>
      <c r="D1406" s="33"/>
      <c r="E1406" s="33">
        <v>6</v>
      </c>
      <c r="F1406" s="33">
        <v>0</v>
      </c>
      <c r="G1406" s="33" t="s">
        <v>47</v>
      </c>
      <c r="H1406" s="33" t="s">
        <v>2854</v>
      </c>
      <c r="I1406" s="33" t="s">
        <v>46</v>
      </c>
      <c r="J1406" s="33" t="s">
        <v>40</v>
      </c>
      <c r="K1406" s="33"/>
      <c r="L1406" s="33"/>
    </row>
    <row r="1407" spans="1:12" s="1" customFormat="1" x14ac:dyDescent="0.3">
      <c r="A1407" s="33" t="s">
        <v>2855</v>
      </c>
      <c r="B1407" s="33">
        <v>3432424736</v>
      </c>
      <c r="C1407" s="33" t="s">
        <v>43</v>
      </c>
      <c r="D1407" s="33">
        <v>4430265054</v>
      </c>
      <c r="E1407" s="33">
        <v>1145</v>
      </c>
      <c r="F1407" s="33">
        <v>1093</v>
      </c>
      <c r="G1407" s="33" t="s">
        <v>38</v>
      </c>
      <c r="H1407" s="33" t="s">
        <v>2856</v>
      </c>
      <c r="I1407" s="33" t="s">
        <v>39</v>
      </c>
      <c r="J1407" s="33" t="s">
        <v>40</v>
      </c>
      <c r="K1407" s="33" t="s">
        <v>41</v>
      </c>
      <c r="L1407" s="33"/>
    </row>
    <row r="1408" spans="1:12" s="1" customFormat="1" x14ac:dyDescent="0.3">
      <c r="A1408" s="33" t="s">
        <v>2857</v>
      </c>
      <c r="B1408" s="33">
        <v>43999110029</v>
      </c>
      <c r="C1408" s="33" t="s">
        <v>45</v>
      </c>
      <c r="D1408" s="33">
        <v>4430265054</v>
      </c>
      <c r="E1408" s="33">
        <v>821</v>
      </c>
      <c r="F1408" s="33">
        <v>713</v>
      </c>
      <c r="G1408" s="33" t="s">
        <v>38</v>
      </c>
      <c r="H1408" s="33" t="s">
        <v>2858</v>
      </c>
      <c r="I1408" s="33" t="s">
        <v>39</v>
      </c>
      <c r="J1408" s="33" t="s">
        <v>40</v>
      </c>
      <c r="K1408" s="33" t="s">
        <v>41</v>
      </c>
      <c r="L1408" s="33"/>
    </row>
    <row r="1409" spans="1:12" s="1" customFormat="1" x14ac:dyDescent="0.3">
      <c r="A1409" s="33" t="s">
        <v>2859</v>
      </c>
      <c r="B1409" s="33">
        <v>4626041930</v>
      </c>
      <c r="C1409" s="33" t="s">
        <v>44</v>
      </c>
      <c r="D1409" s="33">
        <v>4430265054</v>
      </c>
      <c r="E1409" s="33">
        <v>701</v>
      </c>
      <c r="F1409" s="33">
        <v>631</v>
      </c>
      <c r="G1409" s="33" t="s">
        <v>38</v>
      </c>
      <c r="H1409" s="33" t="s">
        <v>2860</v>
      </c>
      <c r="I1409" s="33" t="s">
        <v>39</v>
      </c>
      <c r="J1409" s="33" t="s">
        <v>40</v>
      </c>
      <c r="K1409" s="33" t="s">
        <v>41</v>
      </c>
      <c r="L1409" s="33">
        <v>5</v>
      </c>
    </row>
    <row r="1410" spans="1:12" s="1" customFormat="1" x14ac:dyDescent="0.3">
      <c r="A1410" s="33" t="s">
        <v>2861</v>
      </c>
      <c r="B1410" s="33" t="s">
        <v>45</v>
      </c>
      <c r="C1410" s="33">
        <v>19998149202</v>
      </c>
      <c r="D1410" s="33"/>
      <c r="E1410" s="33">
        <v>37</v>
      </c>
      <c r="F1410" s="33">
        <v>26</v>
      </c>
      <c r="G1410" s="33" t="s">
        <v>38</v>
      </c>
      <c r="H1410" s="33" t="s">
        <v>2862</v>
      </c>
      <c r="I1410" s="33" t="s">
        <v>46</v>
      </c>
      <c r="J1410" s="33" t="s">
        <v>40</v>
      </c>
      <c r="K1410" s="33"/>
      <c r="L1410" s="33"/>
    </row>
    <row r="1411" spans="1:12" s="1" customFormat="1" x14ac:dyDescent="0.3">
      <c r="A1411" s="33" t="s">
        <v>2863</v>
      </c>
      <c r="B1411" s="33" t="s">
        <v>49</v>
      </c>
      <c r="C1411" s="33" t="s">
        <v>51</v>
      </c>
      <c r="D1411" s="33"/>
      <c r="E1411" s="33">
        <v>576</v>
      </c>
      <c r="F1411" s="33">
        <v>571</v>
      </c>
      <c r="G1411" s="33" t="s">
        <v>38</v>
      </c>
      <c r="H1411" s="33" t="s">
        <v>2864</v>
      </c>
      <c r="I1411" s="33" t="s">
        <v>52</v>
      </c>
      <c r="J1411" s="33" t="s">
        <v>40</v>
      </c>
      <c r="K1411" s="33"/>
      <c r="L1411" s="33"/>
    </row>
    <row r="1412" spans="1:12" s="1" customFormat="1" x14ac:dyDescent="0.3">
      <c r="A1412" s="33" t="s">
        <v>2865</v>
      </c>
      <c r="B1412" s="33" t="s">
        <v>45</v>
      </c>
      <c r="C1412" s="33">
        <v>44999090169</v>
      </c>
      <c r="D1412" s="33"/>
      <c r="E1412" s="33">
        <v>109</v>
      </c>
      <c r="F1412" s="33">
        <v>98</v>
      </c>
      <c r="G1412" s="33" t="s">
        <v>38</v>
      </c>
      <c r="H1412" s="33" t="s">
        <v>2866</v>
      </c>
      <c r="I1412" s="33" t="s">
        <v>46</v>
      </c>
      <c r="J1412" s="33" t="s">
        <v>40</v>
      </c>
      <c r="K1412" s="33"/>
      <c r="L1412" s="33">
        <v>5</v>
      </c>
    </row>
    <row r="1413" spans="1:12" s="1" customFormat="1" x14ac:dyDescent="0.3">
      <c r="A1413" s="33" t="s">
        <v>2867</v>
      </c>
      <c r="B1413" s="33" t="s">
        <v>45</v>
      </c>
      <c r="C1413" s="33">
        <v>44999090169</v>
      </c>
      <c r="D1413" s="33"/>
      <c r="E1413" s="33">
        <v>70</v>
      </c>
      <c r="F1413" s="33">
        <v>30</v>
      </c>
      <c r="G1413" s="33" t="s">
        <v>38</v>
      </c>
      <c r="H1413" s="33" t="s">
        <v>2868</v>
      </c>
      <c r="I1413" s="33" t="s">
        <v>46</v>
      </c>
      <c r="J1413" s="33" t="s">
        <v>40</v>
      </c>
      <c r="K1413" s="33"/>
      <c r="L1413" s="33"/>
    </row>
    <row r="1414" spans="1:12" s="1" customFormat="1" x14ac:dyDescent="0.3">
      <c r="A1414" s="33" t="s">
        <v>2869</v>
      </c>
      <c r="B1414" s="33" t="s">
        <v>45</v>
      </c>
      <c r="C1414" s="33">
        <v>35998295948</v>
      </c>
      <c r="D1414" s="33"/>
      <c r="E1414" s="33">
        <v>1</v>
      </c>
      <c r="F1414" s="33">
        <v>0</v>
      </c>
      <c r="G1414" s="33" t="s">
        <v>47</v>
      </c>
      <c r="H1414" s="33" t="s">
        <v>2870</v>
      </c>
      <c r="I1414" s="33" t="s">
        <v>46</v>
      </c>
      <c r="J1414" s="33" t="s">
        <v>40</v>
      </c>
      <c r="K1414" s="33"/>
      <c r="L1414" s="33"/>
    </row>
    <row r="1415" spans="1:12" s="1" customFormat="1" x14ac:dyDescent="0.3">
      <c r="A1415" s="33" t="s">
        <v>2871</v>
      </c>
      <c r="B1415" s="33">
        <v>44999571792</v>
      </c>
      <c r="C1415" s="33" t="s">
        <v>44</v>
      </c>
      <c r="D1415" s="33">
        <v>4430265054</v>
      </c>
      <c r="E1415" s="33">
        <v>974</v>
      </c>
      <c r="F1415" s="33">
        <v>928</v>
      </c>
      <c r="G1415" s="33" t="s">
        <v>38</v>
      </c>
      <c r="H1415" s="33" t="s">
        <v>2872</v>
      </c>
      <c r="I1415" s="33" t="s">
        <v>39</v>
      </c>
      <c r="J1415" s="33" t="s">
        <v>40</v>
      </c>
      <c r="K1415" s="33" t="s">
        <v>41</v>
      </c>
      <c r="L1415" s="33"/>
    </row>
    <row r="1416" spans="1:12" s="1" customFormat="1" x14ac:dyDescent="0.3">
      <c r="A1416" s="33" t="s">
        <v>2873</v>
      </c>
      <c r="B1416" s="33">
        <v>44999497001</v>
      </c>
      <c r="C1416" s="33" t="s">
        <v>44</v>
      </c>
      <c r="D1416" s="33">
        <v>4430265054</v>
      </c>
      <c r="E1416" s="33">
        <v>334</v>
      </c>
      <c r="F1416" s="33">
        <v>319</v>
      </c>
      <c r="G1416" s="33" t="s">
        <v>38</v>
      </c>
      <c r="H1416" s="33" t="s">
        <v>2874</v>
      </c>
      <c r="I1416" s="33" t="s">
        <v>39</v>
      </c>
      <c r="J1416" s="33" t="s">
        <v>40</v>
      </c>
      <c r="K1416" s="33" t="s">
        <v>41</v>
      </c>
      <c r="L1416" s="33"/>
    </row>
    <row r="1417" spans="1:12" s="1" customFormat="1" x14ac:dyDescent="0.3">
      <c r="A1417" s="33" t="s">
        <v>2875</v>
      </c>
      <c r="B1417" s="33">
        <v>4532541802</v>
      </c>
      <c r="C1417" s="33" t="s">
        <v>37</v>
      </c>
      <c r="D1417" s="33">
        <v>4430265054</v>
      </c>
      <c r="E1417" s="33">
        <v>2791</v>
      </c>
      <c r="F1417" s="33">
        <v>2691</v>
      </c>
      <c r="G1417" s="33" t="s">
        <v>38</v>
      </c>
      <c r="H1417" s="33" t="s">
        <v>2876</v>
      </c>
      <c r="I1417" s="33" t="s">
        <v>39</v>
      </c>
      <c r="J1417" s="33" t="s">
        <v>40</v>
      </c>
      <c r="K1417" s="33" t="s">
        <v>41</v>
      </c>
      <c r="L1417" s="33">
        <v>5</v>
      </c>
    </row>
    <row r="1418" spans="1:12" s="1" customFormat="1" x14ac:dyDescent="0.3">
      <c r="A1418" s="33" t="s">
        <v>2877</v>
      </c>
      <c r="B1418" s="33">
        <v>62994086124</v>
      </c>
      <c r="C1418" s="33" t="s">
        <v>42</v>
      </c>
      <c r="D1418" s="33">
        <v>4430265054</v>
      </c>
      <c r="E1418" s="33">
        <v>479</v>
      </c>
      <c r="F1418" s="33">
        <v>443</v>
      </c>
      <c r="G1418" s="33" t="s">
        <v>38</v>
      </c>
      <c r="H1418" s="33" t="s">
        <v>2878</v>
      </c>
      <c r="I1418" s="33" t="s">
        <v>39</v>
      </c>
      <c r="J1418" s="33" t="s">
        <v>40</v>
      </c>
      <c r="K1418" s="33" t="s">
        <v>41</v>
      </c>
      <c r="L1418" s="33"/>
    </row>
    <row r="1419" spans="1:12" s="1" customFormat="1" x14ac:dyDescent="0.3">
      <c r="A1419" s="33" t="s">
        <v>2879</v>
      </c>
      <c r="B1419" s="33">
        <v>35998295948</v>
      </c>
      <c r="C1419" s="33" t="s">
        <v>45</v>
      </c>
      <c r="D1419" s="33">
        <v>4430265054</v>
      </c>
      <c r="E1419" s="33">
        <v>2705</v>
      </c>
      <c r="F1419" s="33">
        <v>2667</v>
      </c>
      <c r="G1419" s="33" t="s">
        <v>38</v>
      </c>
      <c r="H1419" s="33" t="s">
        <v>2880</v>
      </c>
      <c r="I1419" s="33" t="s">
        <v>39</v>
      </c>
      <c r="J1419" s="33" t="s">
        <v>40</v>
      </c>
      <c r="K1419" s="33" t="s">
        <v>41</v>
      </c>
      <c r="L1419" s="33"/>
    </row>
    <row r="1420" spans="1:12" s="1" customFormat="1" x14ac:dyDescent="0.3">
      <c r="A1420" s="33" t="s">
        <v>2881</v>
      </c>
      <c r="B1420" s="33">
        <v>4330333542</v>
      </c>
      <c r="C1420" s="33" t="s">
        <v>37</v>
      </c>
      <c r="D1420" s="33">
        <v>4430265054</v>
      </c>
      <c r="E1420" s="33">
        <v>1349</v>
      </c>
      <c r="F1420" s="33">
        <v>1319</v>
      </c>
      <c r="G1420" s="33" t="s">
        <v>38</v>
      </c>
      <c r="H1420" s="33" t="s">
        <v>2882</v>
      </c>
      <c r="I1420" s="33" t="s">
        <v>39</v>
      </c>
      <c r="J1420" s="33" t="s">
        <v>40</v>
      </c>
      <c r="K1420" s="33" t="s">
        <v>41</v>
      </c>
      <c r="L1420" s="33"/>
    </row>
    <row r="1421" spans="1:12" s="1" customFormat="1" x14ac:dyDescent="0.3">
      <c r="A1421" s="33" t="s">
        <v>2883</v>
      </c>
      <c r="B1421" s="33">
        <v>1732146970</v>
      </c>
      <c r="C1421" s="33" t="s">
        <v>44</v>
      </c>
      <c r="D1421" s="33">
        <v>4431268225</v>
      </c>
      <c r="E1421" s="33">
        <v>1244</v>
      </c>
      <c r="F1421" s="33">
        <v>1185</v>
      </c>
      <c r="G1421" s="33" t="s">
        <v>38</v>
      </c>
      <c r="H1421" s="33" t="s">
        <v>2884</v>
      </c>
      <c r="I1421" s="33" t="s">
        <v>39</v>
      </c>
      <c r="J1421" s="33" t="s">
        <v>40</v>
      </c>
      <c r="K1421" s="33" t="s">
        <v>41</v>
      </c>
      <c r="L1421" s="33"/>
    </row>
    <row r="1422" spans="1:12" s="1" customFormat="1" x14ac:dyDescent="0.3">
      <c r="A1422" s="33" t="s">
        <v>2885</v>
      </c>
      <c r="B1422" s="33">
        <v>44984225332</v>
      </c>
      <c r="C1422" s="33" t="s">
        <v>44</v>
      </c>
      <c r="D1422" s="33">
        <v>4430265054</v>
      </c>
      <c r="E1422" s="33">
        <v>471</v>
      </c>
      <c r="F1422" s="33">
        <v>413</v>
      </c>
      <c r="G1422" s="33" t="s">
        <v>38</v>
      </c>
      <c r="H1422" s="33" t="s">
        <v>2886</v>
      </c>
      <c r="I1422" s="33" t="s">
        <v>39</v>
      </c>
      <c r="J1422" s="33" t="s">
        <v>40</v>
      </c>
      <c r="K1422" s="33" t="s">
        <v>41</v>
      </c>
      <c r="L1422" s="33"/>
    </row>
    <row r="1423" spans="1:12" s="1" customFormat="1" x14ac:dyDescent="0.3">
      <c r="A1423" s="33" t="s">
        <v>2887</v>
      </c>
      <c r="B1423" s="33" t="s">
        <v>37</v>
      </c>
      <c r="C1423" s="33">
        <v>4430290001</v>
      </c>
      <c r="D1423" s="33"/>
      <c r="E1423" s="33">
        <v>724</v>
      </c>
      <c r="F1423" s="33">
        <v>717</v>
      </c>
      <c r="G1423" s="33" t="s">
        <v>38</v>
      </c>
      <c r="H1423" s="33" t="s">
        <v>2888</v>
      </c>
      <c r="I1423" s="33" t="s">
        <v>46</v>
      </c>
      <c r="J1423" s="33" t="s">
        <v>40</v>
      </c>
      <c r="K1423" s="33"/>
      <c r="L1423" s="33"/>
    </row>
    <row r="1424" spans="1:12" s="1" customFormat="1" x14ac:dyDescent="0.3">
      <c r="A1424" s="33" t="s">
        <v>2889</v>
      </c>
      <c r="B1424" s="33" t="s">
        <v>37</v>
      </c>
      <c r="C1424" s="33">
        <v>44999911201</v>
      </c>
      <c r="D1424" s="33"/>
      <c r="E1424" s="33">
        <v>38</v>
      </c>
      <c r="F1424" s="33">
        <v>0</v>
      </c>
      <c r="G1424" s="33" t="s">
        <v>47</v>
      </c>
      <c r="H1424" s="33" t="s">
        <v>2890</v>
      </c>
      <c r="I1424" s="33" t="s">
        <v>46</v>
      </c>
      <c r="J1424" s="33" t="s">
        <v>40</v>
      </c>
      <c r="K1424" s="33"/>
      <c r="L1424" s="33"/>
    </row>
    <row r="1425" spans="1:13" x14ac:dyDescent="0.3">
      <c r="A1425" s="33" t="s">
        <v>2891</v>
      </c>
      <c r="B1425" s="33" t="s">
        <v>49</v>
      </c>
      <c r="C1425" s="33">
        <v>11998756965</v>
      </c>
      <c r="E1425" s="33">
        <v>20</v>
      </c>
      <c r="F1425" s="33">
        <v>10</v>
      </c>
      <c r="G1425" s="33" t="s">
        <v>38</v>
      </c>
      <c r="H1425" s="33" t="s">
        <v>2892</v>
      </c>
      <c r="I1425" s="33" t="s">
        <v>46</v>
      </c>
      <c r="J1425" s="33" t="s">
        <v>40</v>
      </c>
      <c r="M1425" s="1"/>
    </row>
    <row r="1426" spans="1:13" x14ac:dyDescent="0.3">
      <c r="A1426" s="33" t="s">
        <v>2893</v>
      </c>
      <c r="B1426" s="33">
        <v>44997079838</v>
      </c>
      <c r="C1426" s="33" t="s">
        <v>45</v>
      </c>
      <c r="D1426" s="33">
        <v>4430265054</v>
      </c>
      <c r="E1426" s="33">
        <v>49</v>
      </c>
      <c r="F1426" s="33">
        <v>8</v>
      </c>
      <c r="G1426" s="33" t="s">
        <v>38</v>
      </c>
      <c r="H1426" s="33" t="s">
        <v>2894</v>
      </c>
      <c r="I1426" s="33" t="s">
        <v>39</v>
      </c>
      <c r="J1426" s="33" t="s">
        <v>40</v>
      </c>
      <c r="K1426" s="33" t="s">
        <v>41</v>
      </c>
      <c r="M1426" s="1"/>
    </row>
    <row r="1427" spans="1:13" x14ac:dyDescent="0.3">
      <c r="A1427" s="33" t="s">
        <v>2895</v>
      </c>
      <c r="B1427" s="33">
        <v>41992013248</v>
      </c>
      <c r="C1427" s="33" t="s">
        <v>45</v>
      </c>
      <c r="D1427" s="33">
        <v>4430265054</v>
      </c>
      <c r="E1427" s="33">
        <v>291</v>
      </c>
      <c r="F1427" s="33">
        <v>227</v>
      </c>
      <c r="G1427" s="33" t="s">
        <v>38</v>
      </c>
      <c r="H1427" s="33" t="s">
        <v>2896</v>
      </c>
      <c r="I1427" s="33" t="s">
        <v>39</v>
      </c>
      <c r="J1427" s="33" t="s">
        <v>40</v>
      </c>
      <c r="K1427" s="33" t="s">
        <v>41</v>
      </c>
      <c r="M1427" s="1"/>
    </row>
    <row r="1428" spans="1:13" x14ac:dyDescent="0.3">
      <c r="A1428" s="33" t="s">
        <v>2897</v>
      </c>
      <c r="B1428" s="33">
        <v>44991668902</v>
      </c>
      <c r="C1428" s="33" t="s">
        <v>37</v>
      </c>
      <c r="D1428" s="33">
        <v>4430265054</v>
      </c>
      <c r="E1428" s="33">
        <v>1481</v>
      </c>
      <c r="F1428" s="33">
        <v>1451</v>
      </c>
      <c r="G1428" s="33" t="s">
        <v>38</v>
      </c>
      <c r="H1428" s="33" t="s">
        <v>2898</v>
      </c>
      <c r="I1428" s="33" t="s">
        <v>39</v>
      </c>
      <c r="J1428" s="33" t="s">
        <v>40</v>
      </c>
      <c r="K1428" s="33" t="s">
        <v>41</v>
      </c>
      <c r="M1428" s="1"/>
    </row>
    <row r="1429" spans="1:13" x14ac:dyDescent="0.3">
      <c r="A1429" s="33" t="s">
        <v>2899</v>
      </c>
      <c r="B1429" s="33" t="s">
        <v>42</v>
      </c>
      <c r="C1429" s="33">
        <v>35998295948</v>
      </c>
      <c r="E1429" s="33">
        <v>1543</v>
      </c>
      <c r="F1429" s="33">
        <v>1532</v>
      </c>
      <c r="G1429" s="33" t="s">
        <v>38</v>
      </c>
      <c r="H1429" s="33" t="s">
        <v>2900</v>
      </c>
      <c r="I1429" s="33" t="s">
        <v>46</v>
      </c>
      <c r="J1429" s="33" t="s">
        <v>40</v>
      </c>
      <c r="M1429" s="1"/>
    </row>
    <row r="1430" spans="1:13" x14ac:dyDescent="0.3">
      <c r="A1430" s="33" t="s">
        <v>2901</v>
      </c>
      <c r="B1430" s="33">
        <v>44999571792</v>
      </c>
      <c r="C1430" s="33" t="s">
        <v>44</v>
      </c>
      <c r="D1430" s="33">
        <v>4430265054</v>
      </c>
      <c r="E1430" s="33">
        <v>552</v>
      </c>
      <c r="F1430" s="33">
        <v>486</v>
      </c>
      <c r="G1430" s="33" t="s">
        <v>38</v>
      </c>
      <c r="H1430" s="33" t="s">
        <v>2902</v>
      </c>
      <c r="I1430" s="33" t="s">
        <v>39</v>
      </c>
      <c r="J1430" s="33" t="s">
        <v>40</v>
      </c>
      <c r="K1430" s="33" t="s">
        <v>41</v>
      </c>
      <c r="M1430" s="1"/>
    </row>
    <row r="1431" spans="1:13" x14ac:dyDescent="0.3">
      <c r="A1431" s="33" t="s">
        <v>2903</v>
      </c>
      <c r="B1431" s="33">
        <v>44998717172</v>
      </c>
      <c r="C1431" s="33" t="s">
        <v>43</v>
      </c>
      <c r="D1431" s="33">
        <v>4430265054</v>
      </c>
      <c r="E1431" s="33">
        <v>1294</v>
      </c>
      <c r="F1431" s="33">
        <v>1236</v>
      </c>
      <c r="G1431" s="33" t="s">
        <v>38</v>
      </c>
      <c r="H1431" s="33" t="s">
        <v>2904</v>
      </c>
      <c r="I1431" s="33" t="s">
        <v>39</v>
      </c>
      <c r="J1431" s="33" t="s">
        <v>40</v>
      </c>
      <c r="K1431" s="33" t="s">
        <v>41</v>
      </c>
      <c r="M1431" s="1"/>
    </row>
    <row r="1432" spans="1:13" x14ac:dyDescent="0.3">
      <c r="A1432" s="33" t="s">
        <v>2905</v>
      </c>
      <c r="B1432" s="33">
        <v>4330332823</v>
      </c>
      <c r="C1432" s="33" t="s">
        <v>37</v>
      </c>
      <c r="D1432" s="33">
        <v>4430265054</v>
      </c>
      <c r="E1432" s="33">
        <v>268</v>
      </c>
      <c r="F1432" s="33">
        <v>240</v>
      </c>
      <c r="G1432" s="33" t="s">
        <v>38</v>
      </c>
      <c r="H1432" s="33" t="s">
        <v>2906</v>
      </c>
      <c r="I1432" s="33" t="s">
        <v>39</v>
      </c>
      <c r="J1432" s="33" t="s">
        <v>40</v>
      </c>
      <c r="K1432" s="33" t="s">
        <v>41</v>
      </c>
      <c r="L1432" s="33">
        <v>5</v>
      </c>
      <c r="M1432" s="1"/>
    </row>
    <row r="1433" spans="1:13" x14ac:dyDescent="0.3">
      <c r="A1433" s="33" t="s">
        <v>2907</v>
      </c>
      <c r="B1433" s="33" t="s">
        <v>45</v>
      </c>
      <c r="C1433" s="33">
        <v>44998387878</v>
      </c>
      <c r="E1433" s="33">
        <v>49</v>
      </c>
      <c r="F1433" s="33">
        <v>30</v>
      </c>
      <c r="G1433" s="33" t="s">
        <v>38</v>
      </c>
      <c r="H1433" s="33" t="s">
        <v>2908</v>
      </c>
      <c r="I1433" s="33" t="s">
        <v>46</v>
      </c>
      <c r="J1433" s="33" t="s">
        <v>40</v>
      </c>
      <c r="M1433" s="1"/>
    </row>
    <row r="1434" spans="1:13" x14ac:dyDescent="0.3">
      <c r="A1434" s="33" t="s">
        <v>2909</v>
      </c>
      <c r="B1434" s="33">
        <v>35998295948</v>
      </c>
      <c r="C1434" s="33" t="s">
        <v>42</v>
      </c>
      <c r="D1434" s="33">
        <v>4430265054</v>
      </c>
      <c r="E1434" s="33">
        <v>1033</v>
      </c>
      <c r="F1434" s="33">
        <v>939</v>
      </c>
      <c r="G1434" s="33" t="s">
        <v>38</v>
      </c>
      <c r="H1434" s="33" t="s">
        <v>2910</v>
      </c>
      <c r="I1434" s="33" t="s">
        <v>39</v>
      </c>
      <c r="J1434" s="33" t="s">
        <v>40</v>
      </c>
      <c r="K1434" s="33" t="s">
        <v>41</v>
      </c>
      <c r="M1434" s="1"/>
    </row>
    <row r="1435" spans="1:13" x14ac:dyDescent="0.3">
      <c r="A1435" s="33" t="s">
        <v>2911</v>
      </c>
      <c r="B1435" s="33" t="s">
        <v>37</v>
      </c>
      <c r="C1435" s="33">
        <v>11998030658</v>
      </c>
      <c r="E1435" s="33">
        <v>321</v>
      </c>
      <c r="F1435" s="33">
        <v>315</v>
      </c>
      <c r="G1435" s="33" t="s">
        <v>38</v>
      </c>
      <c r="H1435" s="33" t="s">
        <v>2912</v>
      </c>
      <c r="I1435" s="33" t="s">
        <v>46</v>
      </c>
      <c r="J1435" s="33" t="s">
        <v>40</v>
      </c>
      <c r="L1435" s="33">
        <v>5</v>
      </c>
      <c r="M1435" s="1"/>
    </row>
    <row r="1436" spans="1:13" x14ac:dyDescent="0.3">
      <c r="A1436" s="33" t="s">
        <v>2913</v>
      </c>
      <c r="B1436" s="33">
        <v>4437711441</v>
      </c>
      <c r="C1436" s="33" t="s">
        <v>43</v>
      </c>
      <c r="D1436" s="33">
        <v>4430265054</v>
      </c>
      <c r="E1436" s="33">
        <v>253</v>
      </c>
      <c r="F1436" s="33">
        <v>230</v>
      </c>
      <c r="G1436" s="33" t="s">
        <v>38</v>
      </c>
      <c r="H1436" s="33" t="s">
        <v>2914</v>
      </c>
      <c r="I1436" s="33" t="s">
        <v>39</v>
      </c>
      <c r="J1436" s="33" t="s">
        <v>40</v>
      </c>
      <c r="K1436" s="33" t="s">
        <v>41</v>
      </c>
      <c r="M1436" s="26"/>
    </row>
    <row r="1437" spans="1:13" x14ac:dyDescent="0.3">
      <c r="A1437" s="33" t="s">
        <v>2915</v>
      </c>
      <c r="B1437" s="33">
        <v>11942253033</v>
      </c>
      <c r="C1437" s="33" t="s">
        <v>45</v>
      </c>
      <c r="D1437" s="33">
        <v>4430265054</v>
      </c>
      <c r="E1437" s="33">
        <v>236</v>
      </c>
      <c r="F1437" s="33">
        <v>195</v>
      </c>
      <c r="G1437" s="33" t="s">
        <v>38</v>
      </c>
      <c r="H1437" s="33" t="s">
        <v>2916</v>
      </c>
      <c r="I1437" s="33" t="s">
        <v>39</v>
      </c>
      <c r="J1437" s="33" t="s">
        <v>40</v>
      </c>
      <c r="K1437" s="33" t="s">
        <v>41</v>
      </c>
      <c r="L1437" s="33">
        <v>5</v>
      </c>
      <c r="M1437" s="1"/>
    </row>
    <row r="1438" spans="1:13" x14ac:dyDescent="0.3">
      <c r="A1438" s="33" t="s">
        <v>2917</v>
      </c>
      <c r="B1438" s="33">
        <v>4430289492</v>
      </c>
      <c r="C1438" s="33" t="s">
        <v>44</v>
      </c>
      <c r="D1438" s="33">
        <v>4430265054</v>
      </c>
      <c r="E1438" s="33">
        <v>435</v>
      </c>
      <c r="F1438" s="33">
        <v>378</v>
      </c>
      <c r="G1438" s="33" t="s">
        <v>38</v>
      </c>
      <c r="H1438" s="33" t="s">
        <v>2918</v>
      </c>
      <c r="I1438" s="33" t="s">
        <v>39</v>
      </c>
      <c r="J1438" s="33" t="s">
        <v>40</v>
      </c>
      <c r="K1438" s="33" t="s">
        <v>41</v>
      </c>
      <c r="M1438" s="1"/>
    </row>
    <row r="1439" spans="1:13" x14ac:dyDescent="0.3">
      <c r="A1439" s="33" t="s">
        <v>2919</v>
      </c>
      <c r="B1439" s="33">
        <v>4430191401</v>
      </c>
      <c r="C1439" s="33" t="s">
        <v>45</v>
      </c>
      <c r="D1439" s="33">
        <v>4430265054</v>
      </c>
      <c r="E1439" s="33">
        <v>528</v>
      </c>
      <c r="F1439" s="33">
        <v>413</v>
      </c>
      <c r="G1439" s="33" t="s">
        <v>38</v>
      </c>
      <c r="H1439" s="33" t="s">
        <v>2920</v>
      </c>
      <c r="I1439" s="33" t="s">
        <v>39</v>
      </c>
      <c r="J1439" s="33" t="s">
        <v>40</v>
      </c>
      <c r="K1439" s="33" t="s">
        <v>41</v>
      </c>
      <c r="L1439" s="33">
        <v>5</v>
      </c>
      <c r="M1439" s="1"/>
    </row>
    <row r="1440" spans="1:13" x14ac:dyDescent="0.3">
      <c r="A1440" s="33" t="s">
        <v>2921</v>
      </c>
      <c r="B1440" s="33">
        <v>45999334612</v>
      </c>
      <c r="C1440" s="33" t="s">
        <v>43</v>
      </c>
      <c r="D1440" s="33">
        <v>4430265054</v>
      </c>
      <c r="E1440" s="33">
        <v>220</v>
      </c>
      <c r="F1440" s="33">
        <v>197</v>
      </c>
      <c r="G1440" s="33" t="s">
        <v>38</v>
      </c>
      <c r="H1440" s="33" t="s">
        <v>2922</v>
      </c>
      <c r="I1440" s="33" t="s">
        <v>39</v>
      </c>
      <c r="J1440" s="33" t="s">
        <v>40</v>
      </c>
      <c r="K1440" s="33" t="s">
        <v>41</v>
      </c>
      <c r="L1440" s="33">
        <v>5</v>
      </c>
      <c r="M1440" s="1"/>
    </row>
    <row r="1441" spans="1:12" s="1" customFormat="1" x14ac:dyDescent="0.3">
      <c r="A1441" s="33" t="s">
        <v>2923</v>
      </c>
      <c r="B1441" s="33" t="s">
        <v>45</v>
      </c>
      <c r="C1441" s="33">
        <v>4436351414</v>
      </c>
      <c r="D1441" s="33"/>
      <c r="E1441" s="33">
        <v>3</v>
      </c>
      <c r="F1441" s="33">
        <v>0</v>
      </c>
      <c r="G1441" s="33" t="s">
        <v>47</v>
      </c>
      <c r="H1441" s="33" t="s">
        <v>2924</v>
      </c>
      <c r="I1441" s="33" t="s">
        <v>46</v>
      </c>
      <c r="J1441" s="33" t="s">
        <v>40</v>
      </c>
      <c r="K1441" s="33"/>
      <c r="L1441" s="33"/>
    </row>
    <row r="1442" spans="1:12" s="1" customFormat="1" x14ac:dyDescent="0.3">
      <c r="A1442" s="33" t="s">
        <v>2925</v>
      </c>
      <c r="B1442" s="33" t="s">
        <v>45</v>
      </c>
      <c r="C1442" s="33">
        <v>4436351414</v>
      </c>
      <c r="D1442" s="33"/>
      <c r="E1442" s="33">
        <v>2</v>
      </c>
      <c r="F1442" s="33">
        <v>0</v>
      </c>
      <c r="G1442" s="33" t="s">
        <v>47</v>
      </c>
      <c r="H1442" s="33" t="s">
        <v>2926</v>
      </c>
      <c r="I1442" s="33" t="s">
        <v>46</v>
      </c>
      <c r="J1442" s="33" t="s">
        <v>40</v>
      </c>
      <c r="K1442" s="33"/>
      <c r="L1442" s="33"/>
    </row>
    <row r="1443" spans="1:12" s="1" customFormat="1" x14ac:dyDescent="0.3">
      <c r="A1443" s="33" t="s">
        <v>2927</v>
      </c>
      <c r="B1443" s="33">
        <v>4430153305</v>
      </c>
      <c r="C1443" s="33" t="s">
        <v>43</v>
      </c>
      <c r="D1443" s="33">
        <v>4430265054</v>
      </c>
      <c r="E1443" s="33">
        <v>239</v>
      </c>
      <c r="F1443" s="33">
        <v>214</v>
      </c>
      <c r="G1443" s="33" t="s">
        <v>38</v>
      </c>
      <c r="H1443" s="33" t="s">
        <v>2928</v>
      </c>
      <c r="I1443" s="33" t="s">
        <v>39</v>
      </c>
      <c r="J1443" s="33" t="s">
        <v>40</v>
      </c>
      <c r="K1443" s="33" t="s">
        <v>41</v>
      </c>
      <c r="L1443" s="33"/>
    </row>
    <row r="1444" spans="1:12" s="1" customFormat="1" x14ac:dyDescent="0.3">
      <c r="A1444" s="33" t="s">
        <v>2929</v>
      </c>
      <c r="B1444" s="33" t="s">
        <v>45</v>
      </c>
      <c r="C1444" s="33">
        <v>1732146970</v>
      </c>
      <c r="D1444" s="33"/>
      <c r="E1444" s="33">
        <v>192</v>
      </c>
      <c r="F1444" s="33">
        <v>190</v>
      </c>
      <c r="G1444" s="33" t="s">
        <v>38</v>
      </c>
      <c r="H1444" s="33" t="s">
        <v>2930</v>
      </c>
      <c r="I1444" s="33" t="s">
        <v>46</v>
      </c>
      <c r="J1444" s="33" t="s">
        <v>40</v>
      </c>
      <c r="K1444" s="33"/>
      <c r="L1444" s="33"/>
    </row>
    <row r="1445" spans="1:12" s="1" customFormat="1" x14ac:dyDescent="0.3">
      <c r="A1445" s="33" t="s">
        <v>2931</v>
      </c>
      <c r="B1445" s="33">
        <v>11998030658</v>
      </c>
      <c r="C1445" s="33" t="s">
        <v>37</v>
      </c>
      <c r="D1445" s="33">
        <v>4430265054</v>
      </c>
      <c r="E1445" s="33">
        <v>1189</v>
      </c>
      <c r="F1445" s="33">
        <v>1087</v>
      </c>
      <c r="G1445" s="33" t="s">
        <v>38</v>
      </c>
      <c r="H1445" s="33" t="s">
        <v>2932</v>
      </c>
      <c r="I1445" s="33" t="s">
        <v>39</v>
      </c>
      <c r="J1445" s="33" t="s">
        <v>40</v>
      </c>
      <c r="K1445" s="33" t="s">
        <v>41</v>
      </c>
      <c r="L1445" s="33"/>
    </row>
    <row r="1446" spans="1:12" s="1" customFormat="1" x14ac:dyDescent="0.3">
      <c r="A1446" s="33" t="s">
        <v>2933</v>
      </c>
      <c r="B1446" s="33">
        <v>4432322192</v>
      </c>
      <c r="C1446" s="33" t="s">
        <v>37</v>
      </c>
      <c r="D1446" s="33">
        <v>4430265054</v>
      </c>
      <c r="E1446" s="33">
        <v>258</v>
      </c>
      <c r="F1446" s="33">
        <v>235</v>
      </c>
      <c r="G1446" s="33" t="s">
        <v>38</v>
      </c>
      <c r="H1446" s="33" t="s">
        <v>2934</v>
      </c>
      <c r="I1446" s="33" t="s">
        <v>39</v>
      </c>
      <c r="J1446" s="33" t="s">
        <v>40</v>
      </c>
      <c r="K1446" s="33" t="s">
        <v>41</v>
      </c>
      <c r="L1446" s="33"/>
    </row>
    <row r="1447" spans="1:12" s="1" customFormat="1" x14ac:dyDescent="0.3">
      <c r="A1447" s="33" t="s">
        <v>2935</v>
      </c>
      <c r="B1447" s="33">
        <v>6434530674</v>
      </c>
      <c r="C1447" s="33" t="s">
        <v>44</v>
      </c>
      <c r="D1447" s="33">
        <v>4430265054</v>
      </c>
      <c r="E1447" s="33">
        <v>1267</v>
      </c>
      <c r="F1447" s="33">
        <v>1165</v>
      </c>
      <c r="G1447" s="33" t="s">
        <v>38</v>
      </c>
      <c r="H1447" s="33" t="s">
        <v>2936</v>
      </c>
      <c r="I1447" s="33" t="s">
        <v>39</v>
      </c>
      <c r="J1447" s="33" t="s">
        <v>40</v>
      </c>
      <c r="K1447" s="33" t="s">
        <v>41</v>
      </c>
      <c r="L1447" s="33"/>
    </row>
    <row r="1448" spans="1:12" s="1" customFormat="1" x14ac:dyDescent="0.3">
      <c r="A1448" s="33" t="s">
        <v>2937</v>
      </c>
      <c r="B1448" s="33">
        <v>4432322192</v>
      </c>
      <c r="C1448" s="33" t="s">
        <v>44</v>
      </c>
      <c r="D1448" s="33">
        <v>4430265054</v>
      </c>
      <c r="E1448" s="33">
        <v>375</v>
      </c>
      <c r="F1448" s="33">
        <v>352</v>
      </c>
      <c r="G1448" s="33" t="s">
        <v>38</v>
      </c>
      <c r="H1448" s="33" t="s">
        <v>2938</v>
      </c>
      <c r="I1448" s="33" t="s">
        <v>39</v>
      </c>
      <c r="J1448" s="33" t="s">
        <v>40</v>
      </c>
      <c r="K1448" s="33" t="s">
        <v>41</v>
      </c>
      <c r="L1448" s="33">
        <v>5</v>
      </c>
    </row>
    <row r="1449" spans="1:12" s="1" customFormat="1" x14ac:dyDescent="0.3">
      <c r="A1449" s="33" t="s">
        <v>2939</v>
      </c>
      <c r="B1449" s="33">
        <v>44998601838</v>
      </c>
      <c r="C1449" s="33" t="s">
        <v>45</v>
      </c>
      <c r="D1449" s="33">
        <v>4430265054</v>
      </c>
      <c r="E1449" s="33">
        <v>727</v>
      </c>
      <c r="F1449" s="33">
        <v>705</v>
      </c>
      <c r="G1449" s="33" t="s">
        <v>38</v>
      </c>
      <c r="H1449" s="33" t="s">
        <v>2940</v>
      </c>
      <c r="I1449" s="33" t="s">
        <v>39</v>
      </c>
      <c r="J1449" s="33" t="s">
        <v>40</v>
      </c>
      <c r="K1449" s="33" t="s">
        <v>41</v>
      </c>
      <c r="L1449" s="33"/>
    </row>
    <row r="1450" spans="1:12" s="1" customFormat="1" x14ac:dyDescent="0.3">
      <c r="A1450" s="33" t="s">
        <v>2941</v>
      </c>
      <c r="B1450" s="33">
        <v>4430315538</v>
      </c>
      <c r="C1450" s="33" t="s">
        <v>44</v>
      </c>
      <c r="D1450" s="33">
        <v>4430265054</v>
      </c>
      <c r="E1450" s="33">
        <v>362</v>
      </c>
      <c r="F1450" s="33">
        <v>319</v>
      </c>
      <c r="G1450" s="33" t="s">
        <v>38</v>
      </c>
      <c r="H1450" s="33" t="s">
        <v>2942</v>
      </c>
      <c r="I1450" s="33" t="s">
        <v>39</v>
      </c>
      <c r="J1450" s="33" t="s">
        <v>40</v>
      </c>
      <c r="K1450" s="33" t="s">
        <v>41</v>
      </c>
      <c r="L1450" s="33"/>
    </row>
    <row r="1451" spans="1:12" s="1" customFormat="1" x14ac:dyDescent="0.3">
      <c r="A1451" s="33" t="s">
        <v>2943</v>
      </c>
      <c r="B1451" s="33" t="s">
        <v>44</v>
      </c>
      <c r="C1451" s="33">
        <v>4430315534</v>
      </c>
      <c r="D1451" s="33"/>
      <c r="E1451" s="33">
        <v>38</v>
      </c>
      <c r="F1451" s="33">
        <v>19</v>
      </c>
      <c r="G1451" s="33" t="s">
        <v>38</v>
      </c>
      <c r="H1451" s="33" t="s">
        <v>2944</v>
      </c>
      <c r="I1451" s="33" t="s">
        <v>46</v>
      </c>
      <c r="J1451" s="33" t="s">
        <v>40</v>
      </c>
      <c r="K1451" s="33"/>
      <c r="L1451" s="33"/>
    </row>
    <row r="1452" spans="1:12" s="1" customFormat="1" x14ac:dyDescent="0.3">
      <c r="A1452" s="33" t="s">
        <v>2945</v>
      </c>
      <c r="B1452" s="33" t="s">
        <v>44</v>
      </c>
      <c r="C1452" s="33">
        <v>4430315534</v>
      </c>
      <c r="D1452" s="33"/>
      <c r="E1452" s="33">
        <v>17</v>
      </c>
      <c r="F1452" s="33">
        <v>5</v>
      </c>
      <c r="G1452" s="33" t="s">
        <v>38</v>
      </c>
      <c r="H1452" s="33" t="s">
        <v>2946</v>
      </c>
      <c r="I1452" s="33" t="s">
        <v>46</v>
      </c>
      <c r="J1452" s="33" t="s">
        <v>40</v>
      </c>
      <c r="K1452" s="33"/>
      <c r="L1452" s="33"/>
    </row>
    <row r="1453" spans="1:12" s="1" customFormat="1" x14ac:dyDescent="0.3">
      <c r="A1453" s="33" t="s">
        <v>2947</v>
      </c>
      <c r="B1453" s="33" t="s">
        <v>44</v>
      </c>
      <c r="C1453" s="33">
        <v>4430315534</v>
      </c>
      <c r="D1453" s="33"/>
      <c r="E1453" s="33">
        <v>4</v>
      </c>
      <c r="F1453" s="33">
        <v>0</v>
      </c>
      <c r="G1453" s="33" t="s">
        <v>47</v>
      </c>
      <c r="H1453" s="33" t="s">
        <v>2948</v>
      </c>
      <c r="I1453" s="33" t="s">
        <v>46</v>
      </c>
      <c r="J1453" s="33" t="s">
        <v>40</v>
      </c>
      <c r="K1453" s="33"/>
      <c r="L1453" s="33"/>
    </row>
    <row r="1454" spans="1:12" s="1" customFormat="1" x14ac:dyDescent="0.3">
      <c r="A1454" s="33" t="s">
        <v>2949</v>
      </c>
      <c r="B1454" s="33">
        <v>4430282545</v>
      </c>
      <c r="C1454" s="33" t="s">
        <v>43</v>
      </c>
      <c r="D1454" s="33">
        <v>4430265054</v>
      </c>
      <c r="E1454" s="33">
        <v>384</v>
      </c>
      <c r="F1454" s="33">
        <v>361</v>
      </c>
      <c r="G1454" s="33" t="s">
        <v>38</v>
      </c>
      <c r="H1454" s="33" t="s">
        <v>2950</v>
      </c>
      <c r="I1454" s="33" t="s">
        <v>39</v>
      </c>
      <c r="J1454" s="33" t="s">
        <v>40</v>
      </c>
      <c r="K1454" s="33" t="s">
        <v>41</v>
      </c>
      <c r="L1454" s="33">
        <v>5</v>
      </c>
    </row>
    <row r="1455" spans="1:12" s="1" customFormat="1" x14ac:dyDescent="0.3">
      <c r="A1455" s="33" t="s">
        <v>2951</v>
      </c>
      <c r="B1455" s="33" t="s">
        <v>45</v>
      </c>
      <c r="C1455" s="33">
        <v>4432322192</v>
      </c>
      <c r="D1455" s="33"/>
      <c r="E1455" s="33">
        <v>543</v>
      </c>
      <c r="F1455" s="33">
        <v>540</v>
      </c>
      <c r="G1455" s="33" t="s">
        <v>38</v>
      </c>
      <c r="H1455" s="33" t="s">
        <v>2952</v>
      </c>
      <c r="I1455" s="33" t="s">
        <v>46</v>
      </c>
      <c r="J1455" s="33" t="s">
        <v>40</v>
      </c>
      <c r="K1455" s="33"/>
      <c r="L1455" s="33">
        <v>5</v>
      </c>
    </row>
    <row r="1456" spans="1:12" s="1" customFormat="1" x14ac:dyDescent="0.3">
      <c r="A1456" s="33" t="s">
        <v>2953</v>
      </c>
      <c r="B1456" s="33" t="s">
        <v>45</v>
      </c>
      <c r="C1456" s="33">
        <v>4432322192</v>
      </c>
      <c r="D1456" s="33"/>
      <c r="E1456" s="33">
        <v>25</v>
      </c>
      <c r="F1456" s="33">
        <v>19</v>
      </c>
      <c r="G1456" s="33" t="s">
        <v>38</v>
      </c>
      <c r="H1456" s="33" t="s">
        <v>2954</v>
      </c>
      <c r="I1456" s="33" t="s">
        <v>46</v>
      </c>
      <c r="J1456" s="33" t="s">
        <v>40</v>
      </c>
      <c r="K1456" s="33"/>
      <c r="L1456" s="33"/>
    </row>
    <row r="1457" spans="1:13" x14ac:dyDescent="0.3">
      <c r="A1457" s="33" t="s">
        <v>2955</v>
      </c>
      <c r="B1457" s="33" t="s">
        <v>45</v>
      </c>
      <c r="C1457" s="33">
        <v>4432322192</v>
      </c>
      <c r="E1457" s="33">
        <v>20</v>
      </c>
      <c r="F1457" s="33">
        <v>1</v>
      </c>
      <c r="G1457" s="33" t="s">
        <v>38</v>
      </c>
      <c r="H1457" s="33" t="s">
        <v>2956</v>
      </c>
      <c r="I1457" s="33" t="s">
        <v>46</v>
      </c>
      <c r="J1457" s="33" t="s">
        <v>40</v>
      </c>
      <c r="M1457" s="1"/>
    </row>
    <row r="1458" spans="1:13" x14ac:dyDescent="0.3">
      <c r="A1458" s="33" t="s">
        <v>2957</v>
      </c>
      <c r="B1458" s="33" t="s">
        <v>45</v>
      </c>
      <c r="C1458" s="33">
        <v>4432322192</v>
      </c>
      <c r="E1458" s="33">
        <v>14</v>
      </c>
      <c r="F1458" s="33">
        <v>7</v>
      </c>
      <c r="G1458" s="33" t="s">
        <v>38</v>
      </c>
      <c r="H1458" s="33" t="s">
        <v>2958</v>
      </c>
      <c r="I1458" s="33" t="s">
        <v>46</v>
      </c>
      <c r="J1458" s="33" t="s">
        <v>40</v>
      </c>
      <c r="M1458" s="26"/>
    </row>
    <row r="1459" spans="1:13" x14ac:dyDescent="0.3">
      <c r="A1459" s="33" t="s">
        <v>2959</v>
      </c>
      <c r="B1459" s="33" t="s">
        <v>45</v>
      </c>
      <c r="C1459" s="33">
        <v>4432322192</v>
      </c>
      <c r="E1459" s="33">
        <v>9</v>
      </c>
      <c r="F1459" s="33">
        <v>0</v>
      </c>
      <c r="G1459" s="33" t="s">
        <v>47</v>
      </c>
      <c r="H1459" s="33" t="s">
        <v>2960</v>
      </c>
      <c r="I1459" s="33" t="s">
        <v>46</v>
      </c>
      <c r="J1459" s="33" t="s">
        <v>40</v>
      </c>
      <c r="M1459" s="1"/>
    </row>
    <row r="1460" spans="1:13" x14ac:dyDescent="0.3">
      <c r="A1460" s="33" t="s">
        <v>2961</v>
      </c>
      <c r="B1460" s="33" t="s">
        <v>45</v>
      </c>
      <c r="C1460" s="33">
        <v>4432322192</v>
      </c>
      <c r="E1460" s="33">
        <v>2</v>
      </c>
      <c r="F1460" s="33">
        <v>0</v>
      </c>
      <c r="G1460" s="33" t="s">
        <v>47</v>
      </c>
      <c r="H1460" s="33" t="s">
        <v>2962</v>
      </c>
      <c r="I1460" s="33" t="s">
        <v>46</v>
      </c>
      <c r="J1460" s="33" t="s">
        <v>40</v>
      </c>
      <c r="M1460" s="1"/>
    </row>
    <row r="1461" spans="1:13" x14ac:dyDescent="0.3">
      <c r="A1461" s="33" t="s">
        <v>2963</v>
      </c>
      <c r="B1461" s="33">
        <v>4432322192</v>
      </c>
      <c r="C1461" s="33" t="s">
        <v>45</v>
      </c>
      <c r="D1461" s="33">
        <v>4430265054</v>
      </c>
      <c r="E1461" s="33">
        <v>355</v>
      </c>
      <c r="F1461" s="33">
        <v>329</v>
      </c>
      <c r="G1461" s="33" t="s">
        <v>38</v>
      </c>
      <c r="H1461" s="33" t="s">
        <v>2964</v>
      </c>
      <c r="I1461" s="33" t="s">
        <v>39</v>
      </c>
      <c r="J1461" s="33" t="s">
        <v>40</v>
      </c>
      <c r="K1461" s="33" t="s">
        <v>41</v>
      </c>
      <c r="M1461" s="1"/>
    </row>
    <row r="1462" spans="1:13" x14ac:dyDescent="0.3">
      <c r="A1462" s="33" t="s">
        <v>2965</v>
      </c>
      <c r="B1462" s="33" t="s">
        <v>43</v>
      </c>
      <c r="C1462" s="33">
        <v>4432443131</v>
      </c>
      <c r="E1462" s="33">
        <v>50</v>
      </c>
      <c r="F1462" s="33">
        <v>0</v>
      </c>
      <c r="G1462" s="33" t="s">
        <v>47</v>
      </c>
      <c r="H1462" s="33" t="s">
        <v>2966</v>
      </c>
      <c r="I1462" s="33" t="s">
        <v>46</v>
      </c>
      <c r="J1462" s="33" t="s">
        <v>40</v>
      </c>
      <c r="M1462" s="1"/>
    </row>
    <row r="1463" spans="1:13" x14ac:dyDescent="0.3">
      <c r="A1463" s="33" t="s">
        <v>2967</v>
      </c>
      <c r="B1463" s="33" t="s">
        <v>43</v>
      </c>
      <c r="C1463" s="33">
        <v>4432443131</v>
      </c>
      <c r="E1463" s="33">
        <v>2</v>
      </c>
      <c r="F1463" s="33">
        <v>0</v>
      </c>
      <c r="G1463" s="33" t="s">
        <v>47</v>
      </c>
      <c r="H1463" s="33" t="s">
        <v>2968</v>
      </c>
      <c r="I1463" s="33" t="s">
        <v>46</v>
      </c>
      <c r="J1463" s="33" t="s">
        <v>40</v>
      </c>
      <c r="M1463" s="1"/>
    </row>
    <row r="1464" spans="1:13" x14ac:dyDescent="0.3">
      <c r="A1464" s="33" t="s">
        <v>2969</v>
      </c>
      <c r="B1464" s="33">
        <v>4430315534</v>
      </c>
      <c r="C1464" s="33" t="s">
        <v>44</v>
      </c>
      <c r="D1464" s="33">
        <v>4430265054</v>
      </c>
      <c r="E1464" s="33">
        <v>531</v>
      </c>
      <c r="F1464" s="33">
        <v>474</v>
      </c>
      <c r="G1464" s="33" t="s">
        <v>38</v>
      </c>
      <c r="H1464" s="33" t="s">
        <v>2970</v>
      </c>
      <c r="I1464" s="33" t="s">
        <v>39</v>
      </c>
      <c r="J1464" s="33" t="s">
        <v>40</v>
      </c>
      <c r="K1464" s="33" t="s">
        <v>41</v>
      </c>
      <c r="M1464" s="1"/>
    </row>
    <row r="1465" spans="1:13" x14ac:dyDescent="0.3">
      <c r="A1465" s="33" t="s">
        <v>2971</v>
      </c>
      <c r="B1465" s="33" t="s">
        <v>45</v>
      </c>
      <c r="C1465" s="33">
        <v>16997258418</v>
      </c>
      <c r="E1465" s="33">
        <v>64</v>
      </c>
      <c r="F1465" s="33">
        <v>37</v>
      </c>
      <c r="G1465" s="33" t="s">
        <v>38</v>
      </c>
      <c r="H1465" s="33" t="s">
        <v>2972</v>
      </c>
      <c r="I1465" s="33" t="s">
        <v>46</v>
      </c>
      <c r="J1465" s="33" t="s">
        <v>40</v>
      </c>
      <c r="M1465" s="1"/>
    </row>
    <row r="1466" spans="1:13" x14ac:dyDescent="0.3">
      <c r="A1466" s="33" t="s">
        <v>2973</v>
      </c>
      <c r="B1466" s="33" t="s">
        <v>45</v>
      </c>
      <c r="C1466" s="33">
        <v>77998695504</v>
      </c>
      <c r="E1466" s="33">
        <v>66</v>
      </c>
      <c r="F1466" s="33">
        <v>28</v>
      </c>
      <c r="G1466" s="33" t="s">
        <v>38</v>
      </c>
      <c r="H1466" s="33" t="s">
        <v>2974</v>
      </c>
      <c r="I1466" s="33" t="s">
        <v>46</v>
      </c>
      <c r="J1466" s="33" t="s">
        <v>40</v>
      </c>
      <c r="M1466" s="1"/>
    </row>
    <row r="1467" spans="1:13" x14ac:dyDescent="0.3">
      <c r="A1467" s="33" t="s">
        <v>2975</v>
      </c>
      <c r="B1467" s="33">
        <v>44999689445</v>
      </c>
      <c r="C1467" s="33" t="s">
        <v>42</v>
      </c>
      <c r="D1467" s="33">
        <v>4430265054</v>
      </c>
      <c r="E1467" s="33">
        <v>216</v>
      </c>
      <c r="F1467" s="33">
        <v>136</v>
      </c>
      <c r="G1467" s="33" t="s">
        <v>38</v>
      </c>
      <c r="H1467" s="33" t="s">
        <v>2976</v>
      </c>
      <c r="I1467" s="33" t="s">
        <v>39</v>
      </c>
      <c r="J1467" s="33" t="s">
        <v>40</v>
      </c>
      <c r="K1467" s="33" t="s">
        <v>41</v>
      </c>
      <c r="M1467" s="1"/>
    </row>
    <row r="1468" spans="1:13" x14ac:dyDescent="0.3">
      <c r="A1468" s="33" t="s">
        <v>2977</v>
      </c>
      <c r="B1468" s="33">
        <v>11998030658</v>
      </c>
      <c r="C1468" s="33" t="s">
        <v>37</v>
      </c>
      <c r="D1468" s="33">
        <v>4430265054</v>
      </c>
      <c r="E1468" s="33">
        <v>542</v>
      </c>
      <c r="F1468" s="33">
        <v>524</v>
      </c>
      <c r="G1468" s="33" t="s">
        <v>38</v>
      </c>
      <c r="H1468" s="33" t="s">
        <v>2978</v>
      </c>
      <c r="I1468" s="33" t="s">
        <v>39</v>
      </c>
      <c r="J1468" s="33" t="s">
        <v>40</v>
      </c>
      <c r="K1468" s="33" t="s">
        <v>41</v>
      </c>
      <c r="M1468" s="1"/>
    </row>
    <row r="1469" spans="1:13" x14ac:dyDescent="0.3">
      <c r="A1469" s="33" t="s">
        <v>2979</v>
      </c>
      <c r="B1469" s="33" t="s">
        <v>45</v>
      </c>
      <c r="C1469" s="33">
        <v>1131043888</v>
      </c>
      <c r="E1469" s="33">
        <v>352</v>
      </c>
      <c r="F1469" s="33">
        <v>351</v>
      </c>
      <c r="G1469" s="33" t="s">
        <v>38</v>
      </c>
      <c r="H1469" s="33" t="s">
        <v>2980</v>
      </c>
      <c r="I1469" s="33" t="s">
        <v>46</v>
      </c>
      <c r="J1469" s="33" t="s">
        <v>40</v>
      </c>
      <c r="M1469" s="1"/>
    </row>
    <row r="1470" spans="1:13" x14ac:dyDescent="0.3">
      <c r="A1470" s="33" t="s">
        <v>2981</v>
      </c>
      <c r="B1470" s="33" t="s">
        <v>37</v>
      </c>
      <c r="C1470" s="33">
        <v>44991237155</v>
      </c>
      <c r="E1470" s="33">
        <v>449</v>
      </c>
      <c r="F1470" s="33">
        <v>437</v>
      </c>
      <c r="G1470" s="33" t="s">
        <v>38</v>
      </c>
      <c r="H1470" s="33" t="s">
        <v>2982</v>
      </c>
      <c r="I1470" s="33" t="s">
        <v>46</v>
      </c>
      <c r="J1470" s="33" t="s">
        <v>40</v>
      </c>
      <c r="M1470" s="1"/>
    </row>
    <row r="1471" spans="1:13" x14ac:dyDescent="0.3">
      <c r="A1471" s="33" t="s">
        <v>2983</v>
      </c>
      <c r="B1471" s="33" t="s">
        <v>37</v>
      </c>
      <c r="C1471" s="33">
        <v>4434229352</v>
      </c>
      <c r="E1471" s="33">
        <v>3</v>
      </c>
      <c r="F1471" s="33">
        <v>0</v>
      </c>
      <c r="G1471" s="33" t="s">
        <v>47</v>
      </c>
      <c r="H1471" s="33" t="s">
        <v>2984</v>
      </c>
      <c r="I1471" s="33" t="s">
        <v>46</v>
      </c>
      <c r="J1471" s="33" t="s">
        <v>40</v>
      </c>
      <c r="M1471" s="1"/>
    </row>
    <row r="1472" spans="1:13" x14ac:dyDescent="0.3">
      <c r="A1472" s="33" t="s">
        <v>2985</v>
      </c>
      <c r="B1472" s="33">
        <v>44997123083</v>
      </c>
      <c r="C1472" s="33" t="s">
        <v>43</v>
      </c>
      <c r="D1472" s="33">
        <v>4430265054</v>
      </c>
      <c r="E1472" s="33">
        <v>747</v>
      </c>
      <c r="F1472" s="33">
        <v>687</v>
      </c>
      <c r="G1472" s="33" t="s">
        <v>38</v>
      </c>
      <c r="H1472" s="33" t="s">
        <v>2986</v>
      </c>
      <c r="I1472" s="33" t="s">
        <v>39</v>
      </c>
      <c r="J1472" s="33" t="s">
        <v>40</v>
      </c>
      <c r="K1472" s="33" t="s">
        <v>41</v>
      </c>
      <c r="M1472" s="1"/>
    </row>
    <row r="1473" spans="1:12" s="1" customFormat="1" x14ac:dyDescent="0.3">
      <c r="A1473" s="33" t="s">
        <v>2987</v>
      </c>
      <c r="B1473" s="33" t="s">
        <v>45</v>
      </c>
      <c r="C1473" s="33">
        <v>1131043888</v>
      </c>
      <c r="D1473" s="33"/>
      <c r="E1473" s="33">
        <v>635</v>
      </c>
      <c r="F1473" s="33">
        <v>633</v>
      </c>
      <c r="G1473" s="33" t="s">
        <v>38</v>
      </c>
      <c r="H1473" s="33" t="s">
        <v>2988</v>
      </c>
      <c r="I1473" s="33" t="s">
        <v>46</v>
      </c>
      <c r="J1473" s="33" t="s">
        <v>40</v>
      </c>
      <c r="K1473" s="33"/>
      <c r="L1473" s="33"/>
    </row>
    <row r="1474" spans="1:12" s="1" customFormat="1" x14ac:dyDescent="0.3">
      <c r="A1474" s="33" t="s">
        <v>2989</v>
      </c>
      <c r="B1474" s="33" t="s">
        <v>42</v>
      </c>
      <c r="C1474" s="33">
        <v>47991636470</v>
      </c>
      <c r="D1474" s="33"/>
      <c r="E1474" s="33">
        <v>101</v>
      </c>
      <c r="F1474" s="33">
        <v>88</v>
      </c>
      <c r="G1474" s="33" t="s">
        <v>38</v>
      </c>
      <c r="H1474" s="33" t="s">
        <v>2990</v>
      </c>
      <c r="I1474" s="33" t="s">
        <v>46</v>
      </c>
      <c r="J1474" s="33" t="s">
        <v>40</v>
      </c>
      <c r="K1474" s="33"/>
      <c r="L1474" s="33">
        <v>5</v>
      </c>
    </row>
    <row r="1475" spans="1:12" s="1" customFormat="1" x14ac:dyDescent="0.3">
      <c r="A1475" s="33" t="s">
        <v>2991</v>
      </c>
      <c r="B1475" s="33" t="s">
        <v>37</v>
      </c>
      <c r="C1475" s="33">
        <v>44991448236</v>
      </c>
      <c r="D1475" s="33"/>
      <c r="E1475" s="33">
        <v>44</v>
      </c>
      <c r="F1475" s="33">
        <v>32</v>
      </c>
      <c r="G1475" s="33" t="s">
        <v>38</v>
      </c>
      <c r="H1475" s="33" t="s">
        <v>2992</v>
      </c>
      <c r="I1475" s="33" t="s">
        <v>46</v>
      </c>
      <c r="J1475" s="33" t="s">
        <v>40</v>
      </c>
      <c r="K1475" s="33"/>
      <c r="L1475" s="33"/>
    </row>
    <row r="1476" spans="1:12" s="1" customFormat="1" x14ac:dyDescent="0.3">
      <c r="A1476" s="33" t="s">
        <v>2993</v>
      </c>
      <c r="B1476" s="33" t="s">
        <v>37</v>
      </c>
      <c r="C1476" s="33">
        <v>44991448236</v>
      </c>
      <c r="D1476" s="33"/>
      <c r="E1476" s="33">
        <v>153</v>
      </c>
      <c r="F1476" s="33">
        <v>142</v>
      </c>
      <c r="G1476" s="33" t="s">
        <v>38</v>
      </c>
      <c r="H1476" s="33" t="s">
        <v>2994</v>
      </c>
      <c r="I1476" s="33" t="s">
        <v>46</v>
      </c>
      <c r="J1476" s="33" t="s">
        <v>40</v>
      </c>
      <c r="K1476" s="33"/>
      <c r="L1476" s="33"/>
    </row>
    <row r="1477" spans="1:12" s="1" customFormat="1" x14ac:dyDescent="0.3">
      <c r="A1477" s="33" t="s">
        <v>2995</v>
      </c>
      <c r="B1477" s="33" t="s">
        <v>43</v>
      </c>
      <c r="C1477" s="33">
        <v>11947640430</v>
      </c>
      <c r="D1477" s="33"/>
      <c r="E1477" s="33">
        <v>34</v>
      </c>
      <c r="F1477" s="33">
        <v>29</v>
      </c>
      <c r="G1477" s="33" t="s">
        <v>38</v>
      </c>
      <c r="H1477" s="33" t="s">
        <v>2996</v>
      </c>
      <c r="I1477" s="33" t="s">
        <v>46</v>
      </c>
      <c r="J1477" s="33" t="s">
        <v>40</v>
      </c>
      <c r="K1477" s="33"/>
      <c r="L1477" s="33"/>
    </row>
    <row r="1478" spans="1:12" s="1" customFormat="1" x14ac:dyDescent="0.3">
      <c r="A1478" s="33" t="s">
        <v>2997</v>
      </c>
      <c r="B1478" s="33">
        <v>4432525112</v>
      </c>
      <c r="C1478" s="33" t="s">
        <v>45</v>
      </c>
      <c r="D1478" s="33">
        <v>4430265054</v>
      </c>
      <c r="E1478" s="33">
        <v>604</v>
      </c>
      <c r="F1478" s="33">
        <v>545</v>
      </c>
      <c r="G1478" s="33" t="s">
        <v>38</v>
      </c>
      <c r="H1478" s="33" t="s">
        <v>2998</v>
      </c>
      <c r="I1478" s="33" t="s">
        <v>39</v>
      </c>
      <c r="J1478" s="33" t="s">
        <v>40</v>
      </c>
      <c r="K1478" s="33" t="s">
        <v>41</v>
      </c>
      <c r="L1478" s="33"/>
    </row>
    <row r="1479" spans="1:12" s="1" customFormat="1" x14ac:dyDescent="0.3">
      <c r="A1479" s="33" t="s">
        <v>2999</v>
      </c>
      <c r="B1479" s="33">
        <v>41992013248</v>
      </c>
      <c r="C1479" s="33" t="s">
        <v>44</v>
      </c>
      <c r="D1479" s="33">
        <v>4430265054</v>
      </c>
      <c r="E1479" s="33">
        <v>2704</v>
      </c>
      <c r="F1479" s="33">
        <v>2660</v>
      </c>
      <c r="G1479" s="33" t="s">
        <v>38</v>
      </c>
      <c r="H1479" s="33" t="s">
        <v>3000</v>
      </c>
      <c r="I1479" s="33" t="s">
        <v>39</v>
      </c>
      <c r="J1479" s="33" t="s">
        <v>40</v>
      </c>
      <c r="K1479" s="33" t="s">
        <v>41</v>
      </c>
      <c r="L1479" s="33"/>
    </row>
    <row r="1480" spans="1:12" s="1" customFormat="1" x14ac:dyDescent="0.3">
      <c r="A1480" s="33" t="s">
        <v>3001</v>
      </c>
      <c r="B1480" s="33">
        <v>4133491428</v>
      </c>
      <c r="C1480" s="33" t="s">
        <v>42</v>
      </c>
      <c r="D1480" s="33">
        <v>4430265054</v>
      </c>
      <c r="E1480" s="33">
        <v>463</v>
      </c>
      <c r="F1480" s="33">
        <v>371</v>
      </c>
      <c r="G1480" s="33" t="s">
        <v>38</v>
      </c>
      <c r="H1480" s="33" t="s">
        <v>3002</v>
      </c>
      <c r="I1480" s="33" t="s">
        <v>39</v>
      </c>
      <c r="J1480" s="33" t="s">
        <v>40</v>
      </c>
      <c r="K1480" s="33" t="s">
        <v>41</v>
      </c>
      <c r="L1480" s="33"/>
    </row>
    <row r="1481" spans="1:12" s="1" customFormat="1" x14ac:dyDescent="0.3">
      <c r="A1481" s="33" t="s">
        <v>3003</v>
      </c>
      <c r="B1481" s="33">
        <v>4432322192</v>
      </c>
      <c r="C1481" s="33" t="s">
        <v>42</v>
      </c>
      <c r="D1481" s="33">
        <v>4430265054</v>
      </c>
      <c r="E1481" s="33">
        <v>235</v>
      </c>
      <c r="F1481" s="33">
        <v>160</v>
      </c>
      <c r="G1481" s="33" t="s">
        <v>38</v>
      </c>
      <c r="H1481" s="33" t="s">
        <v>3004</v>
      </c>
      <c r="I1481" s="33" t="s">
        <v>39</v>
      </c>
      <c r="J1481" s="33" t="s">
        <v>40</v>
      </c>
      <c r="K1481" s="33" t="s">
        <v>41</v>
      </c>
      <c r="L1481" s="33"/>
    </row>
    <row r="1482" spans="1:12" s="1" customFormat="1" x14ac:dyDescent="0.3">
      <c r="A1482" s="33" t="s">
        <v>3005</v>
      </c>
      <c r="B1482" s="33">
        <v>4434531529</v>
      </c>
      <c r="C1482" s="33" t="s">
        <v>42</v>
      </c>
      <c r="D1482" s="33">
        <v>4430265054</v>
      </c>
      <c r="E1482" s="33">
        <v>272</v>
      </c>
      <c r="F1482" s="33">
        <v>202</v>
      </c>
      <c r="G1482" s="33" t="s">
        <v>38</v>
      </c>
      <c r="H1482" s="33" t="s">
        <v>3006</v>
      </c>
      <c r="I1482" s="33" t="s">
        <v>39</v>
      </c>
      <c r="J1482" s="33" t="s">
        <v>40</v>
      </c>
      <c r="K1482" s="33" t="s">
        <v>41</v>
      </c>
      <c r="L1482" s="33">
        <v>5</v>
      </c>
    </row>
    <row r="1483" spans="1:12" s="1" customFormat="1" x14ac:dyDescent="0.3">
      <c r="A1483" s="33" t="s">
        <v>3007</v>
      </c>
      <c r="B1483" s="33">
        <v>4330333542</v>
      </c>
      <c r="C1483" s="33" t="s">
        <v>43</v>
      </c>
      <c r="D1483" s="33">
        <v>4430265054</v>
      </c>
      <c r="E1483" s="33">
        <v>260</v>
      </c>
      <c r="F1483" s="33">
        <v>185</v>
      </c>
      <c r="G1483" s="33" t="s">
        <v>38</v>
      </c>
      <c r="H1483" s="33" t="s">
        <v>3008</v>
      </c>
      <c r="I1483" s="33" t="s">
        <v>39</v>
      </c>
      <c r="J1483" s="33" t="s">
        <v>40</v>
      </c>
      <c r="K1483" s="33" t="s">
        <v>41</v>
      </c>
      <c r="L1483" s="33"/>
    </row>
    <row r="1484" spans="1:12" s="1" customFormat="1" x14ac:dyDescent="0.3">
      <c r="A1484" s="33" t="s">
        <v>3009</v>
      </c>
      <c r="B1484" s="33" t="s">
        <v>37</v>
      </c>
      <c r="C1484" s="33">
        <v>4434531529</v>
      </c>
      <c r="D1484" s="33"/>
      <c r="E1484" s="33">
        <v>9</v>
      </c>
      <c r="F1484" s="33">
        <v>0</v>
      </c>
      <c r="G1484" s="33" t="s">
        <v>47</v>
      </c>
      <c r="H1484" s="33" t="s">
        <v>3010</v>
      </c>
      <c r="I1484" s="33" t="s">
        <v>46</v>
      </c>
      <c r="J1484" s="33" t="s">
        <v>40</v>
      </c>
      <c r="K1484" s="33"/>
      <c r="L1484" s="33"/>
    </row>
    <row r="1485" spans="1:12" s="1" customFormat="1" x14ac:dyDescent="0.3">
      <c r="A1485" s="33" t="s">
        <v>3011</v>
      </c>
      <c r="B1485" s="33">
        <v>6234347959</v>
      </c>
      <c r="C1485" s="33" t="s">
        <v>37</v>
      </c>
      <c r="D1485" s="33">
        <v>4430265054</v>
      </c>
      <c r="E1485" s="33">
        <v>701</v>
      </c>
      <c r="F1485" s="33">
        <v>554</v>
      </c>
      <c r="G1485" s="33" t="s">
        <v>38</v>
      </c>
      <c r="H1485" s="33" t="s">
        <v>3012</v>
      </c>
      <c r="I1485" s="33" t="s">
        <v>39</v>
      </c>
      <c r="J1485" s="33" t="s">
        <v>40</v>
      </c>
      <c r="K1485" s="33" t="s">
        <v>41</v>
      </c>
      <c r="L1485" s="33"/>
    </row>
    <row r="1486" spans="1:12" s="1" customFormat="1" x14ac:dyDescent="0.3">
      <c r="A1486" s="33" t="s">
        <v>3013</v>
      </c>
      <c r="B1486" s="33" t="s">
        <v>37</v>
      </c>
      <c r="C1486" s="33">
        <v>4434531529</v>
      </c>
      <c r="D1486" s="33"/>
      <c r="E1486" s="33">
        <v>39</v>
      </c>
      <c r="F1486" s="33">
        <v>0</v>
      </c>
      <c r="G1486" s="33" t="s">
        <v>47</v>
      </c>
      <c r="H1486" s="33" t="s">
        <v>3014</v>
      </c>
      <c r="I1486" s="33" t="s">
        <v>46</v>
      </c>
      <c r="J1486" s="33" t="s">
        <v>40</v>
      </c>
      <c r="K1486" s="33"/>
      <c r="L1486" s="33"/>
    </row>
    <row r="1487" spans="1:12" s="1" customFormat="1" x14ac:dyDescent="0.3">
      <c r="A1487" s="33" t="s">
        <v>3015</v>
      </c>
      <c r="B1487" s="33" t="s">
        <v>37</v>
      </c>
      <c r="C1487" s="33">
        <v>4434531529</v>
      </c>
      <c r="D1487" s="33"/>
      <c r="E1487" s="33">
        <v>5</v>
      </c>
      <c r="F1487" s="33">
        <v>0</v>
      </c>
      <c r="G1487" s="33" t="s">
        <v>47</v>
      </c>
      <c r="H1487" s="33" t="s">
        <v>3016</v>
      </c>
      <c r="I1487" s="33" t="s">
        <v>46</v>
      </c>
      <c r="J1487" s="33" t="s">
        <v>40</v>
      </c>
      <c r="K1487" s="33"/>
      <c r="L1487" s="33"/>
    </row>
    <row r="1488" spans="1:12" s="1" customFormat="1" x14ac:dyDescent="0.3">
      <c r="A1488" s="33" t="s">
        <v>3017</v>
      </c>
      <c r="B1488" s="33" t="s">
        <v>37</v>
      </c>
      <c r="C1488" s="33">
        <v>4434531529</v>
      </c>
      <c r="D1488" s="33"/>
      <c r="E1488" s="33">
        <v>39</v>
      </c>
      <c r="F1488" s="33">
        <v>0</v>
      </c>
      <c r="G1488" s="33" t="s">
        <v>47</v>
      </c>
      <c r="H1488" s="33" t="s">
        <v>3018</v>
      </c>
      <c r="I1488" s="33" t="s">
        <v>46</v>
      </c>
      <c r="J1488" s="33" t="s">
        <v>40</v>
      </c>
      <c r="K1488" s="33"/>
      <c r="L1488" s="33"/>
    </row>
    <row r="1489" spans="1:12" s="1" customFormat="1" x14ac:dyDescent="0.3">
      <c r="A1489" s="33" t="s">
        <v>3019</v>
      </c>
      <c r="B1489" s="33">
        <v>47999115463</v>
      </c>
      <c r="C1489" s="33" t="s">
        <v>43</v>
      </c>
      <c r="D1489" s="33">
        <v>4430265054</v>
      </c>
      <c r="E1489" s="33">
        <v>486</v>
      </c>
      <c r="F1489" s="33">
        <v>366</v>
      </c>
      <c r="G1489" s="33" t="s">
        <v>38</v>
      </c>
      <c r="H1489" s="33" t="s">
        <v>3020</v>
      </c>
      <c r="I1489" s="33" t="s">
        <v>39</v>
      </c>
      <c r="J1489" s="33" t="s">
        <v>40</v>
      </c>
      <c r="K1489" s="33" t="s">
        <v>41</v>
      </c>
      <c r="L1489" s="33"/>
    </row>
    <row r="1490" spans="1:12" s="1" customFormat="1" x14ac:dyDescent="0.3">
      <c r="A1490" s="33" t="s">
        <v>3021</v>
      </c>
      <c r="B1490" s="33">
        <v>1131043888</v>
      </c>
      <c r="C1490" s="33" t="s">
        <v>45</v>
      </c>
      <c r="D1490" s="33">
        <v>4430265054</v>
      </c>
      <c r="E1490" s="33">
        <v>1704</v>
      </c>
      <c r="F1490" s="33">
        <v>1617</v>
      </c>
      <c r="G1490" s="33" t="s">
        <v>38</v>
      </c>
      <c r="H1490" s="33" t="s">
        <v>3022</v>
      </c>
      <c r="I1490" s="33" t="s">
        <v>39</v>
      </c>
      <c r="J1490" s="33" t="s">
        <v>40</v>
      </c>
      <c r="K1490" s="33" t="s">
        <v>41</v>
      </c>
      <c r="L1490" s="33"/>
    </row>
    <row r="1491" spans="1:12" s="1" customFormat="1" x14ac:dyDescent="0.3">
      <c r="A1491" s="33" t="s">
        <v>3023</v>
      </c>
      <c r="B1491" s="33" t="s">
        <v>43</v>
      </c>
      <c r="C1491" s="33">
        <v>44988067937</v>
      </c>
      <c r="D1491" s="33"/>
      <c r="E1491" s="33">
        <v>38</v>
      </c>
      <c r="F1491" s="33">
        <v>0</v>
      </c>
      <c r="G1491" s="33" t="s">
        <v>47</v>
      </c>
      <c r="H1491" s="33" t="s">
        <v>3024</v>
      </c>
      <c r="I1491" s="33" t="s">
        <v>46</v>
      </c>
      <c r="J1491" s="33" t="s">
        <v>40</v>
      </c>
      <c r="K1491" s="33"/>
      <c r="L1491" s="33"/>
    </row>
    <row r="1492" spans="1:12" s="1" customFormat="1" x14ac:dyDescent="0.3">
      <c r="A1492" s="33" t="s">
        <v>3025</v>
      </c>
      <c r="B1492" s="33" t="s">
        <v>43</v>
      </c>
      <c r="C1492" s="33">
        <v>44988067937</v>
      </c>
      <c r="D1492" s="33"/>
      <c r="E1492" s="33">
        <v>2</v>
      </c>
      <c r="F1492" s="33">
        <v>0</v>
      </c>
      <c r="G1492" s="33" t="s">
        <v>47</v>
      </c>
      <c r="H1492" s="33" t="s">
        <v>3026</v>
      </c>
      <c r="I1492" s="33" t="s">
        <v>46</v>
      </c>
      <c r="J1492" s="33" t="s">
        <v>40</v>
      </c>
      <c r="K1492" s="33"/>
      <c r="L1492" s="33"/>
    </row>
    <row r="1493" spans="1:12" s="1" customFormat="1" x14ac:dyDescent="0.3">
      <c r="A1493" s="33" t="s">
        <v>3027</v>
      </c>
      <c r="B1493" s="33">
        <v>44997123083</v>
      </c>
      <c r="C1493" s="33" t="s">
        <v>44</v>
      </c>
      <c r="D1493" s="33">
        <v>4430265054</v>
      </c>
      <c r="E1493" s="33">
        <v>1127</v>
      </c>
      <c r="F1493" s="33">
        <v>1110</v>
      </c>
      <c r="G1493" s="33" t="s">
        <v>38</v>
      </c>
      <c r="H1493" s="33" t="s">
        <v>3028</v>
      </c>
      <c r="I1493" s="33" t="s">
        <v>39</v>
      </c>
      <c r="J1493" s="33" t="s">
        <v>40</v>
      </c>
      <c r="K1493" s="33" t="s">
        <v>41</v>
      </c>
      <c r="L1493" s="33"/>
    </row>
    <row r="1494" spans="1:12" s="1" customFormat="1" x14ac:dyDescent="0.3">
      <c r="A1494" s="33" t="s">
        <v>3029</v>
      </c>
      <c r="B1494" s="33">
        <v>44997123083</v>
      </c>
      <c r="C1494" s="33" t="s">
        <v>44</v>
      </c>
      <c r="D1494" s="33">
        <v>4430265054</v>
      </c>
      <c r="E1494" s="33">
        <v>75</v>
      </c>
      <c r="F1494" s="33">
        <v>35</v>
      </c>
      <c r="G1494" s="33" t="s">
        <v>38</v>
      </c>
      <c r="H1494" s="33" t="s">
        <v>3030</v>
      </c>
      <c r="I1494" s="33" t="s">
        <v>39</v>
      </c>
      <c r="J1494" s="33" t="s">
        <v>40</v>
      </c>
      <c r="K1494" s="33" t="s">
        <v>41</v>
      </c>
      <c r="L1494" s="33"/>
    </row>
    <row r="1495" spans="1:12" s="1" customFormat="1" x14ac:dyDescent="0.3">
      <c r="A1495" s="33" t="s">
        <v>3031</v>
      </c>
      <c r="B1495" s="33">
        <v>4334226481</v>
      </c>
      <c r="C1495" s="33" t="s">
        <v>42</v>
      </c>
      <c r="D1495" s="33">
        <v>4430265054</v>
      </c>
      <c r="E1495" s="33">
        <v>1514</v>
      </c>
      <c r="F1495" s="33">
        <v>1411</v>
      </c>
      <c r="G1495" s="33" t="s">
        <v>38</v>
      </c>
      <c r="H1495" s="33" t="s">
        <v>3032</v>
      </c>
      <c r="I1495" s="33" t="s">
        <v>39</v>
      </c>
      <c r="J1495" s="33" t="s">
        <v>40</v>
      </c>
      <c r="K1495" s="33" t="s">
        <v>41</v>
      </c>
      <c r="L1495" s="33">
        <v>5</v>
      </c>
    </row>
    <row r="1496" spans="1:12" s="1" customFormat="1" x14ac:dyDescent="0.3">
      <c r="A1496" s="33" t="s">
        <v>3033</v>
      </c>
      <c r="B1496" s="33">
        <v>44997561804</v>
      </c>
      <c r="C1496" s="33" t="s">
        <v>43</v>
      </c>
      <c r="D1496" s="33">
        <v>4430265054</v>
      </c>
      <c r="E1496" s="33">
        <v>144</v>
      </c>
      <c r="F1496" s="33">
        <v>105</v>
      </c>
      <c r="G1496" s="33" t="s">
        <v>38</v>
      </c>
      <c r="H1496" s="33" t="s">
        <v>3034</v>
      </c>
      <c r="I1496" s="33" t="s">
        <v>39</v>
      </c>
      <c r="J1496" s="33" t="s">
        <v>40</v>
      </c>
      <c r="K1496" s="33" t="s">
        <v>41</v>
      </c>
      <c r="L1496" s="33"/>
    </row>
    <row r="1497" spans="1:12" s="1" customFormat="1" x14ac:dyDescent="0.3">
      <c r="A1497" s="33" t="s">
        <v>3035</v>
      </c>
      <c r="B1497" s="33">
        <v>45999874726</v>
      </c>
      <c r="C1497" s="33" t="s">
        <v>42</v>
      </c>
      <c r="D1497" s="33">
        <v>4531273163</v>
      </c>
      <c r="E1497" s="33">
        <v>257</v>
      </c>
      <c r="F1497" s="33">
        <v>156</v>
      </c>
      <c r="G1497" s="33" t="s">
        <v>38</v>
      </c>
      <c r="H1497" s="33" t="s">
        <v>3036</v>
      </c>
      <c r="I1497" s="33" t="s">
        <v>39</v>
      </c>
      <c r="J1497" s="33" t="s">
        <v>40</v>
      </c>
      <c r="K1497" s="33" t="s">
        <v>41</v>
      </c>
      <c r="L1497" s="33"/>
    </row>
    <row r="1498" spans="1:12" s="1" customFormat="1" x14ac:dyDescent="0.3">
      <c r="A1498" s="33" t="s">
        <v>3037</v>
      </c>
      <c r="B1498" s="33">
        <v>99996511677</v>
      </c>
      <c r="C1498" s="33" t="s">
        <v>44</v>
      </c>
      <c r="D1498" s="33">
        <v>4430265054</v>
      </c>
      <c r="E1498" s="33">
        <v>587</v>
      </c>
      <c r="F1498" s="33">
        <v>404</v>
      </c>
      <c r="G1498" s="33" t="s">
        <v>38</v>
      </c>
      <c r="H1498" s="33" t="s">
        <v>3038</v>
      </c>
      <c r="I1498" s="33" t="s">
        <v>39</v>
      </c>
      <c r="J1498" s="33" t="s">
        <v>40</v>
      </c>
      <c r="K1498" s="33" t="s">
        <v>41</v>
      </c>
      <c r="L1498" s="33"/>
    </row>
    <row r="1499" spans="1:12" s="1" customFormat="1" x14ac:dyDescent="0.3">
      <c r="A1499" s="33" t="s">
        <v>3039</v>
      </c>
      <c r="B1499" s="33">
        <v>11947640430</v>
      </c>
      <c r="C1499" s="33" t="s">
        <v>43</v>
      </c>
      <c r="D1499" s="33">
        <v>4430265054</v>
      </c>
      <c r="E1499" s="33">
        <v>549</v>
      </c>
      <c r="F1499" s="33">
        <v>430</v>
      </c>
      <c r="G1499" s="33" t="s">
        <v>38</v>
      </c>
      <c r="H1499" s="33" t="s">
        <v>3040</v>
      </c>
      <c r="I1499" s="33" t="s">
        <v>39</v>
      </c>
      <c r="J1499" s="33" t="s">
        <v>40</v>
      </c>
      <c r="K1499" s="33" t="s">
        <v>41</v>
      </c>
      <c r="L1499" s="33"/>
    </row>
    <row r="1500" spans="1:12" s="1" customFormat="1" x14ac:dyDescent="0.3">
      <c r="A1500" s="33" t="s">
        <v>3041</v>
      </c>
      <c r="B1500" s="33">
        <v>4434531529</v>
      </c>
      <c r="C1500" s="33" t="s">
        <v>37</v>
      </c>
      <c r="D1500" s="33">
        <v>4430265054</v>
      </c>
      <c r="E1500" s="33">
        <v>1238</v>
      </c>
      <c r="F1500" s="33">
        <v>1174</v>
      </c>
      <c r="G1500" s="33" t="s">
        <v>38</v>
      </c>
      <c r="H1500" s="33" t="s">
        <v>3042</v>
      </c>
      <c r="I1500" s="33" t="s">
        <v>39</v>
      </c>
      <c r="J1500" s="33" t="s">
        <v>40</v>
      </c>
      <c r="K1500" s="33" t="s">
        <v>41</v>
      </c>
      <c r="L1500" s="33">
        <v>5</v>
      </c>
    </row>
    <row r="1501" spans="1:12" s="1" customFormat="1" x14ac:dyDescent="0.3">
      <c r="A1501" s="33" t="s">
        <v>3043</v>
      </c>
      <c r="B1501" s="33">
        <v>44991484476</v>
      </c>
      <c r="C1501" s="33" t="s">
        <v>42</v>
      </c>
      <c r="D1501" s="33">
        <v>4431268225</v>
      </c>
      <c r="E1501" s="33">
        <v>656</v>
      </c>
      <c r="F1501" s="33">
        <v>614</v>
      </c>
      <c r="G1501" s="33" t="s">
        <v>38</v>
      </c>
      <c r="H1501" s="33" t="s">
        <v>3044</v>
      </c>
      <c r="I1501" s="33" t="s">
        <v>39</v>
      </c>
      <c r="J1501" s="33" t="s">
        <v>40</v>
      </c>
      <c r="K1501" s="33" t="s">
        <v>41</v>
      </c>
      <c r="L1501" s="33"/>
    </row>
    <row r="1502" spans="1:12" s="1" customFormat="1" x14ac:dyDescent="0.3">
      <c r="A1502" s="33" t="s">
        <v>3045</v>
      </c>
      <c r="B1502" s="33">
        <v>4430145151</v>
      </c>
      <c r="C1502" s="33" t="s">
        <v>43</v>
      </c>
      <c r="D1502" s="33">
        <v>4430265054</v>
      </c>
      <c r="E1502" s="33">
        <v>1347</v>
      </c>
      <c r="F1502" s="33">
        <v>1293</v>
      </c>
      <c r="G1502" s="33" t="s">
        <v>38</v>
      </c>
      <c r="H1502" s="33" t="s">
        <v>3046</v>
      </c>
      <c r="I1502" s="33" t="s">
        <v>39</v>
      </c>
      <c r="J1502" s="33" t="s">
        <v>40</v>
      </c>
      <c r="K1502" s="33" t="s">
        <v>41</v>
      </c>
      <c r="L1502" s="33"/>
    </row>
    <row r="1503" spans="1:12" s="1" customFormat="1" x14ac:dyDescent="0.3">
      <c r="A1503" s="33" t="s">
        <v>3047</v>
      </c>
      <c r="B1503" s="33">
        <v>44997400641</v>
      </c>
      <c r="C1503" s="33" t="s">
        <v>42</v>
      </c>
      <c r="D1503" s="33">
        <v>4430265054</v>
      </c>
      <c r="E1503" s="33">
        <v>384</v>
      </c>
      <c r="F1503" s="33">
        <v>305</v>
      </c>
      <c r="G1503" s="33" t="s">
        <v>38</v>
      </c>
      <c r="H1503" s="33" t="s">
        <v>3048</v>
      </c>
      <c r="I1503" s="33" t="s">
        <v>39</v>
      </c>
      <c r="J1503" s="33" t="s">
        <v>40</v>
      </c>
      <c r="K1503" s="33" t="s">
        <v>41</v>
      </c>
      <c r="L1503" s="33"/>
    </row>
    <row r="1504" spans="1:12" s="1" customFormat="1" x14ac:dyDescent="0.3">
      <c r="A1504" s="33" t="s">
        <v>3049</v>
      </c>
      <c r="B1504" s="33">
        <v>44991344038</v>
      </c>
      <c r="C1504" s="33" t="s">
        <v>37</v>
      </c>
      <c r="D1504" s="33">
        <v>4430265054</v>
      </c>
      <c r="E1504" s="33">
        <v>782</v>
      </c>
      <c r="F1504" s="33">
        <v>723</v>
      </c>
      <c r="G1504" s="33" t="s">
        <v>38</v>
      </c>
      <c r="H1504" s="33" t="s">
        <v>3050</v>
      </c>
      <c r="I1504" s="33" t="s">
        <v>39</v>
      </c>
      <c r="J1504" s="33" t="s">
        <v>40</v>
      </c>
      <c r="K1504" s="33" t="s">
        <v>41</v>
      </c>
      <c r="L1504" s="33">
        <v>5</v>
      </c>
    </row>
    <row r="1505" spans="1:12" s="1" customFormat="1" x14ac:dyDescent="0.3">
      <c r="A1505" s="33" t="s">
        <v>3051</v>
      </c>
      <c r="B1505" s="33" t="s">
        <v>3052</v>
      </c>
      <c r="C1505" s="33" t="s">
        <v>44</v>
      </c>
      <c r="D1505" s="33">
        <v>4430265054</v>
      </c>
      <c r="E1505" s="33">
        <v>513</v>
      </c>
      <c r="F1505" s="33">
        <v>462</v>
      </c>
      <c r="G1505" s="33" t="s">
        <v>38</v>
      </c>
      <c r="H1505" s="33" t="s">
        <v>3053</v>
      </c>
      <c r="I1505" s="33" t="s">
        <v>39</v>
      </c>
      <c r="J1505" s="33" t="s">
        <v>40</v>
      </c>
      <c r="K1505" s="33" t="s">
        <v>41</v>
      </c>
      <c r="L1505" s="33">
        <v>5</v>
      </c>
    </row>
    <row r="1506" spans="1:12" s="1" customFormat="1" x14ac:dyDescent="0.3">
      <c r="A1506" s="33" t="s">
        <v>3054</v>
      </c>
      <c r="B1506" s="33">
        <v>6434534421</v>
      </c>
      <c r="C1506" s="33" t="s">
        <v>42</v>
      </c>
      <c r="D1506" s="33">
        <v>4430265054</v>
      </c>
      <c r="E1506" s="33">
        <v>84</v>
      </c>
      <c r="F1506" s="33">
        <v>62</v>
      </c>
      <c r="G1506" s="33" t="s">
        <v>38</v>
      </c>
      <c r="H1506" s="33" t="s">
        <v>3055</v>
      </c>
      <c r="I1506" s="33" t="s">
        <v>39</v>
      </c>
      <c r="J1506" s="33" t="s">
        <v>40</v>
      </c>
      <c r="K1506" s="33" t="s">
        <v>41</v>
      </c>
      <c r="L1506" s="33"/>
    </row>
    <row r="1507" spans="1:12" s="1" customFormat="1" x14ac:dyDescent="0.3">
      <c r="A1507" s="33" t="s">
        <v>3056</v>
      </c>
      <c r="B1507" s="33">
        <v>4133491428</v>
      </c>
      <c r="C1507" s="33" t="s">
        <v>44</v>
      </c>
      <c r="D1507" s="33">
        <v>4430265054</v>
      </c>
      <c r="E1507" s="33">
        <v>88</v>
      </c>
      <c r="F1507" s="33">
        <v>48</v>
      </c>
      <c r="G1507" s="33" t="s">
        <v>38</v>
      </c>
      <c r="H1507" s="33" t="s">
        <v>3057</v>
      </c>
      <c r="I1507" s="33" t="s">
        <v>39</v>
      </c>
      <c r="J1507" s="33" t="s">
        <v>40</v>
      </c>
      <c r="K1507" s="33" t="s">
        <v>41</v>
      </c>
      <c r="L1507" s="33"/>
    </row>
    <row r="1508" spans="1:12" s="1" customFormat="1" x14ac:dyDescent="0.3">
      <c r="A1508" s="33" t="s">
        <v>3058</v>
      </c>
      <c r="B1508" s="33">
        <v>11998030658</v>
      </c>
      <c r="C1508" s="33" t="s">
        <v>44</v>
      </c>
      <c r="D1508" s="33">
        <v>4430265054</v>
      </c>
      <c r="E1508" s="33">
        <v>583</v>
      </c>
      <c r="F1508" s="33">
        <v>555</v>
      </c>
      <c r="G1508" s="33" t="s">
        <v>38</v>
      </c>
      <c r="H1508" s="33" t="s">
        <v>3059</v>
      </c>
      <c r="I1508" s="33" t="s">
        <v>39</v>
      </c>
      <c r="J1508" s="33" t="s">
        <v>40</v>
      </c>
      <c r="K1508" s="33" t="s">
        <v>41</v>
      </c>
      <c r="L1508" s="33">
        <v>5</v>
      </c>
    </row>
    <row r="1509" spans="1:12" s="1" customFormat="1" x14ac:dyDescent="0.3">
      <c r="A1509" s="33" t="s">
        <v>3060</v>
      </c>
      <c r="B1509" s="33">
        <v>11998030658</v>
      </c>
      <c r="C1509" s="33" t="s">
        <v>48</v>
      </c>
      <c r="D1509" s="33">
        <v>4430265054</v>
      </c>
      <c r="E1509" s="33">
        <v>132</v>
      </c>
      <c r="F1509" s="33">
        <v>95</v>
      </c>
      <c r="G1509" s="33" t="s">
        <v>38</v>
      </c>
      <c r="H1509" s="33" t="s">
        <v>3061</v>
      </c>
      <c r="I1509" s="33" t="s">
        <v>39</v>
      </c>
      <c r="J1509" s="33" t="s">
        <v>40</v>
      </c>
      <c r="K1509" s="33" t="s">
        <v>41</v>
      </c>
      <c r="L1509" s="33"/>
    </row>
    <row r="1510" spans="1:12" s="1" customFormat="1" x14ac:dyDescent="0.3">
      <c r="A1510" s="33" t="s">
        <v>3062</v>
      </c>
      <c r="B1510" s="33">
        <v>4130263118</v>
      </c>
      <c r="C1510" s="33" t="s">
        <v>42</v>
      </c>
      <c r="D1510" s="33">
        <v>4430265054</v>
      </c>
      <c r="E1510" s="33">
        <v>281</v>
      </c>
      <c r="F1510" s="33">
        <v>121</v>
      </c>
      <c r="G1510" s="33" t="s">
        <v>38</v>
      </c>
      <c r="H1510" s="33" t="s">
        <v>3063</v>
      </c>
      <c r="I1510" s="33" t="s">
        <v>39</v>
      </c>
      <c r="J1510" s="33" t="s">
        <v>40</v>
      </c>
      <c r="K1510" s="33" t="s">
        <v>41</v>
      </c>
      <c r="L1510" s="33"/>
    </row>
    <row r="1511" spans="1:12" s="1" customFormat="1" x14ac:dyDescent="0.3">
      <c r="A1511" s="33" t="s">
        <v>3064</v>
      </c>
      <c r="B1511" s="33">
        <v>44988067937</v>
      </c>
      <c r="C1511" s="33" t="s">
        <v>43</v>
      </c>
      <c r="D1511" s="33">
        <v>4430265054</v>
      </c>
      <c r="E1511" s="33">
        <v>476</v>
      </c>
      <c r="F1511" s="33">
        <v>357</v>
      </c>
      <c r="G1511" s="33" t="s">
        <v>38</v>
      </c>
      <c r="H1511" s="33" t="s">
        <v>3065</v>
      </c>
      <c r="I1511" s="33" t="s">
        <v>39</v>
      </c>
      <c r="J1511" s="33" t="s">
        <v>40</v>
      </c>
      <c r="K1511" s="33" t="s">
        <v>41</v>
      </c>
      <c r="L1511" s="33"/>
    </row>
    <row r="1512" spans="1:12" s="1" customFormat="1" x14ac:dyDescent="0.3">
      <c r="A1512" s="33" t="s">
        <v>3066</v>
      </c>
      <c r="B1512" s="33">
        <v>44999090169</v>
      </c>
      <c r="C1512" s="33" t="s">
        <v>45</v>
      </c>
      <c r="D1512" s="33">
        <v>4430265054</v>
      </c>
      <c r="E1512" s="33">
        <v>1773</v>
      </c>
      <c r="F1512" s="33">
        <v>1735</v>
      </c>
      <c r="G1512" s="33" t="s">
        <v>38</v>
      </c>
      <c r="H1512" s="33" t="s">
        <v>3067</v>
      </c>
      <c r="I1512" s="33" t="s">
        <v>39</v>
      </c>
      <c r="J1512" s="33" t="s">
        <v>40</v>
      </c>
      <c r="K1512" s="33" t="s">
        <v>41</v>
      </c>
      <c r="L1512" s="33"/>
    </row>
    <row r="1513" spans="1:12" s="1" customFormat="1" x14ac:dyDescent="0.3">
      <c r="A1513" s="33" t="s">
        <v>3068</v>
      </c>
      <c r="B1513" s="33">
        <v>44999497001</v>
      </c>
      <c r="C1513" s="33" t="s">
        <v>37</v>
      </c>
      <c r="D1513" s="33">
        <v>4430265054</v>
      </c>
      <c r="E1513" s="33">
        <v>1212</v>
      </c>
      <c r="F1513" s="33">
        <v>1142</v>
      </c>
      <c r="G1513" s="33" t="s">
        <v>38</v>
      </c>
      <c r="H1513" s="33" t="s">
        <v>3069</v>
      </c>
      <c r="I1513" s="33" t="s">
        <v>39</v>
      </c>
      <c r="J1513" s="33" t="s">
        <v>40</v>
      </c>
      <c r="K1513" s="33" t="s">
        <v>41</v>
      </c>
      <c r="L1513" s="33"/>
    </row>
    <row r="1514" spans="1:12" s="1" customFormat="1" x14ac:dyDescent="0.3">
      <c r="A1514" s="33" t="s">
        <v>3070</v>
      </c>
      <c r="B1514" s="33">
        <v>44988067937</v>
      </c>
      <c r="C1514" s="33" t="s">
        <v>43</v>
      </c>
      <c r="D1514" s="33">
        <v>4430265054</v>
      </c>
      <c r="E1514" s="33">
        <v>210</v>
      </c>
      <c r="F1514" s="33">
        <v>171</v>
      </c>
      <c r="G1514" s="33" t="s">
        <v>38</v>
      </c>
      <c r="H1514" s="33" t="s">
        <v>3071</v>
      </c>
      <c r="I1514" s="33" t="s">
        <v>39</v>
      </c>
      <c r="J1514" s="33" t="s">
        <v>40</v>
      </c>
      <c r="K1514" s="33" t="s">
        <v>41</v>
      </c>
      <c r="L1514" s="33"/>
    </row>
    <row r="1515" spans="1:12" s="1" customFormat="1" x14ac:dyDescent="0.3">
      <c r="A1515" s="33" t="s">
        <v>3072</v>
      </c>
      <c r="B1515" s="33">
        <v>44999647912</v>
      </c>
      <c r="C1515" s="33" t="s">
        <v>44</v>
      </c>
      <c r="D1515" s="33">
        <v>4430265054</v>
      </c>
      <c r="E1515" s="33">
        <v>1341</v>
      </c>
      <c r="F1515" s="33">
        <v>1256</v>
      </c>
      <c r="G1515" s="33" t="s">
        <v>38</v>
      </c>
      <c r="H1515" s="33" t="s">
        <v>3073</v>
      </c>
      <c r="I1515" s="33" t="s">
        <v>39</v>
      </c>
      <c r="J1515" s="33" t="s">
        <v>40</v>
      </c>
      <c r="K1515" s="33" t="s">
        <v>41</v>
      </c>
      <c r="L1515" s="33">
        <v>5</v>
      </c>
    </row>
    <row r="1516" spans="1:12" s="1" customFormat="1" x14ac:dyDescent="0.3">
      <c r="A1516" s="33" t="s">
        <v>3074</v>
      </c>
      <c r="B1516" s="33">
        <v>44988303530</v>
      </c>
      <c r="C1516" s="33" t="s">
        <v>43</v>
      </c>
      <c r="D1516" s="33">
        <v>4430265054</v>
      </c>
      <c r="E1516" s="33">
        <v>577</v>
      </c>
      <c r="F1516" s="33">
        <v>503</v>
      </c>
      <c r="G1516" s="33" t="s">
        <v>38</v>
      </c>
      <c r="H1516" s="33" t="s">
        <v>3075</v>
      </c>
      <c r="I1516" s="33" t="s">
        <v>39</v>
      </c>
      <c r="J1516" s="33" t="s">
        <v>40</v>
      </c>
      <c r="K1516" s="33" t="s">
        <v>41</v>
      </c>
      <c r="L1516" s="33">
        <v>5</v>
      </c>
    </row>
    <row r="1517" spans="1:12" s="1" customFormat="1" x14ac:dyDescent="0.3">
      <c r="A1517" s="33" t="s">
        <v>3076</v>
      </c>
      <c r="B1517" s="33">
        <v>44999979505</v>
      </c>
      <c r="C1517" s="33" t="s">
        <v>45</v>
      </c>
      <c r="D1517" s="33">
        <v>4430265054</v>
      </c>
      <c r="E1517" s="33">
        <v>722</v>
      </c>
      <c r="F1517" s="33">
        <v>692</v>
      </c>
      <c r="G1517" s="33" t="s">
        <v>38</v>
      </c>
      <c r="H1517" s="33" t="s">
        <v>3077</v>
      </c>
      <c r="I1517" s="33" t="s">
        <v>39</v>
      </c>
      <c r="J1517" s="33" t="s">
        <v>40</v>
      </c>
      <c r="K1517" s="33" t="s">
        <v>41</v>
      </c>
      <c r="L1517" s="33">
        <v>5</v>
      </c>
    </row>
    <row r="1518" spans="1:12" s="1" customFormat="1" x14ac:dyDescent="0.3">
      <c r="A1518" s="33" t="s">
        <v>3078</v>
      </c>
      <c r="B1518" s="33" t="s">
        <v>42</v>
      </c>
      <c r="C1518" s="33">
        <v>4430145172</v>
      </c>
      <c r="D1518" s="33"/>
      <c r="E1518" s="33">
        <v>833</v>
      </c>
      <c r="F1518" s="33">
        <v>832</v>
      </c>
      <c r="G1518" s="33" t="s">
        <v>38</v>
      </c>
      <c r="H1518" s="33" t="s">
        <v>3079</v>
      </c>
      <c r="I1518" s="33" t="s">
        <v>46</v>
      </c>
      <c r="J1518" s="33" t="s">
        <v>40</v>
      </c>
      <c r="K1518" s="33"/>
      <c r="L1518" s="33"/>
    </row>
    <row r="1519" spans="1:12" s="1" customFormat="1" x14ac:dyDescent="0.3">
      <c r="A1519" s="33" t="s">
        <v>3080</v>
      </c>
      <c r="B1519" s="33" t="s">
        <v>42</v>
      </c>
      <c r="C1519" s="33">
        <v>4430145172</v>
      </c>
      <c r="D1519" s="33"/>
      <c r="E1519" s="33">
        <v>3</v>
      </c>
      <c r="F1519" s="33">
        <v>0</v>
      </c>
      <c r="G1519" s="33" t="s">
        <v>47</v>
      </c>
      <c r="H1519" s="33" t="s">
        <v>3081</v>
      </c>
      <c r="I1519" s="33" t="s">
        <v>46</v>
      </c>
      <c r="J1519" s="33" t="s">
        <v>40</v>
      </c>
      <c r="K1519" s="33"/>
      <c r="L1519" s="33"/>
    </row>
    <row r="1520" spans="1:12" s="1" customFormat="1" x14ac:dyDescent="0.3">
      <c r="A1520" s="33" t="s">
        <v>3082</v>
      </c>
      <c r="B1520" s="33">
        <v>4434229271</v>
      </c>
      <c r="C1520" s="33" t="s">
        <v>43</v>
      </c>
      <c r="D1520" s="33">
        <v>4430265054</v>
      </c>
      <c r="E1520" s="33">
        <v>592</v>
      </c>
      <c r="F1520" s="33">
        <v>499</v>
      </c>
      <c r="G1520" s="33" t="s">
        <v>38</v>
      </c>
      <c r="H1520" s="33" t="s">
        <v>3083</v>
      </c>
      <c r="I1520" s="33" t="s">
        <v>39</v>
      </c>
      <c r="J1520" s="33" t="s">
        <v>40</v>
      </c>
      <c r="K1520" s="33" t="s">
        <v>41</v>
      </c>
      <c r="L1520" s="33"/>
    </row>
    <row r="1521" spans="1:12" s="1" customFormat="1" x14ac:dyDescent="0.3">
      <c r="A1521" s="33" t="s">
        <v>3084</v>
      </c>
      <c r="B1521" s="33">
        <v>44988255390</v>
      </c>
      <c r="C1521" s="33" t="s">
        <v>44</v>
      </c>
      <c r="D1521" s="33">
        <v>4430265054</v>
      </c>
      <c r="E1521" s="33">
        <v>1162</v>
      </c>
      <c r="F1521" s="33">
        <v>1028</v>
      </c>
      <c r="G1521" s="33" t="s">
        <v>38</v>
      </c>
      <c r="H1521" s="33" t="s">
        <v>3085</v>
      </c>
      <c r="I1521" s="33" t="s">
        <v>39</v>
      </c>
      <c r="J1521" s="33" t="s">
        <v>40</v>
      </c>
      <c r="K1521" s="33" t="s">
        <v>41</v>
      </c>
      <c r="L1521" s="33"/>
    </row>
    <row r="1522" spans="1:12" s="1" customFormat="1" x14ac:dyDescent="0.3">
      <c r="A1522" s="33" t="s">
        <v>3086</v>
      </c>
      <c r="B1522" s="33">
        <v>44997079838</v>
      </c>
      <c r="C1522" s="33" t="s">
        <v>45</v>
      </c>
      <c r="D1522" s="33">
        <v>4430265054</v>
      </c>
      <c r="E1522" s="33">
        <v>722</v>
      </c>
      <c r="F1522" s="33">
        <v>694</v>
      </c>
      <c r="G1522" s="33" t="s">
        <v>38</v>
      </c>
      <c r="H1522" s="33" t="s">
        <v>3087</v>
      </c>
      <c r="I1522" s="33" t="s">
        <v>39</v>
      </c>
      <c r="J1522" s="33" t="s">
        <v>40</v>
      </c>
      <c r="K1522" s="33" t="s">
        <v>41</v>
      </c>
      <c r="L1522" s="33"/>
    </row>
    <row r="1523" spans="1:12" s="1" customFormat="1" x14ac:dyDescent="0.3">
      <c r="A1523" s="33" t="s">
        <v>3088</v>
      </c>
      <c r="B1523" s="33">
        <v>44999676986</v>
      </c>
      <c r="C1523" s="33" t="s">
        <v>43</v>
      </c>
      <c r="D1523" s="33">
        <v>4430265054</v>
      </c>
      <c r="E1523" s="33">
        <v>428</v>
      </c>
      <c r="F1523" s="33">
        <v>360</v>
      </c>
      <c r="G1523" s="33" t="s">
        <v>38</v>
      </c>
      <c r="H1523" s="33" t="s">
        <v>3089</v>
      </c>
      <c r="I1523" s="33" t="s">
        <v>39</v>
      </c>
      <c r="J1523" s="33" t="s">
        <v>40</v>
      </c>
      <c r="K1523" s="33" t="s">
        <v>41</v>
      </c>
      <c r="L1523" s="33"/>
    </row>
    <row r="1524" spans="1:12" s="1" customFormat="1" x14ac:dyDescent="0.3">
      <c r="A1524" s="33" t="s">
        <v>3090</v>
      </c>
      <c r="B1524" s="33">
        <v>44997650834</v>
      </c>
      <c r="C1524" s="33" t="s">
        <v>42</v>
      </c>
      <c r="D1524" s="33">
        <v>4430265054</v>
      </c>
      <c r="E1524" s="33">
        <v>431</v>
      </c>
      <c r="F1524" s="33">
        <v>380</v>
      </c>
      <c r="G1524" s="33" t="s">
        <v>38</v>
      </c>
      <c r="H1524" s="33" t="s">
        <v>3091</v>
      </c>
      <c r="I1524" s="33" t="s">
        <v>39</v>
      </c>
      <c r="J1524" s="33" t="s">
        <v>40</v>
      </c>
      <c r="K1524" s="33" t="s">
        <v>41</v>
      </c>
      <c r="L1524" s="33">
        <v>5</v>
      </c>
    </row>
    <row r="1525" spans="1:12" s="1" customFormat="1" x14ac:dyDescent="0.3">
      <c r="A1525" s="33" t="s">
        <v>3092</v>
      </c>
      <c r="B1525" s="33" t="s">
        <v>37</v>
      </c>
      <c r="C1525" s="33">
        <v>44997123083</v>
      </c>
      <c r="D1525" s="33"/>
      <c r="E1525" s="33">
        <v>2024</v>
      </c>
      <c r="F1525" s="33">
        <v>2002</v>
      </c>
      <c r="G1525" s="33" t="s">
        <v>38</v>
      </c>
      <c r="H1525" s="33" t="s">
        <v>3093</v>
      </c>
      <c r="I1525" s="33" t="s">
        <v>46</v>
      </c>
      <c r="J1525" s="33" t="s">
        <v>40</v>
      </c>
      <c r="K1525" s="33"/>
      <c r="L1525" s="33">
        <v>5</v>
      </c>
    </row>
    <row r="1526" spans="1:12" s="1" customFormat="1" x14ac:dyDescent="0.3">
      <c r="A1526" s="33" t="s">
        <v>3094</v>
      </c>
      <c r="B1526" s="33">
        <v>4432443131</v>
      </c>
      <c r="C1526" s="33" t="s">
        <v>45</v>
      </c>
      <c r="D1526" s="33">
        <v>4430265054</v>
      </c>
      <c r="E1526" s="33">
        <v>187</v>
      </c>
      <c r="F1526" s="33">
        <v>110</v>
      </c>
      <c r="G1526" s="33" t="s">
        <v>38</v>
      </c>
      <c r="H1526" s="33" t="s">
        <v>3095</v>
      </c>
      <c r="I1526" s="33" t="s">
        <v>39</v>
      </c>
      <c r="J1526" s="33" t="s">
        <v>40</v>
      </c>
      <c r="K1526" s="33" t="s">
        <v>41</v>
      </c>
      <c r="L1526" s="33"/>
    </row>
    <row r="1527" spans="1:12" s="1" customFormat="1" x14ac:dyDescent="0.3">
      <c r="A1527" s="33" t="s">
        <v>3096</v>
      </c>
      <c r="B1527" s="33" t="s">
        <v>48</v>
      </c>
      <c r="C1527" s="33">
        <v>4532541802</v>
      </c>
      <c r="D1527" s="33"/>
      <c r="E1527" s="33">
        <v>255</v>
      </c>
      <c r="F1527" s="33">
        <v>254</v>
      </c>
      <c r="G1527" s="33" t="s">
        <v>38</v>
      </c>
      <c r="H1527" s="33" t="s">
        <v>3097</v>
      </c>
      <c r="I1527" s="33" t="s">
        <v>46</v>
      </c>
      <c r="J1527" s="33" t="s">
        <v>40</v>
      </c>
      <c r="K1527" s="33"/>
      <c r="L1527" s="33"/>
    </row>
    <row r="1528" spans="1:12" s="1" customFormat="1" x14ac:dyDescent="0.3">
      <c r="A1528" s="33" t="s">
        <v>3098</v>
      </c>
      <c r="B1528" s="33" t="s">
        <v>44</v>
      </c>
      <c r="C1528" s="33">
        <v>4430459001</v>
      </c>
      <c r="D1528" s="33"/>
      <c r="E1528" s="33">
        <v>667</v>
      </c>
      <c r="F1528" s="33">
        <v>649</v>
      </c>
      <c r="G1528" s="33" t="s">
        <v>38</v>
      </c>
      <c r="H1528" s="33" t="s">
        <v>3099</v>
      </c>
      <c r="I1528" s="33" t="s">
        <v>46</v>
      </c>
      <c r="J1528" s="33" t="s">
        <v>40</v>
      </c>
      <c r="K1528" s="33"/>
      <c r="L1528" s="33"/>
    </row>
    <row r="1529" spans="1:12" s="1" customFormat="1" x14ac:dyDescent="0.3">
      <c r="A1529" s="33" t="s">
        <v>3100</v>
      </c>
      <c r="B1529" s="33">
        <v>44988255390</v>
      </c>
      <c r="C1529" s="33" t="s">
        <v>45</v>
      </c>
      <c r="D1529" s="33">
        <v>4430265054</v>
      </c>
      <c r="E1529" s="33">
        <v>350</v>
      </c>
      <c r="F1529" s="33">
        <v>268</v>
      </c>
      <c r="G1529" s="33" t="s">
        <v>38</v>
      </c>
      <c r="H1529" s="33" t="s">
        <v>3101</v>
      </c>
      <c r="I1529" s="33" t="s">
        <v>39</v>
      </c>
      <c r="J1529" s="33" t="s">
        <v>40</v>
      </c>
      <c r="K1529" s="33" t="s">
        <v>41</v>
      </c>
      <c r="L1529" s="33">
        <v>5</v>
      </c>
    </row>
    <row r="1530" spans="1:12" s="1" customFormat="1" x14ac:dyDescent="0.3">
      <c r="A1530" s="33" t="s">
        <v>3102</v>
      </c>
      <c r="B1530" s="33">
        <v>44997079838</v>
      </c>
      <c r="C1530" s="33" t="s">
        <v>43</v>
      </c>
      <c r="D1530" s="33">
        <v>4430265054</v>
      </c>
      <c r="E1530" s="33">
        <v>550</v>
      </c>
      <c r="F1530" s="33">
        <v>477</v>
      </c>
      <c r="G1530" s="33" t="s">
        <v>38</v>
      </c>
      <c r="H1530" s="33" t="s">
        <v>3103</v>
      </c>
      <c r="I1530" s="33" t="s">
        <v>39</v>
      </c>
      <c r="J1530" s="33" t="s">
        <v>40</v>
      </c>
      <c r="K1530" s="33" t="s">
        <v>41</v>
      </c>
      <c r="L1530" s="33">
        <v>5</v>
      </c>
    </row>
    <row r="1531" spans="1:12" s="1" customFormat="1" x14ac:dyDescent="0.3">
      <c r="A1531" s="33" t="s">
        <v>3104</v>
      </c>
      <c r="B1531" s="33">
        <v>4330333542</v>
      </c>
      <c r="C1531" s="33" t="s">
        <v>37</v>
      </c>
      <c r="D1531" s="33">
        <v>4430265054</v>
      </c>
      <c r="E1531" s="33">
        <v>1821</v>
      </c>
      <c r="F1531" s="33">
        <v>1709</v>
      </c>
      <c r="G1531" s="33" t="s">
        <v>38</v>
      </c>
      <c r="H1531" s="33" t="s">
        <v>3105</v>
      </c>
      <c r="I1531" s="33" t="s">
        <v>39</v>
      </c>
      <c r="J1531" s="33" t="s">
        <v>40</v>
      </c>
      <c r="K1531" s="33" t="s">
        <v>41</v>
      </c>
      <c r="L1531" s="33"/>
    </row>
    <row r="1532" spans="1:12" s="1" customFormat="1" x14ac:dyDescent="0.3">
      <c r="A1532" s="33" t="s">
        <v>3106</v>
      </c>
      <c r="B1532" s="33">
        <v>1131043888</v>
      </c>
      <c r="C1532" s="33" t="s">
        <v>45</v>
      </c>
      <c r="D1532" s="33">
        <v>4430265054</v>
      </c>
      <c r="E1532" s="33">
        <v>1801</v>
      </c>
      <c r="F1532" s="33">
        <v>1713</v>
      </c>
      <c r="G1532" s="33" t="s">
        <v>38</v>
      </c>
      <c r="H1532" s="33" t="s">
        <v>3107</v>
      </c>
      <c r="I1532" s="33" t="s">
        <v>39</v>
      </c>
      <c r="J1532" s="33" t="s">
        <v>40</v>
      </c>
      <c r="K1532" s="33" t="s">
        <v>41</v>
      </c>
      <c r="L1532" s="33">
        <v>5</v>
      </c>
    </row>
    <row r="1533" spans="1:12" s="1" customFormat="1" x14ac:dyDescent="0.3">
      <c r="A1533" s="33" t="s">
        <v>3108</v>
      </c>
      <c r="B1533" s="33">
        <v>4431337559</v>
      </c>
      <c r="C1533" s="33" t="s">
        <v>42</v>
      </c>
      <c r="D1533" s="33">
        <v>4430265054</v>
      </c>
      <c r="E1533" s="33">
        <v>513</v>
      </c>
      <c r="F1533" s="33">
        <v>456</v>
      </c>
      <c r="G1533" s="33" t="s">
        <v>38</v>
      </c>
      <c r="H1533" s="33" t="s">
        <v>3109</v>
      </c>
      <c r="I1533" s="33" t="s">
        <v>39</v>
      </c>
      <c r="J1533" s="33" t="s">
        <v>40</v>
      </c>
      <c r="K1533" s="33" t="s">
        <v>41</v>
      </c>
      <c r="L1533" s="33"/>
    </row>
    <row r="1534" spans="1:12" s="1" customFormat="1" x14ac:dyDescent="0.3">
      <c r="A1534" s="33" t="s">
        <v>3110</v>
      </c>
      <c r="B1534" s="33">
        <v>4430188650</v>
      </c>
      <c r="C1534" s="33" t="s">
        <v>45</v>
      </c>
      <c r="D1534" s="33">
        <v>4430265054</v>
      </c>
      <c r="E1534" s="33">
        <v>694</v>
      </c>
      <c r="F1534" s="33">
        <v>674</v>
      </c>
      <c r="G1534" s="33" t="s">
        <v>38</v>
      </c>
      <c r="H1534" s="33" t="s">
        <v>3111</v>
      </c>
      <c r="I1534" s="33" t="s">
        <v>39</v>
      </c>
      <c r="J1534" s="33" t="s">
        <v>40</v>
      </c>
      <c r="K1534" s="33" t="s">
        <v>41</v>
      </c>
      <c r="L1534" s="33"/>
    </row>
    <row r="1535" spans="1:12" s="1" customFormat="1" x14ac:dyDescent="0.3">
      <c r="A1535" s="33" t="s">
        <v>3112</v>
      </c>
      <c r="B1535" s="33">
        <v>81983567163</v>
      </c>
      <c r="C1535" s="33" t="s">
        <v>37</v>
      </c>
      <c r="D1535" s="33">
        <v>4431268225</v>
      </c>
      <c r="E1535" s="33">
        <v>412</v>
      </c>
      <c r="F1535" s="33">
        <v>352</v>
      </c>
      <c r="G1535" s="33" t="s">
        <v>38</v>
      </c>
      <c r="H1535" s="33" t="s">
        <v>3113</v>
      </c>
      <c r="I1535" s="33" t="s">
        <v>39</v>
      </c>
      <c r="J1535" s="33" t="s">
        <v>40</v>
      </c>
      <c r="K1535" s="33" t="s">
        <v>41</v>
      </c>
      <c r="L1535" s="33">
        <v>5</v>
      </c>
    </row>
    <row r="1536" spans="1:12" s="1" customFormat="1" x14ac:dyDescent="0.3">
      <c r="A1536" s="33" t="s">
        <v>3114</v>
      </c>
      <c r="B1536" s="33">
        <v>44999647912</v>
      </c>
      <c r="C1536" s="33" t="s">
        <v>44</v>
      </c>
      <c r="D1536" s="33">
        <v>4430265054</v>
      </c>
      <c r="E1536" s="33">
        <v>304</v>
      </c>
      <c r="F1536" s="33">
        <v>230</v>
      </c>
      <c r="G1536" s="33" t="s">
        <v>38</v>
      </c>
      <c r="H1536" s="33" t="s">
        <v>3115</v>
      </c>
      <c r="I1536" s="33" t="s">
        <v>39</v>
      </c>
      <c r="J1536" s="33" t="s">
        <v>40</v>
      </c>
      <c r="K1536" s="33" t="s">
        <v>41</v>
      </c>
      <c r="L1536" s="33">
        <v>4</v>
      </c>
    </row>
    <row r="1537" spans="1:12" s="1" customFormat="1" x14ac:dyDescent="0.3">
      <c r="A1537" s="33" t="s">
        <v>3116</v>
      </c>
      <c r="B1537" s="33" t="s">
        <v>44</v>
      </c>
      <c r="C1537" s="33">
        <v>44988255390</v>
      </c>
      <c r="D1537" s="33"/>
      <c r="E1537" s="33">
        <v>72</v>
      </c>
      <c r="F1537" s="33">
        <v>32</v>
      </c>
      <c r="G1537" s="33" t="s">
        <v>38</v>
      </c>
      <c r="H1537" s="33" t="s">
        <v>3117</v>
      </c>
      <c r="I1537" s="33" t="s">
        <v>46</v>
      </c>
      <c r="J1537" s="33" t="s">
        <v>40</v>
      </c>
      <c r="K1537" s="33"/>
      <c r="L1537" s="33"/>
    </row>
    <row r="1538" spans="1:12" s="1" customFormat="1" x14ac:dyDescent="0.3">
      <c r="A1538" s="33" t="s">
        <v>3118</v>
      </c>
      <c r="B1538" s="33" t="s">
        <v>44</v>
      </c>
      <c r="C1538" s="33">
        <v>44988255390</v>
      </c>
      <c r="D1538" s="33"/>
      <c r="E1538" s="33">
        <v>5</v>
      </c>
      <c r="F1538" s="33">
        <v>0</v>
      </c>
      <c r="G1538" s="33" t="s">
        <v>47</v>
      </c>
      <c r="H1538" s="33" t="s">
        <v>3119</v>
      </c>
      <c r="I1538" s="33" t="s">
        <v>46</v>
      </c>
      <c r="J1538" s="33" t="s">
        <v>40</v>
      </c>
      <c r="K1538" s="33"/>
      <c r="L1538" s="33"/>
    </row>
    <row r="1539" spans="1:12" s="1" customFormat="1" x14ac:dyDescent="0.3">
      <c r="A1539" s="33" t="s">
        <v>3120</v>
      </c>
      <c r="B1539" s="33" t="s">
        <v>44</v>
      </c>
      <c r="C1539" s="33">
        <v>4430288517</v>
      </c>
      <c r="D1539" s="33"/>
      <c r="E1539" s="33">
        <v>50</v>
      </c>
      <c r="F1539" s="33">
        <v>44</v>
      </c>
      <c r="G1539" s="33" t="s">
        <v>38</v>
      </c>
      <c r="H1539" s="33" t="s">
        <v>3121</v>
      </c>
      <c r="I1539" s="33" t="s">
        <v>46</v>
      </c>
      <c r="J1539" s="33" t="s">
        <v>40</v>
      </c>
      <c r="K1539" s="33"/>
      <c r="L1539" s="33"/>
    </row>
    <row r="1540" spans="1:12" s="1" customFormat="1" x14ac:dyDescent="0.3">
      <c r="A1540" s="33" t="s">
        <v>3122</v>
      </c>
      <c r="B1540" s="33" t="s">
        <v>44</v>
      </c>
      <c r="C1540" s="33">
        <v>4430288517</v>
      </c>
      <c r="D1540" s="33"/>
      <c r="E1540" s="33">
        <v>5</v>
      </c>
      <c r="F1540" s="33">
        <v>0</v>
      </c>
      <c r="G1540" s="33" t="s">
        <v>47</v>
      </c>
      <c r="H1540" s="33" t="s">
        <v>3123</v>
      </c>
      <c r="I1540" s="33" t="s">
        <v>46</v>
      </c>
      <c r="J1540" s="33" t="s">
        <v>40</v>
      </c>
      <c r="K1540" s="33"/>
      <c r="L1540" s="33"/>
    </row>
    <row r="1541" spans="1:12" s="1" customFormat="1" x14ac:dyDescent="0.3">
      <c r="A1541" s="33" t="s">
        <v>3124</v>
      </c>
      <c r="B1541" s="33" t="s">
        <v>43</v>
      </c>
      <c r="C1541" s="33">
        <v>4430152023</v>
      </c>
      <c r="D1541" s="33"/>
      <c r="E1541" s="33">
        <v>93</v>
      </c>
      <c r="F1541" s="33">
        <v>77</v>
      </c>
      <c r="G1541" s="33" t="s">
        <v>38</v>
      </c>
      <c r="H1541" s="33" t="s">
        <v>3125</v>
      </c>
      <c r="I1541" s="33" t="s">
        <v>46</v>
      </c>
      <c r="J1541" s="33" t="s">
        <v>40</v>
      </c>
      <c r="K1541" s="33"/>
      <c r="L1541" s="33"/>
    </row>
    <row r="1542" spans="1:12" s="1" customFormat="1" x14ac:dyDescent="0.3">
      <c r="A1542" s="33" t="s">
        <v>3126</v>
      </c>
      <c r="B1542" s="33" t="s">
        <v>43</v>
      </c>
      <c r="C1542" s="33">
        <v>4430152023</v>
      </c>
      <c r="D1542" s="33"/>
      <c r="E1542" s="33">
        <v>2</v>
      </c>
      <c r="F1542" s="33">
        <v>0</v>
      </c>
      <c r="G1542" s="33" t="s">
        <v>47</v>
      </c>
      <c r="H1542" s="33" t="s">
        <v>3127</v>
      </c>
      <c r="I1542" s="33" t="s">
        <v>46</v>
      </c>
      <c r="J1542" s="33" t="s">
        <v>40</v>
      </c>
      <c r="K1542" s="33"/>
      <c r="L1542" s="33"/>
    </row>
    <row r="1543" spans="1:12" s="1" customFormat="1" x14ac:dyDescent="0.3">
      <c r="A1543" s="33" t="s">
        <v>3128</v>
      </c>
      <c r="B1543" s="33">
        <v>11998030658</v>
      </c>
      <c r="C1543" s="33" t="s">
        <v>37</v>
      </c>
      <c r="D1543" s="33">
        <v>4430265054</v>
      </c>
      <c r="E1543" s="33">
        <v>331</v>
      </c>
      <c r="F1543" s="33">
        <v>289</v>
      </c>
      <c r="G1543" s="33" t="s">
        <v>38</v>
      </c>
      <c r="H1543" s="33" t="s">
        <v>3129</v>
      </c>
      <c r="I1543" s="33" t="s">
        <v>39</v>
      </c>
      <c r="J1543" s="33" t="s">
        <v>40</v>
      </c>
      <c r="K1543" s="33" t="s">
        <v>41</v>
      </c>
      <c r="L1543" s="33">
        <v>5</v>
      </c>
    </row>
    <row r="1544" spans="1:12" s="1" customFormat="1" x14ac:dyDescent="0.3">
      <c r="A1544" s="33" t="s">
        <v>3130</v>
      </c>
      <c r="B1544" s="33" t="s">
        <v>37</v>
      </c>
      <c r="C1544" s="33">
        <v>4430318514</v>
      </c>
      <c r="D1544" s="33"/>
      <c r="E1544" s="33">
        <v>140</v>
      </c>
      <c r="F1544" s="33">
        <v>134</v>
      </c>
      <c r="G1544" s="33" t="s">
        <v>38</v>
      </c>
      <c r="H1544" s="33" t="s">
        <v>3131</v>
      </c>
      <c r="I1544" s="33" t="s">
        <v>46</v>
      </c>
      <c r="J1544" s="33" t="s">
        <v>40</v>
      </c>
      <c r="K1544" s="33"/>
      <c r="L1544" s="33">
        <v>5</v>
      </c>
    </row>
    <row r="1545" spans="1:12" s="1" customFormat="1" x14ac:dyDescent="0.3">
      <c r="A1545" s="33" t="s">
        <v>3132</v>
      </c>
      <c r="B1545" s="33">
        <v>67996356530</v>
      </c>
      <c r="C1545" s="33" t="s">
        <v>44</v>
      </c>
      <c r="D1545" s="33">
        <v>4430265054</v>
      </c>
      <c r="E1545" s="33">
        <v>376</v>
      </c>
      <c r="F1545" s="33">
        <v>337</v>
      </c>
      <c r="G1545" s="33" t="s">
        <v>38</v>
      </c>
      <c r="H1545" s="33" t="s">
        <v>3133</v>
      </c>
      <c r="I1545" s="33" t="s">
        <v>39</v>
      </c>
      <c r="J1545" s="33" t="s">
        <v>40</v>
      </c>
      <c r="K1545" s="33" t="s">
        <v>41</v>
      </c>
      <c r="L1545" s="33">
        <v>5</v>
      </c>
    </row>
    <row r="1546" spans="1:12" s="1" customFormat="1" x14ac:dyDescent="0.3">
      <c r="A1546" s="33" t="s">
        <v>3134</v>
      </c>
      <c r="B1546" s="33">
        <v>4432524636</v>
      </c>
      <c r="C1546" s="33" t="s">
        <v>42</v>
      </c>
      <c r="D1546" s="33">
        <v>4430265054</v>
      </c>
      <c r="E1546" s="33">
        <v>658</v>
      </c>
      <c r="F1546" s="33">
        <v>651</v>
      </c>
      <c r="G1546" s="33" t="s">
        <v>38</v>
      </c>
      <c r="H1546" s="33" t="s">
        <v>3135</v>
      </c>
      <c r="I1546" s="33" t="s">
        <v>39</v>
      </c>
      <c r="J1546" s="33" t="s">
        <v>40</v>
      </c>
      <c r="K1546" s="33" t="s">
        <v>41</v>
      </c>
      <c r="L1546" s="33">
        <v>5</v>
      </c>
    </row>
    <row r="1547" spans="1:12" s="1" customFormat="1" x14ac:dyDescent="0.3">
      <c r="A1547" s="33" t="s">
        <v>3136</v>
      </c>
      <c r="B1547" s="33">
        <v>44988255390</v>
      </c>
      <c r="C1547" s="33" t="s">
        <v>44</v>
      </c>
      <c r="D1547" s="33">
        <v>4430265054</v>
      </c>
      <c r="E1547" s="33">
        <v>125</v>
      </c>
      <c r="F1547" s="33">
        <v>89</v>
      </c>
      <c r="G1547" s="33" t="s">
        <v>38</v>
      </c>
      <c r="H1547" s="33" t="s">
        <v>3137</v>
      </c>
      <c r="I1547" s="33" t="s">
        <v>39</v>
      </c>
      <c r="J1547" s="33" t="s">
        <v>40</v>
      </c>
      <c r="K1547" s="33" t="s">
        <v>41</v>
      </c>
      <c r="L1547" s="33"/>
    </row>
    <row r="1548" spans="1:12" s="1" customFormat="1" x14ac:dyDescent="0.3">
      <c r="A1548" s="33" t="s">
        <v>3138</v>
      </c>
      <c r="B1548" s="33">
        <v>4432443131</v>
      </c>
      <c r="C1548" s="33" t="s">
        <v>43</v>
      </c>
      <c r="D1548" s="33">
        <v>4430265054</v>
      </c>
      <c r="E1548" s="33">
        <v>240</v>
      </c>
      <c r="F1548" s="33">
        <v>180</v>
      </c>
      <c r="G1548" s="33" t="s">
        <v>38</v>
      </c>
      <c r="H1548" s="33" t="s">
        <v>3139</v>
      </c>
      <c r="I1548" s="33" t="s">
        <v>39</v>
      </c>
      <c r="J1548" s="33" t="s">
        <v>40</v>
      </c>
      <c r="K1548" s="33" t="s">
        <v>41</v>
      </c>
      <c r="L1548" s="33"/>
    </row>
    <row r="1549" spans="1:12" s="1" customFormat="1" x14ac:dyDescent="0.3">
      <c r="A1549" s="33" t="s">
        <v>3140</v>
      </c>
      <c r="B1549" s="33">
        <v>4430282545</v>
      </c>
      <c r="C1549" s="33" t="s">
        <v>48</v>
      </c>
      <c r="D1549" s="33">
        <v>4430265054</v>
      </c>
      <c r="E1549" s="33">
        <v>1109</v>
      </c>
      <c r="F1549" s="33">
        <v>913</v>
      </c>
      <c r="G1549" s="33" t="s">
        <v>38</v>
      </c>
      <c r="H1549" s="33" t="s">
        <v>3141</v>
      </c>
      <c r="I1549" s="33" t="s">
        <v>39</v>
      </c>
      <c r="J1549" s="33" t="s">
        <v>40</v>
      </c>
      <c r="K1549" s="33" t="s">
        <v>41</v>
      </c>
      <c r="L1549" s="33"/>
    </row>
    <row r="1550" spans="1:12" s="1" customFormat="1" x14ac:dyDescent="0.3">
      <c r="A1550" s="33" t="s">
        <v>3142</v>
      </c>
      <c r="B1550" s="33">
        <v>4432268889</v>
      </c>
      <c r="C1550" s="33" t="s">
        <v>37</v>
      </c>
      <c r="D1550" s="33">
        <v>4430265054</v>
      </c>
      <c r="E1550" s="33">
        <v>315</v>
      </c>
      <c r="F1550" s="33">
        <v>289</v>
      </c>
      <c r="G1550" s="33" t="s">
        <v>38</v>
      </c>
      <c r="H1550" s="33" t="s">
        <v>3143</v>
      </c>
      <c r="I1550" s="33" t="s">
        <v>39</v>
      </c>
      <c r="J1550" s="33" t="s">
        <v>40</v>
      </c>
      <c r="K1550" s="33" t="s">
        <v>41</v>
      </c>
      <c r="L1550" s="33">
        <v>5</v>
      </c>
    </row>
    <row r="1551" spans="1:12" s="1" customFormat="1" x14ac:dyDescent="0.3">
      <c r="A1551" s="33" t="s">
        <v>3144</v>
      </c>
      <c r="B1551" s="33">
        <v>41996631918</v>
      </c>
      <c r="C1551" s="33" t="s">
        <v>45</v>
      </c>
      <c r="D1551" s="33">
        <v>4430265054</v>
      </c>
      <c r="E1551" s="33">
        <v>1830</v>
      </c>
      <c r="F1551" s="33">
        <v>1782</v>
      </c>
      <c r="G1551" s="33" t="s">
        <v>38</v>
      </c>
      <c r="H1551" s="33" t="s">
        <v>3145</v>
      </c>
      <c r="I1551" s="33" t="s">
        <v>39</v>
      </c>
      <c r="J1551" s="33" t="s">
        <v>40</v>
      </c>
      <c r="K1551" s="33" t="s">
        <v>41</v>
      </c>
      <c r="L1551" s="33">
        <v>5</v>
      </c>
    </row>
    <row r="1552" spans="1:12" s="1" customFormat="1" x14ac:dyDescent="0.3">
      <c r="A1552" s="33" t="s">
        <v>3146</v>
      </c>
      <c r="B1552" s="33">
        <v>44988255390</v>
      </c>
      <c r="C1552" s="33" t="s">
        <v>44</v>
      </c>
      <c r="D1552" s="33">
        <v>4430265054</v>
      </c>
      <c r="E1552" s="33">
        <v>570</v>
      </c>
      <c r="F1552" s="33">
        <v>517</v>
      </c>
      <c r="G1552" s="33" t="s">
        <v>38</v>
      </c>
      <c r="H1552" s="33" t="s">
        <v>3147</v>
      </c>
      <c r="I1552" s="33" t="s">
        <v>39</v>
      </c>
      <c r="J1552" s="33" t="s">
        <v>40</v>
      </c>
      <c r="K1552" s="33" t="s">
        <v>41</v>
      </c>
      <c r="L1552" s="33"/>
    </row>
    <row r="1553" spans="1:12" s="1" customFormat="1" x14ac:dyDescent="0.3">
      <c r="A1553" s="33" t="s">
        <v>3148</v>
      </c>
      <c r="B1553" s="33">
        <v>4430152023</v>
      </c>
      <c r="C1553" s="33" t="s">
        <v>43</v>
      </c>
      <c r="D1553" s="33">
        <v>4430265054</v>
      </c>
      <c r="E1553" s="33">
        <v>295</v>
      </c>
      <c r="F1553" s="33">
        <v>266</v>
      </c>
      <c r="G1553" s="33" t="s">
        <v>38</v>
      </c>
      <c r="H1553" s="33" t="s">
        <v>3149</v>
      </c>
      <c r="I1553" s="33" t="s">
        <v>39</v>
      </c>
      <c r="J1553" s="33" t="s">
        <v>40</v>
      </c>
      <c r="K1553" s="33" t="s">
        <v>41</v>
      </c>
      <c r="L1553" s="33"/>
    </row>
    <row r="1554" spans="1:12" s="1" customFormat="1" x14ac:dyDescent="0.3">
      <c r="A1554" s="33" t="s">
        <v>3150</v>
      </c>
      <c r="B1554" s="33">
        <v>47991636470</v>
      </c>
      <c r="C1554" s="33" t="s">
        <v>42</v>
      </c>
      <c r="D1554" s="33">
        <v>4431268225</v>
      </c>
      <c r="E1554" s="33">
        <v>944</v>
      </c>
      <c r="F1554" s="33">
        <v>901</v>
      </c>
      <c r="G1554" s="33" t="s">
        <v>38</v>
      </c>
      <c r="H1554" s="33" t="s">
        <v>3151</v>
      </c>
      <c r="I1554" s="33" t="s">
        <v>39</v>
      </c>
      <c r="J1554" s="33" t="s">
        <v>40</v>
      </c>
      <c r="K1554" s="33" t="s">
        <v>41</v>
      </c>
      <c r="L1554" s="33"/>
    </row>
    <row r="1555" spans="1:12" s="1" customFormat="1" x14ac:dyDescent="0.3">
      <c r="A1555" s="33" t="s">
        <v>3152</v>
      </c>
      <c r="B1555" s="33">
        <v>44991484476</v>
      </c>
      <c r="C1555" s="33" t="s">
        <v>44</v>
      </c>
      <c r="D1555" s="33">
        <v>4431268225</v>
      </c>
      <c r="E1555" s="33">
        <v>436</v>
      </c>
      <c r="F1555" s="33">
        <v>411</v>
      </c>
      <c r="G1555" s="33" t="s">
        <v>38</v>
      </c>
      <c r="H1555" s="33" t="s">
        <v>3153</v>
      </c>
      <c r="I1555" s="33" t="s">
        <v>39</v>
      </c>
      <c r="J1555" s="33" t="s">
        <v>40</v>
      </c>
      <c r="K1555" s="33" t="s">
        <v>41</v>
      </c>
      <c r="L1555" s="33">
        <v>5</v>
      </c>
    </row>
    <row r="1556" spans="1:12" s="1" customFormat="1" x14ac:dyDescent="0.3">
      <c r="A1556" s="33" t="s">
        <v>3154</v>
      </c>
      <c r="B1556" s="33" t="s">
        <v>45</v>
      </c>
      <c r="C1556" s="33">
        <v>62994546858</v>
      </c>
      <c r="D1556" s="33"/>
      <c r="E1556" s="33">
        <v>601</v>
      </c>
      <c r="F1556" s="33">
        <v>594</v>
      </c>
      <c r="G1556" s="33" t="s">
        <v>38</v>
      </c>
      <c r="H1556" s="33" t="s">
        <v>3155</v>
      </c>
      <c r="I1556" s="33" t="s">
        <v>46</v>
      </c>
      <c r="J1556" s="33" t="s">
        <v>40</v>
      </c>
      <c r="K1556" s="33"/>
      <c r="L1556" s="33">
        <v>5</v>
      </c>
    </row>
    <row r="1557" spans="1:12" s="1" customFormat="1" x14ac:dyDescent="0.3">
      <c r="A1557" s="33" t="s">
        <v>3156</v>
      </c>
      <c r="B1557" s="33">
        <v>4430318515</v>
      </c>
      <c r="C1557" s="33" t="s">
        <v>37</v>
      </c>
      <c r="D1557" s="33">
        <v>4430265054</v>
      </c>
      <c r="E1557" s="33">
        <v>103</v>
      </c>
      <c r="F1557" s="33">
        <v>88</v>
      </c>
      <c r="G1557" s="33" t="s">
        <v>38</v>
      </c>
      <c r="H1557" s="33" t="s">
        <v>3157</v>
      </c>
      <c r="I1557" s="33" t="s">
        <v>39</v>
      </c>
      <c r="J1557" s="33" t="s">
        <v>40</v>
      </c>
      <c r="K1557" s="33" t="s">
        <v>41</v>
      </c>
      <c r="L1557" s="33"/>
    </row>
    <row r="1558" spans="1:12" s="1" customFormat="1" x14ac:dyDescent="0.3">
      <c r="A1558" s="33" t="s">
        <v>3158</v>
      </c>
      <c r="B1558" s="33">
        <v>4431337559</v>
      </c>
      <c r="C1558" s="33" t="s">
        <v>42</v>
      </c>
      <c r="D1558" s="33">
        <v>4430265054</v>
      </c>
      <c r="E1558" s="33">
        <v>130</v>
      </c>
      <c r="F1558" s="33">
        <v>113</v>
      </c>
      <c r="G1558" s="33" t="s">
        <v>38</v>
      </c>
      <c r="H1558" s="33" t="s">
        <v>3159</v>
      </c>
      <c r="I1558" s="33" t="s">
        <v>39</v>
      </c>
      <c r="J1558" s="33" t="s">
        <v>40</v>
      </c>
      <c r="K1558" s="33" t="s">
        <v>41</v>
      </c>
      <c r="L1558" s="33"/>
    </row>
    <row r="1559" spans="1:12" s="1" customFormat="1" x14ac:dyDescent="0.3">
      <c r="A1559" s="33" t="s">
        <v>3160</v>
      </c>
      <c r="B1559" s="33" t="s">
        <v>37</v>
      </c>
      <c r="C1559" s="33">
        <v>4430318514</v>
      </c>
      <c r="D1559" s="33"/>
      <c r="E1559" s="33">
        <v>685</v>
      </c>
      <c r="F1559" s="33">
        <v>678</v>
      </c>
      <c r="G1559" s="33" t="s">
        <v>38</v>
      </c>
      <c r="H1559" s="33" t="s">
        <v>3161</v>
      </c>
      <c r="I1559" s="33" t="s">
        <v>46</v>
      </c>
      <c r="J1559" s="33" t="s">
        <v>40</v>
      </c>
      <c r="K1559" s="33"/>
      <c r="L1559" s="33"/>
    </row>
    <row r="1560" spans="1:12" s="1" customFormat="1" x14ac:dyDescent="0.3">
      <c r="A1560" s="33" t="s">
        <v>3162</v>
      </c>
      <c r="B1560" s="33">
        <v>4430145172</v>
      </c>
      <c r="C1560" s="33" t="s">
        <v>42</v>
      </c>
      <c r="D1560" s="33">
        <v>4430265054</v>
      </c>
      <c r="E1560" s="33">
        <v>142</v>
      </c>
      <c r="F1560" s="33">
        <v>108</v>
      </c>
      <c r="G1560" s="33" t="s">
        <v>38</v>
      </c>
      <c r="H1560" s="33" t="s">
        <v>3163</v>
      </c>
      <c r="I1560" s="33" t="s">
        <v>39</v>
      </c>
      <c r="J1560" s="33" t="s">
        <v>40</v>
      </c>
      <c r="K1560" s="33" t="s">
        <v>41</v>
      </c>
      <c r="L1560" s="33"/>
    </row>
    <row r="1561" spans="1:12" s="1" customFormat="1" x14ac:dyDescent="0.3">
      <c r="A1561" s="33" t="s">
        <v>3164</v>
      </c>
      <c r="B1561" s="33">
        <v>4430318514</v>
      </c>
      <c r="C1561" s="33" t="s">
        <v>37</v>
      </c>
      <c r="D1561" s="33">
        <v>4430265054</v>
      </c>
      <c r="E1561" s="33">
        <v>77</v>
      </c>
      <c r="F1561" s="33">
        <v>53</v>
      </c>
      <c r="G1561" s="33" t="s">
        <v>38</v>
      </c>
      <c r="H1561" s="33" t="s">
        <v>3165</v>
      </c>
      <c r="I1561" s="33" t="s">
        <v>39</v>
      </c>
      <c r="J1561" s="33" t="s">
        <v>40</v>
      </c>
      <c r="K1561" s="33" t="s">
        <v>41</v>
      </c>
      <c r="L1561" s="33"/>
    </row>
    <row r="1562" spans="1:12" s="1" customFormat="1" x14ac:dyDescent="0.3">
      <c r="A1562" s="33" t="s">
        <v>3166</v>
      </c>
      <c r="B1562" s="33" t="s">
        <v>37</v>
      </c>
      <c r="C1562" s="33">
        <v>4430318516</v>
      </c>
      <c r="D1562" s="33"/>
      <c r="E1562" s="33">
        <v>91</v>
      </c>
      <c r="F1562" s="33">
        <v>85</v>
      </c>
      <c r="G1562" s="33" t="s">
        <v>38</v>
      </c>
      <c r="H1562" s="33" t="s">
        <v>3167</v>
      </c>
      <c r="I1562" s="33" t="s">
        <v>46</v>
      </c>
      <c r="J1562" s="33" t="s">
        <v>40</v>
      </c>
      <c r="K1562" s="33"/>
      <c r="L1562" s="33"/>
    </row>
    <row r="1563" spans="1:12" s="1" customFormat="1" x14ac:dyDescent="0.3">
      <c r="A1563" s="33" t="s">
        <v>3168</v>
      </c>
      <c r="B1563" s="33">
        <v>4430459001</v>
      </c>
      <c r="C1563" s="33" t="s">
        <v>44</v>
      </c>
      <c r="D1563" s="33">
        <v>4430265054</v>
      </c>
      <c r="E1563" s="33">
        <v>176</v>
      </c>
      <c r="F1563" s="33">
        <v>151</v>
      </c>
      <c r="G1563" s="33" t="s">
        <v>38</v>
      </c>
      <c r="H1563" s="33" t="s">
        <v>3169</v>
      </c>
      <c r="I1563" s="33" t="s">
        <v>39</v>
      </c>
      <c r="J1563" s="33" t="s">
        <v>40</v>
      </c>
      <c r="K1563" s="33" t="s">
        <v>41</v>
      </c>
      <c r="L1563" s="33"/>
    </row>
    <row r="1564" spans="1:12" s="1" customFormat="1" x14ac:dyDescent="0.3">
      <c r="A1564" s="33" t="s">
        <v>3170</v>
      </c>
      <c r="B1564" s="33">
        <v>44998761561</v>
      </c>
      <c r="C1564" s="33" t="s">
        <v>43</v>
      </c>
      <c r="D1564" s="33">
        <v>4430265054</v>
      </c>
      <c r="E1564" s="33">
        <v>616</v>
      </c>
      <c r="F1564" s="33">
        <v>561</v>
      </c>
      <c r="G1564" s="33" t="s">
        <v>38</v>
      </c>
      <c r="H1564" s="33" t="s">
        <v>3171</v>
      </c>
      <c r="I1564" s="33" t="s">
        <v>39</v>
      </c>
      <c r="J1564" s="33" t="s">
        <v>40</v>
      </c>
      <c r="K1564" s="33" t="s">
        <v>41</v>
      </c>
      <c r="L1564" s="33">
        <v>5</v>
      </c>
    </row>
    <row r="1565" spans="1:12" s="1" customFormat="1" x14ac:dyDescent="0.3">
      <c r="A1565" s="33" t="s">
        <v>3172</v>
      </c>
      <c r="B1565" s="33" t="s">
        <v>42</v>
      </c>
      <c r="C1565" s="33">
        <v>11947640430</v>
      </c>
      <c r="D1565" s="33"/>
      <c r="E1565" s="33">
        <v>49</v>
      </c>
      <c r="F1565" s="33">
        <v>42</v>
      </c>
      <c r="G1565" s="33" t="s">
        <v>38</v>
      </c>
      <c r="H1565" s="33" t="s">
        <v>3173</v>
      </c>
      <c r="I1565" s="33" t="s">
        <v>46</v>
      </c>
      <c r="J1565" s="33" t="s">
        <v>40</v>
      </c>
      <c r="K1565" s="33"/>
      <c r="L1565" s="33"/>
    </row>
    <row r="1566" spans="1:12" s="1" customFormat="1" x14ac:dyDescent="0.3">
      <c r="A1566" s="33" t="s">
        <v>3174</v>
      </c>
      <c r="B1566" s="33">
        <v>11990144272</v>
      </c>
      <c r="C1566" s="33" t="s">
        <v>43</v>
      </c>
      <c r="D1566" s="33">
        <v>4431268225</v>
      </c>
      <c r="E1566" s="33">
        <v>584</v>
      </c>
      <c r="F1566" s="33">
        <v>560</v>
      </c>
      <c r="G1566" s="33" t="s">
        <v>38</v>
      </c>
      <c r="H1566" s="33" t="s">
        <v>3175</v>
      </c>
      <c r="I1566" s="33" t="s">
        <v>39</v>
      </c>
      <c r="J1566" s="33" t="s">
        <v>40</v>
      </c>
      <c r="K1566" s="33" t="s">
        <v>41</v>
      </c>
      <c r="L1566" s="33">
        <v>5</v>
      </c>
    </row>
    <row r="1567" spans="1:12" s="1" customFormat="1" x14ac:dyDescent="0.3">
      <c r="A1567" s="33" t="s">
        <v>3176</v>
      </c>
      <c r="B1567" s="33">
        <v>4430318516</v>
      </c>
      <c r="C1567" s="33" t="s">
        <v>44</v>
      </c>
      <c r="D1567" s="33">
        <v>4430265054</v>
      </c>
      <c r="E1567" s="33">
        <v>128</v>
      </c>
      <c r="F1567" s="33">
        <v>31</v>
      </c>
      <c r="G1567" s="33" t="s">
        <v>38</v>
      </c>
      <c r="H1567" s="33" t="s">
        <v>3177</v>
      </c>
      <c r="I1567" s="33" t="s">
        <v>39</v>
      </c>
      <c r="J1567" s="33" t="s">
        <v>40</v>
      </c>
      <c r="K1567" s="33" t="s">
        <v>41</v>
      </c>
      <c r="L1567" s="33"/>
    </row>
    <row r="1568" spans="1:12" s="1" customFormat="1" x14ac:dyDescent="0.3">
      <c r="A1568" s="33" t="s">
        <v>3178</v>
      </c>
      <c r="B1568" s="33">
        <v>4331622700</v>
      </c>
      <c r="C1568" s="33" t="s">
        <v>43</v>
      </c>
      <c r="D1568" s="33">
        <v>4430265054</v>
      </c>
      <c r="E1568" s="33">
        <v>118</v>
      </c>
      <c r="F1568" s="33">
        <v>40</v>
      </c>
      <c r="G1568" s="33" t="s">
        <v>38</v>
      </c>
      <c r="H1568" s="33" t="s">
        <v>3179</v>
      </c>
      <c r="I1568" s="33" t="s">
        <v>39</v>
      </c>
      <c r="J1568" s="33" t="s">
        <v>40</v>
      </c>
      <c r="K1568" s="33" t="s">
        <v>41</v>
      </c>
      <c r="L1568" s="33"/>
    </row>
    <row r="1569" spans="1:12" s="1" customFormat="1" x14ac:dyDescent="0.3">
      <c r="A1569" s="33" t="s">
        <v>3180</v>
      </c>
      <c r="B1569" s="33">
        <v>44988255390</v>
      </c>
      <c r="C1569" s="33" t="s">
        <v>45</v>
      </c>
      <c r="D1569" s="33">
        <v>4430265054</v>
      </c>
      <c r="E1569" s="33">
        <v>1319</v>
      </c>
      <c r="F1569" s="33">
        <v>1280</v>
      </c>
      <c r="G1569" s="33" t="s">
        <v>38</v>
      </c>
      <c r="H1569" s="33" t="s">
        <v>3181</v>
      </c>
      <c r="I1569" s="33" t="s">
        <v>39</v>
      </c>
      <c r="J1569" s="33" t="s">
        <v>40</v>
      </c>
      <c r="K1569" s="33" t="s">
        <v>41</v>
      </c>
      <c r="L1569" s="33">
        <v>5</v>
      </c>
    </row>
    <row r="1570" spans="1:12" s="1" customFormat="1" x14ac:dyDescent="0.3">
      <c r="A1570" s="33" t="s">
        <v>3182</v>
      </c>
      <c r="B1570" s="33">
        <v>4430282545</v>
      </c>
      <c r="C1570" s="33" t="s">
        <v>37</v>
      </c>
      <c r="D1570" s="33">
        <v>4430265054</v>
      </c>
      <c r="E1570" s="33">
        <v>2058</v>
      </c>
      <c r="F1570" s="33">
        <v>2016</v>
      </c>
      <c r="G1570" s="33" t="s">
        <v>38</v>
      </c>
      <c r="H1570" s="33" t="s">
        <v>3183</v>
      </c>
      <c r="I1570" s="33" t="s">
        <v>39</v>
      </c>
      <c r="J1570" s="33" t="s">
        <v>40</v>
      </c>
      <c r="K1570" s="33" t="s">
        <v>41</v>
      </c>
      <c r="L1570" s="33"/>
    </row>
    <row r="1571" spans="1:12" s="1" customFormat="1" x14ac:dyDescent="0.3">
      <c r="A1571" s="33" t="s">
        <v>3184</v>
      </c>
      <c r="B1571" s="33" t="s">
        <v>44</v>
      </c>
      <c r="C1571" s="33">
        <v>4430459001</v>
      </c>
      <c r="D1571" s="33"/>
      <c r="E1571" s="33">
        <v>960</v>
      </c>
      <c r="F1571" s="33">
        <v>930</v>
      </c>
      <c r="G1571" s="33" t="s">
        <v>38</v>
      </c>
      <c r="H1571" s="33" t="s">
        <v>3185</v>
      </c>
      <c r="I1571" s="33" t="s">
        <v>46</v>
      </c>
      <c r="J1571" s="33" t="s">
        <v>40</v>
      </c>
      <c r="K1571" s="33"/>
      <c r="L1571" s="33"/>
    </row>
    <row r="1572" spans="1:12" s="1" customFormat="1" x14ac:dyDescent="0.3">
      <c r="A1572" s="33" t="s">
        <v>3186</v>
      </c>
      <c r="B1572" s="33">
        <v>44988135387</v>
      </c>
      <c r="C1572" s="33" t="s">
        <v>43</v>
      </c>
      <c r="D1572" s="33">
        <v>4430265054</v>
      </c>
      <c r="E1572" s="33">
        <v>663</v>
      </c>
      <c r="F1572" s="33">
        <v>617</v>
      </c>
      <c r="G1572" s="33" t="s">
        <v>38</v>
      </c>
      <c r="H1572" s="33" t="s">
        <v>3187</v>
      </c>
      <c r="I1572" s="33" t="s">
        <v>39</v>
      </c>
      <c r="J1572" s="33" t="s">
        <v>40</v>
      </c>
      <c r="K1572" s="33" t="s">
        <v>41</v>
      </c>
      <c r="L1572" s="33"/>
    </row>
    <row r="1573" spans="1:12" s="1" customFormat="1" x14ac:dyDescent="0.3">
      <c r="A1573" s="33" t="s">
        <v>3188</v>
      </c>
      <c r="B1573" s="33">
        <v>4430188650</v>
      </c>
      <c r="C1573" s="33" t="s">
        <v>45</v>
      </c>
      <c r="D1573" s="33">
        <v>4430265054</v>
      </c>
      <c r="E1573" s="33">
        <v>494</v>
      </c>
      <c r="F1573" s="33">
        <v>466</v>
      </c>
      <c r="G1573" s="33" t="s">
        <v>38</v>
      </c>
      <c r="H1573" s="33" t="s">
        <v>3189</v>
      </c>
      <c r="I1573" s="33" t="s">
        <v>39</v>
      </c>
      <c r="J1573" s="33" t="s">
        <v>40</v>
      </c>
      <c r="K1573" s="33" t="s">
        <v>41</v>
      </c>
      <c r="L1573" s="33">
        <v>5</v>
      </c>
    </row>
    <row r="1574" spans="1:12" s="1" customFormat="1" x14ac:dyDescent="0.3">
      <c r="A1574" s="33" t="s">
        <v>3190</v>
      </c>
      <c r="B1574" s="33" t="s">
        <v>45</v>
      </c>
      <c r="C1574" s="33">
        <v>4532541802</v>
      </c>
      <c r="D1574" s="33"/>
      <c r="E1574" s="33">
        <v>82</v>
      </c>
      <c r="F1574" s="33">
        <v>81</v>
      </c>
      <c r="G1574" s="33" t="s">
        <v>38</v>
      </c>
      <c r="H1574" s="33" t="s">
        <v>3191</v>
      </c>
      <c r="I1574" s="33" t="s">
        <v>46</v>
      </c>
      <c r="J1574" s="33" t="s">
        <v>40</v>
      </c>
      <c r="K1574" s="33"/>
      <c r="L1574" s="33"/>
    </row>
    <row r="1575" spans="1:12" s="1" customFormat="1" x14ac:dyDescent="0.3">
      <c r="A1575" s="33" t="s">
        <v>3192</v>
      </c>
      <c r="B1575" s="33">
        <v>4430318514</v>
      </c>
      <c r="C1575" s="33" t="s">
        <v>37</v>
      </c>
      <c r="D1575" s="33">
        <v>4430265054</v>
      </c>
      <c r="E1575" s="33">
        <v>267</v>
      </c>
      <c r="F1575" s="33">
        <v>228</v>
      </c>
      <c r="G1575" s="33" t="s">
        <v>38</v>
      </c>
      <c r="H1575" s="33" t="s">
        <v>3193</v>
      </c>
      <c r="I1575" s="33" t="s">
        <v>39</v>
      </c>
      <c r="J1575" s="33" t="s">
        <v>40</v>
      </c>
      <c r="K1575" s="33" t="s">
        <v>41</v>
      </c>
      <c r="L1575" s="33">
        <v>5</v>
      </c>
    </row>
    <row r="1576" spans="1:12" s="1" customFormat="1" x14ac:dyDescent="0.3">
      <c r="A1576" s="33" t="s">
        <v>3194</v>
      </c>
      <c r="B1576" s="33" t="s">
        <v>37</v>
      </c>
      <c r="C1576" s="33">
        <v>4430318516</v>
      </c>
      <c r="D1576" s="33"/>
      <c r="E1576" s="33">
        <v>25</v>
      </c>
      <c r="F1576" s="33">
        <v>18</v>
      </c>
      <c r="G1576" s="33" t="s">
        <v>38</v>
      </c>
      <c r="H1576" s="33" t="s">
        <v>3195</v>
      </c>
      <c r="I1576" s="33" t="s">
        <v>46</v>
      </c>
      <c r="J1576" s="33" t="s">
        <v>40</v>
      </c>
      <c r="K1576" s="33"/>
      <c r="L1576" s="33"/>
    </row>
    <row r="1577" spans="1:12" s="1" customFormat="1" x14ac:dyDescent="0.3">
      <c r="A1577" s="33" t="s">
        <v>3196</v>
      </c>
      <c r="B1577" s="33" t="s">
        <v>37</v>
      </c>
      <c r="C1577" s="33">
        <v>4430318516</v>
      </c>
      <c r="D1577" s="33"/>
      <c r="E1577" s="33">
        <v>790</v>
      </c>
      <c r="F1577" s="33">
        <v>784</v>
      </c>
      <c r="G1577" s="33" t="s">
        <v>38</v>
      </c>
      <c r="H1577" s="33" t="s">
        <v>3197</v>
      </c>
      <c r="I1577" s="33" t="s">
        <v>46</v>
      </c>
      <c r="J1577" s="33" t="s">
        <v>40</v>
      </c>
      <c r="K1577" s="33"/>
      <c r="L1577" s="33"/>
    </row>
    <row r="1578" spans="1:12" s="1" customFormat="1" x14ac:dyDescent="0.3">
      <c r="A1578" s="33" t="s">
        <v>3198</v>
      </c>
      <c r="B1578" s="33" t="s">
        <v>37</v>
      </c>
      <c r="C1578" s="33">
        <v>44991484476</v>
      </c>
      <c r="D1578" s="33"/>
      <c r="E1578" s="33">
        <v>389</v>
      </c>
      <c r="F1578" s="33">
        <v>383</v>
      </c>
      <c r="G1578" s="33" t="s">
        <v>38</v>
      </c>
      <c r="H1578" s="33" t="s">
        <v>3199</v>
      </c>
      <c r="I1578" s="33" t="s">
        <v>46</v>
      </c>
      <c r="J1578" s="33" t="s">
        <v>40</v>
      </c>
      <c r="K1578" s="33"/>
      <c r="L1578" s="33">
        <v>5</v>
      </c>
    </row>
    <row r="1579" spans="1:12" s="1" customFormat="1" x14ac:dyDescent="0.3">
      <c r="A1579" s="33" t="s">
        <v>3200</v>
      </c>
      <c r="B1579" s="33" t="s">
        <v>44</v>
      </c>
      <c r="C1579" s="33">
        <v>4430459001</v>
      </c>
      <c r="D1579" s="33"/>
      <c r="E1579" s="33">
        <v>99</v>
      </c>
      <c r="F1579" s="33">
        <v>91</v>
      </c>
      <c r="G1579" s="33" t="s">
        <v>38</v>
      </c>
      <c r="H1579" s="33" t="s">
        <v>3201</v>
      </c>
      <c r="I1579" s="33" t="s">
        <v>46</v>
      </c>
      <c r="J1579" s="33" t="s">
        <v>40</v>
      </c>
      <c r="K1579" s="33"/>
      <c r="L1579" s="33"/>
    </row>
    <row r="1580" spans="1:12" s="1" customFormat="1" x14ac:dyDescent="0.3">
      <c r="A1580" s="33" t="s">
        <v>3202</v>
      </c>
      <c r="B1580" s="33">
        <v>11972178961</v>
      </c>
      <c r="C1580" s="33" t="s">
        <v>42</v>
      </c>
      <c r="D1580" s="33">
        <v>4430265054</v>
      </c>
      <c r="E1580" s="33">
        <v>319</v>
      </c>
      <c r="F1580" s="33">
        <v>220</v>
      </c>
      <c r="G1580" s="33" t="s">
        <v>38</v>
      </c>
      <c r="H1580" s="33" t="s">
        <v>3203</v>
      </c>
      <c r="I1580" s="33" t="s">
        <v>39</v>
      </c>
      <c r="J1580" s="33" t="s">
        <v>40</v>
      </c>
      <c r="K1580" s="33" t="s">
        <v>41</v>
      </c>
      <c r="L1580" s="33"/>
    </row>
    <row r="1581" spans="1:12" s="1" customFormat="1" x14ac:dyDescent="0.3">
      <c r="A1581" s="33" t="s">
        <v>3204</v>
      </c>
      <c r="B1581" s="33">
        <v>4430318516</v>
      </c>
      <c r="C1581" s="33" t="s">
        <v>45</v>
      </c>
      <c r="D1581" s="33">
        <v>4430265054</v>
      </c>
      <c r="E1581" s="33">
        <v>87</v>
      </c>
      <c r="F1581" s="33">
        <v>40</v>
      </c>
      <c r="G1581" s="33" t="s">
        <v>38</v>
      </c>
      <c r="H1581" s="33" t="s">
        <v>3205</v>
      </c>
      <c r="I1581" s="33" t="s">
        <v>39</v>
      </c>
      <c r="J1581" s="33" t="s">
        <v>40</v>
      </c>
      <c r="K1581" s="33" t="s">
        <v>41</v>
      </c>
      <c r="L1581" s="33"/>
    </row>
    <row r="1582" spans="1:12" s="1" customFormat="1" x14ac:dyDescent="0.3">
      <c r="A1582" s="33" t="s">
        <v>3206</v>
      </c>
      <c r="B1582" s="33" t="s">
        <v>3207</v>
      </c>
      <c r="C1582" s="33" t="s">
        <v>51</v>
      </c>
      <c r="D1582" s="33"/>
      <c r="E1582" s="33">
        <v>32</v>
      </c>
      <c r="F1582" s="33">
        <v>0</v>
      </c>
      <c r="G1582" s="33" t="s">
        <v>47</v>
      </c>
      <c r="H1582" s="33" t="s">
        <v>3208</v>
      </c>
      <c r="I1582" s="33" t="s">
        <v>52</v>
      </c>
      <c r="J1582" s="33" t="s">
        <v>40</v>
      </c>
      <c r="K1582" s="33"/>
      <c r="L1582" s="33"/>
    </row>
    <row r="1583" spans="1:12" s="1" customFormat="1" x14ac:dyDescent="0.3">
      <c r="A1583" s="33" t="s">
        <v>3209</v>
      </c>
      <c r="B1583" s="33" t="s">
        <v>3207</v>
      </c>
      <c r="C1583" s="33" t="s">
        <v>51</v>
      </c>
      <c r="D1583" s="33"/>
      <c r="E1583" s="33">
        <v>32</v>
      </c>
      <c r="F1583" s="33">
        <v>0</v>
      </c>
      <c r="G1583" s="33" t="s">
        <v>47</v>
      </c>
      <c r="H1583" s="33" t="s">
        <v>3210</v>
      </c>
      <c r="I1583" s="33" t="s">
        <v>52</v>
      </c>
      <c r="J1583" s="33" t="s">
        <v>40</v>
      </c>
      <c r="K1583" s="33"/>
      <c r="L1583" s="33"/>
    </row>
    <row r="1584" spans="1:12" s="1" customFormat="1" x14ac:dyDescent="0.3">
      <c r="A1584" s="33" t="s">
        <v>3211</v>
      </c>
      <c r="B1584" s="33">
        <v>4430288517</v>
      </c>
      <c r="C1584" s="33" t="s">
        <v>44</v>
      </c>
      <c r="D1584" s="33">
        <v>4430265054</v>
      </c>
      <c r="E1584" s="33">
        <v>161</v>
      </c>
      <c r="F1584" s="33">
        <v>36</v>
      </c>
      <c r="G1584" s="33" t="s">
        <v>38</v>
      </c>
      <c r="H1584" s="33" t="s">
        <v>3212</v>
      </c>
      <c r="I1584" s="33" t="s">
        <v>39</v>
      </c>
      <c r="J1584" s="33" t="s">
        <v>40</v>
      </c>
      <c r="K1584" s="33" t="s">
        <v>41</v>
      </c>
      <c r="L1584" s="33"/>
    </row>
    <row r="1585" spans="1:12" s="1" customFormat="1" x14ac:dyDescent="0.3">
      <c r="A1585" s="33" t="s">
        <v>3213</v>
      </c>
      <c r="B1585" s="33" t="s">
        <v>44</v>
      </c>
      <c r="C1585" s="33">
        <v>4432269849</v>
      </c>
      <c r="D1585" s="33"/>
      <c r="E1585" s="33">
        <v>296</v>
      </c>
      <c r="F1585" s="33">
        <v>288</v>
      </c>
      <c r="G1585" s="33" t="s">
        <v>38</v>
      </c>
      <c r="H1585" s="33" t="s">
        <v>3214</v>
      </c>
      <c r="I1585" s="33" t="s">
        <v>46</v>
      </c>
      <c r="J1585" s="33" t="s">
        <v>40</v>
      </c>
      <c r="K1585" s="33"/>
      <c r="L1585" s="33">
        <v>5</v>
      </c>
    </row>
    <row r="1586" spans="1:12" s="1" customFormat="1" x14ac:dyDescent="0.3">
      <c r="A1586" s="33" t="s">
        <v>3215</v>
      </c>
      <c r="B1586" s="33" t="s">
        <v>44</v>
      </c>
      <c r="C1586" s="33">
        <v>4432269849</v>
      </c>
      <c r="D1586" s="33"/>
      <c r="E1586" s="33">
        <v>5</v>
      </c>
      <c r="F1586" s="33">
        <v>0</v>
      </c>
      <c r="G1586" s="33" t="s">
        <v>47</v>
      </c>
      <c r="H1586" s="33" t="s">
        <v>3216</v>
      </c>
      <c r="I1586" s="33" t="s">
        <v>46</v>
      </c>
      <c r="J1586" s="33" t="s">
        <v>40</v>
      </c>
      <c r="K1586" s="33"/>
      <c r="L1586" s="33"/>
    </row>
    <row r="1587" spans="1:12" s="1" customFormat="1" x14ac:dyDescent="0.3">
      <c r="A1587" s="33" t="s">
        <v>3217</v>
      </c>
      <c r="B1587" s="33">
        <v>4433540752</v>
      </c>
      <c r="C1587" s="33" t="s">
        <v>44</v>
      </c>
      <c r="D1587" s="33">
        <v>4430265054</v>
      </c>
      <c r="E1587" s="33">
        <v>215</v>
      </c>
      <c r="F1587" s="33">
        <v>139</v>
      </c>
      <c r="G1587" s="33" t="s">
        <v>38</v>
      </c>
      <c r="H1587" s="33" t="s">
        <v>3218</v>
      </c>
      <c r="I1587" s="33" t="s">
        <v>39</v>
      </c>
      <c r="J1587" s="33" t="s">
        <v>40</v>
      </c>
      <c r="K1587" s="33" t="s">
        <v>41</v>
      </c>
      <c r="L1587" s="33"/>
    </row>
    <row r="1588" spans="1:12" s="1" customFormat="1" x14ac:dyDescent="0.3">
      <c r="A1588" s="33" t="s">
        <v>3219</v>
      </c>
      <c r="B1588" s="33">
        <v>44991484476</v>
      </c>
      <c r="C1588" s="33" t="s">
        <v>37</v>
      </c>
      <c r="D1588" s="33">
        <v>4431268225</v>
      </c>
      <c r="E1588" s="33">
        <v>2669</v>
      </c>
      <c r="F1588" s="33">
        <v>2643</v>
      </c>
      <c r="G1588" s="33" t="s">
        <v>38</v>
      </c>
      <c r="H1588" s="33" t="s">
        <v>3220</v>
      </c>
      <c r="I1588" s="33" t="s">
        <v>39</v>
      </c>
      <c r="J1588" s="33" t="s">
        <v>40</v>
      </c>
      <c r="K1588" s="33" t="s">
        <v>41</v>
      </c>
      <c r="L1588" s="33">
        <v>5</v>
      </c>
    </row>
    <row r="1589" spans="1:12" s="1" customFormat="1" x14ac:dyDescent="0.3">
      <c r="A1589" s="33" t="s">
        <v>3221</v>
      </c>
      <c r="B1589" s="33">
        <v>4334726613</v>
      </c>
      <c r="C1589" s="33" t="s">
        <v>43</v>
      </c>
      <c r="D1589" s="33">
        <v>4430265054</v>
      </c>
      <c r="E1589" s="33">
        <v>177</v>
      </c>
      <c r="F1589" s="33">
        <v>149</v>
      </c>
      <c r="G1589" s="33" t="s">
        <v>38</v>
      </c>
      <c r="H1589" s="33" t="s">
        <v>3222</v>
      </c>
      <c r="I1589" s="33" t="s">
        <v>39</v>
      </c>
      <c r="J1589" s="33" t="s">
        <v>40</v>
      </c>
      <c r="K1589" s="33" t="s">
        <v>41</v>
      </c>
      <c r="L1589" s="33"/>
    </row>
    <row r="1590" spans="1:12" s="1" customFormat="1" x14ac:dyDescent="0.3">
      <c r="A1590" s="33" t="s">
        <v>3223</v>
      </c>
      <c r="B1590" s="33">
        <v>44988064675</v>
      </c>
      <c r="C1590" s="33" t="s">
        <v>42</v>
      </c>
      <c r="D1590" s="33">
        <v>4430265054</v>
      </c>
      <c r="E1590" s="33">
        <v>1032</v>
      </c>
      <c r="F1590" s="33">
        <v>937</v>
      </c>
      <c r="G1590" s="33" t="s">
        <v>38</v>
      </c>
      <c r="H1590" s="33" t="s">
        <v>3224</v>
      </c>
      <c r="I1590" s="33" t="s">
        <v>39</v>
      </c>
      <c r="J1590" s="33" t="s">
        <v>40</v>
      </c>
      <c r="K1590" s="33" t="s">
        <v>41</v>
      </c>
      <c r="L1590" s="33">
        <v>5</v>
      </c>
    </row>
    <row r="1591" spans="1:12" s="1" customFormat="1" x14ac:dyDescent="0.3">
      <c r="A1591" s="33" t="s">
        <v>3225</v>
      </c>
      <c r="B1591" s="33">
        <v>4432269849</v>
      </c>
      <c r="C1591" s="33" t="s">
        <v>44</v>
      </c>
      <c r="D1591" s="33">
        <v>4430265054</v>
      </c>
      <c r="E1591" s="33">
        <v>303</v>
      </c>
      <c r="F1591" s="33">
        <v>214</v>
      </c>
      <c r="G1591" s="33" t="s">
        <v>38</v>
      </c>
      <c r="H1591" s="33" t="s">
        <v>3226</v>
      </c>
      <c r="I1591" s="33" t="s">
        <v>39</v>
      </c>
      <c r="J1591" s="33" t="s">
        <v>40</v>
      </c>
      <c r="K1591" s="33" t="s">
        <v>41</v>
      </c>
      <c r="L1591" s="33"/>
    </row>
    <row r="1592" spans="1:12" s="1" customFormat="1" x14ac:dyDescent="0.3">
      <c r="A1592" s="33" t="s">
        <v>3227</v>
      </c>
      <c r="B1592" s="33">
        <v>4430318514</v>
      </c>
      <c r="C1592" s="33" t="s">
        <v>37</v>
      </c>
      <c r="D1592" s="33">
        <v>4430265054</v>
      </c>
      <c r="E1592" s="33">
        <v>145</v>
      </c>
      <c r="F1592" s="33">
        <v>60</v>
      </c>
      <c r="G1592" s="33" t="s">
        <v>38</v>
      </c>
      <c r="H1592" s="33" t="s">
        <v>3228</v>
      </c>
      <c r="I1592" s="33" t="s">
        <v>39</v>
      </c>
      <c r="J1592" s="33" t="s">
        <v>40</v>
      </c>
      <c r="K1592" s="33" t="s">
        <v>41</v>
      </c>
      <c r="L1592" s="33"/>
    </row>
    <row r="1593" spans="1:12" s="1" customFormat="1" x14ac:dyDescent="0.3">
      <c r="A1593" s="33" t="s">
        <v>3229</v>
      </c>
      <c r="B1593" s="33">
        <v>43999317663</v>
      </c>
      <c r="C1593" s="33" t="s">
        <v>45</v>
      </c>
      <c r="D1593" s="33">
        <v>4430265054</v>
      </c>
      <c r="E1593" s="33">
        <v>1070</v>
      </c>
      <c r="F1593" s="33">
        <v>981</v>
      </c>
      <c r="G1593" s="33" t="s">
        <v>38</v>
      </c>
      <c r="H1593" s="33" t="s">
        <v>3230</v>
      </c>
      <c r="I1593" s="33" t="s">
        <v>39</v>
      </c>
      <c r="J1593" s="33" t="s">
        <v>40</v>
      </c>
      <c r="K1593" s="33" t="s">
        <v>41</v>
      </c>
      <c r="L1593" s="33"/>
    </row>
    <row r="1594" spans="1:12" s="1" customFormat="1" x14ac:dyDescent="0.3">
      <c r="A1594" s="33" t="s">
        <v>3231</v>
      </c>
      <c r="B1594" s="33" t="s">
        <v>37</v>
      </c>
      <c r="C1594" s="33">
        <v>44984261416</v>
      </c>
      <c r="D1594" s="33"/>
      <c r="E1594" s="33">
        <v>37</v>
      </c>
      <c r="F1594" s="33">
        <v>0</v>
      </c>
      <c r="G1594" s="33" t="s">
        <v>47</v>
      </c>
      <c r="H1594" s="33" t="s">
        <v>3232</v>
      </c>
      <c r="I1594" s="33" t="s">
        <v>46</v>
      </c>
      <c r="J1594" s="33" t="s">
        <v>40</v>
      </c>
      <c r="K1594" s="33"/>
      <c r="L1594" s="33"/>
    </row>
    <row r="1595" spans="1:12" s="1" customFormat="1" x14ac:dyDescent="0.3">
      <c r="A1595" s="33" t="s">
        <v>3233</v>
      </c>
      <c r="B1595" s="33" t="s">
        <v>37</v>
      </c>
      <c r="C1595" s="33">
        <v>44991484476</v>
      </c>
      <c r="D1595" s="33"/>
      <c r="E1595" s="33">
        <v>50</v>
      </c>
      <c r="F1595" s="33">
        <v>32</v>
      </c>
      <c r="G1595" s="33" t="s">
        <v>38</v>
      </c>
      <c r="H1595" s="33" t="s">
        <v>3234</v>
      </c>
      <c r="I1595" s="33" t="s">
        <v>46</v>
      </c>
      <c r="J1595" s="33" t="s">
        <v>40</v>
      </c>
      <c r="K1595" s="33"/>
      <c r="L1595" s="33"/>
    </row>
    <row r="1596" spans="1:12" s="1" customFormat="1" x14ac:dyDescent="0.3">
      <c r="A1596" s="33" t="s">
        <v>3235</v>
      </c>
      <c r="B1596" s="33" t="s">
        <v>37</v>
      </c>
      <c r="C1596" s="33">
        <v>44984261416</v>
      </c>
      <c r="D1596" s="33"/>
      <c r="E1596" s="33">
        <v>38</v>
      </c>
      <c r="F1596" s="33">
        <v>0</v>
      </c>
      <c r="G1596" s="33" t="s">
        <v>47</v>
      </c>
      <c r="H1596" s="33" t="s">
        <v>3236</v>
      </c>
      <c r="I1596" s="33" t="s">
        <v>46</v>
      </c>
      <c r="J1596" s="33" t="s">
        <v>40</v>
      </c>
      <c r="K1596" s="33"/>
      <c r="L1596" s="33"/>
    </row>
    <row r="1597" spans="1:12" s="1" customFormat="1" x14ac:dyDescent="0.3">
      <c r="A1597" s="33" t="s">
        <v>3237</v>
      </c>
      <c r="B1597" s="33" t="s">
        <v>37</v>
      </c>
      <c r="C1597" s="33">
        <v>44991484476</v>
      </c>
      <c r="D1597" s="33"/>
      <c r="E1597" s="33">
        <v>53</v>
      </c>
      <c r="F1597" s="33">
        <v>33</v>
      </c>
      <c r="G1597" s="33" t="s">
        <v>38</v>
      </c>
      <c r="H1597" s="33" t="s">
        <v>3238</v>
      </c>
      <c r="I1597" s="33" t="s">
        <v>46</v>
      </c>
      <c r="J1597" s="33" t="s">
        <v>40</v>
      </c>
      <c r="K1597" s="33"/>
      <c r="L1597" s="33"/>
    </row>
    <row r="1598" spans="1:12" s="1" customFormat="1" x14ac:dyDescent="0.3">
      <c r="A1598" s="33" t="s">
        <v>3239</v>
      </c>
      <c r="B1598" s="33" t="s">
        <v>37</v>
      </c>
      <c r="C1598" s="33">
        <v>44991484476</v>
      </c>
      <c r="D1598" s="33"/>
      <c r="E1598" s="33">
        <v>57</v>
      </c>
      <c r="F1598" s="33">
        <v>36</v>
      </c>
      <c r="G1598" s="33" t="s">
        <v>38</v>
      </c>
      <c r="H1598" s="33" t="s">
        <v>3240</v>
      </c>
      <c r="I1598" s="33" t="s">
        <v>46</v>
      </c>
      <c r="J1598" s="33" t="s">
        <v>40</v>
      </c>
      <c r="K1598" s="33"/>
      <c r="L1598" s="33"/>
    </row>
    <row r="1599" spans="1:12" s="1" customFormat="1" x14ac:dyDescent="0.3">
      <c r="A1599" s="33" t="s">
        <v>3241</v>
      </c>
      <c r="B1599" s="33" t="s">
        <v>37</v>
      </c>
      <c r="C1599" s="33">
        <v>44988255390</v>
      </c>
      <c r="D1599" s="33"/>
      <c r="E1599" s="33">
        <v>38</v>
      </c>
      <c r="F1599" s="33">
        <v>0</v>
      </c>
      <c r="G1599" s="33" t="s">
        <v>47</v>
      </c>
      <c r="H1599" s="33" t="s">
        <v>3242</v>
      </c>
      <c r="I1599" s="33" t="s">
        <v>46</v>
      </c>
      <c r="J1599" s="33" t="s">
        <v>40</v>
      </c>
      <c r="K1599" s="33"/>
      <c r="L1599" s="33"/>
    </row>
    <row r="1600" spans="1:12" s="1" customFormat="1" x14ac:dyDescent="0.3">
      <c r="A1600" s="33" t="s">
        <v>3243</v>
      </c>
      <c r="B1600" s="33" t="s">
        <v>37</v>
      </c>
      <c r="C1600" s="33">
        <v>44988255390</v>
      </c>
      <c r="D1600" s="33"/>
      <c r="E1600" s="33">
        <v>5</v>
      </c>
      <c r="F1600" s="33">
        <v>0</v>
      </c>
      <c r="G1600" s="33" t="s">
        <v>47</v>
      </c>
      <c r="H1600" s="33" t="s">
        <v>3244</v>
      </c>
      <c r="I1600" s="33" t="s">
        <v>46</v>
      </c>
      <c r="J1600" s="33" t="s">
        <v>40</v>
      </c>
      <c r="K1600" s="33"/>
      <c r="L1600" s="33"/>
    </row>
    <row r="1601" spans="1:12" s="1" customFormat="1" x14ac:dyDescent="0.3">
      <c r="A1601" s="33" t="s">
        <v>3245</v>
      </c>
      <c r="B1601" s="33">
        <v>44988064675</v>
      </c>
      <c r="C1601" s="33" t="s">
        <v>37</v>
      </c>
      <c r="D1601" s="33">
        <v>4430265054</v>
      </c>
      <c r="E1601" s="33">
        <v>43</v>
      </c>
      <c r="F1601" s="33">
        <v>4</v>
      </c>
      <c r="G1601" s="33" t="s">
        <v>38</v>
      </c>
      <c r="H1601" s="33" t="s">
        <v>3246</v>
      </c>
      <c r="I1601" s="33" t="s">
        <v>39</v>
      </c>
      <c r="J1601" s="33" t="s">
        <v>40</v>
      </c>
      <c r="K1601" s="33" t="s">
        <v>41</v>
      </c>
      <c r="L1601" s="33"/>
    </row>
    <row r="1602" spans="1:12" s="1" customFormat="1" x14ac:dyDescent="0.3">
      <c r="A1602" s="33" t="s">
        <v>3247</v>
      </c>
      <c r="B1602" s="33" t="s">
        <v>37</v>
      </c>
      <c r="C1602" s="33">
        <v>62992350286</v>
      </c>
      <c r="D1602" s="33"/>
      <c r="E1602" s="33">
        <v>86</v>
      </c>
      <c r="F1602" s="33">
        <v>75</v>
      </c>
      <c r="G1602" s="33" t="s">
        <v>38</v>
      </c>
      <c r="H1602" s="33" t="s">
        <v>3248</v>
      </c>
      <c r="I1602" s="33" t="s">
        <v>46</v>
      </c>
      <c r="J1602" s="33" t="s">
        <v>40</v>
      </c>
      <c r="K1602" s="33"/>
      <c r="L1602" s="33">
        <v>5</v>
      </c>
    </row>
    <row r="1603" spans="1:12" s="1" customFormat="1" x14ac:dyDescent="0.3">
      <c r="A1603" s="33" t="s">
        <v>3249</v>
      </c>
      <c r="B1603" s="33">
        <v>44999451200</v>
      </c>
      <c r="C1603" s="33" t="s">
        <v>43</v>
      </c>
      <c r="D1603" s="33">
        <v>4430265054</v>
      </c>
      <c r="E1603" s="33">
        <v>300</v>
      </c>
      <c r="F1603" s="33">
        <v>253</v>
      </c>
      <c r="G1603" s="33" t="s">
        <v>38</v>
      </c>
      <c r="H1603" s="33" t="s">
        <v>3250</v>
      </c>
      <c r="I1603" s="33" t="s">
        <v>39</v>
      </c>
      <c r="J1603" s="33" t="s">
        <v>40</v>
      </c>
      <c r="K1603" s="33" t="s">
        <v>41</v>
      </c>
      <c r="L1603" s="33"/>
    </row>
    <row r="1604" spans="1:12" s="1" customFormat="1" x14ac:dyDescent="0.3">
      <c r="A1604" s="33" t="s">
        <v>3251</v>
      </c>
      <c r="B1604" s="33">
        <v>35998295948</v>
      </c>
      <c r="C1604" s="33" t="s">
        <v>45</v>
      </c>
      <c r="D1604" s="33">
        <v>4430265054</v>
      </c>
      <c r="E1604" s="33">
        <v>464</v>
      </c>
      <c r="F1604" s="33">
        <v>440</v>
      </c>
      <c r="G1604" s="33" t="s">
        <v>38</v>
      </c>
      <c r="H1604" s="33" t="s">
        <v>3252</v>
      </c>
      <c r="I1604" s="33" t="s">
        <v>39</v>
      </c>
      <c r="J1604" s="33" t="s">
        <v>40</v>
      </c>
      <c r="K1604" s="33" t="s">
        <v>41</v>
      </c>
      <c r="L1604" s="33"/>
    </row>
    <row r="1605" spans="1:12" s="1" customFormat="1" x14ac:dyDescent="0.3">
      <c r="A1605" s="33" t="s">
        <v>3253</v>
      </c>
      <c r="B1605" s="33">
        <v>4430318516</v>
      </c>
      <c r="C1605" s="33" t="s">
        <v>37</v>
      </c>
      <c r="D1605" s="33">
        <v>4430265054</v>
      </c>
      <c r="E1605" s="33">
        <v>158</v>
      </c>
      <c r="F1605" s="33">
        <v>140</v>
      </c>
      <c r="G1605" s="33" t="s">
        <v>38</v>
      </c>
      <c r="H1605" s="33" t="s">
        <v>3254</v>
      </c>
      <c r="I1605" s="33" t="s">
        <v>39</v>
      </c>
      <c r="J1605" s="33" t="s">
        <v>40</v>
      </c>
      <c r="K1605" s="33" t="s">
        <v>41</v>
      </c>
      <c r="L1605" s="33"/>
    </row>
    <row r="1606" spans="1:12" s="1" customFormat="1" x14ac:dyDescent="0.3">
      <c r="A1606" s="33" t="s">
        <v>3255</v>
      </c>
      <c r="B1606" s="33" t="s">
        <v>43</v>
      </c>
      <c r="C1606" s="33">
        <v>44988067937</v>
      </c>
      <c r="D1606" s="33"/>
      <c r="E1606" s="33">
        <v>1</v>
      </c>
      <c r="F1606" s="33">
        <v>0</v>
      </c>
      <c r="G1606" s="33" t="s">
        <v>47</v>
      </c>
      <c r="H1606" s="33" t="s">
        <v>3256</v>
      </c>
      <c r="I1606" s="33" t="s">
        <v>46</v>
      </c>
      <c r="J1606" s="33" t="s">
        <v>40</v>
      </c>
      <c r="K1606" s="33"/>
      <c r="L1606" s="33"/>
    </row>
    <row r="1607" spans="1:12" s="1" customFormat="1" x14ac:dyDescent="0.3">
      <c r="A1607" s="33" t="s">
        <v>3257</v>
      </c>
      <c r="B1607" s="33">
        <v>4330333542</v>
      </c>
      <c r="C1607" s="33" t="s">
        <v>42</v>
      </c>
      <c r="D1607" s="33">
        <v>4430265054</v>
      </c>
      <c r="E1607" s="33">
        <v>224</v>
      </c>
      <c r="F1607" s="33">
        <v>113</v>
      </c>
      <c r="G1607" s="33" t="s">
        <v>38</v>
      </c>
      <c r="H1607" s="33" t="s">
        <v>3258</v>
      </c>
      <c r="I1607" s="33" t="s">
        <v>39</v>
      </c>
      <c r="J1607" s="33" t="s">
        <v>40</v>
      </c>
      <c r="K1607" s="33" t="s">
        <v>41</v>
      </c>
      <c r="L1607" s="33"/>
    </row>
    <row r="1608" spans="1:12" s="1" customFormat="1" x14ac:dyDescent="0.3">
      <c r="A1608" s="33" t="s">
        <v>3259</v>
      </c>
      <c r="B1608" s="33">
        <v>44999670264</v>
      </c>
      <c r="C1608" s="33" t="s">
        <v>44</v>
      </c>
      <c r="D1608" s="33">
        <v>4430265054</v>
      </c>
      <c r="E1608" s="33">
        <v>1178</v>
      </c>
      <c r="F1608" s="33">
        <v>1073</v>
      </c>
      <c r="G1608" s="33" t="s">
        <v>38</v>
      </c>
      <c r="H1608" s="33" t="s">
        <v>3260</v>
      </c>
      <c r="I1608" s="33" t="s">
        <v>39</v>
      </c>
      <c r="J1608" s="33" t="s">
        <v>40</v>
      </c>
      <c r="K1608" s="33" t="s">
        <v>41</v>
      </c>
      <c r="L1608" s="33">
        <v>5</v>
      </c>
    </row>
    <row r="1609" spans="1:12" s="1" customFormat="1" x14ac:dyDescent="0.3">
      <c r="A1609" s="33" t="s">
        <v>3261</v>
      </c>
      <c r="B1609" s="33">
        <v>4430188650</v>
      </c>
      <c r="C1609" s="33" t="s">
        <v>43</v>
      </c>
      <c r="D1609" s="33">
        <v>4430265054</v>
      </c>
      <c r="E1609" s="33">
        <v>236</v>
      </c>
      <c r="F1609" s="33">
        <v>180</v>
      </c>
      <c r="G1609" s="33" t="s">
        <v>38</v>
      </c>
      <c r="H1609" s="33" t="s">
        <v>3262</v>
      </c>
      <c r="I1609" s="33" t="s">
        <v>39</v>
      </c>
      <c r="J1609" s="33" t="s">
        <v>40</v>
      </c>
      <c r="K1609" s="33" t="s">
        <v>41</v>
      </c>
      <c r="L1609" s="33"/>
    </row>
    <row r="1610" spans="1:12" s="1" customFormat="1" x14ac:dyDescent="0.3">
      <c r="A1610" s="33" t="s">
        <v>3263</v>
      </c>
      <c r="B1610" s="33">
        <v>4430459001</v>
      </c>
      <c r="C1610" s="33" t="s">
        <v>44</v>
      </c>
      <c r="D1610" s="33">
        <v>4430265054</v>
      </c>
      <c r="E1610" s="33">
        <v>718</v>
      </c>
      <c r="F1610" s="33">
        <v>683</v>
      </c>
      <c r="G1610" s="33" t="s">
        <v>38</v>
      </c>
      <c r="H1610" s="33" t="s">
        <v>3264</v>
      </c>
      <c r="I1610" s="33" t="s">
        <v>39</v>
      </c>
      <c r="J1610" s="33" t="s">
        <v>40</v>
      </c>
      <c r="K1610" s="33" t="s">
        <v>41</v>
      </c>
      <c r="L1610" s="33"/>
    </row>
    <row r="1611" spans="1:12" s="1" customFormat="1" x14ac:dyDescent="0.3">
      <c r="A1611" s="33" t="s">
        <v>3265</v>
      </c>
      <c r="B1611" s="33">
        <v>62992350286</v>
      </c>
      <c r="C1611" s="33" t="s">
        <v>37</v>
      </c>
      <c r="D1611" s="33">
        <v>4430265054</v>
      </c>
      <c r="E1611" s="33">
        <v>1332</v>
      </c>
      <c r="F1611" s="33">
        <v>1247</v>
      </c>
      <c r="G1611" s="33" t="s">
        <v>38</v>
      </c>
      <c r="H1611" s="33" t="s">
        <v>3266</v>
      </c>
      <c r="I1611" s="33" t="s">
        <v>39</v>
      </c>
      <c r="J1611" s="33" t="s">
        <v>40</v>
      </c>
      <c r="K1611" s="33" t="s">
        <v>41</v>
      </c>
      <c r="L1611" s="33"/>
    </row>
    <row r="1612" spans="1:12" s="1" customFormat="1" x14ac:dyDescent="0.3">
      <c r="A1612" s="33" t="s">
        <v>3267</v>
      </c>
      <c r="B1612" s="33" t="s">
        <v>44</v>
      </c>
      <c r="C1612" s="33">
        <v>44997123083</v>
      </c>
      <c r="D1612" s="33"/>
      <c r="E1612" s="33">
        <v>10</v>
      </c>
      <c r="F1612" s="33">
        <v>0</v>
      </c>
      <c r="G1612" s="33" t="s">
        <v>47</v>
      </c>
      <c r="H1612" s="33" t="s">
        <v>3268</v>
      </c>
      <c r="I1612" s="33" t="s">
        <v>46</v>
      </c>
      <c r="J1612" s="33" t="s">
        <v>40</v>
      </c>
      <c r="K1612" s="33"/>
      <c r="L1612" s="33"/>
    </row>
    <row r="1613" spans="1:12" s="1" customFormat="1" x14ac:dyDescent="0.3">
      <c r="A1613" s="33" t="s">
        <v>3269</v>
      </c>
      <c r="B1613" s="33" t="s">
        <v>44</v>
      </c>
      <c r="C1613" s="33">
        <v>44997123083</v>
      </c>
      <c r="D1613" s="33"/>
      <c r="E1613" s="33">
        <v>9</v>
      </c>
      <c r="F1613" s="33">
        <v>0</v>
      </c>
      <c r="G1613" s="33" t="s">
        <v>47</v>
      </c>
      <c r="H1613" s="33" t="s">
        <v>3270</v>
      </c>
      <c r="I1613" s="33" t="s">
        <v>46</v>
      </c>
      <c r="J1613" s="33" t="s">
        <v>40</v>
      </c>
      <c r="K1613" s="33"/>
      <c r="L1613" s="33"/>
    </row>
    <row r="1614" spans="1:12" s="1" customFormat="1" x14ac:dyDescent="0.3">
      <c r="A1614" s="33" t="s">
        <v>3271</v>
      </c>
      <c r="B1614" s="33" t="s">
        <v>37</v>
      </c>
      <c r="C1614" s="33">
        <v>4430318514</v>
      </c>
      <c r="D1614" s="33"/>
      <c r="E1614" s="33">
        <v>300</v>
      </c>
      <c r="F1614" s="33">
        <v>294</v>
      </c>
      <c r="G1614" s="33" t="s">
        <v>38</v>
      </c>
      <c r="H1614" s="33" t="s">
        <v>3272</v>
      </c>
      <c r="I1614" s="33" t="s">
        <v>46</v>
      </c>
      <c r="J1614" s="33" t="s">
        <v>40</v>
      </c>
      <c r="K1614" s="33"/>
      <c r="L1614" s="33"/>
    </row>
    <row r="1615" spans="1:12" s="1" customFormat="1" x14ac:dyDescent="0.3">
      <c r="A1615" s="33" t="s">
        <v>3273</v>
      </c>
      <c r="B1615" s="33">
        <v>44998654075</v>
      </c>
      <c r="C1615" s="33" t="s">
        <v>42</v>
      </c>
      <c r="D1615" s="33">
        <v>4430265054</v>
      </c>
      <c r="E1615" s="33">
        <v>653</v>
      </c>
      <c r="F1615" s="33">
        <v>610</v>
      </c>
      <c r="G1615" s="33" t="s">
        <v>38</v>
      </c>
      <c r="H1615" s="33" t="s">
        <v>3274</v>
      </c>
      <c r="I1615" s="33" t="s">
        <v>39</v>
      </c>
      <c r="J1615" s="33" t="s">
        <v>40</v>
      </c>
      <c r="K1615" s="33" t="s">
        <v>41</v>
      </c>
      <c r="L1615" s="33"/>
    </row>
    <row r="1616" spans="1:12" s="1" customFormat="1" x14ac:dyDescent="0.3">
      <c r="A1616" s="33" t="s">
        <v>3275</v>
      </c>
      <c r="B1616" s="33" t="s">
        <v>45</v>
      </c>
      <c r="C1616" s="33">
        <v>35998295948</v>
      </c>
      <c r="D1616" s="33"/>
      <c r="E1616" s="33">
        <v>28</v>
      </c>
      <c r="F1616" s="33">
        <v>14</v>
      </c>
      <c r="G1616" s="33" t="s">
        <v>38</v>
      </c>
      <c r="H1616" s="33" t="s">
        <v>3276</v>
      </c>
      <c r="I1616" s="33" t="s">
        <v>46</v>
      </c>
      <c r="J1616" s="33" t="s">
        <v>40</v>
      </c>
      <c r="K1616" s="33"/>
      <c r="L1616" s="33"/>
    </row>
    <row r="1617" spans="1:12" s="1" customFormat="1" x14ac:dyDescent="0.3">
      <c r="A1617" s="33" t="s">
        <v>3277</v>
      </c>
      <c r="B1617" s="33">
        <v>41999865917</v>
      </c>
      <c r="C1617" s="33" t="s">
        <v>43</v>
      </c>
      <c r="D1617" s="33">
        <v>4430265054</v>
      </c>
      <c r="E1617" s="33">
        <v>810</v>
      </c>
      <c r="F1617" s="33">
        <v>754</v>
      </c>
      <c r="G1617" s="33" t="s">
        <v>38</v>
      </c>
      <c r="H1617" s="33" t="s">
        <v>3278</v>
      </c>
      <c r="I1617" s="33" t="s">
        <v>39</v>
      </c>
      <c r="J1617" s="33" t="s">
        <v>40</v>
      </c>
      <c r="K1617" s="33" t="s">
        <v>41</v>
      </c>
      <c r="L1617" s="33"/>
    </row>
    <row r="1618" spans="1:12" s="1" customFormat="1" x14ac:dyDescent="0.3">
      <c r="A1618" s="33" t="s">
        <v>3279</v>
      </c>
      <c r="B1618" s="33">
        <v>44999647912</v>
      </c>
      <c r="C1618" s="33" t="s">
        <v>37</v>
      </c>
      <c r="D1618" s="33">
        <v>4430265054</v>
      </c>
      <c r="E1618" s="33">
        <v>503</v>
      </c>
      <c r="F1618" s="33">
        <v>448</v>
      </c>
      <c r="G1618" s="33" t="s">
        <v>38</v>
      </c>
      <c r="H1618" s="33" t="s">
        <v>3280</v>
      </c>
      <c r="I1618" s="33" t="s">
        <v>39</v>
      </c>
      <c r="J1618" s="33" t="s">
        <v>40</v>
      </c>
      <c r="K1618" s="33" t="s">
        <v>41</v>
      </c>
      <c r="L1618" s="33">
        <v>5</v>
      </c>
    </row>
    <row r="1619" spans="1:12" s="1" customFormat="1" x14ac:dyDescent="0.3">
      <c r="A1619" s="33" t="s">
        <v>3281</v>
      </c>
      <c r="B1619" s="33">
        <v>1131043888</v>
      </c>
      <c r="C1619" s="33" t="s">
        <v>48</v>
      </c>
      <c r="D1619" s="33">
        <v>4430265054</v>
      </c>
      <c r="E1619" s="33">
        <v>288</v>
      </c>
      <c r="F1619" s="33">
        <v>287</v>
      </c>
      <c r="G1619" s="33" t="s">
        <v>38</v>
      </c>
      <c r="H1619" s="33" t="s">
        <v>3282</v>
      </c>
      <c r="I1619" s="33" t="s">
        <v>39</v>
      </c>
      <c r="J1619" s="33" t="s">
        <v>40</v>
      </c>
      <c r="K1619" s="33" t="s">
        <v>41</v>
      </c>
      <c r="L1619" s="33"/>
    </row>
    <row r="1620" spans="1:12" s="1" customFormat="1" x14ac:dyDescent="0.3">
      <c r="A1620" s="33" t="s">
        <v>3283</v>
      </c>
      <c r="B1620" s="33">
        <v>4430315826</v>
      </c>
      <c r="C1620" s="33" t="s">
        <v>42</v>
      </c>
      <c r="D1620" s="33">
        <v>4430265054</v>
      </c>
      <c r="E1620" s="33">
        <v>558</v>
      </c>
      <c r="F1620" s="33">
        <v>520</v>
      </c>
      <c r="G1620" s="33" t="s">
        <v>38</v>
      </c>
      <c r="H1620" s="33" t="s">
        <v>3284</v>
      </c>
      <c r="I1620" s="33" t="s">
        <v>39</v>
      </c>
      <c r="J1620" s="33" t="s">
        <v>40</v>
      </c>
      <c r="K1620" s="33" t="s">
        <v>41</v>
      </c>
      <c r="L1620" s="33"/>
    </row>
    <row r="1621" spans="1:12" s="1" customFormat="1" x14ac:dyDescent="0.3">
      <c r="A1621" s="33" t="s">
        <v>3285</v>
      </c>
      <c r="B1621" s="33">
        <v>44997650834</v>
      </c>
      <c r="C1621" s="33" t="s">
        <v>43</v>
      </c>
      <c r="D1621" s="33">
        <v>4430265054</v>
      </c>
      <c r="E1621" s="33">
        <v>303</v>
      </c>
      <c r="F1621" s="33">
        <v>216</v>
      </c>
      <c r="G1621" s="33" t="s">
        <v>38</v>
      </c>
      <c r="H1621" s="33" t="s">
        <v>3286</v>
      </c>
      <c r="I1621" s="33" t="s">
        <v>39</v>
      </c>
      <c r="J1621" s="33" t="s">
        <v>40</v>
      </c>
      <c r="K1621" s="33" t="s">
        <v>41</v>
      </c>
      <c r="L1621" s="33">
        <v>5</v>
      </c>
    </row>
    <row r="1622" spans="1:12" s="1" customFormat="1" x14ac:dyDescent="0.3">
      <c r="A1622" s="33" t="s">
        <v>3287</v>
      </c>
      <c r="B1622" s="33">
        <v>4432520627</v>
      </c>
      <c r="C1622" s="33" t="s">
        <v>44</v>
      </c>
      <c r="D1622" s="33">
        <v>4430265054</v>
      </c>
      <c r="E1622" s="33">
        <v>411</v>
      </c>
      <c r="F1622" s="33">
        <v>303</v>
      </c>
      <c r="G1622" s="33" t="s">
        <v>38</v>
      </c>
      <c r="H1622" s="33" t="s">
        <v>3288</v>
      </c>
      <c r="I1622" s="33" t="s">
        <v>39</v>
      </c>
      <c r="J1622" s="33" t="s">
        <v>40</v>
      </c>
      <c r="K1622" s="33" t="s">
        <v>41</v>
      </c>
      <c r="L1622" s="33"/>
    </row>
    <row r="1623" spans="1:12" s="1" customFormat="1" x14ac:dyDescent="0.3">
      <c r="A1623" s="33" t="s">
        <v>3289</v>
      </c>
      <c r="B1623" s="33" t="s">
        <v>37</v>
      </c>
      <c r="C1623" s="33">
        <v>4430318514</v>
      </c>
      <c r="D1623" s="33"/>
      <c r="E1623" s="33">
        <v>472</v>
      </c>
      <c r="F1623" s="33">
        <v>465</v>
      </c>
      <c r="G1623" s="33" t="s">
        <v>38</v>
      </c>
      <c r="H1623" s="33" t="s">
        <v>3290</v>
      </c>
      <c r="I1623" s="33" t="s">
        <v>46</v>
      </c>
      <c r="J1623" s="33" t="s">
        <v>40</v>
      </c>
      <c r="K1623" s="33"/>
      <c r="L1623" s="33"/>
    </row>
    <row r="1624" spans="1:12" s="1" customFormat="1" x14ac:dyDescent="0.3">
      <c r="A1624" s="33" t="s">
        <v>3291</v>
      </c>
      <c r="B1624" s="33" t="s">
        <v>37</v>
      </c>
      <c r="C1624" s="33">
        <v>4430318514</v>
      </c>
      <c r="D1624" s="33"/>
      <c r="E1624" s="33">
        <v>3</v>
      </c>
      <c r="F1624" s="33">
        <v>0</v>
      </c>
      <c r="G1624" s="33" t="s">
        <v>47</v>
      </c>
      <c r="H1624" s="33" t="s">
        <v>3292</v>
      </c>
      <c r="I1624" s="33" t="s">
        <v>46</v>
      </c>
      <c r="J1624" s="33" t="s">
        <v>40</v>
      </c>
      <c r="K1624" s="33"/>
      <c r="L1624" s="33"/>
    </row>
    <row r="1625" spans="1:12" s="1" customFormat="1" x14ac:dyDescent="0.3">
      <c r="A1625" s="33" t="s">
        <v>3293</v>
      </c>
      <c r="B1625" s="33">
        <v>12997611769</v>
      </c>
      <c r="C1625" s="33" t="s">
        <v>43</v>
      </c>
      <c r="D1625" s="33">
        <v>4430265054</v>
      </c>
      <c r="E1625" s="33">
        <v>146</v>
      </c>
      <c r="F1625" s="33">
        <v>52</v>
      </c>
      <c r="G1625" s="33" t="s">
        <v>38</v>
      </c>
      <c r="H1625" s="33" t="s">
        <v>3294</v>
      </c>
      <c r="I1625" s="33" t="s">
        <v>39</v>
      </c>
      <c r="J1625" s="33" t="s">
        <v>40</v>
      </c>
      <c r="K1625" s="33" t="s">
        <v>41</v>
      </c>
      <c r="L1625" s="33"/>
    </row>
    <row r="1626" spans="1:12" s="1" customFormat="1" x14ac:dyDescent="0.3">
      <c r="A1626" s="33" t="s">
        <v>3295</v>
      </c>
      <c r="B1626" s="33">
        <v>4430315826</v>
      </c>
      <c r="C1626" s="33" t="s">
        <v>44</v>
      </c>
      <c r="D1626" s="33">
        <v>4430265054</v>
      </c>
      <c r="E1626" s="33">
        <v>334</v>
      </c>
      <c r="F1626" s="33">
        <v>178</v>
      </c>
      <c r="G1626" s="33" t="s">
        <v>38</v>
      </c>
      <c r="H1626" s="33" t="s">
        <v>3296</v>
      </c>
      <c r="I1626" s="33" t="s">
        <v>39</v>
      </c>
      <c r="J1626" s="33" t="s">
        <v>40</v>
      </c>
      <c r="K1626" s="33" t="s">
        <v>41</v>
      </c>
      <c r="L1626" s="33"/>
    </row>
    <row r="1627" spans="1:12" s="1" customFormat="1" x14ac:dyDescent="0.3">
      <c r="A1627" s="33" t="s">
        <v>3297</v>
      </c>
      <c r="B1627" s="33">
        <v>44988255390</v>
      </c>
      <c r="C1627" s="33" t="s">
        <v>43</v>
      </c>
      <c r="D1627" s="33">
        <v>4430265054</v>
      </c>
      <c r="E1627" s="33">
        <v>457</v>
      </c>
      <c r="F1627" s="33">
        <v>419</v>
      </c>
      <c r="G1627" s="33" t="s">
        <v>38</v>
      </c>
      <c r="H1627" s="33" t="s">
        <v>3298</v>
      </c>
      <c r="I1627" s="33" t="s">
        <v>39</v>
      </c>
      <c r="J1627" s="33" t="s">
        <v>40</v>
      </c>
      <c r="K1627" s="33" t="s">
        <v>41</v>
      </c>
      <c r="L1627" s="33"/>
    </row>
    <row r="1628" spans="1:12" s="1" customFormat="1" x14ac:dyDescent="0.3">
      <c r="A1628" s="33" t="s">
        <v>3299</v>
      </c>
      <c r="B1628" s="33">
        <v>4430318514</v>
      </c>
      <c r="C1628" s="33" t="s">
        <v>37</v>
      </c>
      <c r="D1628" s="33">
        <v>4430265054</v>
      </c>
      <c r="E1628" s="33">
        <v>720</v>
      </c>
      <c r="F1628" s="33">
        <v>551</v>
      </c>
      <c r="G1628" s="33" t="s">
        <v>38</v>
      </c>
      <c r="H1628" s="33" t="s">
        <v>3300</v>
      </c>
      <c r="I1628" s="33" t="s">
        <v>39</v>
      </c>
      <c r="J1628" s="33" t="s">
        <v>40</v>
      </c>
      <c r="K1628" s="33" t="s">
        <v>41</v>
      </c>
      <c r="L1628" s="33"/>
    </row>
    <row r="1629" spans="1:12" s="1" customFormat="1" x14ac:dyDescent="0.3">
      <c r="A1629" s="33" t="s">
        <v>3301</v>
      </c>
      <c r="B1629" s="33">
        <v>11947640430</v>
      </c>
      <c r="C1629" s="33" t="s">
        <v>42</v>
      </c>
      <c r="D1629" s="33">
        <v>4430265054</v>
      </c>
      <c r="E1629" s="33">
        <v>669</v>
      </c>
      <c r="F1629" s="33">
        <v>590</v>
      </c>
      <c r="G1629" s="33" t="s">
        <v>38</v>
      </c>
      <c r="H1629" s="33" t="s">
        <v>3302</v>
      </c>
      <c r="I1629" s="33" t="s">
        <v>39</v>
      </c>
      <c r="J1629" s="33" t="s">
        <v>40</v>
      </c>
      <c r="K1629" s="33" t="s">
        <v>41</v>
      </c>
      <c r="L1629" s="33"/>
    </row>
    <row r="1630" spans="1:12" s="1" customFormat="1" x14ac:dyDescent="0.3">
      <c r="A1630" s="33" t="s">
        <v>3303</v>
      </c>
      <c r="B1630" s="33">
        <v>35998295948</v>
      </c>
      <c r="C1630" s="33" t="s">
        <v>45</v>
      </c>
      <c r="D1630" s="33">
        <v>4430265054</v>
      </c>
      <c r="E1630" s="33">
        <v>2699</v>
      </c>
      <c r="F1630" s="33">
        <v>2640</v>
      </c>
      <c r="G1630" s="33" t="s">
        <v>38</v>
      </c>
      <c r="H1630" s="33" t="s">
        <v>3304</v>
      </c>
      <c r="I1630" s="33" t="s">
        <v>39</v>
      </c>
      <c r="J1630" s="33" t="s">
        <v>40</v>
      </c>
      <c r="K1630" s="33" t="s">
        <v>41</v>
      </c>
      <c r="L1630" s="33"/>
    </row>
    <row r="1631" spans="1:12" s="1" customFormat="1" x14ac:dyDescent="0.3">
      <c r="A1631" s="33" t="s">
        <v>3305</v>
      </c>
      <c r="B1631" s="33">
        <v>44999240990</v>
      </c>
      <c r="C1631" s="33" t="s">
        <v>44</v>
      </c>
      <c r="D1631" s="33">
        <v>4430265054</v>
      </c>
      <c r="E1631" s="33">
        <v>732</v>
      </c>
      <c r="F1631" s="33">
        <v>674</v>
      </c>
      <c r="G1631" s="33" t="s">
        <v>38</v>
      </c>
      <c r="H1631" s="33" t="s">
        <v>3306</v>
      </c>
      <c r="I1631" s="33" t="s">
        <v>39</v>
      </c>
      <c r="J1631" s="33" t="s">
        <v>40</v>
      </c>
      <c r="K1631" s="33" t="s">
        <v>41</v>
      </c>
      <c r="L1631" s="33"/>
    </row>
    <row r="1632" spans="1:12" s="1" customFormat="1" x14ac:dyDescent="0.3">
      <c r="A1632" s="33" t="s">
        <v>3307</v>
      </c>
      <c r="B1632" s="33">
        <v>4430152533</v>
      </c>
      <c r="C1632" s="33" t="s">
        <v>45</v>
      </c>
      <c r="D1632" s="33">
        <v>4430265054</v>
      </c>
      <c r="E1632" s="33">
        <v>270</v>
      </c>
      <c r="F1632" s="33">
        <v>234</v>
      </c>
      <c r="G1632" s="33" t="s">
        <v>38</v>
      </c>
      <c r="H1632" s="33" t="s">
        <v>3308</v>
      </c>
      <c r="I1632" s="33" t="s">
        <v>39</v>
      </c>
      <c r="J1632" s="33" t="s">
        <v>40</v>
      </c>
      <c r="K1632" s="33" t="s">
        <v>41</v>
      </c>
      <c r="L1632" s="33"/>
    </row>
    <row r="1633" spans="1:12" s="1" customFormat="1" x14ac:dyDescent="0.3">
      <c r="A1633" s="33" t="s">
        <v>3309</v>
      </c>
      <c r="B1633" s="33">
        <v>1131043888</v>
      </c>
      <c r="C1633" s="33" t="s">
        <v>42</v>
      </c>
      <c r="D1633" s="33">
        <v>4430265054</v>
      </c>
      <c r="E1633" s="33">
        <v>1036</v>
      </c>
      <c r="F1633" s="33">
        <v>987</v>
      </c>
      <c r="G1633" s="33" t="s">
        <v>38</v>
      </c>
      <c r="H1633" s="33" t="s">
        <v>3310</v>
      </c>
      <c r="I1633" s="33" t="s">
        <v>39</v>
      </c>
      <c r="J1633" s="33" t="s">
        <v>40</v>
      </c>
      <c r="K1633" s="33" t="s">
        <v>41</v>
      </c>
      <c r="L1633" s="33"/>
    </row>
    <row r="1634" spans="1:12" s="1" customFormat="1" x14ac:dyDescent="0.3">
      <c r="A1634" s="33" t="s">
        <v>3311</v>
      </c>
      <c r="B1634" s="33" t="s">
        <v>45</v>
      </c>
      <c r="C1634" s="33">
        <v>4435222047</v>
      </c>
      <c r="D1634" s="33"/>
      <c r="E1634" s="33">
        <v>139</v>
      </c>
      <c r="F1634" s="33">
        <v>124</v>
      </c>
      <c r="G1634" s="33" t="s">
        <v>38</v>
      </c>
      <c r="H1634" s="33" t="s">
        <v>3312</v>
      </c>
      <c r="I1634" s="33" t="s">
        <v>46</v>
      </c>
      <c r="J1634" s="33" t="s">
        <v>40</v>
      </c>
      <c r="K1634" s="33"/>
      <c r="L1634" s="33"/>
    </row>
    <row r="1635" spans="1:12" s="1" customFormat="1" x14ac:dyDescent="0.3">
      <c r="A1635" s="33" t="s">
        <v>3313</v>
      </c>
      <c r="B1635" s="33" t="s">
        <v>44</v>
      </c>
      <c r="C1635" s="33">
        <v>44997123083</v>
      </c>
      <c r="D1635" s="33"/>
      <c r="E1635" s="33">
        <v>14</v>
      </c>
      <c r="F1635" s="33">
        <v>0</v>
      </c>
      <c r="G1635" s="33" t="s">
        <v>47</v>
      </c>
      <c r="H1635" s="33" t="s">
        <v>3314</v>
      </c>
      <c r="I1635" s="33" t="s">
        <v>46</v>
      </c>
      <c r="J1635" s="33" t="s">
        <v>40</v>
      </c>
      <c r="K1635" s="33"/>
      <c r="L1635" s="33"/>
    </row>
    <row r="1636" spans="1:12" s="1" customFormat="1" x14ac:dyDescent="0.3">
      <c r="A1636" s="33" t="s">
        <v>3315</v>
      </c>
      <c r="B1636" s="33" t="s">
        <v>44</v>
      </c>
      <c r="C1636" s="33">
        <v>44997123083</v>
      </c>
      <c r="D1636" s="33"/>
      <c r="E1636" s="33">
        <v>16</v>
      </c>
      <c r="F1636" s="33">
        <v>0</v>
      </c>
      <c r="G1636" s="33" t="s">
        <v>47</v>
      </c>
      <c r="H1636" s="33" t="s">
        <v>3316</v>
      </c>
      <c r="I1636" s="33" t="s">
        <v>46</v>
      </c>
      <c r="J1636" s="33" t="s">
        <v>40</v>
      </c>
      <c r="K1636" s="33"/>
      <c r="L1636" s="33"/>
    </row>
    <row r="1637" spans="1:12" s="1" customFormat="1" x14ac:dyDescent="0.3">
      <c r="A1637" s="33" t="s">
        <v>3317</v>
      </c>
      <c r="B1637" s="33" t="s">
        <v>44</v>
      </c>
      <c r="C1637" s="33">
        <v>44998003003</v>
      </c>
      <c r="D1637" s="33"/>
      <c r="E1637" s="33">
        <v>42</v>
      </c>
      <c r="F1637" s="33">
        <v>31</v>
      </c>
      <c r="G1637" s="33" t="s">
        <v>38</v>
      </c>
      <c r="H1637" s="33" t="s">
        <v>3318</v>
      </c>
      <c r="I1637" s="33" t="s">
        <v>46</v>
      </c>
      <c r="J1637" s="33" t="s">
        <v>40</v>
      </c>
      <c r="K1637" s="33"/>
      <c r="L1637" s="33"/>
    </row>
    <row r="1638" spans="1:12" s="1" customFormat="1" x14ac:dyDescent="0.3">
      <c r="A1638" s="33" t="s">
        <v>3319</v>
      </c>
      <c r="B1638" s="33" t="s">
        <v>44</v>
      </c>
      <c r="C1638" s="33">
        <v>44998003003</v>
      </c>
      <c r="D1638" s="33"/>
      <c r="E1638" s="33">
        <v>11</v>
      </c>
      <c r="F1638" s="33">
        <v>0</v>
      </c>
      <c r="G1638" s="33" t="s">
        <v>47</v>
      </c>
      <c r="H1638" s="33" t="s">
        <v>3320</v>
      </c>
      <c r="I1638" s="33" t="s">
        <v>46</v>
      </c>
      <c r="J1638" s="33" t="s">
        <v>40</v>
      </c>
      <c r="K1638" s="33"/>
      <c r="L1638" s="33"/>
    </row>
    <row r="1639" spans="1:12" s="1" customFormat="1" x14ac:dyDescent="0.3">
      <c r="A1639" s="33" t="s">
        <v>3321</v>
      </c>
      <c r="B1639" s="33" t="s">
        <v>42</v>
      </c>
      <c r="C1639" s="33">
        <v>4430459032</v>
      </c>
      <c r="D1639" s="33"/>
      <c r="E1639" s="33">
        <v>326</v>
      </c>
      <c r="F1639" s="33">
        <v>325</v>
      </c>
      <c r="G1639" s="33" t="s">
        <v>38</v>
      </c>
      <c r="H1639" s="33" t="s">
        <v>3322</v>
      </c>
      <c r="I1639" s="33" t="s">
        <v>46</v>
      </c>
      <c r="J1639" s="33" t="s">
        <v>40</v>
      </c>
      <c r="K1639" s="33"/>
      <c r="L1639" s="33"/>
    </row>
    <row r="1640" spans="1:12" s="1" customFormat="1" x14ac:dyDescent="0.3">
      <c r="A1640" s="33" t="s">
        <v>3323</v>
      </c>
      <c r="B1640" s="33">
        <v>4430141092</v>
      </c>
      <c r="C1640" s="33" t="s">
        <v>45</v>
      </c>
      <c r="D1640" s="33">
        <v>4430265054</v>
      </c>
      <c r="E1640" s="33">
        <v>439</v>
      </c>
      <c r="F1640" s="33">
        <v>394</v>
      </c>
      <c r="G1640" s="33" t="s">
        <v>38</v>
      </c>
      <c r="H1640" s="33" t="s">
        <v>3324</v>
      </c>
      <c r="I1640" s="33" t="s">
        <v>39</v>
      </c>
      <c r="J1640" s="33" t="s">
        <v>40</v>
      </c>
      <c r="K1640" s="33" t="s">
        <v>41</v>
      </c>
      <c r="L1640" s="33">
        <v>5</v>
      </c>
    </row>
    <row r="1641" spans="1:12" s="1" customFormat="1" x14ac:dyDescent="0.3">
      <c r="A1641" s="33" t="s">
        <v>3325</v>
      </c>
      <c r="B1641" s="33">
        <v>44999647912</v>
      </c>
      <c r="C1641" s="33" t="s">
        <v>37</v>
      </c>
      <c r="D1641" s="33">
        <v>4430265054</v>
      </c>
      <c r="E1641" s="33">
        <v>483</v>
      </c>
      <c r="F1641" s="33">
        <v>445</v>
      </c>
      <c r="G1641" s="33" t="s">
        <v>38</v>
      </c>
      <c r="H1641" s="33" t="s">
        <v>3326</v>
      </c>
      <c r="I1641" s="33" t="s">
        <v>39</v>
      </c>
      <c r="J1641" s="33" t="s">
        <v>40</v>
      </c>
      <c r="K1641" s="33" t="s">
        <v>41</v>
      </c>
      <c r="L1641" s="33">
        <v>5</v>
      </c>
    </row>
    <row r="1642" spans="1:12" s="1" customFormat="1" x14ac:dyDescent="0.3">
      <c r="A1642" s="33" t="s">
        <v>3327</v>
      </c>
      <c r="B1642" s="33" t="s">
        <v>45</v>
      </c>
      <c r="C1642" s="33">
        <v>4532541802</v>
      </c>
      <c r="D1642" s="33"/>
      <c r="E1642" s="33">
        <v>103</v>
      </c>
      <c r="F1642" s="33">
        <v>102</v>
      </c>
      <c r="G1642" s="33" t="s">
        <v>38</v>
      </c>
      <c r="H1642" s="33" t="s">
        <v>3328</v>
      </c>
      <c r="I1642" s="33" t="s">
        <v>46</v>
      </c>
      <c r="J1642" s="33" t="s">
        <v>40</v>
      </c>
      <c r="K1642" s="33"/>
      <c r="L1642" s="33"/>
    </row>
    <row r="1643" spans="1:12" s="1" customFormat="1" x14ac:dyDescent="0.3">
      <c r="A1643" s="33" t="s">
        <v>3329</v>
      </c>
      <c r="B1643" s="33">
        <v>4430141092</v>
      </c>
      <c r="C1643" s="33" t="s">
        <v>45</v>
      </c>
      <c r="D1643" s="33">
        <v>4430265054</v>
      </c>
      <c r="E1643" s="33">
        <v>236</v>
      </c>
      <c r="F1643" s="33">
        <v>171</v>
      </c>
      <c r="G1643" s="33" t="s">
        <v>38</v>
      </c>
      <c r="H1643" s="33" t="s">
        <v>3330</v>
      </c>
      <c r="I1643" s="33" t="s">
        <v>39</v>
      </c>
      <c r="J1643" s="33" t="s">
        <v>40</v>
      </c>
      <c r="K1643" s="33" t="s">
        <v>41</v>
      </c>
      <c r="L1643" s="33"/>
    </row>
    <row r="1644" spans="1:12" s="1" customFormat="1" x14ac:dyDescent="0.3">
      <c r="A1644" s="33" t="s">
        <v>3331</v>
      </c>
      <c r="B1644" s="33">
        <v>4435226025</v>
      </c>
      <c r="C1644" s="33" t="s">
        <v>37</v>
      </c>
      <c r="D1644" s="33">
        <v>4430265054</v>
      </c>
      <c r="E1644" s="33">
        <v>467</v>
      </c>
      <c r="F1644" s="33">
        <v>448</v>
      </c>
      <c r="G1644" s="33" t="s">
        <v>38</v>
      </c>
      <c r="H1644" s="33" t="s">
        <v>3332</v>
      </c>
      <c r="I1644" s="33" t="s">
        <v>39</v>
      </c>
      <c r="J1644" s="33" t="s">
        <v>40</v>
      </c>
      <c r="K1644" s="33" t="s">
        <v>41</v>
      </c>
      <c r="L1644" s="33">
        <v>5</v>
      </c>
    </row>
    <row r="1645" spans="1:12" s="1" customFormat="1" x14ac:dyDescent="0.3">
      <c r="A1645" s="33" t="s">
        <v>3333</v>
      </c>
      <c r="B1645" s="33">
        <v>4432272377</v>
      </c>
      <c r="C1645" s="33" t="s">
        <v>42</v>
      </c>
      <c r="D1645" s="33">
        <v>4430265054</v>
      </c>
      <c r="E1645" s="33">
        <v>1220</v>
      </c>
      <c r="F1645" s="33">
        <v>1158</v>
      </c>
      <c r="G1645" s="33" t="s">
        <v>38</v>
      </c>
      <c r="H1645" s="33" t="s">
        <v>3334</v>
      </c>
      <c r="I1645" s="33" t="s">
        <v>39</v>
      </c>
      <c r="J1645" s="33" t="s">
        <v>40</v>
      </c>
      <c r="K1645" s="33" t="s">
        <v>41</v>
      </c>
      <c r="L1645" s="33">
        <v>5</v>
      </c>
    </row>
    <row r="1646" spans="1:12" s="1" customFormat="1" x14ac:dyDescent="0.3">
      <c r="A1646" s="33" t="s">
        <v>3335</v>
      </c>
      <c r="B1646" s="33" t="s">
        <v>37</v>
      </c>
      <c r="C1646" s="33">
        <v>4532541802</v>
      </c>
      <c r="D1646" s="33"/>
      <c r="E1646" s="33">
        <v>398</v>
      </c>
      <c r="F1646" s="33">
        <v>397</v>
      </c>
      <c r="G1646" s="33" t="s">
        <v>38</v>
      </c>
      <c r="H1646" s="33" t="s">
        <v>3336</v>
      </c>
      <c r="I1646" s="33" t="s">
        <v>46</v>
      </c>
      <c r="J1646" s="33" t="s">
        <v>40</v>
      </c>
      <c r="K1646" s="33"/>
      <c r="L1646" s="33">
        <v>5</v>
      </c>
    </row>
    <row r="1647" spans="1:12" s="1" customFormat="1" x14ac:dyDescent="0.3">
      <c r="A1647" s="33" t="s">
        <v>3337</v>
      </c>
      <c r="B1647" s="33">
        <v>11947640430</v>
      </c>
      <c r="C1647" s="33" t="s">
        <v>37</v>
      </c>
      <c r="D1647" s="33">
        <v>4430265054</v>
      </c>
      <c r="E1647" s="33">
        <v>393</v>
      </c>
      <c r="F1647" s="33">
        <v>372</v>
      </c>
      <c r="G1647" s="33" t="s">
        <v>38</v>
      </c>
      <c r="H1647" s="33" t="s">
        <v>3338</v>
      </c>
      <c r="I1647" s="33" t="s">
        <v>39</v>
      </c>
      <c r="J1647" s="33" t="s">
        <v>40</v>
      </c>
      <c r="K1647" s="33" t="s">
        <v>41</v>
      </c>
      <c r="L1647" s="33"/>
    </row>
    <row r="1648" spans="1:12" s="1" customFormat="1" x14ac:dyDescent="0.3">
      <c r="A1648" s="33" t="s">
        <v>3339</v>
      </c>
      <c r="B1648" s="33">
        <v>81983567163</v>
      </c>
      <c r="C1648" s="33" t="s">
        <v>43</v>
      </c>
      <c r="D1648" s="33">
        <v>4431268225</v>
      </c>
      <c r="E1648" s="33">
        <v>87</v>
      </c>
      <c r="F1648" s="33">
        <v>77</v>
      </c>
      <c r="G1648" s="33" t="s">
        <v>38</v>
      </c>
      <c r="H1648" s="33" t="s">
        <v>3340</v>
      </c>
      <c r="I1648" s="33" t="s">
        <v>39</v>
      </c>
      <c r="J1648" s="33" t="s">
        <v>40</v>
      </c>
      <c r="K1648" s="33" t="s">
        <v>41</v>
      </c>
      <c r="L1648" s="33">
        <v>5</v>
      </c>
    </row>
    <row r="1649" spans="1:12" s="1" customFormat="1" x14ac:dyDescent="0.3">
      <c r="A1649" s="33" t="s">
        <v>3341</v>
      </c>
      <c r="B1649" s="33">
        <v>44988255390</v>
      </c>
      <c r="C1649" s="33" t="s">
        <v>42</v>
      </c>
      <c r="D1649" s="33">
        <v>4430265054</v>
      </c>
      <c r="E1649" s="33">
        <v>2133</v>
      </c>
      <c r="F1649" s="33">
        <v>2081</v>
      </c>
      <c r="G1649" s="33" t="s">
        <v>38</v>
      </c>
      <c r="H1649" s="33" t="s">
        <v>3342</v>
      </c>
      <c r="I1649" s="33" t="s">
        <v>39</v>
      </c>
      <c r="J1649" s="33" t="s">
        <v>40</v>
      </c>
      <c r="K1649" s="33" t="s">
        <v>41</v>
      </c>
      <c r="L1649" s="33">
        <v>5</v>
      </c>
    </row>
    <row r="1650" spans="1:12" s="1" customFormat="1" x14ac:dyDescent="0.3">
      <c r="A1650" s="33" t="s">
        <v>3343</v>
      </c>
      <c r="B1650" s="33">
        <v>4435222047</v>
      </c>
      <c r="C1650" s="33" t="s">
        <v>45</v>
      </c>
      <c r="D1650" s="33">
        <v>4430265054</v>
      </c>
      <c r="E1650" s="33">
        <v>353</v>
      </c>
      <c r="F1650" s="33">
        <v>314</v>
      </c>
      <c r="G1650" s="33" t="s">
        <v>38</v>
      </c>
      <c r="H1650" s="33" t="s">
        <v>3344</v>
      </c>
      <c r="I1650" s="33" t="s">
        <v>39</v>
      </c>
      <c r="J1650" s="33" t="s">
        <v>40</v>
      </c>
      <c r="K1650" s="33" t="s">
        <v>41</v>
      </c>
      <c r="L1650" s="33">
        <v>5</v>
      </c>
    </row>
    <row r="1651" spans="1:12" s="1" customFormat="1" x14ac:dyDescent="0.3">
      <c r="A1651" s="33" t="s">
        <v>3345</v>
      </c>
      <c r="B1651" s="33">
        <v>4430288517</v>
      </c>
      <c r="C1651" s="33" t="s">
        <v>48</v>
      </c>
      <c r="D1651" s="33">
        <v>4430265054</v>
      </c>
      <c r="E1651" s="33">
        <v>225</v>
      </c>
      <c r="F1651" s="33">
        <v>182</v>
      </c>
      <c r="G1651" s="33" t="s">
        <v>38</v>
      </c>
      <c r="H1651" s="33" t="s">
        <v>3346</v>
      </c>
      <c r="I1651" s="33" t="s">
        <v>39</v>
      </c>
      <c r="J1651" s="33" t="s">
        <v>40</v>
      </c>
      <c r="K1651" s="33" t="s">
        <v>41</v>
      </c>
      <c r="L1651" s="33"/>
    </row>
    <row r="1652" spans="1:12" s="1" customFormat="1" x14ac:dyDescent="0.3">
      <c r="A1652" s="33" t="s">
        <v>3347</v>
      </c>
      <c r="B1652" s="33">
        <v>44988255390</v>
      </c>
      <c r="C1652" s="33" t="s">
        <v>42</v>
      </c>
      <c r="D1652" s="33">
        <v>4430265054</v>
      </c>
      <c r="E1652" s="33">
        <v>92</v>
      </c>
      <c r="F1652" s="33">
        <v>29</v>
      </c>
      <c r="G1652" s="33" t="s">
        <v>38</v>
      </c>
      <c r="H1652" s="33" t="s">
        <v>3348</v>
      </c>
      <c r="I1652" s="33" t="s">
        <v>39</v>
      </c>
      <c r="J1652" s="33" t="s">
        <v>40</v>
      </c>
      <c r="K1652" s="33" t="s">
        <v>41</v>
      </c>
      <c r="L1652" s="33"/>
    </row>
    <row r="1653" spans="1:12" s="1" customFormat="1" x14ac:dyDescent="0.3">
      <c r="A1653" s="33" t="s">
        <v>3349</v>
      </c>
      <c r="B1653" s="33">
        <v>4435222047</v>
      </c>
      <c r="C1653" s="33" t="s">
        <v>45</v>
      </c>
      <c r="D1653" s="33">
        <v>4430265054</v>
      </c>
      <c r="E1653" s="33">
        <v>280</v>
      </c>
      <c r="F1653" s="33">
        <v>258</v>
      </c>
      <c r="G1653" s="33" t="s">
        <v>38</v>
      </c>
      <c r="H1653" s="33" t="s">
        <v>3350</v>
      </c>
      <c r="I1653" s="33" t="s">
        <v>39</v>
      </c>
      <c r="J1653" s="33" t="s">
        <v>40</v>
      </c>
      <c r="K1653" s="33" t="s">
        <v>41</v>
      </c>
      <c r="L1653" s="33"/>
    </row>
    <row r="1654" spans="1:12" s="1" customFormat="1" x14ac:dyDescent="0.3">
      <c r="A1654" s="33" t="s">
        <v>3351</v>
      </c>
      <c r="B1654" s="33">
        <v>4430459032</v>
      </c>
      <c r="C1654" s="33" t="s">
        <v>42</v>
      </c>
      <c r="D1654" s="33">
        <v>4430265054</v>
      </c>
      <c r="E1654" s="33">
        <v>407</v>
      </c>
      <c r="F1654" s="33">
        <v>345</v>
      </c>
      <c r="G1654" s="33" t="s">
        <v>38</v>
      </c>
      <c r="H1654" s="33" t="s">
        <v>3352</v>
      </c>
      <c r="I1654" s="33" t="s">
        <v>39</v>
      </c>
      <c r="J1654" s="33" t="s">
        <v>40</v>
      </c>
      <c r="K1654" s="33" t="s">
        <v>41</v>
      </c>
      <c r="L1654" s="33"/>
    </row>
    <row r="1655" spans="1:12" s="1" customFormat="1" x14ac:dyDescent="0.3">
      <c r="A1655" s="33" t="s">
        <v>3353</v>
      </c>
      <c r="B1655" s="33">
        <v>4130760170</v>
      </c>
      <c r="C1655" s="33" t="s">
        <v>43</v>
      </c>
      <c r="D1655" s="33">
        <v>4430265054</v>
      </c>
      <c r="E1655" s="33">
        <v>337</v>
      </c>
      <c r="F1655" s="33">
        <v>282</v>
      </c>
      <c r="G1655" s="33" t="s">
        <v>38</v>
      </c>
      <c r="H1655" s="33" t="s">
        <v>3354</v>
      </c>
      <c r="I1655" s="33" t="s">
        <v>39</v>
      </c>
      <c r="J1655" s="33" t="s">
        <v>40</v>
      </c>
      <c r="K1655" s="33" t="s">
        <v>41</v>
      </c>
      <c r="L1655" s="33"/>
    </row>
    <row r="1656" spans="1:12" s="1" customFormat="1" x14ac:dyDescent="0.3">
      <c r="A1656" s="33" t="s">
        <v>3355</v>
      </c>
      <c r="B1656" s="33">
        <v>53981112780</v>
      </c>
      <c r="C1656" s="33" t="s">
        <v>45</v>
      </c>
      <c r="D1656" s="33">
        <v>4430265054</v>
      </c>
      <c r="E1656" s="33">
        <v>551</v>
      </c>
      <c r="F1656" s="33">
        <v>536</v>
      </c>
      <c r="G1656" s="33" t="s">
        <v>38</v>
      </c>
      <c r="H1656" s="33" t="s">
        <v>3356</v>
      </c>
      <c r="I1656" s="33" t="s">
        <v>39</v>
      </c>
      <c r="J1656" s="33" t="s">
        <v>40</v>
      </c>
      <c r="K1656" s="33" t="s">
        <v>41</v>
      </c>
      <c r="L1656" s="33"/>
    </row>
    <row r="1657" spans="1:12" s="1" customFormat="1" x14ac:dyDescent="0.3">
      <c r="A1657" s="33" t="s">
        <v>3357</v>
      </c>
      <c r="B1657" s="33">
        <v>4430141533</v>
      </c>
      <c r="C1657" s="33" t="s">
        <v>44</v>
      </c>
      <c r="D1657" s="33">
        <v>4430265054</v>
      </c>
      <c r="E1657" s="33">
        <v>113</v>
      </c>
      <c r="F1657" s="33">
        <v>88</v>
      </c>
      <c r="G1657" s="33" t="s">
        <v>38</v>
      </c>
      <c r="H1657" s="33" t="s">
        <v>3358</v>
      </c>
      <c r="I1657" s="33" t="s">
        <v>39</v>
      </c>
      <c r="J1657" s="33" t="s">
        <v>40</v>
      </c>
      <c r="K1657" s="33" t="s">
        <v>41</v>
      </c>
      <c r="L1657" s="33"/>
    </row>
    <row r="1658" spans="1:12" s="1" customFormat="1" x14ac:dyDescent="0.3">
      <c r="A1658" s="33" t="s">
        <v>3359</v>
      </c>
      <c r="B1658" s="33">
        <v>44991484476</v>
      </c>
      <c r="C1658" s="33" t="s">
        <v>37</v>
      </c>
      <c r="D1658" s="33">
        <v>4430265054</v>
      </c>
      <c r="E1658" s="33">
        <v>1420</v>
      </c>
      <c r="F1658" s="33">
        <v>1389</v>
      </c>
      <c r="G1658" s="33" t="s">
        <v>38</v>
      </c>
      <c r="H1658" s="33" t="s">
        <v>3360</v>
      </c>
      <c r="I1658" s="33" t="s">
        <v>39</v>
      </c>
      <c r="J1658" s="33" t="s">
        <v>40</v>
      </c>
      <c r="K1658" s="33" t="s">
        <v>41</v>
      </c>
      <c r="L1658" s="33"/>
    </row>
    <row r="1659" spans="1:12" s="1" customFormat="1" x14ac:dyDescent="0.3">
      <c r="A1659" s="33" t="s">
        <v>3361</v>
      </c>
      <c r="B1659" s="33">
        <v>4430286524</v>
      </c>
      <c r="C1659" s="33" t="s">
        <v>37</v>
      </c>
      <c r="D1659" s="33">
        <v>4430265054</v>
      </c>
      <c r="E1659" s="33">
        <v>216</v>
      </c>
      <c r="F1659" s="33">
        <v>181</v>
      </c>
      <c r="G1659" s="33" t="s">
        <v>38</v>
      </c>
      <c r="H1659" s="33" t="s">
        <v>3362</v>
      </c>
      <c r="I1659" s="33" t="s">
        <v>39</v>
      </c>
      <c r="J1659" s="33" t="s">
        <v>40</v>
      </c>
      <c r="K1659" s="33" t="s">
        <v>41</v>
      </c>
      <c r="L1659" s="33">
        <v>5</v>
      </c>
    </row>
    <row r="1660" spans="1:12" s="1" customFormat="1" x14ac:dyDescent="0.3">
      <c r="A1660" s="33" t="s">
        <v>3363</v>
      </c>
      <c r="B1660" s="33">
        <v>81983567163</v>
      </c>
      <c r="C1660" s="33" t="s">
        <v>43</v>
      </c>
      <c r="D1660" s="33">
        <v>4431268225</v>
      </c>
      <c r="E1660" s="33">
        <v>219</v>
      </c>
      <c r="F1660" s="33">
        <v>211</v>
      </c>
      <c r="G1660" s="33" t="s">
        <v>38</v>
      </c>
      <c r="H1660" s="33" t="s">
        <v>3364</v>
      </c>
      <c r="I1660" s="33" t="s">
        <v>39</v>
      </c>
      <c r="J1660" s="33" t="s">
        <v>40</v>
      </c>
      <c r="K1660" s="33" t="s">
        <v>41</v>
      </c>
      <c r="L1660" s="33">
        <v>5</v>
      </c>
    </row>
    <row r="1661" spans="1:12" s="1" customFormat="1" x14ac:dyDescent="0.3">
      <c r="A1661" s="33" t="s">
        <v>3365</v>
      </c>
      <c r="B1661" s="33" t="s">
        <v>48</v>
      </c>
      <c r="C1661" s="33">
        <v>4430318515</v>
      </c>
      <c r="D1661" s="33"/>
      <c r="E1661" s="33">
        <v>239</v>
      </c>
      <c r="F1661" s="33">
        <v>232</v>
      </c>
      <c r="G1661" s="33" t="s">
        <v>38</v>
      </c>
      <c r="H1661" s="33" t="s">
        <v>3366</v>
      </c>
      <c r="I1661" s="33" t="s">
        <v>46</v>
      </c>
      <c r="J1661" s="33" t="s">
        <v>40</v>
      </c>
      <c r="K1661" s="33"/>
      <c r="L1661" s="33"/>
    </row>
    <row r="1662" spans="1:12" s="1" customFormat="1" x14ac:dyDescent="0.3">
      <c r="A1662" s="33" t="s">
        <v>3367</v>
      </c>
      <c r="B1662" s="33">
        <v>6436133762</v>
      </c>
      <c r="C1662" s="33" t="s">
        <v>42</v>
      </c>
      <c r="D1662" s="33">
        <v>4430265054</v>
      </c>
      <c r="E1662" s="33">
        <v>1695</v>
      </c>
      <c r="F1662" s="33">
        <v>1637</v>
      </c>
      <c r="G1662" s="33" t="s">
        <v>38</v>
      </c>
      <c r="H1662" s="33" t="s">
        <v>3368</v>
      </c>
      <c r="I1662" s="33" t="s">
        <v>39</v>
      </c>
      <c r="J1662" s="33" t="s">
        <v>40</v>
      </c>
      <c r="K1662" s="33" t="s">
        <v>41</v>
      </c>
      <c r="L1662" s="33">
        <v>5</v>
      </c>
    </row>
    <row r="1663" spans="1:12" s="1" customFormat="1" x14ac:dyDescent="0.3">
      <c r="A1663" s="33" t="s">
        <v>3369</v>
      </c>
      <c r="B1663" s="33">
        <v>44998266194</v>
      </c>
      <c r="C1663" s="33" t="s">
        <v>44</v>
      </c>
      <c r="D1663" s="33">
        <v>4430265054</v>
      </c>
      <c r="E1663" s="33">
        <v>400</v>
      </c>
      <c r="F1663" s="33">
        <v>382</v>
      </c>
      <c r="G1663" s="33" t="s">
        <v>38</v>
      </c>
      <c r="H1663" s="33" t="s">
        <v>3370</v>
      </c>
      <c r="I1663" s="33" t="s">
        <v>39</v>
      </c>
      <c r="J1663" s="33" t="s">
        <v>40</v>
      </c>
      <c r="K1663" s="33" t="s">
        <v>41</v>
      </c>
      <c r="L1663" s="33"/>
    </row>
    <row r="1664" spans="1:12" s="1" customFormat="1" x14ac:dyDescent="0.3">
      <c r="A1664" s="33" t="s">
        <v>3371</v>
      </c>
      <c r="B1664" s="33">
        <v>44999451200</v>
      </c>
      <c r="C1664" s="33" t="s">
        <v>45</v>
      </c>
      <c r="D1664" s="33">
        <v>4430265054</v>
      </c>
      <c r="E1664" s="33">
        <v>813</v>
      </c>
      <c r="F1664" s="33">
        <v>774</v>
      </c>
      <c r="G1664" s="33" t="s">
        <v>38</v>
      </c>
      <c r="H1664" s="33" t="s">
        <v>3372</v>
      </c>
      <c r="I1664" s="33" t="s">
        <v>39</v>
      </c>
      <c r="J1664" s="33" t="s">
        <v>40</v>
      </c>
      <c r="K1664" s="33" t="s">
        <v>41</v>
      </c>
      <c r="L1664" s="33"/>
    </row>
    <row r="1665" spans="1:12" s="1" customFormat="1" x14ac:dyDescent="0.3">
      <c r="A1665" s="33" t="s">
        <v>3373</v>
      </c>
      <c r="B1665" s="33">
        <v>44988067937</v>
      </c>
      <c r="C1665" s="33" t="s">
        <v>43</v>
      </c>
      <c r="D1665" s="33">
        <v>4430265054</v>
      </c>
      <c r="E1665" s="33">
        <v>840</v>
      </c>
      <c r="F1665" s="33">
        <v>799</v>
      </c>
      <c r="G1665" s="33" t="s">
        <v>38</v>
      </c>
      <c r="H1665" s="33" t="s">
        <v>3374</v>
      </c>
      <c r="I1665" s="33" t="s">
        <v>39</v>
      </c>
      <c r="J1665" s="33" t="s">
        <v>40</v>
      </c>
      <c r="K1665" s="33" t="s">
        <v>41</v>
      </c>
      <c r="L1665" s="33"/>
    </row>
    <row r="1666" spans="1:12" s="1" customFormat="1" x14ac:dyDescent="0.3">
      <c r="A1666" s="33" t="s">
        <v>3375</v>
      </c>
      <c r="B1666" s="33" t="s">
        <v>48</v>
      </c>
      <c r="C1666" s="33">
        <v>4430318515</v>
      </c>
      <c r="D1666" s="33"/>
      <c r="E1666" s="33">
        <v>92</v>
      </c>
      <c r="F1666" s="33">
        <v>85</v>
      </c>
      <c r="G1666" s="33" t="s">
        <v>38</v>
      </c>
      <c r="H1666" s="33" t="s">
        <v>3376</v>
      </c>
      <c r="I1666" s="33" t="s">
        <v>46</v>
      </c>
      <c r="J1666" s="33" t="s">
        <v>40</v>
      </c>
      <c r="K1666" s="33"/>
      <c r="L1666" s="33"/>
    </row>
    <row r="1667" spans="1:12" s="1" customFormat="1" x14ac:dyDescent="0.3">
      <c r="A1667" s="33" t="s">
        <v>3377</v>
      </c>
      <c r="B1667" s="33">
        <v>4434531529</v>
      </c>
      <c r="C1667" s="33" t="s">
        <v>45</v>
      </c>
      <c r="D1667" s="33">
        <v>4430265054</v>
      </c>
      <c r="E1667" s="33">
        <v>359</v>
      </c>
      <c r="F1667" s="33">
        <v>319</v>
      </c>
      <c r="G1667" s="33" t="s">
        <v>38</v>
      </c>
      <c r="H1667" s="33" t="s">
        <v>3378</v>
      </c>
      <c r="I1667" s="33" t="s">
        <v>39</v>
      </c>
      <c r="J1667" s="33" t="s">
        <v>40</v>
      </c>
      <c r="K1667" s="33" t="s">
        <v>41</v>
      </c>
      <c r="L1667" s="33"/>
    </row>
    <row r="1668" spans="1:12" s="1" customFormat="1" x14ac:dyDescent="0.3">
      <c r="A1668" s="33" t="s">
        <v>3379</v>
      </c>
      <c r="B1668" s="33">
        <v>4334226481</v>
      </c>
      <c r="C1668" s="33" t="s">
        <v>44</v>
      </c>
      <c r="D1668" s="33">
        <v>4430265054</v>
      </c>
      <c r="E1668" s="33">
        <v>199</v>
      </c>
      <c r="F1668" s="33">
        <v>180</v>
      </c>
      <c r="G1668" s="33" t="s">
        <v>38</v>
      </c>
      <c r="H1668" s="33" t="s">
        <v>3380</v>
      </c>
      <c r="I1668" s="33" t="s">
        <v>39</v>
      </c>
      <c r="J1668" s="33" t="s">
        <v>40</v>
      </c>
      <c r="K1668" s="33" t="s">
        <v>41</v>
      </c>
      <c r="L1668" s="33"/>
    </row>
    <row r="1669" spans="1:12" s="1" customFormat="1" x14ac:dyDescent="0.3">
      <c r="A1669" s="33" t="s">
        <v>3381</v>
      </c>
      <c r="B1669" s="33">
        <v>44988255390</v>
      </c>
      <c r="C1669" s="33" t="s">
        <v>37</v>
      </c>
      <c r="D1669" s="33">
        <v>4430265054</v>
      </c>
      <c r="E1669" s="33">
        <v>1586</v>
      </c>
      <c r="F1669" s="33">
        <v>1512</v>
      </c>
      <c r="G1669" s="33" t="s">
        <v>38</v>
      </c>
      <c r="H1669" s="33" t="s">
        <v>3382</v>
      </c>
      <c r="I1669" s="33" t="s">
        <v>39</v>
      </c>
      <c r="J1669" s="33" t="s">
        <v>40</v>
      </c>
      <c r="K1669" s="33" t="s">
        <v>41</v>
      </c>
      <c r="L1669" s="33">
        <v>5</v>
      </c>
    </row>
    <row r="1670" spans="1:12" s="1" customFormat="1" x14ac:dyDescent="0.3">
      <c r="A1670" s="33" t="s">
        <v>3383</v>
      </c>
      <c r="B1670" s="33">
        <v>64992243831</v>
      </c>
      <c r="C1670" s="33" t="s">
        <v>48</v>
      </c>
      <c r="D1670" s="33">
        <v>4430265054</v>
      </c>
      <c r="E1670" s="33">
        <v>374</v>
      </c>
      <c r="F1670" s="33">
        <v>374</v>
      </c>
      <c r="G1670" s="33" t="s">
        <v>38</v>
      </c>
      <c r="H1670" s="33" t="s">
        <v>3384</v>
      </c>
      <c r="I1670" s="33" t="s">
        <v>39</v>
      </c>
      <c r="J1670" s="33" t="s">
        <v>40</v>
      </c>
      <c r="K1670" s="33" t="s">
        <v>41</v>
      </c>
      <c r="L1670" s="33"/>
    </row>
    <row r="1671" spans="1:12" s="1" customFormat="1" x14ac:dyDescent="0.3">
      <c r="A1671" s="33" t="s">
        <v>3385</v>
      </c>
      <c r="B1671" s="33">
        <v>4430131002</v>
      </c>
      <c r="C1671" s="33" t="s">
        <v>45</v>
      </c>
      <c r="D1671" s="33">
        <v>4430265054</v>
      </c>
      <c r="E1671" s="33">
        <v>122</v>
      </c>
      <c r="F1671" s="33">
        <v>92</v>
      </c>
      <c r="G1671" s="33" t="s">
        <v>38</v>
      </c>
      <c r="H1671" s="33" t="s">
        <v>3386</v>
      </c>
      <c r="I1671" s="33" t="s">
        <v>39</v>
      </c>
      <c r="J1671" s="33" t="s">
        <v>40</v>
      </c>
      <c r="K1671" s="33" t="s">
        <v>41</v>
      </c>
      <c r="L1671" s="33"/>
    </row>
    <row r="1672" spans="1:12" s="1" customFormat="1" x14ac:dyDescent="0.3">
      <c r="A1672" s="33" t="s">
        <v>3387</v>
      </c>
      <c r="B1672" s="33">
        <v>4430282545</v>
      </c>
      <c r="C1672" s="33" t="s">
        <v>42</v>
      </c>
      <c r="D1672" s="33">
        <v>4430265054</v>
      </c>
      <c r="E1672" s="33">
        <v>1402</v>
      </c>
      <c r="F1672" s="33">
        <v>1331</v>
      </c>
      <c r="G1672" s="33" t="s">
        <v>38</v>
      </c>
      <c r="H1672" s="33" t="s">
        <v>3388</v>
      </c>
      <c r="I1672" s="33" t="s">
        <v>39</v>
      </c>
      <c r="J1672" s="33" t="s">
        <v>40</v>
      </c>
      <c r="K1672" s="33" t="s">
        <v>41</v>
      </c>
      <c r="L1672" s="33"/>
    </row>
    <row r="1673" spans="1:12" s="1" customFormat="1" x14ac:dyDescent="0.3">
      <c r="A1673" s="33" t="s">
        <v>3389</v>
      </c>
      <c r="B1673" s="33">
        <v>44991484476</v>
      </c>
      <c r="C1673" s="33" t="s">
        <v>37</v>
      </c>
      <c r="D1673" s="33">
        <v>4430265054</v>
      </c>
      <c r="E1673" s="33">
        <v>939</v>
      </c>
      <c r="F1673" s="33">
        <v>888</v>
      </c>
      <c r="G1673" s="33" t="s">
        <v>38</v>
      </c>
      <c r="H1673" s="33" t="s">
        <v>3390</v>
      </c>
      <c r="I1673" s="33" t="s">
        <v>39</v>
      </c>
      <c r="J1673" s="33" t="s">
        <v>40</v>
      </c>
      <c r="K1673" s="33" t="s">
        <v>41</v>
      </c>
      <c r="L1673" s="33"/>
    </row>
    <row r="1674" spans="1:12" s="1" customFormat="1" x14ac:dyDescent="0.3">
      <c r="A1674" s="33" t="s">
        <v>3391</v>
      </c>
      <c r="B1674" s="33">
        <v>47999115463</v>
      </c>
      <c r="C1674" s="33" t="s">
        <v>42</v>
      </c>
      <c r="D1674" s="33">
        <v>4430265054</v>
      </c>
      <c r="E1674" s="33">
        <v>341</v>
      </c>
      <c r="F1674" s="33">
        <v>322</v>
      </c>
      <c r="G1674" s="33" t="s">
        <v>38</v>
      </c>
      <c r="H1674" s="33" t="s">
        <v>3392</v>
      </c>
      <c r="I1674" s="33" t="s">
        <v>39</v>
      </c>
      <c r="J1674" s="33" t="s">
        <v>40</v>
      </c>
      <c r="K1674" s="33" t="s">
        <v>41</v>
      </c>
      <c r="L1674" s="33"/>
    </row>
    <row r="1675" spans="1:12" s="1" customFormat="1" x14ac:dyDescent="0.3">
      <c r="A1675" s="33" t="s">
        <v>3393</v>
      </c>
      <c r="B1675" s="33">
        <v>44998849102</v>
      </c>
      <c r="C1675" s="33" t="s">
        <v>45</v>
      </c>
      <c r="D1675" s="33">
        <v>4430265054</v>
      </c>
      <c r="E1675" s="33">
        <v>438</v>
      </c>
      <c r="F1675" s="33">
        <v>408</v>
      </c>
      <c r="G1675" s="33" t="s">
        <v>38</v>
      </c>
      <c r="H1675" s="33" t="s">
        <v>3394</v>
      </c>
      <c r="I1675" s="33" t="s">
        <v>39</v>
      </c>
      <c r="J1675" s="33" t="s">
        <v>40</v>
      </c>
      <c r="K1675" s="33" t="s">
        <v>41</v>
      </c>
      <c r="L1675" s="33">
        <v>5</v>
      </c>
    </row>
    <row r="1676" spans="1:12" s="1" customFormat="1" x14ac:dyDescent="0.3">
      <c r="A1676" s="33" t="s">
        <v>3395</v>
      </c>
      <c r="B1676" s="33">
        <v>81983567163</v>
      </c>
      <c r="C1676" s="33" t="s">
        <v>44</v>
      </c>
      <c r="D1676" s="33">
        <v>4431268225</v>
      </c>
      <c r="E1676" s="33">
        <v>1028</v>
      </c>
      <c r="F1676" s="33">
        <v>1016</v>
      </c>
      <c r="G1676" s="33" t="s">
        <v>38</v>
      </c>
      <c r="H1676" s="33" t="s">
        <v>3396</v>
      </c>
      <c r="I1676" s="33" t="s">
        <v>39</v>
      </c>
      <c r="J1676" s="33" t="s">
        <v>40</v>
      </c>
      <c r="K1676" s="33" t="s">
        <v>41</v>
      </c>
      <c r="L1676" s="33">
        <v>5</v>
      </c>
    </row>
    <row r="1677" spans="1:12" s="1" customFormat="1" x14ac:dyDescent="0.3">
      <c r="A1677" s="33" t="s">
        <v>3397</v>
      </c>
      <c r="B1677" s="33">
        <v>4430288517</v>
      </c>
      <c r="C1677" s="33" t="s">
        <v>43</v>
      </c>
      <c r="D1677" s="33">
        <v>4430265054</v>
      </c>
      <c r="E1677" s="33">
        <v>852</v>
      </c>
      <c r="F1677" s="33">
        <v>811</v>
      </c>
      <c r="G1677" s="33" t="s">
        <v>38</v>
      </c>
      <c r="H1677" s="33" t="s">
        <v>3398</v>
      </c>
      <c r="I1677" s="33" t="s">
        <v>39</v>
      </c>
      <c r="J1677" s="33" t="s">
        <v>40</v>
      </c>
      <c r="K1677" s="33" t="s">
        <v>41</v>
      </c>
      <c r="L1677" s="33"/>
    </row>
    <row r="1678" spans="1:12" s="1" customFormat="1" x14ac:dyDescent="0.3">
      <c r="A1678" s="33" t="s">
        <v>3399</v>
      </c>
      <c r="B1678" s="33">
        <v>44998717172</v>
      </c>
      <c r="C1678" s="33" t="s">
        <v>37</v>
      </c>
      <c r="D1678" s="33">
        <v>4430265054</v>
      </c>
      <c r="E1678" s="33">
        <v>539</v>
      </c>
      <c r="F1678" s="33">
        <v>503</v>
      </c>
      <c r="G1678" s="33" t="s">
        <v>38</v>
      </c>
      <c r="H1678" s="33" t="s">
        <v>3400</v>
      </c>
      <c r="I1678" s="33" t="s">
        <v>39</v>
      </c>
      <c r="J1678" s="33" t="s">
        <v>40</v>
      </c>
      <c r="K1678" s="33" t="s">
        <v>41</v>
      </c>
      <c r="L1678" s="33"/>
    </row>
    <row r="1679" spans="1:12" s="1" customFormat="1" x14ac:dyDescent="0.3">
      <c r="A1679" s="33" t="s">
        <v>3401</v>
      </c>
      <c r="B1679" s="33">
        <v>4532541802</v>
      </c>
      <c r="C1679" s="33" t="s">
        <v>45</v>
      </c>
      <c r="D1679" s="33">
        <v>4430265054</v>
      </c>
      <c r="E1679" s="33">
        <v>236</v>
      </c>
      <c r="F1679" s="33">
        <v>208</v>
      </c>
      <c r="G1679" s="33" t="s">
        <v>38</v>
      </c>
      <c r="H1679" s="33" t="s">
        <v>3402</v>
      </c>
      <c r="I1679" s="33" t="s">
        <v>39</v>
      </c>
      <c r="J1679" s="33" t="s">
        <v>40</v>
      </c>
      <c r="K1679" s="33" t="s">
        <v>41</v>
      </c>
      <c r="L1679" s="33"/>
    </row>
    <row r="1680" spans="1:12" s="1" customFormat="1" x14ac:dyDescent="0.3">
      <c r="A1680" s="33" t="s">
        <v>3403</v>
      </c>
      <c r="B1680" s="33" t="s">
        <v>44</v>
      </c>
      <c r="C1680" s="33">
        <v>44998003003</v>
      </c>
      <c r="D1680" s="33"/>
      <c r="E1680" s="33">
        <v>12</v>
      </c>
      <c r="F1680" s="33">
        <v>0</v>
      </c>
      <c r="G1680" s="33" t="s">
        <v>47</v>
      </c>
      <c r="H1680" s="33" t="s">
        <v>3404</v>
      </c>
      <c r="I1680" s="33" t="s">
        <v>46</v>
      </c>
      <c r="J1680" s="33" t="s">
        <v>40</v>
      </c>
      <c r="K1680" s="33"/>
      <c r="L1680" s="33"/>
    </row>
    <row r="1681" spans="1:12" s="1" customFormat="1" x14ac:dyDescent="0.3">
      <c r="A1681" s="33" t="s">
        <v>3405</v>
      </c>
      <c r="B1681" s="33" t="s">
        <v>44</v>
      </c>
      <c r="C1681" s="33">
        <v>44998003003</v>
      </c>
      <c r="D1681" s="33"/>
      <c r="E1681" s="33">
        <v>49</v>
      </c>
      <c r="F1681" s="33">
        <v>26</v>
      </c>
      <c r="G1681" s="33" t="s">
        <v>38</v>
      </c>
      <c r="H1681" s="33" t="s">
        <v>3406</v>
      </c>
      <c r="I1681" s="33" t="s">
        <v>46</v>
      </c>
      <c r="J1681" s="33" t="s">
        <v>40</v>
      </c>
      <c r="K1681" s="33"/>
      <c r="L1681" s="33"/>
    </row>
    <row r="1682" spans="1:12" s="1" customFormat="1" x14ac:dyDescent="0.3">
      <c r="A1682" s="33" t="s">
        <v>3407</v>
      </c>
      <c r="B1682" s="33">
        <v>93991495484</v>
      </c>
      <c r="C1682" s="33" t="s">
        <v>42</v>
      </c>
      <c r="D1682" s="33">
        <v>4430265054</v>
      </c>
      <c r="E1682" s="33">
        <v>730</v>
      </c>
      <c r="F1682" s="33">
        <v>701</v>
      </c>
      <c r="G1682" s="33" t="s">
        <v>38</v>
      </c>
      <c r="H1682" s="33" t="s">
        <v>3408</v>
      </c>
      <c r="I1682" s="33" t="s">
        <v>39</v>
      </c>
      <c r="J1682" s="33" t="s">
        <v>40</v>
      </c>
      <c r="K1682" s="33" t="s">
        <v>41</v>
      </c>
      <c r="L1682" s="33">
        <v>5</v>
      </c>
    </row>
    <row r="1683" spans="1:12" s="1" customFormat="1" x14ac:dyDescent="0.3">
      <c r="A1683" s="33" t="s">
        <v>3409</v>
      </c>
      <c r="B1683" s="33">
        <v>44998717172</v>
      </c>
      <c r="C1683" s="33" t="s">
        <v>44</v>
      </c>
      <c r="D1683" s="33">
        <v>4430265054</v>
      </c>
      <c r="E1683" s="33">
        <v>363</v>
      </c>
      <c r="F1683" s="33">
        <v>319</v>
      </c>
      <c r="G1683" s="33" t="s">
        <v>38</v>
      </c>
      <c r="H1683" s="33" t="s">
        <v>3410</v>
      </c>
      <c r="I1683" s="33" t="s">
        <v>39</v>
      </c>
      <c r="J1683" s="33" t="s">
        <v>40</v>
      </c>
      <c r="K1683" s="33" t="s">
        <v>41</v>
      </c>
      <c r="L1683" s="33"/>
    </row>
    <row r="1684" spans="1:12" s="1" customFormat="1" x14ac:dyDescent="0.3">
      <c r="A1684" s="33" t="s">
        <v>3411</v>
      </c>
      <c r="B1684" s="33">
        <v>45999211357</v>
      </c>
      <c r="C1684" s="33" t="s">
        <v>45</v>
      </c>
      <c r="D1684" s="33">
        <v>4431268225</v>
      </c>
      <c r="E1684" s="33">
        <v>113</v>
      </c>
      <c r="F1684" s="33">
        <v>95</v>
      </c>
      <c r="G1684" s="33" t="s">
        <v>38</v>
      </c>
      <c r="H1684" s="33" t="s">
        <v>3412</v>
      </c>
      <c r="I1684" s="33" t="s">
        <v>39</v>
      </c>
      <c r="J1684" s="33" t="s">
        <v>40</v>
      </c>
      <c r="K1684" s="33" t="s">
        <v>41</v>
      </c>
      <c r="L1684" s="33"/>
    </row>
    <row r="1685" spans="1:12" s="1" customFormat="1" x14ac:dyDescent="0.3">
      <c r="A1685" s="33" t="s">
        <v>3413</v>
      </c>
      <c r="B1685" s="33" t="s">
        <v>45</v>
      </c>
      <c r="C1685" s="33">
        <v>45999211357</v>
      </c>
      <c r="D1685" s="33"/>
      <c r="E1685" s="33">
        <v>35</v>
      </c>
      <c r="F1685" s="33">
        <v>30</v>
      </c>
      <c r="G1685" s="33" t="s">
        <v>38</v>
      </c>
      <c r="H1685" s="33" t="s">
        <v>3414</v>
      </c>
      <c r="I1685" s="33" t="s">
        <v>46</v>
      </c>
      <c r="J1685" s="33" t="s">
        <v>40</v>
      </c>
      <c r="K1685" s="33"/>
      <c r="L1685" s="33"/>
    </row>
    <row r="1686" spans="1:12" s="1" customFormat="1" x14ac:dyDescent="0.3">
      <c r="A1686" s="33" t="s">
        <v>3415</v>
      </c>
      <c r="B1686" s="33" t="s">
        <v>44</v>
      </c>
      <c r="C1686" s="33">
        <v>44998003003</v>
      </c>
      <c r="D1686" s="33"/>
      <c r="E1686" s="33">
        <v>132</v>
      </c>
      <c r="F1686" s="33">
        <v>122</v>
      </c>
      <c r="G1686" s="33" t="s">
        <v>38</v>
      </c>
      <c r="H1686" s="33" t="s">
        <v>3416</v>
      </c>
      <c r="I1686" s="33" t="s">
        <v>46</v>
      </c>
      <c r="J1686" s="33" t="s">
        <v>40</v>
      </c>
      <c r="K1686" s="33"/>
      <c r="L1686" s="33"/>
    </row>
    <row r="1687" spans="1:12" s="1" customFormat="1" x14ac:dyDescent="0.3">
      <c r="A1687" s="33" t="s">
        <v>3417</v>
      </c>
      <c r="B1687" s="33">
        <v>45999211357</v>
      </c>
      <c r="C1687" s="33" t="s">
        <v>45</v>
      </c>
      <c r="D1687" s="33">
        <v>4431268225</v>
      </c>
      <c r="E1687" s="33">
        <v>136</v>
      </c>
      <c r="F1687" s="33">
        <v>72</v>
      </c>
      <c r="G1687" s="33" t="s">
        <v>38</v>
      </c>
      <c r="H1687" s="33" t="s">
        <v>3418</v>
      </c>
      <c r="I1687" s="33" t="s">
        <v>39</v>
      </c>
      <c r="J1687" s="33" t="s">
        <v>40</v>
      </c>
      <c r="K1687" s="33" t="s">
        <v>41</v>
      </c>
      <c r="L1687" s="33"/>
    </row>
    <row r="1688" spans="1:12" s="1" customFormat="1" x14ac:dyDescent="0.3">
      <c r="A1688" s="33" t="s">
        <v>3419</v>
      </c>
      <c r="B1688" s="33" t="s">
        <v>44</v>
      </c>
      <c r="C1688" s="33">
        <v>44998003003</v>
      </c>
      <c r="D1688" s="33"/>
      <c r="E1688" s="33">
        <v>43</v>
      </c>
      <c r="F1688" s="33">
        <v>30</v>
      </c>
      <c r="G1688" s="33" t="s">
        <v>38</v>
      </c>
      <c r="H1688" s="33" t="s">
        <v>3420</v>
      </c>
      <c r="I1688" s="33" t="s">
        <v>46</v>
      </c>
      <c r="J1688" s="33" t="s">
        <v>40</v>
      </c>
      <c r="K1688" s="33"/>
      <c r="L1688" s="33"/>
    </row>
    <row r="1689" spans="1:12" s="1" customFormat="1" x14ac:dyDescent="0.3">
      <c r="A1689" s="33" t="s">
        <v>3421</v>
      </c>
      <c r="B1689" s="33" t="s">
        <v>45</v>
      </c>
      <c r="C1689" s="33">
        <v>49991813889</v>
      </c>
      <c r="D1689" s="33"/>
      <c r="E1689" s="33">
        <v>523</v>
      </c>
      <c r="F1689" s="33">
        <v>516</v>
      </c>
      <c r="G1689" s="33" t="s">
        <v>38</v>
      </c>
      <c r="H1689" s="33" t="s">
        <v>3422</v>
      </c>
      <c r="I1689" s="33" t="s">
        <v>46</v>
      </c>
      <c r="J1689" s="33" t="s">
        <v>40</v>
      </c>
      <c r="K1689" s="33"/>
      <c r="L1689" s="33">
        <v>5</v>
      </c>
    </row>
    <row r="1690" spans="1:12" s="1" customFormat="1" x14ac:dyDescent="0.3">
      <c r="A1690" s="33" t="s">
        <v>3423</v>
      </c>
      <c r="B1690" s="33" t="s">
        <v>42</v>
      </c>
      <c r="C1690" s="33">
        <v>4430289496</v>
      </c>
      <c r="D1690" s="33"/>
      <c r="E1690" s="33">
        <v>305</v>
      </c>
      <c r="F1690" s="33">
        <v>299</v>
      </c>
      <c r="G1690" s="33" t="s">
        <v>38</v>
      </c>
      <c r="H1690" s="33" t="s">
        <v>3424</v>
      </c>
      <c r="I1690" s="33" t="s">
        <v>46</v>
      </c>
      <c r="J1690" s="33" t="s">
        <v>40</v>
      </c>
      <c r="K1690" s="33"/>
      <c r="L1690" s="33"/>
    </row>
    <row r="1691" spans="1:12" s="1" customFormat="1" x14ac:dyDescent="0.3">
      <c r="A1691" s="33" t="s">
        <v>3425</v>
      </c>
      <c r="B1691" s="33">
        <v>44998003003</v>
      </c>
      <c r="C1691" s="33" t="s">
        <v>44</v>
      </c>
      <c r="D1691" s="33">
        <v>4430265054</v>
      </c>
      <c r="E1691" s="33">
        <v>784</v>
      </c>
      <c r="F1691" s="33">
        <v>689</v>
      </c>
      <c r="G1691" s="33" t="s">
        <v>38</v>
      </c>
      <c r="H1691" s="33" t="s">
        <v>3426</v>
      </c>
      <c r="I1691" s="33" t="s">
        <v>39</v>
      </c>
      <c r="J1691" s="33" t="s">
        <v>40</v>
      </c>
      <c r="K1691" s="33" t="s">
        <v>41</v>
      </c>
      <c r="L1691" s="33">
        <v>5</v>
      </c>
    </row>
    <row r="1692" spans="1:12" s="1" customFormat="1" x14ac:dyDescent="0.3">
      <c r="A1692" s="33" t="s">
        <v>3427</v>
      </c>
      <c r="B1692" s="33">
        <v>6234347959</v>
      </c>
      <c r="C1692" s="33" t="s">
        <v>45</v>
      </c>
      <c r="D1692" s="33">
        <v>4430265054</v>
      </c>
      <c r="E1692" s="33">
        <v>503</v>
      </c>
      <c r="F1692" s="33">
        <v>408</v>
      </c>
      <c r="G1692" s="33" t="s">
        <v>38</v>
      </c>
      <c r="H1692" s="33" t="s">
        <v>3428</v>
      </c>
      <c r="I1692" s="33" t="s">
        <v>39</v>
      </c>
      <c r="J1692" s="33" t="s">
        <v>40</v>
      </c>
      <c r="K1692" s="33" t="s">
        <v>41</v>
      </c>
      <c r="L1692" s="33">
        <v>5</v>
      </c>
    </row>
    <row r="1693" spans="1:12" s="1" customFormat="1" x14ac:dyDescent="0.3">
      <c r="A1693" s="33" t="s">
        <v>3429</v>
      </c>
      <c r="B1693" s="33" t="s">
        <v>45</v>
      </c>
      <c r="C1693" s="33">
        <v>4532541802</v>
      </c>
      <c r="D1693" s="33"/>
      <c r="E1693" s="33">
        <v>99</v>
      </c>
      <c r="F1693" s="33">
        <v>98</v>
      </c>
      <c r="G1693" s="33" t="s">
        <v>38</v>
      </c>
      <c r="H1693" s="33" t="s">
        <v>3430</v>
      </c>
      <c r="I1693" s="33" t="s">
        <v>46</v>
      </c>
      <c r="J1693" s="33" t="s">
        <v>40</v>
      </c>
      <c r="K1693" s="33"/>
      <c r="L1693" s="33"/>
    </row>
    <row r="1694" spans="1:12" s="1" customFormat="1" x14ac:dyDescent="0.3">
      <c r="A1694" s="33" t="s">
        <v>3431</v>
      </c>
      <c r="B1694" s="33">
        <v>4430188650</v>
      </c>
      <c r="C1694" s="33" t="s">
        <v>45</v>
      </c>
      <c r="D1694" s="33">
        <v>4430265054</v>
      </c>
      <c r="E1694" s="33">
        <v>403</v>
      </c>
      <c r="F1694" s="33">
        <v>356</v>
      </c>
      <c r="G1694" s="33" t="s">
        <v>38</v>
      </c>
      <c r="H1694" s="33" t="s">
        <v>3432</v>
      </c>
      <c r="I1694" s="33" t="s">
        <v>39</v>
      </c>
      <c r="J1694" s="33" t="s">
        <v>40</v>
      </c>
      <c r="K1694" s="33" t="s">
        <v>41</v>
      </c>
      <c r="L1694" s="33">
        <v>5</v>
      </c>
    </row>
    <row r="1695" spans="1:12" s="1" customFormat="1" x14ac:dyDescent="0.3">
      <c r="A1695" s="33" t="s">
        <v>3433</v>
      </c>
      <c r="B1695" s="33">
        <v>99996511677</v>
      </c>
      <c r="C1695" s="33" t="s">
        <v>42</v>
      </c>
      <c r="D1695" s="33">
        <v>4430265054</v>
      </c>
      <c r="E1695" s="33">
        <v>490</v>
      </c>
      <c r="F1695" s="33">
        <v>428</v>
      </c>
      <c r="G1695" s="33" t="s">
        <v>38</v>
      </c>
      <c r="H1695" s="33" t="s">
        <v>3434</v>
      </c>
      <c r="I1695" s="33" t="s">
        <v>39</v>
      </c>
      <c r="J1695" s="33" t="s">
        <v>40</v>
      </c>
      <c r="K1695" s="33" t="s">
        <v>41</v>
      </c>
      <c r="L1695" s="33"/>
    </row>
    <row r="1696" spans="1:12" s="1" customFormat="1" x14ac:dyDescent="0.3">
      <c r="A1696" s="33" t="s">
        <v>3435</v>
      </c>
      <c r="B1696" s="33">
        <v>4436249360</v>
      </c>
      <c r="C1696" s="33" t="s">
        <v>45</v>
      </c>
      <c r="D1696" s="33">
        <v>4430265054</v>
      </c>
      <c r="E1696" s="33">
        <v>382</v>
      </c>
      <c r="F1696" s="33">
        <v>345</v>
      </c>
      <c r="G1696" s="33" t="s">
        <v>38</v>
      </c>
      <c r="H1696" s="33" t="s">
        <v>3436</v>
      </c>
      <c r="I1696" s="33" t="s">
        <v>39</v>
      </c>
      <c r="J1696" s="33" t="s">
        <v>40</v>
      </c>
      <c r="K1696" s="33" t="s">
        <v>41</v>
      </c>
      <c r="L1696" s="33"/>
    </row>
    <row r="1697" spans="1:12" s="1" customFormat="1" x14ac:dyDescent="0.3">
      <c r="A1697" s="33" t="s">
        <v>3437</v>
      </c>
      <c r="B1697" s="33">
        <v>4430562296</v>
      </c>
      <c r="C1697" s="33" t="s">
        <v>45</v>
      </c>
      <c r="D1697" s="33">
        <v>4430265054</v>
      </c>
      <c r="E1697" s="33">
        <v>572</v>
      </c>
      <c r="F1697" s="33">
        <v>520</v>
      </c>
      <c r="G1697" s="33" t="s">
        <v>38</v>
      </c>
      <c r="H1697" s="33" t="s">
        <v>3438</v>
      </c>
      <c r="I1697" s="33" t="s">
        <v>39</v>
      </c>
      <c r="J1697" s="33" t="s">
        <v>40</v>
      </c>
      <c r="K1697" s="33" t="s">
        <v>41</v>
      </c>
      <c r="L1697" s="33"/>
    </row>
    <row r="1698" spans="1:12" s="1" customFormat="1" x14ac:dyDescent="0.3">
      <c r="A1698" s="33" t="s">
        <v>3439</v>
      </c>
      <c r="B1698" s="33">
        <v>4532541802</v>
      </c>
      <c r="C1698" s="33" t="s">
        <v>45</v>
      </c>
      <c r="D1698" s="33">
        <v>4430265054</v>
      </c>
      <c r="E1698" s="33">
        <v>749</v>
      </c>
      <c r="F1698" s="33">
        <v>727</v>
      </c>
      <c r="G1698" s="33" t="s">
        <v>38</v>
      </c>
      <c r="H1698" s="33" t="s">
        <v>3440</v>
      </c>
      <c r="I1698" s="33" t="s">
        <v>39</v>
      </c>
      <c r="J1698" s="33" t="s">
        <v>40</v>
      </c>
      <c r="K1698" s="33" t="s">
        <v>41</v>
      </c>
      <c r="L1698" s="33"/>
    </row>
    <row r="1699" spans="1:12" s="1" customFormat="1" x14ac:dyDescent="0.3">
      <c r="A1699" s="33" t="s">
        <v>3441</v>
      </c>
      <c r="B1699" s="33">
        <v>44999387742</v>
      </c>
      <c r="C1699" s="33" t="s">
        <v>44</v>
      </c>
      <c r="D1699" s="33">
        <v>4430265054</v>
      </c>
      <c r="E1699" s="33">
        <v>491</v>
      </c>
      <c r="F1699" s="33">
        <v>361</v>
      </c>
      <c r="G1699" s="33" t="s">
        <v>38</v>
      </c>
      <c r="H1699" s="33" t="s">
        <v>3442</v>
      </c>
      <c r="I1699" s="33" t="s">
        <v>39</v>
      </c>
      <c r="J1699" s="33" t="s">
        <v>40</v>
      </c>
      <c r="K1699" s="33" t="s">
        <v>41</v>
      </c>
      <c r="L1699" s="33"/>
    </row>
    <row r="1700" spans="1:12" s="1" customFormat="1" x14ac:dyDescent="0.3">
      <c r="A1700" s="33"/>
      <c r="B1700" s="33"/>
      <c r="C1700" s="33"/>
      <c r="D1700" s="33"/>
      <c r="E1700" s="33"/>
      <c r="F1700" s="33"/>
      <c r="G1700" s="33"/>
      <c r="H1700" s="33"/>
      <c r="I1700" s="33"/>
      <c r="J1700" s="33"/>
      <c r="K1700" s="33"/>
      <c r="L1700" s="33"/>
    </row>
    <row r="1701" spans="1:12" s="1" customFormat="1" x14ac:dyDescent="0.3">
      <c r="A1701" s="33"/>
      <c r="B1701" s="33"/>
      <c r="C1701" s="33"/>
      <c r="D1701" s="33"/>
      <c r="E1701" s="33"/>
      <c r="F1701" s="33"/>
      <c r="G1701" s="33"/>
      <c r="H1701" s="33"/>
      <c r="I1701" s="33"/>
      <c r="J1701" s="33"/>
      <c r="K1701" s="33"/>
      <c r="L1701" s="33"/>
    </row>
    <row r="1702" spans="1:12" s="1" customFormat="1" x14ac:dyDescent="0.3">
      <c r="A1702" s="33"/>
      <c r="B1702" s="33"/>
      <c r="C1702" s="33"/>
      <c r="D1702" s="33"/>
      <c r="E1702" s="33"/>
      <c r="F1702" s="33"/>
      <c r="G1702" s="33"/>
      <c r="H1702" s="33"/>
      <c r="I1702" s="33"/>
      <c r="J1702" s="33"/>
      <c r="K1702" s="33"/>
      <c r="L1702" s="33"/>
    </row>
    <row r="1703" spans="1:12" s="1" customFormat="1" x14ac:dyDescent="0.3">
      <c r="A1703" s="33"/>
      <c r="B1703" s="33"/>
      <c r="C1703" s="33"/>
      <c r="D1703" s="33"/>
      <c r="E1703" s="33"/>
      <c r="F1703" s="33"/>
      <c r="G1703" s="33"/>
      <c r="H1703" s="33"/>
      <c r="I1703" s="33"/>
      <c r="J1703" s="33"/>
      <c r="K1703" s="33"/>
      <c r="L1703" s="33"/>
    </row>
    <row r="1704" spans="1:12" s="1" customFormat="1" x14ac:dyDescent="0.3">
      <c r="A1704" s="33"/>
      <c r="B1704" s="33"/>
      <c r="C1704" s="33"/>
      <c r="D1704" s="33"/>
      <c r="E1704" s="33"/>
      <c r="F1704" s="33"/>
      <c r="G1704" s="33"/>
      <c r="H1704" s="33"/>
      <c r="I1704" s="33"/>
      <c r="J1704" s="33"/>
      <c r="K1704" s="33"/>
      <c r="L1704" s="33"/>
    </row>
    <row r="1705" spans="1:12" s="1" customFormat="1" x14ac:dyDescent="0.3">
      <c r="A1705" s="33"/>
      <c r="B1705" s="33"/>
      <c r="C1705" s="33"/>
      <c r="D1705" s="33"/>
      <c r="E1705" s="33"/>
      <c r="F1705" s="33"/>
      <c r="G1705" s="33"/>
      <c r="H1705" s="33"/>
      <c r="I1705" s="33"/>
      <c r="J1705" s="33"/>
      <c r="K1705" s="33"/>
      <c r="L1705" s="33"/>
    </row>
    <row r="1706" spans="1:12" s="1" customFormat="1" x14ac:dyDescent="0.3">
      <c r="A1706" s="33"/>
      <c r="B1706" s="33"/>
      <c r="C1706" s="33"/>
      <c r="D1706" s="33"/>
      <c r="E1706" s="33"/>
      <c r="F1706" s="33"/>
      <c r="G1706" s="33"/>
      <c r="H1706" s="33"/>
      <c r="I1706" s="33"/>
      <c r="J1706" s="33"/>
      <c r="K1706" s="33"/>
      <c r="L1706" s="33"/>
    </row>
    <row r="1707" spans="1:12" s="1" customFormat="1" x14ac:dyDescent="0.3">
      <c r="A1707" s="33"/>
      <c r="B1707" s="33"/>
      <c r="C1707" s="33"/>
      <c r="D1707" s="33"/>
      <c r="E1707" s="33"/>
      <c r="F1707" s="33"/>
      <c r="G1707" s="33"/>
      <c r="H1707" s="33"/>
      <c r="I1707" s="33"/>
      <c r="J1707" s="33"/>
      <c r="K1707" s="33"/>
      <c r="L1707" s="33"/>
    </row>
    <row r="1708" spans="1:12" s="1" customFormat="1" x14ac:dyDescent="0.3">
      <c r="A1708" s="33"/>
      <c r="B1708" s="33"/>
      <c r="C1708" s="33"/>
      <c r="D1708" s="33"/>
      <c r="E1708" s="33"/>
      <c r="F1708" s="33"/>
      <c r="G1708" s="33"/>
      <c r="H1708" s="33"/>
      <c r="I1708" s="33"/>
      <c r="J1708" s="33"/>
      <c r="K1708" s="33"/>
      <c r="L1708" s="33"/>
    </row>
    <row r="1709" spans="1:12" s="1" customFormat="1" x14ac:dyDescent="0.3">
      <c r="A1709" s="33"/>
      <c r="B1709" s="33"/>
      <c r="C1709" s="33"/>
      <c r="D1709" s="33"/>
      <c r="E1709" s="33"/>
      <c r="F1709" s="33"/>
      <c r="G1709" s="33"/>
      <c r="H1709" s="33"/>
      <c r="I1709" s="33"/>
      <c r="J1709" s="33"/>
      <c r="K1709" s="33"/>
      <c r="L1709" s="33"/>
    </row>
    <row r="1710" spans="1:12" s="1" customFormat="1" x14ac:dyDescent="0.3">
      <c r="A1710" s="33"/>
      <c r="B1710" s="33"/>
      <c r="C1710" s="33"/>
      <c r="D1710" s="33"/>
      <c r="E1710" s="33"/>
      <c r="F1710" s="33"/>
      <c r="G1710" s="33"/>
      <c r="H1710" s="33"/>
      <c r="I1710" s="33"/>
      <c r="J1710" s="33"/>
      <c r="K1710" s="33"/>
      <c r="L1710" s="33"/>
    </row>
    <row r="1711" spans="1:12" s="1" customFormat="1" x14ac:dyDescent="0.3">
      <c r="A1711" s="33"/>
      <c r="B1711" s="33"/>
      <c r="C1711" s="33"/>
      <c r="D1711" s="33"/>
      <c r="E1711" s="33"/>
      <c r="F1711" s="33"/>
      <c r="G1711" s="33"/>
      <c r="H1711" s="33"/>
      <c r="I1711" s="33"/>
      <c r="J1711" s="33"/>
      <c r="K1711" s="33"/>
      <c r="L1711" s="33"/>
    </row>
    <row r="1712" spans="1:12" s="1" customFormat="1" x14ac:dyDescent="0.3">
      <c r="A1712" s="33"/>
      <c r="B1712" s="33"/>
      <c r="C1712" s="33"/>
      <c r="D1712" s="33"/>
      <c r="E1712" s="33"/>
      <c r="F1712" s="33"/>
      <c r="G1712" s="33"/>
      <c r="H1712" s="33"/>
      <c r="I1712" s="33"/>
      <c r="J1712" s="33"/>
      <c r="K1712" s="33"/>
      <c r="L1712" s="33"/>
    </row>
    <row r="1713" spans="1:12" s="1" customFormat="1" x14ac:dyDescent="0.3">
      <c r="A1713" s="33"/>
      <c r="B1713" s="33"/>
      <c r="C1713" s="33"/>
      <c r="D1713" s="33"/>
      <c r="E1713" s="33"/>
      <c r="F1713" s="33"/>
      <c r="G1713" s="33"/>
      <c r="H1713" s="33"/>
      <c r="I1713" s="33"/>
      <c r="J1713" s="33"/>
      <c r="K1713" s="33"/>
      <c r="L1713" s="33"/>
    </row>
    <row r="1714" spans="1:12" s="1" customFormat="1" x14ac:dyDescent="0.3">
      <c r="A1714" s="33"/>
      <c r="B1714" s="33"/>
      <c r="C1714" s="33"/>
      <c r="D1714" s="33"/>
      <c r="E1714" s="33"/>
      <c r="F1714" s="33"/>
      <c r="G1714" s="33"/>
      <c r="H1714" s="33"/>
      <c r="I1714" s="33"/>
      <c r="J1714" s="33"/>
      <c r="K1714" s="33"/>
      <c r="L1714" s="33"/>
    </row>
    <row r="1715" spans="1:12" s="1" customFormat="1" x14ac:dyDescent="0.3">
      <c r="A1715" s="33"/>
      <c r="B1715" s="33"/>
      <c r="C1715" s="33"/>
      <c r="D1715" s="33"/>
      <c r="E1715" s="33"/>
      <c r="F1715" s="33"/>
      <c r="G1715" s="33"/>
      <c r="H1715" s="33"/>
      <c r="I1715" s="33"/>
      <c r="J1715" s="33"/>
      <c r="K1715" s="33"/>
      <c r="L1715" s="33"/>
    </row>
    <row r="1716" spans="1:12" s="1" customFormat="1" x14ac:dyDescent="0.3">
      <c r="A1716" s="33"/>
      <c r="B1716" s="33"/>
      <c r="C1716" s="33"/>
      <c r="D1716" s="33"/>
      <c r="E1716" s="33"/>
      <c r="F1716" s="33"/>
      <c r="G1716" s="33"/>
      <c r="H1716" s="33"/>
      <c r="I1716" s="33"/>
      <c r="J1716" s="33"/>
      <c r="K1716" s="33"/>
      <c r="L1716" s="33"/>
    </row>
    <row r="1717" spans="1:12" s="1" customFormat="1" x14ac:dyDescent="0.3">
      <c r="A1717" s="33"/>
      <c r="B1717" s="33"/>
      <c r="C1717" s="33"/>
      <c r="D1717" s="33"/>
      <c r="E1717" s="33"/>
      <c r="F1717" s="33"/>
      <c r="G1717" s="33"/>
      <c r="H1717" s="33"/>
      <c r="I1717" s="33"/>
      <c r="J1717" s="33"/>
      <c r="K1717" s="33"/>
      <c r="L1717" s="33"/>
    </row>
    <row r="1718" spans="1:12" s="1" customFormat="1" x14ac:dyDescent="0.3">
      <c r="A1718" s="33"/>
      <c r="B1718" s="33"/>
      <c r="C1718" s="33"/>
      <c r="D1718" s="33"/>
      <c r="E1718" s="33"/>
      <c r="F1718" s="33"/>
      <c r="G1718" s="33"/>
      <c r="H1718" s="33"/>
      <c r="I1718" s="33"/>
      <c r="J1718" s="33"/>
      <c r="K1718" s="33"/>
      <c r="L1718" s="33"/>
    </row>
    <row r="1719" spans="1:12" s="1" customFormat="1" x14ac:dyDescent="0.3">
      <c r="A1719" s="33"/>
      <c r="B1719" s="33"/>
      <c r="C1719" s="33"/>
      <c r="D1719" s="33"/>
      <c r="E1719" s="33"/>
      <c r="F1719" s="33"/>
      <c r="G1719" s="33"/>
      <c r="H1719" s="33"/>
      <c r="I1719" s="33"/>
      <c r="J1719" s="33"/>
      <c r="K1719" s="33"/>
      <c r="L1719" s="33"/>
    </row>
    <row r="1720" spans="1:12" s="1" customFormat="1" x14ac:dyDescent="0.3">
      <c r="A1720" s="33"/>
      <c r="B1720" s="33"/>
      <c r="C1720" s="33"/>
      <c r="D1720" s="33"/>
      <c r="E1720" s="33"/>
      <c r="F1720" s="33"/>
      <c r="G1720" s="33"/>
      <c r="H1720" s="33"/>
      <c r="I1720" s="33"/>
      <c r="J1720" s="33"/>
      <c r="K1720" s="33"/>
      <c r="L1720" s="33"/>
    </row>
    <row r="1721" spans="1:12" s="1" customFormat="1" x14ac:dyDescent="0.3">
      <c r="A1721" s="33"/>
      <c r="B1721" s="33"/>
      <c r="C1721" s="33"/>
      <c r="D1721" s="33"/>
      <c r="E1721" s="33"/>
      <c r="F1721" s="33"/>
      <c r="G1721" s="33"/>
      <c r="H1721" s="33"/>
      <c r="I1721" s="33"/>
      <c r="J1721" s="33"/>
      <c r="K1721" s="33"/>
      <c r="L1721" s="33"/>
    </row>
    <row r="1722" spans="1:12" s="1" customFormat="1" x14ac:dyDescent="0.3">
      <c r="A1722" s="33"/>
      <c r="B1722" s="33"/>
      <c r="C1722" s="33"/>
      <c r="D1722" s="33"/>
      <c r="E1722" s="33"/>
      <c r="F1722" s="33"/>
      <c r="G1722" s="33"/>
      <c r="H1722" s="33"/>
      <c r="I1722" s="33"/>
      <c r="J1722" s="33"/>
      <c r="K1722" s="33"/>
      <c r="L1722" s="33"/>
    </row>
    <row r="1723" spans="1:12" s="1" customFormat="1" x14ac:dyDescent="0.3">
      <c r="A1723" s="33"/>
      <c r="B1723" s="33"/>
      <c r="C1723" s="33"/>
      <c r="D1723" s="33"/>
      <c r="E1723" s="33"/>
      <c r="F1723" s="33"/>
      <c r="G1723" s="33"/>
      <c r="H1723" s="33"/>
      <c r="I1723" s="33"/>
      <c r="J1723" s="33"/>
      <c r="K1723" s="33"/>
      <c r="L1723" s="33"/>
    </row>
    <row r="1724" spans="1:12" s="1" customFormat="1" x14ac:dyDescent="0.3">
      <c r="A1724" s="33"/>
      <c r="B1724" s="33"/>
      <c r="C1724" s="33"/>
      <c r="D1724" s="33"/>
      <c r="E1724" s="33"/>
      <c r="F1724" s="33"/>
      <c r="G1724" s="33"/>
      <c r="H1724" s="33"/>
      <c r="I1724" s="33"/>
      <c r="J1724" s="33"/>
      <c r="K1724" s="33"/>
      <c r="L1724" s="33"/>
    </row>
    <row r="1725" spans="1:12" s="1" customFormat="1" x14ac:dyDescent="0.3">
      <c r="A1725" s="33"/>
      <c r="B1725" s="33"/>
      <c r="C1725" s="33"/>
      <c r="D1725" s="33"/>
      <c r="E1725" s="33"/>
      <c r="F1725" s="33"/>
      <c r="G1725" s="33"/>
      <c r="H1725" s="33"/>
      <c r="I1725" s="33"/>
      <c r="J1725" s="33"/>
      <c r="K1725" s="33"/>
      <c r="L1725" s="33"/>
    </row>
    <row r="1726" spans="1:12" s="1" customFormat="1" x14ac:dyDescent="0.3">
      <c r="A1726" s="33"/>
      <c r="B1726" s="33"/>
      <c r="C1726" s="33"/>
      <c r="D1726" s="33"/>
      <c r="E1726" s="33"/>
      <c r="F1726" s="33"/>
      <c r="G1726" s="33"/>
      <c r="H1726" s="33"/>
      <c r="I1726" s="33"/>
      <c r="J1726" s="33"/>
      <c r="K1726" s="33"/>
      <c r="L1726" s="33"/>
    </row>
    <row r="1727" spans="1:12" s="1" customFormat="1" x14ac:dyDescent="0.3">
      <c r="A1727" s="33"/>
      <c r="B1727" s="33"/>
      <c r="C1727" s="33"/>
      <c r="D1727" s="33"/>
      <c r="E1727" s="33"/>
      <c r="F1727" s="33"/>
      <c r="G1727" s="33"/>
      <c r="H1727" s="33"/>
      <c r="I1727" s="33"/>
      <c r="J1727" s="33"/>
      <c r="K1727" s="33"/>
      <c r="L1727" s="33"/>
    </row>
    <row r="1728" spans="1:12" s="1" customFormat="1" x14ac:dyDescent="0.3">
      <c r="A1728" s="33"/>
      <c r="B1728" s="33"/>
      <c r="C1728" s="33"/>
      <c r="D1728" s="33"/>
      <c r="E1728" s="33"/>
      <c r="F1728" s="33"/>
      <c r="G1728" s="33"/>
      <c r="H1728" s="33"/>
      <c r="I1728" s="33"/>
      <c r="J1728" s="33"/>
      <c r="K1728" s="33"/>
      <c r="L1728" s="33"/>
    </row>
    <row r="1729" spans="1:12" s="1" customFormat="1" x14ac:dyDescent="0.3">
      <c r="A1729" s="33"/>
      <c r="B1729" s="33"/>
      <c r="C1729" s="33"/>
      <c r="D1729" s="33"/>
      <c r="E1729" s="33"/>
      <c r="F1729" s="33"/>
      <c r="G1729" s="33"/>
      <c r="H1729" s="33"/>
      <c r="I1729" s="33"/>
      <c r="J1729" s="33"/>
      <c r="K1729" s="33"/>
      <c r="L1729" s="33"/>
    </row>
    <row r="1730" spans="1:12" s="1" customFormat="1" x14ac:dyDescent="0.3">
      <c r="A1730" s="33"/>
      <c r="B1730" s="33"/>
      <c r="C1730" s="33"/>
      <c r="D1730" s="33"/>
      <c r="E1730" s="33"/>
      <c r="F1730" s="33"/>
      <c r="G1730" s="33"/>
      <c r="H1730" s="33"/>
      <c r="I1730" s="33"/>
      <c r="J1730" s="33"/>
      <c r="K1730" s="33"/>
      <c r="L1730" s="33"/>
    </row>
    <row r="1731" spans="1:12" s="1" customFormat="1" x14ac:dyDescent="0.3">
      <c r="A1731" s="33"/>
      <c r="B1731" s="33"/>
      <c r="C1731" s="33"/>
      <c r="D1731" s="33"/>
      <c r="E1731" s="33"/>
      <c r="F1731" s="33"/>
      <c r="G1731" s="33"/>
      <c r="H1731" s="33"/>
      <c r="I1731" s="33"/>
      <c r="J1731" s="33"/>
      <c r="K1731" s="33"/>
      <c r="L1731" s="33"/>
    </row>
    <row r="1732" spans="1:12" s="1" customFormat="1" x14ac:dyDescent="0.3">
      <c r="A1732" s="33"/>
      <c r="B1732" s="33"/>
      <c r="C1732" s="33"/>
      <c r="D1732" s="33"/>
      <c r="E1732" s="33"/>
      <c r="F1732" s="33"/>
      <c r="G1732" s="33"/>
      <c r="H1732" s="33"/>
      <c r="I1732" s="33"/>
      <c r="J1732" s="33"/>
      <c r="K1732" s="33"/>
      <c r="L1732" s="33"/>
    </row>
    <row r="1733" spans="1:12" s="1" customFormat="1" x14ac:dyDescent="0.3">
      <c r="A1733" s="33"/>
      <c r="B1733" s="33"/>
      <c r="C1733" s="33"/>
      <c r="D1733" s="33"/>
      <c r="E1733" s="33"/>
      <c r="F1733" s="33"/>
      <c r="G1733" s="33"/>
      <c r="H1733" s="33"/>
      <c r="I1733" s="33"/>
      <c r="J1733" s="33"/>
      <c r="K1733" s="33"/>
      <c r="L1733" s="33"/>
    </row>
    <row r="1734" spans="1:12" s="1" customFormat="1" x14ac:dyDescent="0.3">
      <c r="A1734" s="33"/>
      <c r="B1734" s="33"/>
      <c r="C1734" s="33"/>
      <c r="D1734" s="33"/>
      <c r="E1734" s="33"/>
      <c r="F1734" s="33"/>
      <c r="G1734" s="33"/>
      <c r="H1734" s="33"/>
      <c r="I1734" s="33"/>
      <c r="J1734" s="33"/>
      <c r="K1734" s="33"/>
      <c r="L1734" s="33"/>
    </row>
    <row r="1735" spans="1:12" s="1" customFormat="1" x14ac:dyDescent="0.3">
      <c r="A1735" s="33"/>
      <c r="B1735" s="33"/>
      <c r="C1735" s="33"/>
      <c r="D1735" s="33"/>
      <c r="E1735" s="33"/>
      <c r="F1735" s="33"/>
      <c r="G1735" s="33"/>
      <c r="H1735" s="33"/>
      <c r="I1735" s="33"/>
      <c r="J1735" s="33"/>
      <c r="K1735" s="33"/>
      <c r="L1735" s="33"/>
    </row>
    <row r="1736" spans="1:12" s="1" customFormat="1" x14ac:dyDescent="0.3">
      <c r="A1736" s="33"/>
      <c r="B1736" s="33"/>
      <c r="C1736" s="33"/>
      <c r="D1736" s="33"/>
      <c r="E1736" s="33"/>
      <c r="F1736" s="33"/>
      <c r="G1736" s="33"/>
      <c r="H1736" s="33"/>
      <c r="I1736" s="33"/>
      <c r="J1736" s="33"/>
      <c r="K1736" s="33"/>
      <c r="L1736" s="33"/>
    </row>
    <row r="1737" spans="1:12" s="1" customFormat="1" x14ac:dyDescent="0.3">
      <c r="A1737" s="33"/>
      <c r="B1737" s="33"/>
      <c r="C1737" s="33"/>
      <c r="D1737" s="33"/>
      <c r="E1737" s="33"/>
      <c r="F1737" s="33"/>
      <c r="G1737" s="33"/>
      <c r="H1737" s="33"/>
      <c r="I1737" s="33"/>
      <c r="J1737" s="33"/>
      <c r="K1737" s="33"/>
      <c r="L1737" s="33"/>
    </row>
    <row r="1738" spans="1:12" s="1" customFormat="1" x14ac:dyDescent="0.3">
      <c r="A1738" s="33"/>
      <c r="B1738" s="33"/>
      <c r="C1738" s="33"/>
      <c r="D1738" s="33"/>
      <c r="E1738" s="33"/>
      <c r="F1738" s="33"/>
      <c r="G1738" s="33"/>
      <c r="H1738" s="33"/>
      <c r="I1738" s="33"/>
      <c r="J1738" s="33"/>
      <c r="K1738" s="33"/>
      <c r="L1738" s="33"/>
    </row>
    <row r="1739" spans="1:12" s="1" customFormat="1" x14ac:dyDescent="0.3">
      <c r="A1739" s="33"/>
      <c r="B1739" s="33"/>
      <c r="C1739" s="33"/>
      <c r="D1739" s="33"/>
      <c r="E1739" s="33"/>
      <c r="F1739" s="33"/>
      <c r="G1739" s="33"/>
      <c r="H1739" s="33"/>
      <c r="I1739" s="33"/>
      <c r="J1739" s="33"/>
      <c r="K1739" s="33"/>
      <c r="L1739" s="33"/>
    </row>
    <row r="1740" spans="1:12" s="1" customFormat="1" x14ac:dyDescent="0.3">
      <c r="A1740" s="33"/>
      <c r="B1740" s="33"/>
      <c r="C1740" s="33"/>
      <c r="D1740" s="33"/>
      <c r="E1740" s="33"/>
      <c r="F1740" s="33"/>
      <c r="G1740" s="33"/>
      <c r="H1740" s="33"/>
      <c r="I1740" s="33"/>
      <c r="J1740" s="33"/>
      <c r="K1740" s="33"/>
      <c r="L1740" s="33"/>
    </row>
    <row r="1741" spans="1:12" s="1" customFormat="1" x14ac:dyDescent="0.3">
      <c r="A1741" s="33"/>
      <c r="B1741" s="33"/>
      <c r="C1741" s="33"/>
      <c r="D1741" s="33"/>
      <c r="E1741" s="33"/>
      <c r="F1741" s="33"/>
      <c r="G1741" s="33"/>
      <c r="H1741" s="33"/>
      <c r="I1741" s="33"/>
      <c r="J1741" s="33"/>
      <c r="K1741" s="33"/>
      <c r="L1741" s="33"/>
    </row>
    <row r="1742" spans="1:12" s="1" customFormat="1" x14ac:dyDescent="0.3">
      <c r="A1742" s="33"/>
      <c r="B1742" s="33"/>
      <c r="C1742" s="33"/>
      <c r="D1742" s="33"/>
      <c r="E1742" s="33"/>
      <c r="F1742" s="33"/>
      <c r="G1742" s="33"/>
      <c r="H1742" s="33"/>
      <c r="I1742" s="33"/>
      <c r="J1742" s="33"/>
      <c r="K1742" s="33"/>
      <c r="L1742" s="33"/>
    </row>
    <row r="1743" spans="1:12" s="1" customFormat="1" x14ac:dyDescent="0.3">
      <c r="A1743" s="33"/>
      <c r="B1743" s="33"/>
      <c r="C1743" s="33"/>
      <c r="D1743" s="33"/>
      <c r="E1743" s="33"/>
      <c r="F1743" s="33"/>
      <c r="G1743" s="33"/>
      <c r="H1743" s="33"/>
      <c r="I1743" s="33"/>
      <c r="J1743" s="33"/>
      <c r="K1743" s="33"/>
      <c r="L1743" s="33"/>
    </row>
    <row r="1744" spans="1:12" s="1" customFormat="1" x14ac:dyDescent="0.3">
      <c r="A1744" s="33"/>
      <c r="B1744" s="33"/>
      <c r="C1744" s="33"/>
      <c r="D1744" s="33"/>
      <c r="E1744" s="33"/>
      <c r="F1744" s="33"/>
      <c r="G1744" s="33"/>
      <c r="H1744" s="33"/>
      <c r="I1744" s="33"/>
      <c r="J1744" s="33"/>
      <c r="K1744" s="33"/>
      <c r="L1744" s="33"/>
    </row>
    <row r="1745" spans="1:12" s="1" customFormat="1" x14ac:dyDescent="0.3">
      <c r="A1745" s="33"/>
      <c r="B1745" s="33"/>
      <c r="C1745" s="33"/>
      <c r="D1745" s="33"/>
      <c r="E1745" s="33"/>
      <c r="F1745" s="33"/>
      <c r="G1745" s="33"/>
      <c r="H1745" s="33"/>
      <c r="I1745" s="33"/>
      <c r="J1745" s="33"/>
      <c r="K1745" s="33"/>
      <c r="L1745" s="33"/>
    </row>
    <row r="1746" spans="1:12" s="1" customFormat="1" x14ac:dyDescent="0.3">
      <c r="A1746" s="33"/>
      <c r="B1746" s="33"/>
      <c r="C1746" s="33"/>
      <c r="D1746" s="33"/>
      <c r="E1746" s="33"/>
      <c r="F1746" s="33"/>
      <c r="G1746" s="33"/>
      <c r="H1746" s="33"/>
      <c r="I1746" s="33"/>
      <c r="J1746" s="33"/>
      <c r="K1746" s="33"/>
      <c r="L1746" s="33"/>
    </row>
    <row r="1747" spans="1:12" s="1" customFormat="1" x14ac:dyDescent="0.3">
      <c r="A1747" s="33"/>
      <c r="B1747" s="33"/>
      <c r="C1747" s="33"/>
      <c r="D1747" s="33"/>
      <c r="E1747" s="33"/>
      <c r="F1747" s="33"/>
      <c r="G1747" s="33"/>
      <c r="H1747" s="33"/>
      <c r="I1747" s="33"/>
      <c r="J1747" s="33"/>
      <c r="K1747" s="33"/>
      <c r="L1747" s="33"/>
    </row>
    <row r="1748" spans="1:12" s="1" customFormat="1" x14ac:dyDescent="0.3">
      <c r="A1748" s="33"/>
      <c r="B1748" s="33"/>
      <c r="C1748" s="33"/>
      <c r="D1748" s="33"/>
      <c r="E1748" s="33"/>
      <c r="F1748" s="33"/>
      <c r="G1748" s="33"/>
      <c r="H1748" s="33"/>
      <c r="I1748" s="33"/>
      <c r="J1748" s="33"/>
      <c r="K1748" s="33"/>
      <c r="L1748" s="33"/>
    </row>
    <row r="1749" spans="1:12" s="1" customFormat="1" x14ac:dyDescent="0.3">
      <c r="A1749" s="33"/>
      <c r="B1749" s="33"/>
      <c r="C1749" s="33"/>
      <c r="D1749" s="33"/>
      <c r="E1749" s="33"/>
      <c r="F1749" s="33"/>
      <c r="G1749" s="33"/>
      <c r="H1749" s="33"/>
      <c r="I1749" s="33"/>
      <c r="J1749" s="33"/>
      <c r="K1749" s="33"/>
      <c r="L1749" s="33"/>
    </row>
    <row r="1750" spans="1:12" s="1" customFormat="1" x14ac:dyDescent="0.3">
      <c r="A1750" s="33"/>
      <c r="B1750" s="33"/>
      <c r="C1750" s="33"/>
      <c r="D1750" s="33"/>
      <c r="E1750" s="33"/>
      <c r="F1750" s="33"/>
      <c r="G1750" s="33"/>
      <c r="H1750" s="33"/>
      <c r="I1750" s="33"/>
      <c r="J1750" s="33"/>
      <c r="K1750" s="33"/>
      <c r="L1750" s="33"/>
    </row>
    <row r="1751" spans="1:12" s="1" customFormat="1" x14ac:dyDescent="0.3">
      <c r="A1751" s="33"/>
      <c r="B1751" s="33"/>
      <c r="C1751" s="33"/>
      <c r="D1751" s="33"/>
      <c r="E1751" s="33"/>
      <c r="F1751" s="33"/>
      <c r="G1751" s="33"/>
      <c r="H1751" s="33"/>
      <c r="I1751" s="33"/>
      <c r="J1751" s="33"/>
      <c r="K1751" s="33"/>
      <c r="L1751" s="33"/>
    </row>
    <row r="1752" spans="1:12" s="1" customFormat="1" x14ac:dyDescent="0.3">
      <c r="A1752" s="33"/>
      <c r="B1752" s="33"/>
      <c r="C1752" s="33"/>
      <c r="D1752" s="33"/>
      <c r="E1752" s="33"/>
      <c r="F1752" s="33"/>
      <c r="G1752" s="33"/>
      <c r="H1752" s="33"/>
      <c r="I1752" s="33"/>
      <c r="J1752" s="33"/>
      <c r="K1752" s="33"/>
      <c r="L1752" s="33"/>
    </row>
    <row r="1753" spans="1:12" s="1" customFormat="1" x14ac:dyDescent="0.3">
      <c r="A1753" s="33"/>
      <c r="B1753" s="33"/>
      <c r="C1753" s="33"/>
      <c r="D1753" s="33"/>
      <c r="E1753" s="33"/>
      <c r="F1753" s="33"/>
      <c r="G1753" s="33"/>
      <c r="H1753" s="33"/>
      <c r="I1753" s="33"/>
      <c r="J1753" s="33"/>
      <c r="K1753" s="33"/>
      <c r="L1753" s="33"/>
    </row>
    <row r="1754" spans="1:12" s="1" customFormat="1" x14ac:dyDescent="0.3">
      <c r="A1754" s="33"/>
      <c r="B1754" s="33"/>
      <c r="C1754" s="33"/>
      <c r="D1754" s="33"/>
      <c r="E1754" s="33"/>
      <c r="F1754" s="33"/>
      <c r="G1754" s="33"/>
      <c r="H1754" s="33"/>
      <c r="I1754" s="33"/>
      <c r="J1754" s="33"/>
      <c r="K1754" s="33"/>
      <c r="L1754" s="33"/>
    </row>
    <row r="1755" spans="1:12" s="1" customFormat="1" x14ac:dyDescent="0.3">
      <c r="A1755" s="33"/>
      <c r="B1755" s="33"/>
      <c r="C1755" s="33"/>
      <c r="D1755" s="33"/>
      <c r="E1755" s="33"/>
      <c r="F1755" s="33"/>
      <c r="G1755" s="33"/>
      <c r="H1755" s="33"/>
      <c r="I1755" s="33"/>
      <c r="J1755" s="33"/>
      <c r="K1755" s="33"/>
      <c r="L1755" s="33"/>
    </row>
    <row r="1756" spans="1:12" s="1" customFormat="1" x14ac:dyDescent="0.3">
      <c r="A1756" s="33"/>
      <c r="B1756" s="33"/>
      <c r="C1756" s="33"/>
      <c r="D1756" s="33"/>
      <c r="E1756" s="33"/>
      <c r="F1756" s="33"/>
      <c r="G1756" s="33"/>
      <c r="H1756" s="33"/>
      <c r="I1756" s="33"/>
      <c r="J1756" s="33"/>
      <c r="K1756" s="33"/>
      <c r="L1756" s="33"/>
    </row>
    <row r="1757" spans="1:12" s="1" customFormat="1" x14ac:dyDescent="0.3">
      <c r="A1757" s="33"/>
      <c r="B1757" s="33"/>
      <c r="C1757" s="33"/>
      <c r="D1757" s="33"/>
      <c r="E1757" s="33"/>
      <c r="F1757" s="33"/>
      <c r="G1757" s="33"/>
      <c r="H1757" s="33"/>
      <c r="I1757" s="33"/>
      <c r="J1757" s="33"/>
      <c r="K1757" s="33"/>
      <c r="L1757" s="33"/>
    </row>
    <row r="1758" spans="1:12" s="1" customFormat="1" x14ac:dyDescent="0.3">
      <c r="A1758" s="33"/>
      <c r="B1758" s="33"/>
      <c r="C1758" s="33"/>
      <c r="D1758" s="33"/>
      <c r="E1758" s="33"/>
      <c r="F1758" s="33"/>
      <c r="G1758" s="33"/>
      <c r="H1758" s="33"/>
      <c r="I1758" s="33"/>
      <c r="J1758" s="33"/>
      <c r="K1758" s="33"/>
      <c r="L1758" s="33"/>
    </row>
    <row r="1759" spans="1:12" s="1" customFormat="1" x14ac:dyDescent="0.3">
      <c r="A1759" s="33"/>
      <c r="B1759" s="33"/>
      <c r="C1759" s="33"/>
      <c r="D1759" s="33"/>
      <c r="E1759" s="33"/>
      <c r="F1759" s="33"/>
      <c r="G1759" s="33"/>
      <c r="H1759" s="33"/>
      <c r="I1759" s="33"/>
      <c r="J1759" s="33"/>
      <c r="K1759" s="33"/>
      <c r="L1759" s="33"/>
    </row>
    <row r="1760" spans="1:12" s="1" customFormat="1" x14ac:dyDescent="0.3">
      <c r="A1760" s="33"/>
      <c r="B1760" s="33"/>
      <c r="C1760" s="33"/>
      <c r="D1760" s="33"/>
      <c r="E1760" s="33"/>
      <c r="F1760" s="33"/>
      <c r="G1760" s="33"/>
      <c r="H1760" s="33"/>
      <c r="I1760" s="33"/>
      <c r="J1760" s="33"/>
      <c r="K1760" s="33"/>
      <c r="L1760" s="33"/>
    </row>
    <row r="1761" spans="1:12" s="1" customFormat="1" x14ac:dyDescent="0.3">
      <c r="A1761" s="33"/>
      <c r="B1761" s="33"/>
      <c r="C1761" s="33"/>
      <c r="D1761" s="33"/>
      <c r="E1761" s="33"/>
      <c r="F1761" s="33"/>
      <c r="G1761" s="33"/>
      <c r="H1761" s="33"/>
      <c r="I1761" s="33"/>
      <c r="J1761" s="33"/>
      <c r="K1761" s="33"/>
      <c r="L1761" s="33"/>
    </row>
    <row r="1762" spans="1:12" s="1" customFormat="1" x14ac:dyDescent="0.3">
      <c r="A1762" s="33"/>
      <c r="B1762" s="33"/>
      <c r="C1762" s="33"/>
      <c r="D1762" s="33"/>
      <c r="E1762" s="33"/>
      <c r="F1762" s="33"/>
      <c r="G1762" s="33"/>
      <c r="H1762" s="33"/>
      <c r="I1762" s="33"/>
      <c r="J1762" s="33"/>
      <c r="K1762" s="33"/>
      <c r="L1762" s="33"/>
    </row>
    <row r="1763" spans="1:12" s="1" customFormat="1" x14ac:dyDescent="0.3">
      <c r="A1763" s="33"/>
      <c r="B1763" s="33"/>
      <c r="C1763" s="33"/>
      <c r="D1763" s="33"/>
      <c r="E1763" s="33"/>
      <c r="F1763" s="33"/>
      <c r="G1763" s="33"/>
      <c r="H1763" s="33"/>
      <c r="I1763" s="33"/>
      <c r="J1763" s="33"/>
      <c r="K1763" s="33"/>
      <c r="L1763" s="33"/>
    </row>
    <row r="1764" spans="1:12" s="1" customFormat="1" x14ac:dyDescent="0.3">
      <c r="A1764" s="33"/>
      <c r="B1764" s="33"/>
      <c r="C1764" s="33"/>
      <c r="D1764" s="33"/>
      <c r="E1764" s="33"/>
      <c r="F1764" s="33"/>
      <c r="G1764" s="33"/>
      <c r="H1764" s="33"/>
      <c r="I1764" s="33"/>
      <c r="J1764" s="33"/>
      <c r="K1764" s="33"/>
      <c r="L1764" s="33"/>
    </row>
    <row r="1765" spans="1:12" s="1" customFormat="1" x14ac:dyDescent="0.3">
      <c r="A1765" s="33"/>
      <c r="B1765" s="33"/>
      <c r="C1765" s="33"/>
      <c r="D1765" s="33"/>
      <c r="E1765" s="33"/>
      <c r="F1765" s="33"/>
      <c r="G1765" s="33"/>
      <c r="H1765" s="33"/>
      <c r="I1765" s="33"/>
      <c r="J1765" s="33"/>
      <c r="K1765" s="33"/>
      <c r="L1765" s="33"/>
    </row>
    <row r="1766" spans="1:12" s="1" customFormat="1" x14ac:dyDescent="0.3">
      <c r="A1766" s="33"/>
      <c r="B1766" s="33"/>
      <c r="C1766" s="33"/>
      <c r="D1766" s="33"/>
      <c r="E1766" s="33"/>
      <c r="F1766" s="33"/>
      <c r="G1766" s="33"/>
      <c r="H1766" s="33"/>
      <c r="I1766" s="33"/>
      <c r="J1766" s="33"/>
      <c r="K1766" s="33"/>
      <c r="L1766" s="33"/>
    </row>
    <row r="1767" spans="1:12" s="1" customFormat="1" x14ac:dyDescent="0.3">
      <c r="A1767" s="33"/>
      <c r="B1767" s="33"/>
      <c r="C1767" s="33"/>
      <c r="D1767" s="33"/>
      <c r="E1767" s="33"/>
      <c r="F1767" s="33"/>
      <c r="G1767" s="33"/>
      <c r="H1767" s="33"/>
      <c r="I1767" s="33"/>
      <c r="J1767" s="33"/>
      <c r="K1767" s="33"/>
      <c r="L1767" s="33"/>
    </row>
    <row r="1768" spans="1:12" s="1" customFormat="1" x14ac:dyDescent="0.3">
      <c r="A1768" s="33"/>
      <c r="B1768" s="33"/>
      <c r="C1768" s="33"/>
      <c r="D1768" s="33"/>
      <c r="E1768" s="33"/>
      <c r="F1768" s="33"/>
      <c r="G1768" s="33"/>
      <c r="H1768" s="33"/>
      <c r="I1768" s="33"/>
      <c r="J1768" s="33"/>
      <c r="K1768" s="33"/>
      <c r="L1768" s="33"/>
    </row>
    <row r="1769" spans="1:12" s="1" customFormat="1" x14ac:dyDescent="0.3">
      <c r="A1769" s="33"/>
      <c r="B1769" s="33"/>
      <c r="C1769" s="33"/>
      <c r="D1769" s="33"/>
      <c r="E1769" s="33"/>
      <c r="F1769" s="33"/>
      <c r="G1769" s="33"/>
      <c r="H1769" s="33"/>
      <c r="I1769" s="33"/>
      <c r="J1769" s="33"/>
      <c r="K1769" s="33"/>
      <c r="L1769" s="33"/>
    </row>
    <row r="1770" spans="1:12" s="1" customFormat="1" x14ac:dyDescent="0.3">
      <c r="A1770" s="33"/>
      <c r="B1770" s="33"/>
      <c r="C1770" s="33"/>
      <c r="D1770" s="33"/>
      <c r="E1770" s="33"/>
      <c r="F1770" s="33"/>
      <c r="G1770" s="33"/>
      <c r="H1770" s="33"/>
      <c r="I1770" s="33"/>
      <c r="J1770" s="33"/>
      <c r="K1770" s="33"/>
      <c r="L1770" s="33"/>
    </row>
    <row r="1771" spans="1:12" s="1" customFormat="1" x14ac:dyDescent="0.3">
      <c r="A1771" s="33"/>
      <c r="B1771" s="33"/>
      <c r="C1771" s="33"/>
      <c r="D1771" s="33"/>
      <c r="E1771" s="33"/>
      <c r="F1771" s="33"/>
      <c r="G1771" s="33"/>
      <c r="H1771" s="33"/>
      <c r="I1771" s="33"/>
      <c r="J1771" s="33"/>
      <c r="K1771" s="33"/>
      <c r="L1771" s="33"/>
    </row>
    <row r="1772" spans="1:12" s="1" customFormat="1" x14ac:dyDescent="0.3">
      <c r="A1772" s="33"/>
      <c r="B1772" s="33"/>
      <c r="C1772" s="33"/>
      <c r="D1772" s="33"/>
      <c r="E1772" s="33"/>
      <c r="F1772" s="33"/>
      <c r="G1772" s="33"/>
      <c r="H1772" s="33"/>
      <c r="I1772" s="33"/>
      <c r="J1772" s="33"/>
      <c r="K1772" s="33"/>
      <c r="L1772" s="33"/>
    </row>
    <row r="1773" spans="1:12" s="1" customFormat="1" x14ac:dyDescent="0.3">
      <c r="A1773" s="33"/>
      <c r="B1773" s="33"/>
      <c r="C1773" s="33"/>
      <c r="D1773" s="33"/>
      <c r="E1773" s="33"/>
      <c r="F1773" s="33"/>
      <c r="G1773" s="33"/>
      <c r="H1773" s="33"/>
      <c r="I1773" s="33"/>
      <c r="J1773" s="33"/>
      <c r="K1773" s="33"/>
      <c r="L1773" s="33"/>
    </row>
    <row r="1774" spans="1:12" s="1" customFormat="1" x14ac:dyDescent="0.3">
      <c r="A1774" s="33"/>
      <c r="B1774" s="33"/>
      <c r="C1774" s="33"/>
      <c r="D1774" s="33"/>
      <c r="E1774" s="33"/>
      <c r="F1774" s="33"/>
      <c r="G1774" s="33"/>
      <c r="H1774" s="33"/>
      <c r="I1774" s="33"/>
      <c r="J1774" s="33"/>
      <c r="K1774" s="33"/>
      <c r="L1774" s="33"/>
    </row>
    <row r="1775" spans="1:12" s="1" customFormat="1" x14ac:dyDescent="0.3">
      <c r="A1775" s="33"/>
      <c r="B1775" s="33"/>
      <c r="C1775" s="33"/>
      <c r="D1775" s="33"/>
      <c r="E1775" s="33"/>
      <c r="F1775" s="33"/>
      <c r="G1775" s="33"/>
      <c r="H1775" s="33"/>
      <c r="I1775" s="33"/>
      <c r="J1775" s="33"/>
      <c r="K1775" s="33"/>
      <c r="L1775" s="33"/>
    </row>
    <row r="1776" spans="1:12" s="1" customFormat="1" x14ac:dyDescent="0.3">
      <c r="A1776" s="33"/>
      <c r="B1776" s="33"/>
      <c r="C1776" s="33"/>
      <c r="D1776" s="33"/>
      <c r="E1776" s="33"/>
      <c r="F1776" s="33"/>
      <c r="G1776" s="33"/>
      <c r="H1776" s="33"/>
      <c r="I1776" s="33"/>
      <c r="J1776" s="33"/>
      <c r="K1776" s="33"/>
      <c r="L1776" s="33"/>
    </row>
    <row r="1777" spans="1:12" s="1" customFormat="1" x14ac:dyDescent="0.3">
      <c r="A1777" s="33"/>
      <c r="B1777" s="33"/>
      <c r="C1777" s="33"/>
      <c r="D1777" s="33"/>
      <c r="E1777" s="33"/>
      <c r="F1777" s="33"/>
      <c r="G1777" s="33"/>
      <c r="H1777" s="33"/>
      <c r="I1777" s="33"/>
      <c r="J1777" s="33"/>
      <c r="K1777" s="33"/>
      <c r="L1777" s="33"/>
    </row>
    <row r="1778" spans="1:12" s="1" customFormat="1" x14ac:dyDescent="0.3">
      <c r="A1778" s="33"/>
      <c r="B1778" s="33"/>
      <c r="C1778" s="33"/>
      <c r="D1778" s="33"/>
      <c r="E1778" s="33"/>
      <c r="F1778" s="33"/>
      <c r="G1778" s="33"/>
      <c r="H1778" s="33"/>
      <c r="I1778" s="33"/>
      <c r="J1778" s="33"/>
      <c r="K1778" s="33"/>
      <c r="L1778" s="33"/>
    </row>
    <row r="1779" spans="1:12" s="1" customFormat="1" x14ac:dyDescent="0.3">
      <c r="A1779" s="33"/>
      <c r="B1779" s="33"/>
      <c r="C1779" s="33"/>
      <c r="D1779" s="33"/>
      <c r="E1779" s="33"/>
      <c r="F1779" s="33"/>
      <c r="G1779" s="33"/>
      <c r="H1779" s="33"/>
      <c r="I1779" s="33"/>
      <c r="J1779" s="33"/>
      <c r="K1779" s="33"/>
      <c r="L1779" s="33"/>
    </row>
    <row r="1780" spans="1:12" s="1" customFormat="1" x14ac:dyDescent="0.3">
      <c r="A1780" s="33"/>
      <c r="B1780" s="33"/>
      <c r="C1780" s="33"/>
      <c r="D1780" s="33"/>
      <c r="E1780" s="33"/>
      <c r="F1780" s="33"/>
      <c r="G1780" s="33"/>
      <c r="H1780" s="33"/>
      <c r="I1780" s="33"/>
      <c r="J1780" s="33"/>
      <c r="K1780" s="33"/>
      <c r="L1780" s="33"/>
    </row>
    <row r="1781" spans="1:12" s="1" customFormat="1" x14ac:dyDescent="0.3">
      <c r="A1781" s="33"/>
      <c r="B1781" s="33"/>
      <c r="C1781" s="33"/>
      <c r="D1781" s="33"/>
      <c r="E1781" s="33"/>
      <c r="F1781" s="33"/>
      <c r="G1781" s="33"/>
      <c r="H1781" s="33"/>
      <c r="I1781" s="33"/>
      <c r="J1781" s="33"/>
      <c r="K1781" s="33"/>
      <c r="L1781" s="33"/>
    </row>
    <row r="1782" spans="1:12" s="1" customFormat="1" x14ac:dyDescent="0.3">
      <c r="A1782" s="33"/>
      <c r="B1782" s="33"/>
      <c r="C1782" s="33"/>
      <c r="D1782" s="33"/>
      <c r="E1782" s="33"/>
      <c r="F1782" s="33"/>
      <c r="G1782" s="33"/>
      <c r="H1782" s="33"/>
      <c r="I1782" s="33"/>
      <c r="J1782" s="33"/>
      <c r="K1782" s="33"/>
      <c r="L1782" s="33"/>
    </row>
    <row r="1783" spans="1:12" s="1" customFormat="1" x14ac:dyDescent="0.3">
      <c r="A1783" s="33"/>
      <c r="B1783" s="33"/>
      <c r="C1783" s="33"/>
      <c r="D1783" s="33"/>
      <c r="E1783" s="33"/>
      <c r="F1783" s="33"/>
      <c r="G1783" s="33"/>
      <c r="H1783" s="33"/>
      <c r="I1783" s="33"/>
      <c r="J1783" s="33"/>
      <c r="K1783" s="33"/>
      <c r="L1783" s="33"/>
    </row>
    <row r="1784" spans="1:12" s="1" customFormat="1" x14ac:dyDescent="0.3">
      <c r="A1784" s="33"/>
      <c r="B1784" s="33"/>
      <c r="C1784" s="33"/>
      <c r="D1784" s="33"/>
      <c r="E1784" s="33"/>
      <c r="F1784" s="33"/>
      <c r="G1784" s="33"/>
      <c r="H1784" s="33"/>
      <c r="I1784" s="33"/>
      <c r="J1784" s="33"/>
      <c r="K1784" s="33"/>
      <c r="L1784" s="33"/>
    </row>
    <row r="1785" spans="1:12" s="1" customFormat="1" x14ac:dyDescent="0.3">
      <c r="A1785" s="33"/>
      <c r="B1785" s="33"/>
      <c r="C1785" s="33"/>
      <c r="D1785" s="33"/>
      <c r="E1785" s="33"/>
      <c r="F1785" s="33"/>
      <c r="G1785" s="33"/>
      <c r="H1785" s="33"/>
      <c r="I1785" s="33"/>
      <c r="J1785" s="33"/>
      <c r="K1785" s="33"/>
      <c r="L1785" s="33"/>
    </row>
    <row r="1786" spans="1:12" s="1" customFormat="1" x14ac:dyDescent="0.3">
      <c r="A1786" s="33"/>
      <c r="B1786" s="33"/>
      <c r="C1786" s="33"/>
      <c r="D1786" s="33"/>
      <c r="E1786" s="33"/>
      <c r="F1786" s="33"/>
      <c r="G1786" s="33"/>
      <c r="H1786" s="33"/>
      <c r="I1786" s="33"/>
      <c r="J1786" s="33"/>
      <c r="K1786" s="33"/>
      <c r="L1786" s="33"/>
    </row>
    <row r="1787" spans="1:12" s="1" customFormat="1" x14ac:dyDescent="0.3">
      <c r="A1787" s="33"/>
      <c r="B1787" s="33"/>
      <c r="C1787" s="33"/>
      <c r="D1787" s="33"/>
      <c r="E1787" s="33"/>
      <c r="F1787" s="33"/>
      <c r="G1787" s="33"/>
      <c r="H1787" s="33"/>
      <c r="I1787" s="33"/>
      <c r="J1787" s="33"/>
      <c r="K1787" s="33"/>
      <c r="L1787" s="33"/>
    </row>
    <row r="1788" spans="1:12" s="1" customFormat="1" x14ac:dyDescent="0.3">
      <c r="A1788" s="33"/>
      <c r="B1788" s="33"/>
      <c r="C1788" s="33"/>
      <c r="D1788" s="33"/>
      <c r="E1788" s="33"/>
      <c r="F1788" s="33"/>
      <c r="G1788" s="33"/>
      <c r="H1788" s="33"/>
      <c r="I1788" s="33"/>
      <c r="J1788" s="33"/>
      <c r="K1788" s="33"/>
      <c r="L1788" s="33"/>
    </row>
    <row r="1789" spans="1:12" s="1" customFormat="1" x14ac:dyDescent="0.3">
      <c r="A1789" s="33"/>
      <c r="B1789" s="33"/>
      <c r="C1789" s="33"/>
      <c r="D1789" s="33"/>
      <c r="E1789" s="33"/>
      <c r="F1789" s="33"/>
      <c r="G1789" s="33"/>
      <c r="H1789" s="33"/>
      <c r="I1789" s="33"/>
      <c r="J1789" s="33"/>
      <c r="K1789" s="33"/>
      <c r="L1789" s="33"/>
    </row>
    <row r="1790" spans="1:12" s="1" customFormat="1" x14ac:dyDescent="0.3">
      <c r="A1790" s="33"/>
      <c r="B1790" s="33"/>
      <c r="C1790" s="33"/>
      <c r="D1790" s="33"/>
      <c r="E1790" s="33"/>
      <c r="F1790" s="33"/>
      <c r="G1790" s="33"/>
      <c r="H1790" s="33"/>
      <c r="I1790" s="33"/>
      <c r="J1790" s="33"/>
      <c r="K1790" s="33"/>
      <c r="L1790" s="33"/>
    </row>
    <row r="1791" spans="1:12" s="1" customFormat="1" x14ac:dyDescent="0.3">
      <c r="A1791" s="33"/>
      <c r="B1791" s="33"/>
      <c r="C1791" s="33"/>
      <c r="D1791" s="33"/>
      <c r="E1791" s="33"/>
      <c r="F1791" s="33"/>
      <c r="G1791" s="33"/>
      <c r="H1791" s="33"/>
      <c r="I1791" s="33"/>
      <c r="J1791" s="33"/>
      <c r="K1791" s="33"/>
      <c r="L1791" s="33"/>
    </row>
    <row r="1792" spans="1:12" s="1" customFormat="1" x14ac:dyDescent="0.3">
      <c r="A1792" s="33"/>
      <c r="B1792" s="33"/>
      <c r="C1792" s="33"/>
      <c r="D1792" s="33"/>
      <c r="E1792" s="33"/>
      <c r="F1792" s="33"/>
      <c r="G1792" s="33"/>
      <c r="H1792" s="33"/>
      <c r="I1792" s="33"/>
      <c r="J1792" s="33"/>
      <c r="K1792" s="33"/>
      <c r="L1792" s="33"/>
    </row>
    <row r="1793" spans="1:12" s="1" customFormat="1" x14ac:dyDescent="0.3">
      <c r="A1793" s="33"/>
      <c r="B1793" s="33"/>
      <c r="C1793" s="33"/>
      <c r="D1793" s="33"/>
      <c r="E1793" s="33"/>
      <c r="F1793" s="33"/>
      <c r="G1793" s="33"/>
      <c r="H1793" s="33"/>
      <c r="I1793" s="33"/>
      <c r="J1793" s="33"/>
      <c r="K1793" s="33"/>
      <c r="L1793" s="33"/>
    </row>
    <row r="1794" spans="1:12" s="1" customFormat="1" x14ac:dyDescent="0.3">
      <c r="A1794" s="33"/>
      <c r="B1794" s="33"/>
      <c r="C1794" s="33"/>
      <c r="D1794" s="33"/>
      <c r="E1794" s="33"/>
      <c r="F1794" s="33"/>
      <c r="G1794" s="33"/>
      <c r="H1794" s="33"/>
      <c r="I1794" s="33"/>
      <c r="J1794" s="33"/>
      <c r="K1794" s="33"/>
      <c r="L1794" s="33"/>
    </row>
    <row r="1795" spans="1:12" s="1" customFormat="1" x14ac:dyDescent="0.3">
      <c r="A1795" s="33"/>
      <c r="B1795" s="33"/>
      <c r="C1795" s="33"/>
      <c r="D1795" s="33"/>
      <c r="E1795" s="33"/>
      <c r="F1795" s="33"/>
      <c r="G1795" s="33"/>
      <c r="H1795" s="33"/>
      <c r="I1795" s="33"/>
      <c r="J1795" s="33"/>
      <c r="K1795" s="33"/>
      <c r="L1795" s="33"/>
    </row>
    <row r="1796" spans="1:12" s="1" customFormat="1" x14ac:dyDescent="0.3">
      <c r="A1796" s="33"/>
      <c r="B1796" s="33"/>
      <c r="C1796" s="33"/>
      <c r="D1796" s="33"/>
      <c r="E1796" s="33"/>
      <c r="F1796" s="33"/>
      <c r="G1796" s="33"/>
      <c r="H1796" s="33"/>
      <c r="I1796" s="33"/>
      <c r="J1796" s="33"/>
      <c r="K1796" s="33"/>
      <c r="L1796" s="33"/>
    </row>
    <row r="1797" spans="1:12" s="1" customFormat="1" x14ac:dyDescent="0.3">
      <c r="A1797" s="33"/>
      <c r="B1797" s="33"/>
      <c r="C1797" s="33"/>
      <c r="D1797" s="33"/>
      <c r="E1797" s="33"/>
      <c r="F1797" s="33"/>
      <c r="G1797" s="33"/>
      <c r="H1797" s="33"/>
      <c r="I1797" s="33"/>
      <c r="J1797" s="33"/>
      <c r="K1797" s="33"/>
      <c r="L1797" s="33"/>
    </row>
    <row r="1798" spans="1:12" s="1" customFormat="1" x14ac:dyDescent="0.3">
      <c r="A1798" s="33"/>
      <c r="B1798" s="33"/>
      <c r="C1798" s="33"/>
      <c r="D1798" s="33"/>
      <c r="E1798" s="33"/>
      <c r="F1798" s="33"/>
      <c r="G1798" s="33"/>
      <c r="H1798" s="33"/>
      <c r="I1798" s="33"/>
      <c r="J1798" s="33"/>
      <c r="K1798" s="33"/>
      <c r="L1798" s="33"/>
    </row>
    <row r="1799" spans="1:12" s="1" customFormat="1" x14ac:dyDescent="0.3">
      <c r="A1799" s="33"/>
      <c r="B1799" s="33"/>
      <c r="C1799" s="33"/>
      <c r="D1799" s="33"/>
      <c r="E1799" s="33"/>
      <c r="F1799" s="33"/>
      <c r="G1799" s="33"/>
      <c r="H1799" s="33"/>
      <c r="I1799" s="33"/>
      <c r="J1799" s="33"/>
      <c r="K1799" s="33"/>
      <c r="L1799" s="33"/>
    </row>
    <row r="1800" spans="1:12" s="1" customFormat="1" x14ac:dyDescent="0.3">
      <c r="A1800" s="33"/>
      <c r="B1800" s="33"/>
      <c r="C1800" s="33"/>
      <c r="D1800" s="33"/>
      <c r="E1800" s="33"/>
      <c r="F1800" s="33"/>
      <c r="G1800" s="33"/>
      <c r="H1800" s="33"/>
      <c r="I1800" s="33"/>
      <c r="J1800" s="33"/>
      <c r="K1800" s="33"/>
      <c r="L1800" s="33"/>
    </row>
    <row r="1801" spans="1:12" s="1" customFormat="1" x14ac:dyDescent="0.3">
      <c r="A1801" s="33"/>
      <c r="B1801" s="33"/>
      <c r="C1801" s="33"/>
      <c r="D1801" s="33"/>
      <c r="E1801" s="33"/>
      <c r="F1801" s="33"/>
      <c r="G1801" s="33"/>
      <c r="H1801" s="33"/>
      <c r="I1801" s="33"/>
      <c r="J1801" s="33"/>
      <c r="K1801" s="33"/>
      <c r="L1801" s="33"/>
    </row>
    <row r="1802" spans="1:12" s="1" customFormat="1" x14ac:dyDescent="0.3">
      <c r="A1802" s="33"/>
      <c r="B1802" s="33"/>
      <c r="C1802" s="33"/>
      <c r="D1802" s="33"/>
      <c r="E1802" s="33"/>
      <c r="F1802" s="33"/>
      <c r="G1802" s="33"/>
      <c r="H1802" s="33"/>
      <c r="I1802" s="33"/>
      <c r="J1802" s="33"/>
      <c r="K1802" s="33"/>
      <c r="L1802" s="33"/>
    </row>
    <row r="1803" spans="1:12" s="1" customFormat="1" x14ac:dyDescent="0.3">
      <c r="A1803" s="33"/>
      <c r="B1803" s="33"/>
      <c r="C1803" s="33"/>
      <c r="D1803" s="33"/>
      <c r="E1803" s="33"/>
      <c r="F1803" s="33"/>
      <c r="G1803" s="33"/>
      <c r="H1803" s="33"/>
      <c r="I1803" s="33"/>
      <c r="J1803" s="33"/>
      <c r="K1803" s="33"/>
      <c r="L1803" s="33"/>
    </row>
    <row r="1804" spans="1:12" s="1" customFormat="1" x14ac:dyDescent="0.3">
      <c r="A1804" s="33"/>
      <c r="B1804" s="33"/>
      <c r="C1804" s="33"/>
      <c r="D1804" s="33"/>
      <c r="E1804" s="33"/>
      <c r="F1804" s="33"/>
      <c r="G1804" s="33"/>
      <c r="H1804" s="33"/>
      <c r="I1804" s="33"/>
      <c r="J1804" s="33"/>
      <c r="K1804" s="33"/>
      <c r="L1804" s="33"/>
    </row>
    <row r="1805" spans="1:12" s="1" customFormat="1" x14ac:dyDescent="0.3">
      <c r="A1805" s="33"/>
      <c r="B1805" s="33"/>
      <c r="C1805" s="33"/>
      <c r="D1805" s="33"/>
      <c r="E1805" s="33"/>
      <c r="F1805" s="33"/>
      <c r="G1805" s="33"/>
      <c r="H1805" s="33"/>
      <c r="I1805" s="33"/>
      <c r="J1805" s="33"/>
      <c r="K1805" s="33"/>
      <c r="L1805" s="33"/>
    </row>
    <row r="1806" spans="1:12" s="1" customFormat="1" x14ac:dyDescent="0.3">
      <c r="A1806" s="33"/>
      <c r="B1806" s="33"/>
      <c r="C1806" s="33"/>
      <c r="D1806" s="33"/>
      <c r="E1806" s="33"/>
      <c r="F1806" s="33"/>
      <c r="G1806" s="33"/>
      <c r="H1806" s="33"/>
      <c r="I1806" s="33"/>
      <c r="J1806" s="33"/>
      <c r="K1806" s="33"/>
      <c r="L1806" s="33"/>
    </row>
    <row r="1807" spans="1:12" s="1" customFormat="1" x14ac:dyDescent="0.3">
      <c r="A1807" s="33"/>
      <c r="B1807" s="33"/>
      <c r="C1807" s="33"/>
      <c r="D1807" s="33"/>
      <c r="E1807" s="33"/>
      <c r="F1807" s="33"/>
      <c r="G1807" s="33"/>
      <c r="H1807" s="33"/>
      <c r="I1807" s="33"/>
      <c r="J1807" s="33"/>
      <c r="K1807" s="33"/>
      <c r="L1807" s="33"/>
    </row>
    <row r="1808" spans="1:12" s="1" customFormat="1" x14ac:dyDescent="0.3">
      <c r="A1808" s="33"/>
      <c r="B1808" s="33"/>
      <c r="C1808" s="33"/>
      <c r="D1808" s="33"/>
      <c r="E1808" s="33"/>
      <c r="F1808" s="33"/>
      <c r="G1808" s="33"/>
      <c r="H1808" s="33"/>
      <c r="I1808" s="33"/>
      <c r="J1808" s="33"/>
      <c r="K1808" s="33"/>
      <c r="L1808" s="33"/>
    </row>
    <row r="1809" spans="1:12" s="1" customFormat="1" x14ac:dyDescent="0.3">
      <c r="A1809" s="33"/>
      <c r="B1809" s="33"/>
      <c r="C1809" s="33"/>
      <c r="D1809" s="33"/>
      <c r="E1809" s="33"/>
      <c r="F1809" s="33"/>
      <c r="G1809" s="33"/>
      <c r="H1809" s="33"/>
      <c r="I1809" s="33"/>
      <c r="J1809" s="33"/>
      <c r="K1809" s="33"/>
      <c r="L1809" s="33"/>
    </row>
    <row r="1810" spans="1:12" s="1" customFormat="1" x14ac:dyDescent="0.3">
      <c r="A1810" s="33"/>
      <c r="B1810" s="33"/>
      <c r="C1810" s="33"/>
      <c r="D1810" s="33"/>
      <c r="E1810" s="33"/>
      <c r="F1810" s="33"/>
      <c r="G1810" s="33"/>
      <c r="H1810" s="33"/>
      <c r="I1810" s="33"/>
      <c r="J1810" s="33"/>
      <c r="K1810" s="33"/>
      <c r="L1810" s="33"/>
    </row>
    <row r="1811" spans="1:12" s="1" customFormat="1" x14ac:dyDescent="0.3">
      <c r="A1811" s="33"/>
      <c r="B1811" s="33"/>
      <c r="C1811" s="33"/>
      <c r="D1811" s="33"/>
      <c r="E1811" s="33"/>
      <c r="F1811" s="33"/>
      <c r="G1811" s="33"/>
      <c r="H1811" s="33"/>
      <c r="I1811" s="33"/>
      <c r="J1811" s="33"/>
      <c r="K1811" s="33"/>
      <c r="L1811" s="33"/>
    </row>
    <row r="1812" spans="1:12" s="1" customFormat="1" x14ac:dyDescent="0.3">
      <c r="A1812" s="33"/>
      <c r="B1812" s="33"/>
      <c r="C1812" s="33"/>
      <c r="D1812" s="33"/>
      <c r="E1812" s="33"/>
      <c r="F1812" s="33"/>
      <c r="G1812" s="33"/>
      <c r="H1812" s="33"/>
      <c r="I1812" s="33"/>
      <c r="J1812" s="33"/>
      <c r="K1812" s="33"/>
      <c r="L1812" s="33"/>
    </row>
    <row r="1813" spans="1:12" s="1" customFormat="1" x14ac:dyDescent="0.3">
      <c r="A1813" s="33"/>
      <c r="B1813" s="33"/>
      <c r="C1813" s="33"/>
      <c r="D1813" s="33"/>
      <c r="E1813" s="33"/>
      <c r="F1813" s="33"/>
      <c r="G1813" s="33"/>
      <c r="H1813" s="33"/>
      <c r="I1813" s="33"/>
      <c r="J1813" s="33"/>
      <c r="K1813" s="33"/>
      <c r="L1813" s="33"/>
    </row>
    <row r="1814" spans="1:12" s="1" customFormat="1" x14ac:dyDescent="0.3">
      <c r="A1814" s="33"/>
      <c r="B1814" s="33"/>
      <c r="C1814" s="33"/>
      <c r="D1814" s="33"/>
      <c r="E1814" s="33"/>
      <c r="F1814" s="33"/>
      <c r="G1814" s="33"/>
      <c r="H1814" s="33"/>
      <c r="I1814" s="33"/>
      <c r="J1814" s="33"/>
      <c r="K1814" s="33"/>
      <c r="L1814" s="33"/>
    </row>
    <row r="1815" spans="1:12" s="1" customFormat="1" x14ac:dyDescent="0.3">
      <c r="A1815" s="33"/>
      <c r="B1815" s="33"/>
      <c r="C1815" s="33"/>
      <c r="D1815" s="33"/>
      <c r="E1815" s="33"/>
      <c r="F1815" s="33"/>
      <c r="G1815" s="33"/>
      <c r="H1815" s="33"/>
      <c r="I1815" s="33"/>
      <c r="J1815" s="33"/>
      <c r="K1815" s="33"/>
      <c r="L1815" s="33"/>
    </row>
    <row r="1816" spans="1:12" s="1" customFormat="1" x14ac:dyDescent="0.3">
      <c r="A1816" s="33"/>
      <c r="B1816" s="33"/>
      <c r="C1816" s="33"/>
      <c r="D1816" s="33"/>
      <c r="E1816" s="33"/>
      <c r="F1816" s="33"/>
      <c r="G1816" s="33"/>
      <c r="H1816" s="33"/>
      <c r="I1816" s="33"/>
      <c r="J1816" s="33"/>
      <c r="K1816" s="33"/>
      <c r="L1816" s="33"/>
    </row>
    <row r="1817" spans="1:12" s="1" customFormat="1" x14ac:dyDescent="0.3">
      <c r="A1817" s="33"/>
      <c r="B1817" s="33"/>
      <c r="C1817" s="33"/>
      <c r="D1817" s="33"/>
      <c r="E1817" s="33"/>
      <c r="F1817" s="33"/>
      <c r="G1817" s="33"/>
      <c r="H1817" s="33"/>
      <c r="I1817" s="33"/>
      <c r="J1817" s="33"/>
      <c r="K1817" s="33"/>
      <c r="L1817" s="33"/>
    </row>
    <row r="1818" spans="1:12" s="1" customFormat="1" x14ac:dyDescent="0.3">
      <c r="A1818" s="33"/>
      <c r="B1818" s="33"/>
      <c r="C1818" s="33"/>
      <c r="D1818" s="33"/>
      <c r="E1818" s="33"/>
      <c r="F1818" s="33"/>
      <c r="G1818" s="33"/>
      <c r="H1818" s="33"/>
      <c r="I1818" s="33"/>
      <c r="J1818" s="33"/>
      <c r="K1818" s="33"/>
      <c r="L1818" s="33"/>
    </row>
    <row r="1819" spans="1:12" s="1" customFormat="1" x14ac:dyDescent="0.3">
      <c r="A1819" s="33"/>
      <c r="B1819" s="33"/>
      <c r="C1819" s="33"/>
      <c r="D1819" s="33"/>
      <c r="E1819" s="33"/>
      <c r="F1819" s="33"/>
      <c r="G1819" s="33"/>
      <c r="H1819" s="33"/>
      <c r="I1819" s="33"/>
      <c r="J1819" s="33"/>
      <c r="K1819" s="33"/>
      <c r="L1819" s="33"/>
    </row>
    <row r="1820" spans="1:12" s="1" customFormat="1" x14ac:dyDescent="0.3">
      <c r="A1820" s="33"/>
      <c r="B1820" s="33"/>
      <c r="C1820" s="33"/>
      <c r="D1820" s="33"/>
      <c r="E1820" s="33"/>
      <c r="F1820" s="33"/>
      <c r="G1820" s="33"/>
      <c r="H1820" s="33"/>
      <c r="I1820" s="33"/>
      <c r="J1820" s="33"/>
      <c r="K1820" s="33"/>
      <c r="L1820" s="33"/>
    </row>
    <row r="1821" spans="1:12" s="1" customFormat="1" x14ac:dyDescent="0.3">
      <c r="A1821" s="33"/>
      <c r="B1821" s="33"/>
      <c r="C1821" s="33"/>
      <c r="D1821" s="33"/>
      <c r="E1821" s="33"/>
      <c r="F1821" s="33"/>
      <c r="G1821" s="33"/>
      <c r="H1821" s="33"/>
      <c r="I1821" s="33"/>
      <c r="J1821" s="33"/>
      <c r="K1821" s="33"/>
      <c r="L1821" s="33"/>
    </row>
    <row r="1822" spans="1:12" s="1" customFormat="1" x14ac:dyDescent="0.3">
      <c r="A1822" s="33"/>
      <c r="B1822" s="33"/>
      <c r="C1822" s="33"/>
      <c r="D1822" s="33"/>
      <c r="E1822" s="33"/>
      <c r="F1822" s="33"/>
      <c r="G1822" s="33"/>
      <c r="H1822" s="33"/>
      <c r="I1822" s="33"/>
      <c r="J1822" s="33"/>
      <c r="K1822" s="33"/>
      <c r="L1822" s="33"/>
    </row>
    <row r="1823" spans="1:12" s="1" customFormat="1" x14ac:dyDescent="0.3">
      <c r="A1823" s="33"/>
      <c r="B1823" s="33"/>
      <c r="C1823" s="33"/>
      <c r="D1823" s="33"/>
      <c r="E1823" s="33"/>
      <c r="F1823" s="33"/>
      <c r="G1823" s="33"/>
      <c r="H1823" s="33"/>
      <c r="I1823" s="33"/>
      <c r="J1823" s="33"/>
      <c r="K1823" s="33"/>
      <c r="L1823" s="33"/>
    </row>
    <row r="1824" spans="1:12" s="1" customFormat="1" x14ac:dyDescent="0.3">
      <c r="A1824" s="33"/>
      <c r="B1824" s="33"/>
      <c r="C1824" s="33"/>
      <c r="D1824" s="33"/>
      <c r="E1824" s="33"/>
      <c r="F1824" s="33"/>
      <c r="G1824" s="33"/>
      <c r="H1824" s="33"/>
      <c r="I1824" s="33"/>
      <c r="J1824" s="33"/>
      <c r="K1824" s="33"/>
      <c r="L1824" s="33"/>
    </row>
    <row r="1825" spans="1:12" s="1" customFormat="1" x14ac:dyDescent="0.3">
      <c r="A1825" s="33"/>
      <c r="B1825" s="33"/>
      <c r="C1825" s="33"/>
      <c r="D1825" s="33"/>
      <c r="E1825" s="33"/>
      <c r="F1825" s="33"/>
      <c r="G1825" s="33"/>
      <c r="H1825" s="33"/>
      <c r="I1825" s="33"/>
      <c r="J1825" s="33"/>
      <c r="K1825" s="33"/>
      <c r="L1825" s="33"/>
    </row>
    <row r="1826" spans="1:12" s="1" customFormat="1" x14ac:dyDescent="0.3">
      <c r="A1826" s="33"/>
      <c r="B1826" s="33"/>
      <c r="C1826" s="33"/>
      <c r="D1826" s="33"/>
      <c r="E1826" s="33"/>
      <c r="F1826" s="33"/>
      <c r="G1826" s="33"/>
      <c r="H1826" s="33"/>
      <c r="I1826" s="33"/>
      <c r="J1826" s="33"/>
      <c r="K1826" s="33"/>
      <c r="L1826" s="33"/>
    </row>
    <row r="1827" spans="1:12" s="1" customFormat="1" x14ac:dyDescent="0.3">
      <c r="A1827" s="33"/>
      <c r="B1827" s="33"/>
      <c r="C1827" s="33"/>
      <c r="D1827" s="33"/>
      <c r="E1827" s="33"/>
      <c r="F1827" s="33"/>
      <c r="G1827" s="33"/>
      <c r="H1827" s="33"/>
      <c r="I1827" s="33"/>
      <c r="J1827" s="33"/>
      <c r="K1827" s="33"/>
      <c r="L1827" s="33"/>
    </row>
    <row r="1828" spans="1:12" s="1" customFormat="1" x14ac:dyDescent="0.3">
      <c r="A1828" s="33"/>
      <c r="B1828" s="33"/>
      <c r="C1828" s="33"/>
      <c r="D1828" s="33"/>
      <c r="E1828" s="33"/>
      <c r="F1828" s="33"/>
      <c r="G1828" s="33"/>
      <c r="H1828" s="33"/>
      <c r="I1828" s="33"/>
      <c r="J1828" s="33"/>
      <c r="K1828" s="33"/>
      <c r="L1828" s="33"/>
    </row>
    <row r="1829" spans="1:12" s="1" customFormat="1" x14ac:dyDescent="0.3">
      <c r="A1829" s="33"/>
      <c r="B1829" s="33"/>
      <c r="C1829" s="33"/>
      <c r="D1829" s="33"/>
      <c r="E1829" s="33"/>
      <c r="F1829" s="33"/>
      <c r="G1829" s="33"/>
      <c r="H1829" s="33"/>
      <c r="I1829" s="33"/>
      <c r="J1829" s="33"/>
      <c r="K1829" s="33"/>
      <c r="L1829" s="33"/>
    </row>
    <row r="1830" spans="1:12" s="1" customFormat="1" x14ac:dyDescent="0.3">
      <c r="A1830" s="33"/>
      <c r="B1830" s="33"/>
      <c r="C1830" s="33"/>
      <c r="D1830" s="33"/>
      <c r="E1830" s="33"/>
      <c r="F1830" s="33"/>
      <c r="G1830" s="33"/>
      <c r="H1830" s="33"/>
      <c r="I1830" s="33"/>
      <c r="J1830" s="33"/>
      <c r="K1830" s="33"/>
      <c r="L1830" s="33"/>
    </row>
    <row r="1831" spans="1:12" s="1" customFormat="1" x14ac:dyDescent="0.3">
      <c r="A1831" s="33"/>
      <c r="B1831" s="33"/>
      <c r="C1831" s="33"/>
      <c r="D1831" s="33"/>
      <c r="E1831" s="33"/>
      <c r="F1831" s="33"/>
      <c r="G1831" s="33"/>
      <c r="H1831" s="33"/>
      <c r="I1831" s="33"/>
      <c r="J1831" s="33"/>
      <c r="K1831" s="33"/>
      <c r="L1831" s="33"/>
    </row>
    <row r="1832" spans="1:12" s="1" customFormat="1" x14ac:dyDescent="0.3">
      <c r="A1832" s="33"/>
      <c r="B1832" s="33"/>
      <c r="C1832" s="33"/>
      <c r="D1832" s="33"/>
      <c r="E1832" s="33"/>
      <c r="F1832" s="33"/>
      <c r="G1832" s="33"/>
      <c r="H1832" s="33"/>
      <c r="I1832" s="33"/>
      <c r="J1832" s="33"/>
      <c r="K1832" s="33"/>
      <c r="L1832" s="33"/>
    </row>
    <row r="1833" spans="1:12" s="1" customFormat="1" x14ac:dyDescent="0.3">
      <c r="A1833" s="33"/>
      <c r="B1833" s="33"/>
      <c r="C1833" s="33"/>
      <c r="D1833" s="33"/>
      <c r="E1833" s="33"/>
      <c r="F1833" s="33"/>
      <c r="G1833" s="33"/>
      <c r="H1833" s="33"/>
      <c r="I1833" s="33"/>
      <c r="J1833" s="33"/>
      <c r="K1833" s="33"/>
      <c r="L1833" s="33"/>
    </row>
    <row r="1834" spans="1:12" s="1" customFormat="1" x14ac:dyDescent="0.3">
      <c r="A1834" s="33"/>
      <c r="B1834" s="33"/>
      <c r="C1834" s="33"/>
      <c r="D1834" s="33"/>
      <c r="E1834" s="33"/>
      <c r="F1834" s="33"/>
      <c r="G1834" s="33"/>
      <c r="H1834" s="33"/>
      <c r="I1834" s="33"/>
      <c r="J1834" s="33"/>
      <c r="K1834" s="33"/>
      <c r="L1834" s="33"/>
    </row>
    <row r="1835" spans="1:12" s="1" customFormat="1" x14ac:dyDescent="0.3">
      <c r="A1835" s="33"/>
      <c r="B1835" s="33"/>
      <c r="C1835" s="33"/>
      <c r="D1835" s="33"/>
      <c r="E1835" s="33"/>
      <c r="F1835" s="33"/>
      <c r="G1835" s="33"/>
      <c r="H1835" s="33"/>
      <c r="I1835" s="33"/>
      <c r="J1835" s="33"/>
      <c r="K1835" s="33"/>
      <c r="L1835" s="33"/>
    </row>
    <row r="1836" spans="1:12" s="1" customFormat="1" x14ac:dyDescent="0.3">
      <c r="A1836" s="33"/>
      <c r="B1836" s="33"/>
      <c r="C1836" s="33"/>
      <c r="D1836" s="33"/>
      <c r="E1836" s="33"/>
      <c r="F1836" s="33"/>
      <c r="G1836" s="33"/>
      <c r="H1836" s="33"/>
      <c r="I1836" s="33"/>
      <c r="J1836" s="33"/>
      <c r="K1836" s="33"/>
      <c r="L1836" s="33"/>
    </row>
    <row r="1837" spans="1:12" s="1" customFormat="1" x14ac:dyDescent="0.3">
      <c r="A1837" s="33"/>
      <c r="B1837" s="33"/>
      <c r="C1837" s="33"/>
      <c r="D1837" s="33"/>
      <c r="E1837" s="33"/>
      <c r="F1837" s="33"/>
      <c r="G1837" s="33"/>
      <c r="H1837" s="33"/>
      <c r="I1837" s="33"/>
      <c r="J1837" s="33"/>
      <c r="K1837" s="33"/>
      <c r="L1837" s="33"/>
    </row>
    <row r="1838" spans="1:12" s="1" customFormat="1" x14ac:dyDescent="0.3">
      <c r="A1838" s="33"/>
      <c r="B1838" s="33"/>
      <c r="C1838" s="33"/>
      <c r="D1838" s="33"/>
      <c r="E1838" s="33"/>
      <c r="F1838" s="33"/>
      <c r="G1838" s="33"/>
      <c r="H1838" s="33"/>
      <c r="I1838" s="33"/>
      <c r="J1838" s="33"/>
      <c r="K1838" s="33"/>
      <c r="L1838" s="33"/>
    </row>
    <row r="1839" spans="1:12" s="1" customFormat="1" x14ac:dyDescent="0.3">
      <c r="A1839" s="33"/>
      <c r="B1839" s="33"/>
      <c r="C1839" s="33"/>
      <c r="D1839" s="33"/>
      <c r="E1839" s="33"/>
      <c r="F1839" s="33"/>
      <c r="G1839" s="33"/>
      <c r="H1839" s="33"/>
      <c r="I1839" s="33"/>
      <c r="J1839" s="33"/>
      <c r="K1839" s="33"/>
      <c r="L1839" s="33"/>
    </row>
    <row r="1840" spans="1:12" s="1" customFormat="1" x14ac:dyDescent="0.3">
      <c r="A1840" s="33"/>
      <c r="B1840" s="33"/>
      <c r="C1840" s="33"/>
      <c r="D1840" s="33"/>
      <c r="E1840" s="33"/>
      <c r="F1840" s="33"/>
      <c r="G1840" s="33"/>
      <c r="H1840" s="33"/>
      <c r="I1840" s="33"/>
      <c r="J1840" s="33"/>
      <c r="K1840" s="33"/>
      <c r="L1840" s="33"/>
    </row>
    <row r="1841" spans="1:12" s="1" customFormat="1" x14ac:dyDescent="0.3">
      <c r="A1841" s="33"/>
      <c r="B1841" s="33"/>
      <c r="C1841" s="33"/>
      <c r="D1841" s="33"/>
      <c r="E1841" s="33"/>
      <c r="F1841" s="33"/>
      <c r="G1841" s="33"/>
      <c r="H1841" s="33"/>
      <c r="I1841" s="33"/>
      <c r="J1841" s="33"/>
      <c r="K1841" s="33"/>
      <c r="L1841" s="33"/>
    </row>
    <row r="1842" spans="1:12" s="1" customFormat="1" x14ac:dyDescent="0.3">
      <c r="A1842" s="33"/>
      <c r="B1842" s="33"/>
      <c r="C1842" s="33"/>
      <c r="D1842" s="33"/>
      <c r="E1842" s="33"/>
      <c r="F1842" s="33"/>
      <c r="G1842" s="33"/>
      <c r="H1842" s="33"/>
      <c r="I1842" s="33"/>
      <c r="J1842" s="33"/>
      <c r="K1842" s="33"/>
      <c r="L1842" s="33"/>
    </row>
    <row r="1843" spans="1:12" s="1" customFormat="1" x14ac:dyDescent="0.3">
      <c r="A1843" s="33"/>
      <c r="B1843" s="33"/>
      <c r="C1843" s="33"/>
      <c r="D1843" s="33"/>
      <c r="E1843" s="33"/>
      <c r="F1843" s="33"/>
      <c r="G1843" s="33"/>
      <c r="H1843" s="33"/>
      <c r="I1843" s="33"/>
      <c r="J1843" s="33"/>
      <c r="K1843" s="33"/>
      <c r="L1843" s="33"/>
    </row>
    <row r="1844" spans="1:12" s="1" customFormat="1" x14ac:dyDescent="0.3">
      <c r="A1844" s="33"/>
      <c r="B1844" s="33"/>
      <c r="C1844" s="33"/>
      <c r="D1844" s="33"/>
      <c r="E1844" s="33"/>
      <c r="F1844" s="33"/>
      <c r="G1844" s="33"/>
      <c r="H1844" s="33"/>
      <c r="I1844" s="33"/>
      <c r="J1844" s="33"/>
      <c r="K1844" s="33"/>
      <c r="L1844" s="33"/>
    </row>
    <row r="1845" spans="1:12" s="1" customFormat="1" x14ac:dyDescent="0.3">
      <c r="A1845" s="33"/>
      <c r="B1845" s="33"/>
      <c r="C1845" s="33"/>
      <c r="D1845" s="33"/>
      <c r="E1845" s="33"/>
      <c r="F1845" s="33"/>
      <c r="G1845" s="33"/>
      <c r="H1845" s="33"/>
      <c r="I1845" s="33"/>
      <c r="J1845" s="33"/>
      <c r="K1845" s="33"/>
      <c r="L1845" s="33"/>
    </row>
    <row r="1846" spans="1:12" s="1" customFormat="1" x14ac:dyDescent="0.3">
      <c r="A1846" s="33"/>
      <c r="B1846" s="33"/>
      <c r="C1846" s="33"/>
      <c r="D1846" s="33"/>
      <c r="E1846" s="33"/>
      <c r="F1846" s="33"/>
      <c r="G1846" s="33"/>
      <c r="H1846" s="33"/>
      <c r="I1846" s="33"/>
      <c r="J1846" s="33"/>
      <c r="K1846" s="33"/>
      <c r="L1846" s="33"/>
    </row>
    <row r="1847" spans="1:12" s="1" customFormat="1" x14ac:dyDescent="0.3">
      <c r="A1847" s="33"/>
      <c r="B1847" s="33"/>
      <c r="C1847" s="33"/>
      <c r="D1847" s="33"/>
      <c r="E1847" s="33"/>
      <c r="F1847" s="33"/>
      <c r="G1847" s="33"/>
      <c r="H1847" s="33"/>
      <c r="I1847" s="33"/>
      <c r="J1847" s="33"/>
      <c r="K1847" s="33"/>
      <c r="L1847" s="33"/>
    </row>
    <row r="1848" spans="1:12" s="1" customFormat="1" x14ac:dyDescent="0.3">
      <c r="A1848" s="33"/>
      <c r="B1848" s="33"/>
      <c r="C1848" s="33"/>
      <c r="D1848" s="33"/>
      <c r="E1848" s="33"/>
      <c r="F1848" s="33"/>
      <c r="G1848" s="33"/>
      <c r="H1848" s="33"/>
      <c r="I1848" s="33"/>
      <c r="J1848" s="33"/>
      <c r="K1848" s="33"/>
      <c r="L1848" s="33"/>
    </row>
    <row r="1849" spans="1:12" s="1" customFormat="1" x14ac:dyDescent="0.3">
      <c r="A1849" s="33"/>
      <c r="B1849" s="33"/>
      <c r="C1849" s="33"/>
      <c r="D1849" s="33"/>
      <c r="E1849" s="33"/>
      <c r="F1849" s="33"/>
      <c r="G1849" s="33"/>
      <c r="H1849" s="33"/>
      <c r="I1849" s="33"/>
      <c r="J1849" s="33"/>
      <c r="K1849" s="33"/>
      <c r="L1849" s="33"/>
    </row>
    <row r="1850" spans="1:12" s="1" customFormat="1" x14ac:dyDescent="0.3">
      <c r="A1850" s="33"/>
      <c r="B1850" s="33"/>
      <c r="C1850" s="33"/>
      <c r="D1850" s="33"/>
      <c r="E1850" s="33"/>
      <c r="F1850" s="33"/>
      <c r="G1850" s="33"/>
      <c r="H1850" s="33"/>
      <c r="I1850" s="33"/>
      <c r="J1850" s="33"/>
      <c r="K1850" s="33"/>
      <c r="L1850" s="33"/>
    </row>
    <row r="1851" spans="1:12" s="1" customFormat="1" x14ac:dyDescent="0.3">
      <c r="A1851" s="33"/>
      <c r="B1851" s="33"/>
      <c r="C1851" s="33"/>
      <c r="D1851" s="33"/>
      <c r="E1851" s="33"/>
      <c r="F1851" s="33"/>
      <c r="G1851" s="33"/>
      <c r="H1851" s="33"/>
      <c r="I1851" s="33"/>
      <c r="J1851" s="33"/>
      <c r="K1851" s="33"/>
      <c r="L1851" s="33"/>
    </row>
    <row r="1852" spans="1:12" s="1" customFormat="1" x14ac:dyDescent="0.3">
      <c r="A1852" s="33"/>
      <c r="B1852" s="33"/>
      <c r="C1852" s="33"/>
      <c r="D1852" s="33"/>
      <c r="E1852" s="33"/>
      <c r="F1852" s="33"/>
      <c r="G1852" s="33"/>
      <c r="H1852" s="33"/>
      <c r="I1852" s="33"/>
      <c r="J1852" s="33"/>
      <c r="K1852" s="33"/>
      <c r="L1852" s="33"/>
    </row>
    <row r="1853" spans="1:12" s="1" customFormat="1" x14ac:dyDescent="0.3">
      <c r="A1853" s="33"/>
      <c r="B1853" s="33"/>
      <c r="C1853" s="33"/>
      <c r="D1853" s="33"/>
      <c r="E1853" s="33"/>
      <c r="F1853" s="33"/>
      <c r="G1853" s="33"/>
      <c r="H1853" s="33"/>
      <c r="I1853" s="33"/>
      <c r="J1853" s="33"/>
      <c r="K1853" s="33"/>
      <c r="L1853" s="33"/>
    </row>
    <row r="1854" spans="1:12" s="1" customFormat="1" x14ac:dyDescent="0.3">
      <c r="A1854" s="33"/>
      <c r="B1854" s="33"/>
      <c r="C1854" s="33"/>
      <c r="D1854" s="33"/>
      <c r="E1854" s="33"/>
      <c r="F1854" s="33"/>
      <c r="G1854" s="33"/>
      <c r="H1854" s="33"/>
      <c r="I1854" s="33"/>
      <c r="J1854" s="33"/>
      <c r="K1854" s="33"/>
      <c r="L1854" s="33"/>
    </row>
    <row r="1855" spans="1:12" s="1" customFormat="1" x14ac:dyDescent="0.3">
      <c r="A1855" s="33"/>
      <c r="B1855" s="33"/>
      <c r="C1855" s="33"/>
      <c r="D1855" s="33"/>
      <c r="E1855" s="33"/>
      <c r="F1855" s="33"/>
      <c r="G1855" s="33"/>
      <c r="H1855" s="33"/>
      <c r="I1855" s="33"/>
      <c r="J1855" s="33"/>
      <c r="K1855" s="33"/>
      <c r="L1855" s="33"/>
    </row>
    <row r="1856" spans="1:12" s="1" customFormat="1" x14ac:dyDescent="0.3">
      <c r="A1856" s="33"/>
      <c r="B1856" s="33"/>
      <c r="C1856" s="33"/>
      <c r="D1856" s="33"/>
      <c r="E1856" s="33"/>
      <c r="F1856" s="33"/>
      <c r="G1856" s="33"/>
      <c r="H1856" s="33"/>
      <c r="I1856" s="33"/>
      <c r="J1856" s="33"/>
      <c r="K1856" s="33"/>
      <c r="L1856" s="33"/>
    </row>
    <row r="1857" spans="1:12" s="1" customFormat="1" x14ac:dyDescent="0.3">
      <c r="A1857" s="33"/>
      <c r="B1857" s="33"/>
      <c r="C1857" s="33"/>
      <c r="D1857" s="33"/>
      <c r="E1857" s="33"/>
      <c r="F1857" s="33"/>
      <c r="G1857" s="33"/>
      <c r="H1857" s="33"/>
      <c r="I1857" s="33"/>
      <c r="J1857" s="33"/>
      <c r="K1857" s="33"/>
      <c r="L1857" s="33"/>
    </row>
    <row r="1858" spans="1:12" s="1" customFormat="1" x14ac:dyDescent="0.3">
      <c r="A1858" s="33"/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</row>
    <row r="1859" spans="1:12" s="1" customFormat="1" x14ac:dyDescent="0.3">
      <c r="A1859" s="33"/>
      <c r="B1859" s="33"/>
      <c r="C1859" s="33"/>
      <c r="D1859" s="33"/>
      <c r="E1859" s="33"/>
      <c r="F1859" s="33"/>
      <c r="G1859" s="33"/>
      <c r="H1859" s="33"/>
      <c r="I1859" s="33"/>
      <c r="J1859" s="33"/>
      <c r="K1859" s="33"/>
      <c r="L1859" s="33"/>
    </row>
    <row r="1860" spans="1:12" s="1" customFormat="1" x14ac:dyDescent="0.3">
      <c r="A1860" s="33"/>
      <c r="B1860" s="33"/>
      <c r="C1860" s="33"/>
      <c r="D1860" s="33"/>
      <c r="E1860" s="33"/>
      <c r="F1860" s="33"/>
      <c r="G1860" s="33"/>
      <c r="H1860" s="33"/>
      <c r="I1860" s="33"/>
      <c r="J1860" s="33"/>
      <c r="K1860" s="33"/>
      <c r="L1860" s="33"/>
    </row>
    <row r="1861" spans="1:12" s="1" customFormat="1" x14ac:dyDescent="0.3">
      <c r="A1861" s="33"/>
      <c r="B1861" s="33"/>
      <c r="C1861" s="33"/>
      <c r="D1861" s="33"/>
      <c r="E1861" s="33"/>
      <c r="F1861" s="33"/>
      <c r="G1861" s="33"/>
      <c r="H1861" s="33"/>
      <c r="I1861" s="33"/>
      <c r="J1861" s="33"/>
      <c r="K1861" s="33"/>
      <c r="L1861" s="33"/>
    </row>
    <row r="1862" spans="1:12" s="1" customFormat="1" x14ac:dyDescent="0.3">
      <c r="A1862" s="33"/>
      <c r="B1862" s="33"/>
      <c r="C1862" s="33"/>
      <c r="D1862" s="33"/>
      <c r="E1862" s="33"/>
      <c r="F1862" s="33"/>
      <c r="G1862" s="33"/>
      <c r="H1862" s="33"/>
      <c r="I1862" s="33"/>
      <c r="J1862" s="33"/>
      <c r="K1862" s="33"/>
      <c r="L1862" s="33"/>
    </row>
    <row r="1863" spans="1:12" s="1" customFormat="1" x14ac:dyDescent="0.3">
      <c r="A1863" s="33"/>
      <c r="B1863" s="33"/>
      <c r="C1863" s="33"/>
      <c r="D1863" s="33"/>
      <c r="E1863" s="33"/>
      <c r="F1863" s="33"/>
      <c r="G1863" s="33"/>
      <c r="H1863" s="33"/>
      <c r="I1863" s="33"/>
      <c r="J1863" s="33"/>
      <c r="K1863" s="33"/>
      <c r="L1863" s="33"/>
    </row>
    <row r="1864" spans="1:12" s="1" customFormat="1" x14ac:dyDescent="0.3">
      <c r="A1864" s="33"/>
      <c r="B1864" s="33"/>
      <c r="C1864" s="33"/>
      <c r="D1864" s="33"/>
      <c r="E1864" s="33"/>
      <c r="F1864" s="33"/>
      <c r="G1864" s="33"/>
      <c r="H1864" s="33"/>
      <c r="I1864" s="33"/>
      <c r="J1864" s="33"/>
      <c r="K1864" s="33"/>
      <c r="L1864" s="33"/>
    </row>
    <row r="1865" spans="1:12" s="1" customFormat="1" x14ac:dyDescent="0.3">
      <c r="A1865" s="33"/>
      <c r="B1865" s="33"/>
      <c r="C1865" s="33"/>
      <c r="D1865" s="33"/>
      <c r="E1865" s="33"/>
      <c r="F1865" s="33"/>
      <c r="G1865" s="33"/>
      <c r="H1865" s="33"/>
      <c r="I1865" s="33"/>
      <c r="J1865" s="33"/>
      <c r="K1865" s="33"/>
      <c r="L1865" s="33"/>
    </row>
    <row r="1866" spans="1:12" s="1" customFormat="1" x14ac:dyDescent="0.3">
      <c r="A1866" s="33"/>
      <c r="B1866" s="33"/>
      <c r="C1866" s="33"/>
      <c r="D1866" s="33"/>
      <c r="E1866" s="33"/>
      <c r="F1866" s="33"/>
      <c r="G1866" s="33"/>
      <c r="H1866" s="33"/>
      <c r="I1866" s="33"/>
      <c r="J1866" s="33"/>
      <c r="K1866" s="33"/>
      <c r="L1866" s="33"/>
    </row>
    <row r="1867" spans="1:12" s="1" customFormat="1" x14ac:dyDescent="0.3">
      <c r="A1867" s="33"/>
      <c r="B1867" s="33"/>
      <c r="C1867" s="33"/>
      <c r="D1867" s="33"/>
      <c r="E1867" s="33"/>
      <c r="F1867" s="33"/>
      <c r="G1867" s="33"/>
      <c r="H1867" s="33"/>
      <c r="I1867" s="33"/>
      <c r="J1867" s="33"/>
      <c r="K1867" s="33"/>
      <c r="L1867" s="33"/>
    </row>
    <row r="1868" spans="1:12" s="1" customFormat="1" x14ac:dyDescent="0.3">
      <c r="A1868" s="33"/>
      <c r="B1868" s="33"/>
      <c r="C1868" s="33"/>
      <c r="D1868" s="33"/>
      <c r="E1868" s="33"/>
      <c r="F1868" s="33"/>
      <c r="G1868" s="33"/>
      <c r="H1868" s="33"/>
      <c r="I1868" s="33"/>
      <c r="J1868" s="33"/>
      <c r="K1868" s="33"/>
      <c r="L1868" s="33"/>
    </row>
    <row r="1869" spans="1:12" s="1" customFormat="1" x14ac:dyDescent="0.3">
      <c r="A1869" s="33"/>
      <c r="B1869" s="33"/>
      <c r="C1869" s="33"/>
      <c r="D1869" s="33"/>
      <c r="E1869" s="33"/>
      <c r="F1869" s="33"/>
      <c r="G1869" s="33"/>
      <c r="H1869" s="33"/>
      <c r="I1869" s="33"/>
      <c r="J1869" s="33"/>
      <c r="K1869" s="33"/>
      <c r="L1869" s="33"/>
    </row>
    <row r="1870" spans="1:12" s="1" customFormat="1" x14ac:dyDescent="0.3">
      <c r="A1870" s="33"/>
      <c r="B1870" s="33"/>
      <c r="C1870" s="33"/>
      <c r="D1870" s="33"/>
      <c r="E1870" s="33"/>
      <c r="F1870" s="33"/>
      <c r="G1870" s="33"/>
      <c r="H1870" s="33"/>
      <c r="I1870" s="33"/>
      <c r="J1870" s="33"/>
      <c r="K1870" s="33"/>
      <c r="L1870" s="33"/>
    </row>
    <row r="1871" spans="1:12" s="1" customFormat="1" x14ac:dyDescent="0.3">
      <c r="A1871" s="33"/>
      <c r="B1871" s="33"/>
      <c r="C1871" s="33"/>
      <c r="D1871" s="33"/>
      <c r="E1871" s="33"/>
      <c r="F1871" s="33"/>
      <c r="G1871" s="33"/>
      <c r="H1871" s="33"/>
      <c r="I1871" s="33"/>
      <c r="J1871" s="33"/>
      <c r="K1871" s="33"/>
      <c r="L1871" s="33"/>
    </row>
    <row r="1872" spans="1:12" s="1" customFormat="1" x14ac:dyDescent="0.3">
      <c r="A1872" s="33"/>
      <c r="B1872" s="33"/>
      <c r="C1872" s="33"/>
      <c r="D1872" s="33"/>
      <c r="E1872" s="33"/>
      <c r="F1872" s="33"/>
      <c r="G1872" s="33"/>
      <c r="H1872" s="33"/>
      <c r="I1872" s="33"/>
      <c r="J1872" s="33"/>
      <c r="K1872" s="33"/>
      <c r="L1872" s="33"/>
    </row>
    <row r="1873" spans="1:12" s="1" customFormat="1" x14ac:dyDescent="0.3">
      <c r="A1873" s="33"/>
      <c r="B1873" s="33"/>
      <c r="C1873" s="33"/>
      <c r="D1873" s="33"/>
      <c r="E1873" s="33"/>
      <c r="F1873" s="33"/>
      <c r="G1873" s="33"/>
      <c r="H1873" s="33"/>
      <c r="I1873" s="33"/>
      <c r="J1873" s="33"/>
      <c r="K1873" s="33"/>
      <c r="L1873" s="33"/>
    </row>
    <row r="1874" spans="1:12" s="1" customFormat="1" x14ac:dyDescent="0.3">
      <c r="A1874" s="33"/>
      <c r="B1874" s="33"/>
      <c r="C1874" s="33"/>
      <c r="D1874" s="33"/>
      <c r="E1874" s="33"/>
      <c r="F1874" s="33"/>
      <c r="G1874" s="33"/>
      <c r="H1874" s="33"/>
      <c r="I1874" s="33"/>
      <c r="J1874" s="33"/>
      <c r="K1874" s="33"/>
      <c r="L1874" s="33"/>
    </row>
    <row r="1875" spans="1:12" s="1" customFormat="1" x14ac:dyDescent="0.3">
      <c r="A1875" s="33"/>
      <c r="B1875" s="33"/>
      <c r="C1875" s="33"/>
      <c r="D1875" s="33"/>
      <c r="E1875" s="33"/>
      <c r="F1875" s="33"/>
      <c r="G1875" s="33"/>
      <c r="H1875" s="33"/>
      <c r="I1875" s="33"/>
      <c r="J1875" s="33"/>
      <c r="K1875" s="33"/>
      <c r="L1875" s="33"/>
    </row>
    <row r="1876" spans="1:12" s="1" customFormat="1" x14ac:dyDescent="0.3">
      <c r="A1876" s="33"/>
      <c r="B1876" s="33"/>
      <c r="C1876" s="33"/>
      <c r="D1876" s="33"/>
      <c r="E1876" s="33"/>
      <c r="F1876" s="33"/>
      <c r="G1876" s="33"/>
      <c r="H1876" s="33"/>
      <c r="I1876" s="33"/>
      <c r="J1876" s="33"/>
      <c r="K1876" s="33"/>
      <c r="L1876" s="33"/>
    </row>
    <row r="1877" spans="1:12" s="1" customFormat="1" x14ac:dyDescent="0.3">
      <c r="A1877" s="33"/>
      <c r="B1877" s="33"/>
      <c r="C1877" s="33"/>
      <c r="D1877" s="33"/>
      <c r="E1877" s="33"/>
      <c r="F1877" s="33"/>
      <c r="G1877" s="33"/>
      <c r="H1877" s="33"/>
      <c r="I1877" s="33"/>
      <c r="J1877" s="33"/>
      <c r="K1877" s="33"/>
      <c r="L1877" s="33"/>
    </row>
    <row r="1878" spans="1:12" s="1" customFormat="1" x14ac:dyDescent="0.3">
      <c r="A1878" s="33"/>
      <c r="B1878" s="33"/>
      <c r="C1878" s="33"/>
      <c r="D1878" s="33"/>
      <c r="E1878" s="33"/>
      <c r="F1878" s="33"/>
      <c r="G1878" s="33"/>
      <c r="H1878" s="33"/>
      <c r="I1878" s="33"/>
      <c r="J1878" s="33"/>
      <c r="K1878" s="33"/>
      <c r="L1878" s="33"/>
    </row>
    <row r="1879" spans="1:12" s="1" customFormat="1" x14ac:dyDescent="0.3">
      <c r="A1879" s="33"/>
      <c r="B1879" s="33"/>
      <c r="C1879" s="33"/>
      <c r="D1879" s="33"/>
      <c r="E1879" s="33"/>
      <c r="F1879" s="33"/>
      <c r="G1879" s="33"/>
      <c r="H1879" s="33"/>
      <c r="I1879" s="33"/>
      <c r="J1879" s="33"/>
      <c r="K1879" s="33"/>
      <c r="L1879" s="33"/>
    </row>
    <row r="1880" spans="1:12" s="1" customFormat="1" x14ac:dyDescent="0.3">
      <c r="A1880" s="33"/>
      <c r="B1880" s="33"/>
      <c r="C1880" s="33"/>
      <c r="D1880" s="33"/>
      <c r="E1880" s="33"/>
      <c r="F1880" s="33"/>
      <c r="G1880" s="33"/>
      <c r="H1880" s="33"/>
      <c r="I1880" s="33"/>
      <c r="J1880" s="33"/>
      <c r="K1880" s="33"/>
      <c r="L1880" s="33"/>
    </row>
    <row r="1881" spans="1:12" s="1" customFormat="1" x14ac:dyDescent="0.3">
      <c r="A1881" s="33"/>
      <c r="B1881" s="33"/>
      <c r="C1881" s="33"/>
      <c r="D1881" s="33"/>
      <c r="E1881" s="33"/>
      <c r="F1881" s="33"/>
      <c r="G1881" s="33"/>
      <c r="H1881" s="33"/>
      <c r="I1881" s="33"/>
      <c r="J1881" s="33"/>
      <c r="K1881" s="33"/>
      <c r="L1881" s="33"/>
    </row>
    <row r="1882" spans="1:12" s="1" customFormat="1" x14ac:dyDescent="0.3">
      <c r="A1882" s="33"/>
      <c r="B1882" s="33"/>
      <c r="C1882" s="33"/>
      <c r="D1882" s="33"/>
      <c r="E1882" s="33"/>
      <c r="F1882" s="33"/>
      <c r="G1882" s="33"/>
      <c r="H1882" s="33"/>
      <c r="I1882" s="33"/>
      <c r="J1882" s="33"/>
      <c r="K1882" s="33"/>
      <c r="L1882" s="33"/>
    </row>
    <row r="1883" spans="1:12" s="1" customFormat="1" x14ac:dyDescent="0.3">
      <c r="A1883" s="33"/>
      <c r="B1883" s="33"/>
      <c r="C1883" s="33"/>
      <c r="D1883" s="33"/>
      <c r="E1883" s="33"/>
      <c r="F1883" s="33"/>
      <c r="G1883" s="33"/>
      <c r="H1883" s="33"/>
      <c r="I1883" s="33"/>
      <c r="J1883" s="33"/>
      <c r="K1883" s="33"/>
      <c r="L1883" s="33"/>
    </row>
    <row r="1884" spans="1:12" s="1" customFormat="1" x14ac:dyDescent="0.3">
      <c r="A1884" s="33"/>
      <c r="B1884" s="33"/>
      <c r="C1884" s="33"/>
      <c r="D1884" s="33"/>
      <c r="E1884" s="33"/>
      <c r="F1884" s="33"/>
      <c r="G1884" s="33"/>
      <c r="H1884" s="33"/>
      <c r="I1884" s="33"/>
      <c r="J1884" s="33"/>
      <c r="K1884" s="33"/>
      <c r="L1884" s="33"/>
    </row>
    <row r="1885" spans="1:12" s="1" customFormat="1" x14ac:dyDescent="0.3">
      <c r="A1885" s="33"/>
      <c r="B1885" s="33"/>
      <c r="C1885" s="33"/>
      <c r="D1885" s="33"/>
      <c r="E1885" s="33"/>
      <c r="F1885" s="33"/>
      <c r="G1885" s="33"/>
      <c r="H1885" s="33"/>
      <c r="I1885" s="33"/>
      <c r="J1885" s="33"/>
      <c r="K1885" s="33"/>
      <c r="L1885" s="33"/>
    </row>
    <row r="1886" spans="1:12" s="1" customFormat="1" x14ac:dyDescent="0.3">
      <c r="A1886" s="33"/>
      <c r="B1886" s="33"/>
      <c r="C1886" s="33"/>
      <c r="D1886" s="33"/>
      <c r="E1886" s="33"/>
      <c r="F1886" s="33"/>
      <c r="G1886" s="33"/>
      <c r="H1886" s="33"/>
      <c r="I1886" s="33"/>
      <c r="J1886" s="33"/>
      <c r="K1886" s="33"/>
      <c r="L1886" s="33"/>
    </row>
    <row r="1887" spans="1:12" s="1" customFormat="1" x14ac:dyDescent="0.3">
      <c r="A1887" s="33"/>
      <c r="B1887" s="33"/>
      <c r="C1887" s="33"/>
      <c r="D1887" s="33"/>
      <c r="E1887" s="33"/>
      <c r="F1887" s="33"/>
      <c r="G1887" s="33"/>
      <c r="H1887" s="33"/>
      <c r="I1887" s="33"/>
      <c r="J1887" s="33"/>
      <c r="K1887" s="33"/>
      <c r="L1887" s="33"/>
    </row>
    <row r="1888" spans="1:12" s="1" customFormat="1" x14ac:dyDescent="0.3">
      <c r="A1888" s="33"/>
      <c r="B1888" s="33"/>
      <c r="C1888" s="33"/>
      <c r="D1888" s="33"/>
      <c r="E1888" s="33"/>
      <c r="F1888" s="33"/>
      <c r="G1888" s="33"/>
      <c r="H1888" s="33"/>
      <c r="I1888" s="33"/>
      <c r="J1888" s="33"/>
      <c r="K1888" s="33"/>
      <c r="L1888" s="33"/>
    </row>
    <row r="1889" spans="1:12" s="1" customFormat="1" x14ac:dyDescent="0.3">
      <c r="A1889" s="33"/>
      <c r="B1889" s="33"/>
      <c r="C1889" s="33"/>
      <c r="D1889" s="33"/>
      <c r="E1889" s="33"/>
      <c r="F1889" s="33"/>
      <c r="G1889" s="33"/>
      <c r="H1889" s="33"/>
      <c r="I1889" s="33"/>
      <c r="J1889" s="33"/>
      <c r="K1889" s="33"/>
      <c r="L1889" s="33"/>
    </row>
    <row r="1890" spans="1:12" s="1" customFormat="1" x14ac:dyDescent="0.3">
      <c r="A1890" s="33"/>
      <c r="B1890" s="33"/>
      <c r="C1890" s="33"/>
      <c r="D1890" s="33"/>
      <c r="E1890" s="33"/>
      <c r="F1890" s="33"/>
      <c r="G1890" s="33"/>
      <c r="H1890" s="33"/>
      <c r="I1890" s="33"/>
      <c r="J1890" s="33"/>
      <c r="K1890" s="33"/>
      <c r="L1890" s="33"/>
    </row>
    <row r="1891" spans="1:12" s="1" customFormat="1" x14ac:dyDescent="0.3">
      <c r="A1891" s="33"/>
      <c r="B1891" s="33"/>
      <c r="C1891" s="33"/>
      <c r="D1891" s="33"/>
      <c r="E1891" s="33"/>
      <c r="F1891" s="33"/>
      <c r="G1891" s="33"/>
      <c r="H1891" s="33"/>
      <c r="I1891" s="33"/>
      <c r="J1891" s="33"/>
      <c r="K1891" s="33"/>
      <c r="L1891" s="33"/>
    </row>
    <row r="1892" spans="1:12" s="1" customFormat="1" x14ac:dyDescent="0.3">
      <c r="A1892" s="33"/>
      <c r="B1892" s="33"/>
      <c r="C1892" s="33"/>
      <c r="D1892" s="33"/>
      <c r="E1892" s="33"/>
      <c r="F1892" s="33"/>
      <c r="G1892" s="33"/>
      <c r="H1892" s="33"/>
      <c r="I1892" s="33"/>
      <c r="J1892" s="33"/>
      <c r="K1892" s="33"/>
      <c r="L1892" s="33"/>
    </row>
    <row r="1893" spans="1:12" s="1" customFormat="1" x14ac:dyDescent="0.3">
      <c r="A1893" s="33"/>
      <c r="B1893" s="33"/>
      <c r="C1893" s="33"/>
      <c r="D1893" s="33"/>
      <c r="E1893" s="33"/>
      <c r="F1893" s="33"/>
      <c r="G1893" s="33"/>
      <c r="H1893" s="33"/>
      <c r="I1893" s="33"/>
      <c r="J1893" s="33"/>
      <c r="K1893" s="33"/>
      <c r="L1893" s="33"/>
    </row>
    <row r="1894" spans="1:12" s="1" customFormat="1" x14ac:dyDescent="0.3">
      <c r="A1894" s="33"/>
      <c r="B1894" s="33"/>
      <c r="C1894" s="33"/>
      <c r="D1894" s="33"/>
      <c r="E1894" s="33"/>
      <c r="F1894" s="33"/>
      <c r="G1894" s="33"/>
      <c r="H1894" s="33"/>
      <c r="I1894" s="33"/>
      <c r="J1894" s="33"/>
      <c r="K1894" s="33"/>
      <c r="L1894" s="33"/>
    </row>
    <row r="1895" spans="1:12" s="1" customFormat="1" x14ac:dyDescent="0.3">
      <c r="A1895" s="33"/>
      <c r="B1895" s="33"/>
      <c r="C1895" s="33"/>
      <c r="D1895" s="33"/>
      <c r="E1895" s="33"/>
      <c r="F1895" s="33"/>
      <c r="G1895" s="33"/>
      <c r="H1895" s="33"/>
      <c r="I1895" s="33"/>
      <c r="J1895" s="33"/>
      <c r="K1895" s="33"/>
      <c r="L1895" s="33"/>
    </row>
    <row r="1896" spans="1:12" s="1" customFormat="1" x14ac:dyDescent="0.3">
      <c r="A1896" s="33"/>
      <c r="B1896" s="33"/>
      <c r="C1896" s="33"/>
      <c r="D1896" s="33"/>
      <c r="E1896" s="33"/>
      <c r="F1896" s="33"/>
      <c r="G1896" s="33"/>
      <c r="H1896" s="33"/>
      <c r="I1896" s="33"/>
      <c r="J1896" s="33"/>
      <c r="K1896" s="33"/>
      <c r="L1896" s="33"/>
    </row>
    <row r="1897" spans="1:12" s="1" customFormat="1" x14ac:dyDescent="0.3">
      <c r="A1897" s="33"/>
      <c r="B1897" s="33"/>
      <c r="C1897" s="33"/>
      <c r="D1897" s="33"/>
      <c r="E1897" s="33"/>
      <c r="F1897" s="33"/>
      <c r="G1897" s="33"/>
      <c r="H1897" s="33"/>
      <c r="I1897" s="33"/>
      <c r="J1897" s="33"/>
      <c r="K1897" s="33"/>
      <c r="L1897" s="33"/>
    </row>
    <row r="1898" spans="1:12" s="1" customFormat="1" x14ac:dyDescent="0.3">
      <c r="A1898" s="33"/>
      <c r="B1898" s="33"/>
      <c r="C1898" s="33"/>
      <c r="D1898" s="33"/>
      <c r="E1898" s="33"/>
      <c r="F1898" s="33"/>
      <c r="G1898" s="33"/>
      <c r="H1898" s="33"/>
      <c r="I1898" s="33"/>
      <c r="J1898" s="33"/>
      <c r="K1898" s="33"/>
      <c r="L1898" s="33"/>
    </row>
    <row r="1899" spans="1:12" s="1" customFormat="1" x14ac:dyDescent="0.3">
      <c r="A1899" s="33"/>
      <c r="B1899" s="33"/>
      <c r="C1899" s="33"/>
      <c r="D1899" s="33"/>
      <c r="E1899" s="33"/>
      <c r="F1899" s="33"/>
      <c r="G1899" s="33"/>
      <c r="H1899" s="33"/>
      <c r="I1899" s="33"/>
      <c r="J1899" s="33"/>
      <c r="K1899" s="33"/>
      <c r="L1899" s="33"/>
    </row>
    <row r="1900" spans="1:12" s="1" customFormat="1" x14ac:dyDescent="0.3">
      <c r="A1900" s="33"/>
      <c r="B1900" s="33"/>
      <c r="C1900" s="33"/>
      <c r="D1900" s="33"/>
      <c r="E1900" s="33"/>
      <c r="F1900" s="33"/>
      <c r="G1900" s="33"/>
      <c r="H1900" s="33"/>
      <c r="I1900" s="33"/>
      <c r="J1900" s="33"/>
      <c r="K1900" s="33"/>
      <c r="L1900" s="33"/>
    </row>
    <row r="1901" spans="1:12" s="1" customFormat="1" x14ac:dyDescent="0.3">
      <c r="A1901" s="33"/>
      <c r="B1901" s="33"/>
      <c r="C1901" s="33"/>
      <c r="D1901" s="33"/>
      <c r="E1901" s="33"/>
      <c r="F1901" s="33"/>
      <c r="G1901" s="33"/>
      <c r="H1901" s="33"/>
      <c r="I1901" s="33"/>
      <c r="J1901" s="33"/>
      <c r="K1901" s="33"/>
      <c r="L1901" s="33"/>
    </row>
    <row r="1902" spans="1:12" s="1" customFormat="1" x14ac:dyDescent="0.3">
      <c r="A1902" s="33"/>
      <c r="B1902" s="33"/>
      <c r="C1902" s="33"/>
      <c r="D1902" s="33"/>
      <c r="E1902" s="33"/>
      <c r="F1902" s="33"/>
      <c r="G1902" s="33"/>
      <c r="H1902" s="33"/>
      <c r="I1902" s="33"/>
      <c r="J1902" s="33"/>
      <c r="K1902" s="33"/>
      <c r="L1902" s="33"/>
    </row>
    <row r="1903" spans="1:12" s="1" customFormat="1" x14ac:dyDescent="0.3">
      <c r="A1903" s="33"/>
      <c r="B1903" s="33"/>
      <c r="C1903" s="33"/>
      <c r="D1903" s="33"/>
      <c r="E1903" s="33"/>
      <c r="F1903" s="33"/>
      <c r="G1903" s="33"/>
      <c r="H1903" s="33"/>
      <c r="I1903" s="33"/>
      <c r="J1903" s="33"/>
      <c r="K1903" s="33"/>
      <c r="L1903" s="33"/>
    </row>
    <row r="1904" spans="1:12" s="1" customFormat="1" x14ac:dyDescent="0.3">
      <c r="A1904" s="33"/>
      <c r="B1904" s="33"/>
      <c r="C1904" s="33"/>
      <c r="D1904" s="33"/>
      <c r="E1904" s="33"/>
      <c r="F1904" s="33"/>
      <c r="G1904" s="33"/>
      <c r="H1904" s="33"/>
      <c r="I1904" s="33"/>
      <c r="J1904" s="33"/>
      <c r="K1904" s="33"/>
      <c r="L1904" s="33"/>
    </row>
    <row r="1905" spans="1:12" s="1" customFormat="1" x14ac:dyDescent="0.3">
      <c r="A1905" s="33"/>
      <c r="B1905" s="33"/>
      <c r="C1905" s="33"/>
      <c r="D1905" s="33"/>
      <c r="E1905" s="33"/>
      <c r="F1905" s="33"/>
      <c r="G1905" s="33"/>
      <c r="H1905" s="33"/>
      <c r="I1905" s="33"/>
      <c r="J1905" s="33"/>
      <c r="K1905" s="33"/>
      <c r="L1905" s="33"/>
    </row>
    <row r="1906" spans="1:12" s="1" customFormat="1" x14ac:dyDescent="0.3">
      <c r="A1906" s="33"/>
      <c r="B1906" s="33"/>
      <c r="C1906" s="33"/>
      <c r="D1906" s="33"/>
      <c r="E1906" s="33"/>
      <c r="F1906" s="33"/>
      <c r="G1906" s="33"/>
      <c r="H1906" s="33"/>
      <c r="I1906" s="33"/>
      <c r="J1906" s="33"/>
      <c r="K1906" s="33"/>
      <c r="L1906" s="33"/>
    </row>
    <row r="1907" spans="1:12" s="1" customFormat="1" x14ac:dyDescent="0.3">
      <c r="A1907" s="33"/>
      <c r="B1907" s="33"/>
      <c r="C1907" s="33"/>
      <c r="D1907" s="33"/>
      <c r="E1907" s="33"/>
      <c r="F1907" s="33"/>
      <c r="G1907" s="33"/>
      <c r="H1907" s="33"/>
      <c r="I1907" s="33"/>
      <c r="J1907" s="33"/>
      <c r="K1907" s="33"/>
      <c r="L1907" s="33"/>
    </row>
    <row r="1908" spans="1:12" s="1" customFormat="1" x14ac:dyDescent="0.3">
      <c r="A1908" s="33"/>
      <c r="B1908" s="33"/>
      <c r="C1908" s="33"/>
      <c r="D1908" s="33"/>
      <c r="E1908" s="33"/>
      <c r="F1908" s="33"/>
      <c r="G1908" s="33"/>
      <c r="H1908" s="33"/>
      <c r="I1908" s="33"/>
      <c r="J1908" s="33"/>
      <c r="K1908" s="33"/>
      <c r="L1908" s="33"/>
    </row>
    <row r="1909" spans="1:12" s="1" customFormat="1" x14ac:dyDescent="0.3">
      <c r="A1909" s="33"/>
      <c r="B1909" s="33"/>
      <c r="C1909" s="33"/>
      <c r="D1909" s="33"/>
      <c r="E1909" s="33"/>
      <c r="F1909" s="33"/>
      <c r="G1909" s="33"/>
      <c r="H1909" s="33"/>
      <c r="I1909" s="33"/>
      <c r="J1909" s="33"/>
      <c r="K1909" s="33"/>
      <c r="L1909" s="33"/>
    </row>
    <row r="1910" spans="1:12" s="1" customFormat="1" x14ac:dyDescent="0.3">
      <c r="A1910" s="33"/>
      <c r="B1910" s="33"/>
      <c r="C1910" s="33"/>
      <c r="D1910" s="33"/>
      <c r="E1910" s="33"/>
      <c r="F1910" s="33"/>
      <c r="G1910" s="33"/>
      <c r="H1910" s="33"/>
      <c r="I1910" s="33"/>
      <c r="J1910" s="33"/>
      <c r="K1910" s="33"/>
      <c r="L1910" s="33"/>
    </row>
    <row r="1911" spans="1:12" s="1" customFormat="1" x14ac:dyDescent="0.3">
      <c r="A1911" s="33"/>
      <c r="B1911" s="33"/>
      <c r="C1911" s="33"/>
      <c r="D1911" s="33"/>
      <c r="E1911" s="33"/>
      <c r="F1911" s="33"/>
      <c r="G1911" s="33"/>
      <c r="H1911" s="33"/>
      <c r="I1911" s="33"/>
      <c r="J1911" s="33"/>
      <c r="K1911" s="33"/>
      <c r="L1911" s="33"/>
    </row>
    <row r="1912" spans="1:12" s="1" customFormat="1" x14ac:dyDescent="0.3">
      <c r="A1912" s="33"/>
      <c r="B1912" s="33"/>
      <c r="C1912" s="33"/>
      <c r="D1912" s="33"/>
      <c r="E1912" s="33"/>
      <c r="F1912" s="33"/>
      <c r="G1912" s="33"/>
      <c r="H1912" s="33"/>
      <c r="I1912" s="33"/>
      <c r="J1912" s="33"/>
      <c r="K1912" s="33"/>
      <c r="L1912" s="33"/>
    </row>
    <row r="1913" spans="1:12" s="1" customFormat="1" x14ac:dyDescent="0.3">
      <c r="A1913" s="33"/>
      <c r="B1913" s="33"/>
      <c r="C1913" s="33"/>
      <c r="D1913" s="33"/>
      <c r="E1913" s="33"/>
      <c r="F1913" s="33"/>
      <c r="G1913" s="33"/>
      <c r="H1913" s="33"/>
      <c r="I1913" s="33"/>
      <c r="J1913" s="33"/>
      <c r="K1913" s="33"/>
      <c r="L1913" s="33"/>
    </row>
    <row r="1914" spans="1:12" s="1" customFormat="1" x14ac:dyDescent="0.3">
      <c r="A1914" s="33"/>
      <c r="B1914" s="33"/>
      <c r="C1914" s="33"/>
      <c r="D1914" s="33"/>
      <c r="E1914" s="33"/>
      <c r="F1914" s="33"/>
      <c r="G1914" s="33"/>
      <c r="H1914" s="33"/>
      <c r="I1914" s="33"/>
      <c r="J1914" s="33"/>
      <c r="K1914" s="33"/>
      <c r="L1914" s="33"/>
    </row>
    <row r="1915" spans="1:12" s="1" customFormat="1" x14ac:dyDescent="0.3">
      <c r="A1915" s="33"/>
      <c r="B1915" s="33"/>
      <c r="C1915" s="33"/>
      <c r="D1915" s="33"/>
      <c r="E1915" s="33"/>
      <c r="F1915" s="33"/>
      <c r="G1915" s="33"/>
      <c r="H1915" s="33"/>
      <c r="I1915" s="33"/>
      <c r="J1915" s="33"/>
      <c r="K1915" s="33"/>
      <c r="L1915" s="33"/>
    </row>
    <row r="1916" spans="1:12" s="1" customFormat="1" x14ac:dyDescent="0.3">
      <c r="A1916" s="33"/>
      <c r="B1916" s="33"/>
      <c r="C1916" s="33"/>
      <c r="D1916" s="33"/>
      <c r="E1916" s="33"/>
      <c r="F1916" s="33"/>
      <c r="G1916" s="33"/>
      <c r="H1916" s="33"/>
      <c r="I1916" s="33"/>
      <c r="J1916" s="33"/>
      <c r="K1916" s="33"/>
      <c r="L1916" s="33"/>
    </row>
    <row r="1917" spans="1:12" s="1" customFormat="1" x14ac:dyDescent="0.3">
      <c r="A1917" s="33"/>
      <c r="B1917" s="33"/>
      <c r="C1917" s="33"/>
      <c r="D1917" s="33"/>
      <c r="E1917" s="33"/>
      <c r="F1917" s="33"/>
      <c r="G1917" s="33"/>
      <c r="H1917" s="33"/>
      <c r="I1917" s="33"/>
      <c r="J1917" s="33"/>
      <c r="K1917" s="33"/>
      <c r="L1917" s="33"/>
    </row>
    <row r="1918" spans="1:12" s="1" customFormat="1" x14ac:dyDescent="0.3">
      <c r="A1918" s="33"/>
      <c r="B1918" s="33"/>
      <c r="C1918" s="33"/>
      <c r="D1918" s="33"/>
      <c r="E1918" s="33"/>
      <c r="F1918" s="33"/>
      <c r="G1918" s="33"/>
      <c r="H1918" s="33"/>
      <c r="I1918" s="33"/>
      <c r="J1918" s="33"/>
      <c r="K1918" s="33"/>
      <c r="L1918" s="33"/>
    </row>
    <row r="1919" spans="1:12" s="1" customFormat="1" x14ac:dyDescent="0.3">
      <c r="A1919" s="33"/>
      <c r="B1919" s="33"/>
      <c r="C1919" s="33"/>
      <c r="D1919" s="33"/>
      <c r="E1919" s="33"/>
      <c r="F1919" s="33"/>
      <c r="G1919" s="33"/>
      <c r="H1919" s="33"/>
      <c r="I1919" s="33"/>
      <c r="J1919" s="33"/>
      <c r="K1919" s="33"/>
      <c r="L1919" s="33"/>
    </row>
    <row r="1920" spans="1:12" s="1" customFormat="1" x14ac:dyDescent="0.3">
      <c r="A1920" s="33"/>
      <c r="B1920" s="33"/>
      <c r="C1920" s="33"/>
      <c r="D1920" s="33"/>
      <c r="E1920" s="33"/>
      <c r="F1920" s="33"/>
      <c r="G1920" s="33"/>
      <c r="H1920" s="33"/>
      <c r="I1920" s="33"/>
      <c r="J1920" s="33"/>
      <c r="K1920" s="33"/>
      <c r="L1920" s="33"/>
    </row>
    <row r="1921" spans="1:12" s="1" customFormat="1" x14ac:dyDescent="0.3">
      <c r="A1921" s="33"/>
      <c r="B1921" s="33"/>
      <c r="C1921" s="33"/>
      <c r="D1921" s="33"/>
      <c r="E1921" s="33"/>
      <c r="F1921" s="33"/>
      <c r="G1921" s="33"/>
      <c r="H1921" s="33"/>
      <c r="I1921" s="33"/>
      <c r="J1921" s="33"/>
      <c r="K1921" s="33"/>
      <c r="L1921" s="33"/>
    </row>
    <row r="1922" spans="1:12" s="1" customFormat="1" x14ac:dyDescent="0.3">
      <c r="A1922" s="33"/>
      <c r="B1922" s="33"/>
      <c r="C1922" s="33"/>
      <c r="D1922" s="33"/>
      <c r="E1922" s="33"/>
      <c r="F1922" s="33"/>
      <c r="G1922" s="33"/>
      <c r="H1922" s="33"/>
      <c r="I1922" s="33"/>
      <c r="J1922" s="33"/>
      <c r="K1922" s="33"/>
      <c r="L1922" s="33"/>
    </row>
    <row r="1923" spans="1:12" s="1" customFormat="1" x14ac:dyDescent="0.3">
      <c r="A1923" s="33"/>
      <c r="B1923" s="33"/>
      <c r="C1923" s="33"/>
      <c r="D1923" s="33"/>
      <c r="E1923" s="33"/>
      <c r="F1923" s="33"/>
      <c r="G1923" s="33"/>
      <c r="H1923" s="33"/>
      <c r="I1923" s="33"/>
      <c r="J1923" s="33"/>
      <c r="K1923" s="33"/>
      <c r="L1923" s="33"/>
    </row>
    <row r="1924" spans="1:12" s="1" customFormat="1" x14ac:dyDescent="0.3">
      <c r="A1924" s="33"/>
      <c r="B1924" s="33"/>
      <c r="C1924" s="33"/>
      <c r="D1924" s="33"/>
      <c r="E1924" s="33"/>
      <c r="F1924" s="33"/>
      <c r="G1924" s="33"/>
      <c r="H1924" s="33"/>
      <c r="I1924" s="33"/>
      <c r="J1924" s="33"/>
      <c r="K1924" s="33"/>
      <c r="L1924" s="33"/>
    </row>
    <row r="1925" spans="1:12" s="1" customFormat="1" x14ac:dyDescent="0.3">
      <c r="A1925" s="33"/>
      <c r="B1925" s="33"/>
      <c r="C1925" s="33"/>
      <c r="D1925" s="33"/>
      <c r="E1925" s="33"/>
      <c r="F1925" s="33"/>
      <c r="G1925" s="33"/>
      <c r="H1925" s="33"/>
      <c r="I1925" s="33"/>
      <c r="J1925" s="33"/>
      <c r="K1925" s="33"/>
      <c r="L1925" s="33"/>
    </row>
    <row r="1926" spans="1:12" s="1" customFormat="1" x14ac:dyDescent="0.3">
      <c r="A1926" s="33"/>
      <c r="B1926" s="33"/>
      <c r="C1926" s="33"/>
      <c r="D1926" s="33"/>
      <c r="E1926" s="33"/>
      <c r="F1926" s="33"/>
      <c r="G1926" s="33"/>
      <c r="H1926" s="33"/>
      <c r="I1926" s="33"/>
      <c r="J1926" s="33"/>
      <c r="K1926" s="33"/>
      <c r="L1926" s="33"/>
    </row>
    <row r="1927" spans="1:12" s="1" customFormat="1" x14ac:dyDescent="0.3">
      <c r="A1927" s="33"/>
      <c r="B1927" s="33"/>
      <c r="C1927" s="33"/>
      <c r="D1927" s="33"/>
      <c r="E1927" s="33"/>
      <c r="F1927" s="33"/>
      <c r="G1927" s="33"/>
      <c r="H1927" s="33"/>
      <c r="I1927" s="33"/>
      <c r="J1927" s="33"/>
      <c r="K1927" s="33"/>
      <c r="L1927" s="33"/>
    </row>
    <row r="1928" spans="1:12" s="1" customFormat="1" x14ac:dyDescent="0.3">
      <c r="A1928" s="33"/>
      <c r="B1928" s="33"/>
      <c r="C1928" s="33"/>
      <c r="D1928" s="33"/>
      <c r="E1928" s="33"/>
      <c r="F1928" s="33"/>
      <c r="G1928" s="33"/>
      <c r="H1928" s="33"/>
      <c r="I1928" s="33"/>
      <c r="J1928" s="33"/>
      <c r="K1928" s="33"/>
      <c r="L1928" s="33"/>
    </row>
    <row r="1929" spans="1:12" s="1" customFormat="1" x14ac:dyDescent="0.3">
      <c r="A1929" s="33"/>
      <c r="B1929" s="33"/>
      <c r="C1929" s="33"/>
      <c r="D1929" s="33"/>
      <c r="E1929" s="33"/>
      <c r="F1929" s="33"/>
      <c r="G1929" s="33"/>
      <c r="H1929" s="33"/>
      <c r="I1929" s="33"/>
      <c r="J1929" s="33"/>
      <c r="K1929" s="33"/>
      <c r="L1929" s="33"/>
    </row>
    <row r="1930" spans="1:12" s="1" customFormat="1" x14ac:dyDescent="0.3">
      <c r="A1930" s="33"/>
      <c r="B1930" s="33"/>
      <c r="C1930" s="33"/>
      <c r="D1930" s="33"/>
      <c r="E1930" s="33"/>
      <c r="F1930" s="33"/>
      <c r="G1930" s="33"/>
      <c r="H1930" s="33"/>
      <c r="I1930" s="33"/>
      <c r="J1930" s="33"/>
      <c r="K1930" s="33"/>
      <c r="L1930" s="33"/>
    </row>
    <row r="1931" spans="1:12" s="1" customFormat="1" x14ac:dyDescent="0.3">
      <c r="A1931" s="33"/>
      <c r="B1931" s="33"/>
      <c r="C1931" s="33"/>
      <c r="D1931" s="33"/>
      <c r="E1931" s="33"/>
      <c r="F1931" s="33"/>
      <c r="G1931" s="33"/>
      <c r="H1931" s="33"/>
      <c r="I1931" s="33"/>
      <c r="J1931" s="33"/>
      <c r="K1931" s="33"/>
      <c r="L1931" s="33"/>
    </row>
    <row r="1932" spans="1:12" s="1" customFormat="1" x14ac:dyDescent="0.3">
      <c r="A1932" s="33"/>
      <c r="B1932" s="33"/>
      <c r="C1932" s="33"/>
      <c r="D1932" s="33"/>
      <c r="E1932" s="33"/>
      <c r="F1932" s="33"/>
      <c r="G1932" s="33"/>
      <c r="H1932" s="33"/>
      <c r="I1932" s="33"/>
      <c r="J1932" s="33"/>
      <c r="K1932" s="33"/>
      <c r="L1932" s="33"/>
    </row>
    <row r="1933" spans="1:12" s="1" customFormat="1" x14ac:dyDescent="0.3">
      <c r="A1933" s="33"/>
      <c r="B1933" s="33"/>
      <c r="C1933" s="33"/>
      <c r="D1933" s="33"/>
      <c r="E1933" s="33"/>
      <c r="F1933" s="33"/>
      <c r="G1933" s="33"/>
      <c r="H1933" s="33"/>
      <c r="I1933" s="33"/>
      <c r="J1933" s="33"/>
      <c r="K1933" s="33"/>
      <c r="L1933" s="33"/>
    </row>
    <row r="1934" spans="1:12" s="1" customFormat="1" x14ac:dyDescent="0.3">
      <c r="A1934" s="33"/>
      <c r="B1934" s="33"/>
      <c r="C1934" s="33"/>
      <c r="D1934" s="33"/>
      <c r="E1934" s="33"/>
      <c r="F1934" s="33"/>
      <c r="G1934" s="33"/>
      <c r="H1934" s="33"/>
      <c r="I1934" s="33"/>
      <c r="J1934" s="33"/>
      <c r="K1934" s="33"/>
      <c r="L1934" s="33"/>
    </row>
    <row r="1935" spans="1:12" s="1" customFormat="1" x14ac:dyDescent="0.3">
      <c r="A1935" s="33"/>
      <c r="B1935" s="33"/>
      <c r="C1935" s="33"/>
      <c r="D1935" s="33"/>
      <c r="E1935" s="33"/>
      <c r="F1935" s="33"/>
      <c r="G1935" s="33"/>
      <c r="H1935" s="33"/>
      <c r="I1935" s="33"/>
      <c r="J1935" s="33"/>
      <c r="K1935" s="33"/>
      <c r="L1935" s="33"/>
    </row>
    <row r="1936" spans="1:12" s="1" customFormat="1" x14ac:dyDescent="0.3">
      <c r="A1936" s="33"/>
      <c r="B1936" s="33"/>
      <c r="C1936" s="33"/>
      <c r="D1936" s="33"/>
      <c r="E1936" s="33"/>
      <c r="F1936" s="33"/>
      <c r="G1936" s="33"/>
      <c r="H1936" s="33"/>
      <c r="I1936" s="33"/>
      <c r="J1936" s="33"/>
      <c r="K1936" s="33"/>
      <c r="L1936" s="33"/>
    </row>
    <row r="1937" spans="1:12" s="1" customFormat="1" x14ac:dyDescent="0.3">
      <c r="A1937" s="33"/>
      <c r="B1937" s="33"/>
      <c r="C1937" s="33"/>
      <c r="D1937" s="33"/>
      <c r="E1937" s="33"/>
      <c r="F1937" s="33"/>
      <c r="G1937" s="33"/>
      <c r="H1937" s="33"/>
      <c r="I1937" s="33"/>
      <c r="J1937" s="33"/>
      <c r="K1937" s="33"/>
      <c r="L1937" s="33"/>
    </row>
    <row r="1938" spans="1:12" s="1" customFormat="1" x14ac:dyDescent="0.3">
      <c r="A1938" s="33"/>
      <c r="B1938" s="33"/>
      <c r="C1938" s="33"/>
      <c r="D1938" s="33"/>
      <c r="E1938" s="33"/>
      <c r="F1938" s="33"/>
      <c r="G1938" s="33"/>
      <c r="H1938" s="33"/>
      <c r="I1938" s="33"/>
      <c r="J1938" s="33"/>
      <c r="K1938" s="33"/>
      <c r="L1938" s="33"/>
    </row>
    <row r="1939" spans="1:12" s="1" customFormat="1" x14ac:dyDescent="0.3">
      <c r="A1939" s="33"/>
      <c r="B1939" s="33"/>
      <c r="C1939" s="33"/>
      <c r="D1939" s="33"/>
      <c r="E1939" s="33"/>
      <c r="F1939" s="33"/>
      <c r="G1939" s="33"/>
      <c r="H1939" s="33"/>
      <c r="I1939" s="33"/>
      <c r="J1939" s="33"/>
      <c r="K1939" s="33"/>
      <c r="L1939" s="33"/>
    </row>
    <row r="1940" spans="1:12" s="1" customFormat="1" x14ac:dyDescent="0.3">
      <c r="A1940" s="33"/>
      <c r="B1940" s="33"/>
      <c r="C1940" s="33"/>
      <c r="D1940" s="33"/>
      <c r="E1940" s="33"/>
      <c r="F1940" s="33"/>
      <c r="G1940" s="33"/>
      <c r="H1940" s="33"/>
      <c r="I1940" s="33"/>
      <c r="J1940" s="33"/>
      <c r="K1940" s="33"/>
      <c r="L1940" s="33"/>
    </row>
    <row r="1941" spans="1:12" s="1" customFormat="1" x14ac:dyDescent="0.3">
      <c r="A1941" s="33"/>
      <c r="B1941" s="33"/>
      <c r="C1941" s="33"/>
      <c r="D1941" s="33"/>
      <c r="E1941" s="33"/>
      <c r="F1941" s="33"/>
      <c r="G1941" s="33"/>
      <c r="H1941" s="33"/>
      <c r="I1941" s="33"/>
      <c r="J1941" s="33"/>
      <c r="K1941" s="33"/>
      <c r="L1941" s="33"/>
    </row>
    <row r="1942" spans="1:12" s="1" customFormat="1" x14ac:dyDescent="0.3">
      <c r="A1942" s="33"/>
      <c r="B1942" s="33"/>
      <c r="C1942" s="33"/>
      <c r="D1942" s="33"/>
      <c r="E1942" s="33"/>
      <c r="F1942" s="33"/>
      <c r="G1942" s="33"/>
      <c r="H1942" s="33"/>
      <c r="I1942" s="33"/>
      <c r="J1942" s="33"/>
      <c r="K1942" s="33"/>
      <c r="L1942" s="33"/>
    </row>
    <row r="1943" spans="1:12" s="1" customFormat="1" x14ac:dyDescent="0.3">
      <c r="A1943" s="33"/>
      <c r="B1943" s="33"/>
      <c r="C1943" s="33"/>
      <c r="D1943" s="33"/>
      <c r="E1943" s="33"/>
      <c r="F1943" s="33"/>
      <c r="G1943" s="33"/>
      <c r="H1943" s="33"/>
      <c r="I1943" s="33"/>
      <c r="J1943" s="33"/>
      <c r="K1943" s="33"/>
      <c r="L1943" s="33"/>
    </row>
    <row r="1944" spans="1:12" s="1" customFormat="1" x14ac:dyDescent="0.3">
      <c r="A1944" s="33"/>
      <c r="B1944" s="33"/>
      <c r="C1944" s="33"/>
      <c r="D1944" s="33"/>
      <c r="E1944" s="33"/>
      <c r="F1944" s="33"/>
      <c r="G1944" s="33"/>
      <c r="H1944" s="33"/>
      <c r="I1944" s="33"/>
      <c r="J1944" s="33"/>
      <c r="K1944" s="33"/>
      <c r="L1944" s="33"/>
    </row>
    <row r="1945" spans="1:12" s="1" customFormat="1" x14ac:dyDescent="0.3">
      <c r="A1945" s="33"/>
      <c r="B1945" s="33"/>
      <c r="C1945" s="33"/>
      <c r="D1945" s="33"/>
      <c r="E1945" s="33"/>
      <c r="F1945" s="33"/>
      <c r="G1945" s="33"/>
      <c r="H1945" s="33"/>
      <c r="I1945" s="33"/>
      <c r="J1945" s="33"/>
      <c r="K1945" s="33"/>
      <c r="L1945" s="33"/>
    </row>
    <row r="1946" spans="1:12" s="1" customFormat="1" x14ac:dyDescent="0.3">
      <c r="A1946" s="33"/>
      <c r="B1946" s="33"/>
      <c r="C1946" s="33"/>
      <c r="D1946" s="33"/>
      <c r="E1946" s="33"/>
      <c r="F1946" s="33"/>
      <c r="G1946" s="33"/>
      <c r="H1946" s="33"/>
      <c r="I1946" s="33"/>
      <c r="J1946" s="33"/>
      <c r="K1946" s="33"/>
      <c r="L1946" s="33"/>
    </row>
    <row r="1947" spans="1:12" s="1" customFormat="1" x14ac:dyDescent="0.3">
      <c r="A1947" s="33"/>
      <c r="B1947" s="33"/>
      <c r="C1947" s="33"/>
      <c r="D1947" s="33"/>
      <c r="E1947" s="33"/>
      <c r="F1947" s="33"/>
      <c r="G1947" s="33"/>
      <c r="H1947" s="33"/>
      <c r="I1947" s="33"/>
      <c r="J1947" s="33"/>
      <c r="K1947" s="33"/>
      <c r="L1947" s="33"/>
    </row>
    <row r="1948" spans="1:12" s="1" customFormat="1" x14ac:dyDescent="0.3">
      <c r="A1948" s="33"/>
      <c r="B1948" s="33"/>
      <c r="C1948" s="33"/>
      <c r="D1948" s="33"/>
      <c r="E1948" s="33"/>
      <c r="F1948" s="33"/>
      <c r="G1948" s="33"/>
      <c r="H1948" s="33"/>
      <c r="I1948" s="33"/>
      <c r="J1948" s="33"/>
      <c r="K1948" s="33"/>
      <c r="L1948" s="33"/>
    </row>
    <row r="1949" spans="1:12" s="1" customFormat="1" x14ac:dyDescent="0.3">
      <c r="A1949" s="33"/>
      <c r="B1949" s="33"/>
      <c r="C1949" s="33"/>
      <c r="D1949" s="33"/>
      <c r="E1949" s="33"/>
      <c r="F1949" s="33"/>
      <c r="G1949" s="33"/>
      <c r="H1949" s="33"/>
      <c r="I1949" s="33"/>
      <c r="J1949" s="33"/>
      <c r="K1949" s="33"/>
      <c r="L1949" s="33"/>
    </row>
    <row r="1950" spans="1:12" s="1" customFormat="1" x14ac:dyDescent="0.3">
      <c r="A1950" s="33"/>
      <c r="B1950" s="33"/>
      <c r="C1950" s="33"/>
      <c r="D1950" s="33"/>
      <c r="E1950" s="33"/>
      <c r="F1950" s="33"/>
      <c r="G1950" s="33"/>
      <c r="H1950" s="33"/>
      <c r="I1950" s="33"/>
      <c r="J1950" s="33"/>
      <c r="K1950" s="33"/>
      <c r="L1950" s="33"/>
    </row>
    <row r="1951" spans="1:12" s="1" customFormat="1" x14ac:dyDescent="0.3">
      <c r="A1951" s="33"/>
      <c r="B1951" s="33"/>
      <c r="C1951" s="33"/>
      <c r="D1951" s="33"/>
      <c r="E1951" s="33"/>
      <c r="F1951" s="33"/>
      <c r="G1951" s="33"/>
      <c r="H1951" s="33"/>
      <c r="I1951" s="33"/>
      <c r="J1951" s="33"/>
      <c r="K1951" s="33"/>
      <c r="L1951" s="33"/>
    </row>
    <row r="1952" spans="1:12" s="1" customFormat="1" x14ac:dyDescent="0.3">
      <c r="A1952" s="33"/>
      <c r="B1952" s="33"/>
      <c r="C1952" s="33"/>
      <c r="D1952" s="33"/>
      <c r="E1952" s="33"/>
      <c r="F1952" s="33"/>
      <c r="G1952" s="33"/>
      <c r="H1952" s="33"/>
      <c r="I1952" s="33"/>
      <c r="J1952" s="33"/>
      <c r="K1952" s="33"/>
      <c r="L1952" s="33"/>
    </row>
    <row r="1953" spans="1:12" s="1" customFormat="1" x14ac:dyDescent="0.3">
      <c r="A1953" s="33"/>
      <c r="B1953" s="33"/>
      <c r="C1953" s="33"/>
      <c r="D1953" s="33"/>
      <c r="E1953" s="33"/>
      <c r="F1953" s="33"/>
      <c r="G1953" s="33"/>
      <c r="H1953" s="33"/>
      <c r="I1953" s="33"/>
      <c r="J1953" s="33"/>
      <c r="K1953" s="33"/>
      <c r="L1953" s="33"/>
    </row>
    <row r="1954" spans="1:12" s="1" customFormat="1" x14ac:dyDescent="0.3">
      <c r="A1954" s="33"/>
      <c r="B1954" s="33"/>
      <c r="C1954" s="33"/>
      <c r="D1954" s="33"/>
      <c r="E1954" s="33"/>
      <c r="F1954" s="33"/>
      <c r="G1954" s="33"/>
      <c r="H1954" s="33"/>
      <c r="I1954" s="33"/>
      <c r="J1954" s="33"/>
      <c r="K1954" s="33"/>
      <c r="L1954" s="33"/>
    </row>
    <row r="1955" spans="1:12" s="1" customFormat="1" x14ac:dyDescent="0.3">
      <c r="A1955" s="33"/>
      <c r="B1955" s="33"/>
      <c r="C1955" s="33"/>
      <c r="D1955" s="33"/>
      <c r="E1955" s="33"/>
      <c r="F1955" s="33"/>
      <c r="G1955" s="33"/>
      <c r="H1955" s="33"/>
      <c r="I1955" s="33"/>
      <c r="J1955" s="33"/>
      <c r="K1955" s="33"/>
      <c r="L1955" s="33"/>
    </row>
    <row r="1956" spans="1:12" s="1" customFormat="1" x14ac:dyDescent="0.3">
      <c r="A1956" s="33"/>
      <c r="B1956" s="33"/>
      <c r="C1956" s="33"/>
      <c r="D1956" s="33"/>
      <c r="E1956" s="33"/>
      <c r="F1956" s="33"/>
      <c r="G1956" s="33"/>
      <c r="H1956" s="33"/>
      <c r="I1956" s="33"/>
      <c r="J1956" s="33"/>
      <c r="K1956" s="33"/>
      <c r="L1956" s="33"/>
    </row>
    <row r="1957" spans="1:12" s="1" customFormat="1" x14ac:dyDescent="0.3">
      <c r="A1957" s="33"/>
      <c r="B1957" s="33"/>
      <c r="C1957" s="33"/>
      <c r="D1957" s="33"/>
      <c r="E1957" s="33"/>
      <c r="F1957" s="33"/>
      <c r="G1957" s="33"/>
      <c r="H1957" s="33"/>
      <c r="I1957" s="33"/>
      <c r="J1957" s="33"/>
      <c r="K1957" s="33"/>
      <c r="L1957" s="33"/>
    </row>
    <row r="1958" spans="1:12" s="1" customFormat="1" x14ac:dyDescent="0.3">
      <c r="A1958" s="33"/>
      <c r="B1958" s="33"/>
      <c r="C1958" s="33"/>
      <c r="D1958" s="33"/>
      <c r="E1958" s="33"/>
      <c r="F1958" s="33"/>
      <c r="G1958" s="33"/>
      <c r="H1958" s="33"/>
      <c r="I1958" s="33"/>
      <c r="J1958" s="33"/>
      <c r="K1958" s="33"/>
      <c r="L1958" s="33"/>
    </row>
    <row r="1959" spans="1:12" s="1" customFormat="1" x14ac:dyDescent="0.3">
      <c r="A1959" s="33"/>
      <c r="B1959" s="33"/>
      <c r="C1959" s="33"/>
      <c r="D1959" s="33"/>
      <c r="E1959" s="33"/>
      <c r="F1959" s="33"/>
      <c r="G1959" s="33"/>
      <c r="H1959" s="33"/>
      <c r="I1959" s="33"/>
      <c r="J1959" s="33"/>
      <c r="K1959" s="33"/>
      <c r="L1959" s="33"/>
    </row>
    <row r="1960" spans="1:12" s="1" customFormat="1" x14ac:dyDescent="0.3">
      <c r="A1960" s="33"/>
      <c r="B1960" s="33"/>
      <c r="C1960" s="33"/>
      <c r="D1960" s="33"/>
      <c r="E1960" s="33"/>
      <c r="F1960" s="33"/>
      <c r="G1960" s="33"/>
      <c r="H1960" s="33"/>
      <c r="I1960" s="33"/>
      <c r="J1960" s="33"/>
      <c r="K1960" s="33"/>
      <c r="L1960" s="33"/>
    </row>
    <row r="1961" spans="1:12" s="1" customFormat="1" x14ac:dyDescent="0.3">
      <c r="A1961" s="33"/>
      <c r="B1961" s="33"/>
      <c r="C1961" s="33"/>
      <c r="D1961" s="33"/>
      <c r="E1961" s="33"/>
      <c r="F1961" s="33"/>
      <c r="G1961" s="33"/>
      <c r="H1961" s="33"/>
      <c r="I1961" s="33"/>
      <c r="J1961" s="33"/>
      <c r="K1961" s="33"/>
      <c r="L1961" s="33"/>
    </row>
    <row r="1962" spans="1:12" s="1" customFormat="1" x14ac:dyDescent="0.3">
      <c r="A1962" s="33"/>
      <c r="B1962" s="33"/>
      <c r="C1962" s="33"/>
      <c r="D1962" s="33"/>
      <c r="E1962" s="33"/>
      <c r="F1962" s="33"/>
      <c r="G1962" s="33"/>
      <c r="H1962" s="33"/>
      <c r="I1962" s="33"/>
      <c r="J1962" s="33"/>
      <c r="K1962" s="33"/>
      <c r="L1962" s="33"/>
    </row>
    <row r="1963" spans="1:12" s="1" customFormat="1" x14ac:dyDescent="0.3">
      <c r="A1963" s="33"/>
      <c r="B1963" s="33"/>
      <c r="C1963" s="33"/>
      <c r="D1963" s="33"/>
      <c r="E1963" s="33"/>
      <c r="F1963" s="33"/>
      <c r="G1963" s="33"/>
      <c r="H1963" s="33"/>
      <c r="I1963" s="33"/>
      <c r="J1963" s="33"/>
      <c r="K1963" s="33"/>
      <c r="L1963" s="33"/>
    </row>
    <row r="1964" spans="1:12" s="1" customFormat="1" x14ac:dyDescent="0.3">
      <c r="A1964" s="33"/>
      <c r="B1964" s="33"/>
      <c r="C1964" s="33"/>
      <c r="D1964" s="33"/>
      <c r="E1964" s="33"/>
      <c r="F1964" s="33"/>
      <c r="G1964" s="33"/>
      <c r="H1964" s="33"/>
      <c r="I1964" s="33"/>
      <c r="J1964" s="33"/>
      <c r="K1964" s="33"/>
      <c r="L1964" s="33"/>
    </row>
    <row r="1965" spans="1:12" s="1" customFormat="1" x14ac:dyDescent="0.3">
      <c r="A1965" s="33"/>
      <c r="B1965" s="33"/>
      <c r="C1965" s="33"/>
      <c r="D1965" s="33"/>
      <c r="E1965" s="33"/>
      <c r="F1965" s="33"/>
      <c r="G1965" s="33"/>
      <c r="H1965" s="33"/>
      <c r="I1965" s="33"/>
      <c r="J1965" s="33"/>
      <c r="K1965" s="33"/>
      <c r="L1965" s="33"/>
    </row>
    <row r="1966" spans="1:12" s="1" customFormat="1" x14ac:dyDescent="0.3">
      <c r="A1966" s="33"/>
      <c r="B1966" s="33"/>
      <c r="C1966" s="33"/>
      <c r="D1966" s="33"/>
      <c r="E1966" s="33"/>
      <c r="F1966" s="33"/>
      <c r="G1966" s="33"/>
      <c r="H1966" s="33"/>
      <c r="I1966" s="33"/>
      <c r="J1966" s="33"/>
      <c r="K1966" s="33"/>
      <c r="L1966" s="33"/>
    </row>
    <row r="1967" spans="1:12" s="1" customFormat="1" x14ac:dyDescent="0.3">
      <c r="A1967" s="33"/>
      <c r="B1967" s="33"/>
      <c r="C1967" s="33"/>
      <c r="D1967" s="33"/>
      <c r="E1967" s="33"/>
      <c r="F1967" s="33"/>
      <c r="G1967" s="33"/>
      <c r="H1967" s="33"/>
      <c r="I1967" s="33"/>
      <c r="J1967" s="33"/>
      <c r="K1967" s="33"/>
      <c r="L1967" s="33"/>
    </row>
    <row r="1968" spans="1:12" s="1" customFormat="1" x14ac:dyDescent="0.3">
      <c r="A1968" s="33"/>
      <c r="B1968" s="33"/>
      <c r="C1968" s="33"/>
      <c r="D1968" s="33"/>
      <c r="E1968" s="33"/>
      <c r="F1968" s="33"/>
      <c r="G1968" s="33"/>
      <c r="H1968" s="33"/>
      <c r="I1968" s="33"/>
      <c r="J1968" s="33"/>
      <c r="K1968" s="33"/>
      <c r="L1968" s="33"/>
    </row>
    <row r="1969" spans="1:12" s="1" customFormat="1" x14ac:dyDescent="0.3">
      <c r="A1969" s="33"/>
      <c r="B1969" s="33"/>
      <c r="C1969" s="33"/>
      <c r="D1969" s="33"/>
      <c r="E1969" s="33"/>
      <c r="F1969" s="33"/>
      <c r="G1969" s="33"/>
      <c r="H1969" s="33"/>
      <c r="I1969" s="33"/>
      <c r="J1969" s="33"/>
      <c r="K1969" s="33"/>
      <c r="L1969" s="33"/>
    </row>
    <row r="1970" spans="1:12" s="1" customFormat="1" x14ac:dyDescent="0.3">
      <c r="A1970" s="33"/>
      <c r="B1970" s="33"/>
      <c r="C1970" s="33"/>
      <c r="D1970" s="33"/>
      <c r="E1970" s="33"/>
      <c r="F1970" s="33"/>
      <c r="G1970" s="33"/>
      <c r="H1970" s="33"/>
      <c r="I1970" s="33"/>
      <c r="J1970" s="33"/>
      <c r="K1970" s="33"/>
      <c r="L1970" s="33"/>
    </row>
    <row r="1971" spans="1:12" s="1" customFormat="1" x14ac:dyDescent="0.3">
      <c r="A1971" s="33"/>
      <c r="B1971" s="33"/>
      <c r="C1971" s="33"/>
      <c r="D1971" s="33"/>
      <c r="E1971" s="33"/>
      <c r="F1971" s="33"/>
      <c r="G1971" s="33"/>
      <c r="H1971" s="33"/>
      <c r="I1971" s="33"/>
      <c r="J1971" s="33"/>
      <c r="K1971" s="33"/>
      <c r="L1971" s="33"/>
    </row>
    <row r="1972" spans="1:12" s="1" customFormat="1" x14ac:dyDescent="0.3">
      <c r="A1972" s="33"/>
      <c r="B1972" s="33"/>
      <c r="C1972" s="33"/>
      <c r="D1972" s="33"/>
      <c r="E1972" s="33"/>
      <c r="F1972" s="33"/>
      <c r="G1972" s="33"/>
      <c r="H1972" s="33"/>
      <c r="I1972" s="33"/>
      <c r="J1972" s="33"/>
      <c r="K1972" s="33"/>
      <c r="L1972" s="33"/>
    </row>
    <row r="1973" spans="1:12" s="1" customFormat="1" x14ac:dyDescent="0.3">
      <c r="A1973" s="33"/>
      <c r="B1973" s="33"/>
      <c r="C1973" s="33"/>
      <c r="D1973" s="33"/>
      <c r="E1973" s="33"/>
      <c r="F1973" s="33"/>
      <c r="G1973" s="33"/>
      <c r="H1973" s="33"/>
      <c r="I1973" s="33"/>
      <c r="J1973" s="33"/>
      <c r="K1973" s="33"/>
      <c r="L1973" s="33"/>
    </row>
    <row r="1974" spans="1:12" s="1" customFormat="1" x14ac:dyDescent="0.3">
      <c r="A1974" s="33"/>
      <c r="B1974" s="33"/>
      <c r="C1974" s="33"/>
      <c r="D1974" s="33"/>
      <c r="E1974" s="33"/>
      <c r="F1974" s="33"/>
      <c r="G1974" s="33"/>
      <c r="H1974" s="33"/>
      <c r="I1974" s="33"/>
      <c r="J1974" s="33"/>
      <c r="K1974" s="33"/>
      <c r="L1974" s="33"/>
    </row>
    <row r="1975" spans="1:12" s="1" customFormat="1" x14ac:dyDescent="0.3">
      <c r="A1975" s="33"/>
      <c r="B1975" s="33"/>
      <c r="C1975" s="33"/>
      <c r="D1975" s="33"/>
      <c r="E1975" s="33"/>
      <c r="F1975" s="33"/>
      <c r="G1975" s="33"/>
      <c r="H1975" s="33"/>
      <c r="I1975" s="33"/>
      <c r="J1975" s="33"/>
      <c r="K1975" s="33"/>
      <c r="L1975" s="33"/>
    </row>
    <row r="1976" spans="1:12" s="1" customFormat="1" x14ac:dyDescent="0.3">
      <c r="A1976" s="33"/>
      <c r="B1976" s="33"/>
      <c r="C1976" s="33"/>
      <c r="D1976" s="33"/>
      <c r="E1976" s="33"/>
      <c r="F1976" s="33"/>
      <c r="G1976" s="33"/>
      <c r="H1976" s="33"/>
      <c r="I1976" s="33"/>
      <c r="J1976" s="33"/>
      <c r="K1976" s="33"/>
      <c r="L1976" s="33"/>
    </row>
    <row r="1977" spans="1:12" s="1" customFormat="1" x14ac:dyDescent="0.3">
      <c r="A1977" s="33"/>
      <c r="B1977" s="33"/>
      <c r="C1977" s="33"/>
      <c r="D1977" s="33"/>
      <c r="E1977" s="33"/>
      <c r="F1977" s="33"/>
      <c r="G1977" s="33"/>
      <c r="H1977" s="33"/>
      <c r="I1977" s="33"/>
      <c r="J1977" s="33"/>
      <c r="K1977" s="33"/>
      <c r="L1977" s="33"/>
    </row>
    <row r="1978" spans="1:12" s="1" customFormat="1" x14ac:dyDescent="0.3">
      <c r="A1978" s="33"/>
      <c r="B1978" s="33"/>
      <c r="C1978" s="33"/>
      <c r="D1978" s="33"/>
      <c r="E1978" s="33"/>
      <c r="F1978" s="33"/>
      <c r="G1978" s="33"/>
      <c r="H1978" s="33"/>
      <c r="I1978" s="33"/>
      <c r="J1978" s="33"/>
      <c r="K1978" s="33"/>
      <c r="L1978" s="33"/>
    </row>
    <row r="1979" spans="1:12" s="1" customFormat="1" x14ac:dyDescent="0.3">
      <c r="A1979" s="33"/>
      <c r="B1979" s="33"/>
      <c r="C1979" s="33"/>
      <c r="D1979" s="33"/>
      <c r="E1979" s="33"/>
      <c r="F1979" s="33"/>
      <c r="G1979" s="33"/>
      <c r="H1979" s="33"/>
      <c r="I1979" s="33"/>
      <c r="J1979" s="33"/>
      <c r="K1979" s="33"/>
      <c r="L1979" s="33"/>
    </row>
    <row r="1980" spans="1:12" s="1" customFormat="1" x14ac:dyDescent="0.3">
      <c r="A1980" s="33"/>
      <c r="B1980" s="33"/>
      <c r="C1980" s="33"/>
      <c r="D1980" s="33"/>
      <c r="E1980" s="33"/>
      <c r="F1980" s="33"/>
      <c r="G1980" s="33"/>
      <c r="H1980" s="33"/>
      <c r="I1980" s="33"/>
      <c r="J1980" s="33"/>
      <c r="K1980" s="33"/>
      <c r="L1980" s="33"/>
    </row>
    <row r="1981" spans="1:12" s="1" customFormat="1" x14ac:dyDescent="0.3">
      <c r="A1981" s="33"/>
      <c r="B1981" s="33"/>
      <c r="C1981" s="33"/>
      <c r="D1981" s="33"/>
      <c r="E1981" s="33"/>
      <c r="F1981" s="33"/>
      <c r="G1981" s="33"/>
      <c r="H1981" s="33"/>
      <c r="I1981" s="33"/>
      <c r="J1981" s="33"/>
      <c r="K1981" s="33"/>
      <c r="L1981" s="33"/>
    </row>
    <row r="1982" spans="1:12" s="1" customFormat="1" x14ac:dyDescent="0.3">
      <c r="A1982" s="33"/>
      <c r="B1982" s="33"/>
      <c r="C1982" s="33"/>
      <c r="D1982" s="33"/>
      <c r="E1982" s="33"/>
      <c r="F1982" s="33"/>
      <c r="G1982" s="33"/>
      <c r="H1982" s="33"/>
      <c r="I1982" s="33"/>
      <c r="J1982" s="33"/>
      <c r="K1982" s="33"/>
      <c r="L1982" s="33"/>
    </row>
    <row r="1983" spans="1:12" s="1" customFormat="1" x14ac:dyDescent="0.3">
      <c r="A1983" s="33"/>
      <c r="B1983" s="33"/>
      <c r="C1983" s="33"/>
      <c r="D1983" s="33"/>
      <c r="E1983" s="33"/>
      <c r="F1983" s="33"/>
      <c r="G1983" s="33"/>
      <c r="H1983" s="33"/>
      <c r="I1983" s="33"/>
      <c r="J1983" s="33"/>
      <c r="K1983" s="33"/>
      <c r="L1983" s="33"/>
    </row>
    <row r="1984" spans="1:12" s="1" customFormat="1" x14ac:dyDescent="0.3">
      <c r="A1984" s="33"/>
      <c r="B1984" s="33"/>
      <c r="C1984" s="33"/>
      <c r="D1984" s="33"/>
      <c r="E1984" s="33"/>
      <c r="F1984" s="33"/>
      <c r="G1984" s="33"/>
      <c r="H1984" s="33"/>
      <c r="I1984" s="33"/>
      <c r="J1984" s="33"/>
      <c r="K1984" s="33"/>
      <c r="L1984" s="33"/>
    </row>
    <row r="1985" spans="1:12" s="1" customFormat="1" x14ac:dyDescent="0.3">
      <c r="A1985" s="33"/>
      <c r="B1985" s="33"/>
      <c r="C1985" s="33"/>
      <c r="D1985" s="33"/>
      <c r="E1985" s="33"/>
      <c r="F1985" s="33"/>
      <c r="G1985" s="33"/>
      <c r="H1985" s="33"/>
      <c r="I1985" s="33"/>
      <c r="J1985" s="33"/>
      <c r="K1985" s="33"/>
      <c r="L1985" s="33"/>
    </row>
    <row r="1986" spans="1:12" s="1" customFormat="1" x14ac:dyDescent="0.3">
      <c r="A1986" s="33"/>
      <c r="B1986" s="33"/>
      <c r="C1986" s="33"/>
      <c r="D1986" s="33"/>
      <c r="E1986" s="33"/>
      <c r="F1986" s="33"/>
      <c r="G1986" s="33"/>
      <c r="H1986" s="33"/>
      <c r="I1986" s="33"/>
      <c r="J1986" s="33"/>
      <c r="K1986" s="33"/>
      <c r="L1986" s="33"/>
    </row>
    <row r="1987" spans="1:12" s="1" customFormat="1" x14ac:dyDescent="0.3">
      <c r="A1987" s="33"/>
      <c r="B1987" s="33"/>
      <c r="C1987" s="33"/>
      <c r="D1987" s="33"/>
      <c r="E1987" s="33"/>
      <c r="F1987" s="33"/>
      <c r="G1987" s="33"/>
      <c r="H1987" s="33"/>
      <c r="I1987" s="33"/>
      <c r="J1987" s="33"/>
      <c r="K1987" s="33"/>
      <c r="L1987" s="33"/>
    </row>
    <row r="1988" spans="1:12" s="1" customFormat="1" x14ac:dyDescent="0.3">
      <c r="A1988" s="33"/>
      <c r="B1988" s="33"/>
      <c r="C1988" s="33"/>
      <c r="D1988" s="33"/>
      <c r="E1988" s="33"/>
      <c r="F1988" s="33"/>
      <c r="G1988" s="33"/>
      <c r="H1988" s="33"/>
      <c r="I1988" s="33"/>
      <c r="J1988" s="33"/>
      <c r="K1988" s="33"/>
      <c r="L1988" s="33"/>
    </row>
    <row r="1989" spans="1:12" s="1" customFormat="1" x14ac:dyDescent="0.3">
      <c r="A1989" s="33"/>
      <c r="B1989" s="33"/>
      <c r="C1989" s="33"/>
      <c r="D1989" s="33"/>
      <c r="E1989" s="33"/>
      <c r="F1989" s="33"/>
      <c r="G1989" s="33"/>
      <c r="H1989" s="33"/>
      <c r="I1989" s="33"/>
      <c r="J1989" s="33"/>
      <c r="K1989" s="33"/>
      <c r="L1989" s="33"/>
    </row>
    <row r="1990" spans="1:12" s="1" customFormat="1" x14ac:dyDescent="0.3">
      <c r="A1990" s="33"/>
      <c r="B1990" s="33"/>
      <c r="C1990" s="33"/>
      <c r="D1990" s="33"/>
      <c r="E1990" s="33"/>
      <c r="F1990" s="33"/>
      <c r="G1990" s="33"/>
      <c r="H1990" s="33"/>
      <c r="I1990" s="33"/>
      <c r="J1990" s="33"/>
      <c r="K1990" s="33"/>
      <c r="L1990" s="33"/>
    </row>
    <row r="1991" spans="1:12" s="1" customFormat="1" x14ac:dyDescent="0.3">
      <c r="A1991" s="33"/>
      <c r="B1991" s="33"/>
      <c r="C1991" s="33"/>
      <c r="D1991" s="33"/>
      <c r="E1991" s="33"/>
      <c r="F1991" s="33"/>
      <c r="G1991" s="33"/>
      <c r="H1991" s="33"/>
      <c r="I1991" s="33"/>
      <c r="J1991" s="33"/>
      <c r="K1991" s="33"/>
      <c r="L1991" s="33"/>
    </row>
    <row r="1992" spans="1:12" s="1" customFormat="1" x14ac:dyDescent="0.3">
      <c r="A1992" s="33"/>
      <c r="B1992" s="33"/>
      <c r="C1992" s="33"/>
      <c r="D1992" s="33"/>
      <c r="E1992" s="33"/>
      <c r="F1992" s="33"/>
      <c r="G1992" s="33"/>
      <c r="H1992" s="33"/>
      <c r="I1992" s="33"/>
      <c r="J1992" s="33"/>
      <c r="K1992" s="33"/>
      <c r="L1992" s="33"/>
    </row>
    <row r="1993" spans="1:12" s="1" customFormat="1" x14ac:dyDescent="0.3">
      <c r="A1993" s="33"/>
      <c r="B1993" s="33"/>
      <c r="C1993" s="33"/>
      <c r="D1993" s="33"/>
      <c r="E1993" s="33"/>
      <c r="F1993" s="33"/>
      <c r="G1993" s="33"/>
      <c r="H1993" s="33"/>
      <c r="I1993" s="33"/>
      <c r="J1993" s="33"/>
      <c r="K1993" s="33"/>
      <c r="L1993" s="33"/>
    </row>
    <row r="1994" spans="1:12" s="1" customFormat="1" x14ac:dyDescent="0.3">
      <c r="A1994" s="33"/>
      <c r="B1994" s="33"/>
      <c r="C1994" s="33"/>
      <c r="D1994" s="33"/>
      <c r="E1994" s="33"/>
      <c r="F1994" s="33"/>
      <c r="G1994" s="33"/>
      <c r="H1994" s="33"/>
      <c r="I1994" s="33"/>
      <c r="J1994" s="33"/>
      <c r="K1994" s="33"/>
      <c r="L1994" s="33"/>
    </row>
    <row r="1995" spans="1:12" s="1" customFormat="1" x14ac:dyDescent="0.3">
      <c r="A1995" s="33"/>
      <c r="B1995" s="33"/>
      <c r="C1995" s="33"/>
      <c r="D1995" s="33"/>
      <c r="E1995" s="33"/>
      <c r="F1995" s="33"/>
      <c r="G1995" s="33"/>
      <c r="H1995" s="33"/>
      <c r="I1995" s="33"/>
      <c r="J1995" s="33"/>
      <c r="K1995" s="33"/>
      <c r="L1995" s="33"/>
    </row>
    <row r="1996" spans="1:12" s="1" customFormat="1" x14ac:dyDescent="0.3">
      <c r="A1996" s="33"/>
      <c r="B1996" s="33"/>
      <c r="C1996" s="33"/>
      <c r="D1996" s="33"/>
      <c r="E1996" s="33"/>
      <c r="F1996" s="33"/>
      <c r="G1996" s="33"/>
      <c r="H1996" s="33"/>
      <c r="I1996" s="33"/>
      <c r="J1996" s="33"/>
      <c r="K1996" s="33"/>
      <c r="L1996" s="33"/>
    </row>
    <row r="1997" spans="1:12" s="1" customFormat="1" x14ac:dyDescent="0.3">
      <c r="A1997" s="33"/>
      <c r="B1997" s="33"/>
      <c r="C1997" s="33"/>
      <c r="D1997" s="33"/>
      <c r="E1997" s="33"/>
      <c r="F1997" s="33"/>
      <c r="G1997" s="33"/>
      <c r="H1997" s="33"/>
      <c r="I1997" s="33"/>
      <c r="J1997" s="33"/>
      <c r="K1997" s="33"/>
      <c r="L1997" s="33"/>
    </row>
    <row r="1998" spans="1:12" s="1" customFormat="1" x14ac:dyDescent="0.3">
      <c r="A1998" s="33"/>
      <c r="B1998" s="33"/>
      <c r="C1998" s="33"/>
      <c r="D1998" s="33"/>
      <c r="E1998" s="33"/>
      <c r="F1998" s="33"/>
      <c r="G1998" s="33"/>
      <c r="H1998" s="33"/>
      <c r="I1998" s="33"/>
      <c r="J1998" s="33"/>
      <c r="K1998" s="33"/>
      <c r="L1998" s="33"/>
    </row>
    <row r="1999" spans="1:12" s="1" customFormat="1" x14ac:dyDescent="0.3">
      <c r="A1999" s="33"/>
      <c r="B1999" s="33"/>
      <c r="C1999" s="33"/>
      <c r="D1999" s="33"/>
      <c r="E1999" s="33"/>
      <c r="F1999" s="33"/>
      <c r="G1999" s="33"/>
      <c r="H1999" s="33"/>
      <c r="I1999" s="33"/>
      <c r="J1999" s="33"/>
      <c r="K1999" s="33"/>
      <c r="L1999" s="33"/>
    </row>
    <row r="2000" spans="1:12" s="1" customFormat="1" x14ac:dyDescent="0.3">
      <c r="A2000" s="33"/>
      <c r="B2000" s="33"/>
      <c r="C2000" s="33"/>
      <c r="D2000" s="33"/>
      <c r="E2000" s="33"/>
      <c r="F2000" s="33"/>
      <c r="G2000" s="33"/>
      <c r="H2000" s="33"/>
      <c r="I2000" s="33"/>
      <c r="J2000" s="33"/>
      <c r="K2000" s="33"/>
      <c r="L2000" s="33"/>
    </row>
    <row r="2001" spans="1:12" s="1" customFormat="1" x14ac:dyDescent="0.3">
      <c r="A2001" s="33"/>
      <c r="B2001" s="33"/>
      <c r="C2001" s="33"/>
      <c r="D2001" s="33"/>
      <c r="E2001" s="33"/>
      <c r="F2001" s="33"/>
      <c r="G2001" s="33"/>
      <c r="H2001" s="33"/>
      <c r="I2001" s="33"/>
      <c r="J2001" s="33"/>
      <c r="K2001" s="33"/>
      <c r="L2001" s="33"/>
    </row>
    <row r="2002" spans="1:12" s="1" customFormat="1" x14ac:dyDescent="0.3">
      <c r="A2002" s="33"/>
      <c r="B2002" s="33"/>
      <c r="C2002" s="33"/>
      <c r="D2002" s="33"/>
      <c r="E2002" s="33"/>
      <c r="F2002" s="33"/>
      <c r="G2002" s="33"/>
      <c r="H2002" s="33"/>
      <c r="I2002" s="33"/>
      <c r="J2002" s="33"/>
      <c r="K2002" s="33"/>
      <c r="L2002" s="33"/>
    </row>
    <row r="2003" spans="1:12" s="1" customFormat="1" x14ac:dyDescent="0.3">
      <c r="A2003" s="33"/>
      <c r="B2003" s="33"/>
      <c r="C2003" s="33"/>
      <c r="D2003" s="33"/>
      <c r="E2003" s="33"/>
      <c r="F2003" s="33"/>
      <c r="G2003" s="33"/>
      <c r="H2003" s="33"/>
      <c r="I2003" s="33"/>
      <c r="J2003" s="33"/>
      <c r="K2003" s="33"/>
      <c r="L2003" s="33"/>
    </row>
    <row r="2004" spans="1:12" s="1" customFormat="1" x14ac:dyDescent="0.3">
      <c r="A2004" s="33"/>
      <c r="B2004" s="33"/>
      <c r="C2004" s="33"/>
      <c r="D2004" s="33"/>
      <c r="E2004" s="33"/>
      <c r="F2004" s="33"/>
      <c r="G2004" s="33"/>
      <c r="H2004" s="33"/>
      <c r="I2004" s="33"/>
      <c r="J2004" s="33"/>
      <c r="K2004" s="33"/>
      <c r="L2004" s="33"/>
    </row>
    <row r="2005" spans="1:12" s="1" customFormat="1" x14ac:dyDescent="0.3">
      <c r="A2005" s="33"/>
      <c r="B2005" s="33"/>
      <c r="C2005" s="33"/>
      <c r="D2005" s="33"/>
      <c r="E2005" s="33"/>
      <c r="F2005" s="33"/>
      <c r="G2005" s="33"/>
      <c r="H2005" s="33"/>
      <c r="I2005" s="33"/>
      <c r="J2005" s="33"/>
      <c r="K2005" s="33"/>
      <c r="L2005" s="33"/>
    </row>
    <row r="2006" spans="1:12" s="1" customFormat="1" x14ac:dyDescent="0.3">
      <c r="A2006" s="33"/>
      <c r="B2006" s="33"/>
      <c r="C2006" s="33"/>
      <c r="D2006" s="33"/>
      <c r="E2006" s="33"/>
      <c r="F2006" s="33"/>
      <c r="G2006" s="33"/>
      <c r="H2006" s="33"/>
      <c r="I2006" s="33"/>
      <c r="J2006" s="33"/>
      <c r="K2006" s="33"/>
      <c r="L2006" s="33"/>
    </row>
    <row r="2007" spans="1:12" s="1" customFormat="1" x14ac:dyDescent="0.3">
      <c r="A2007" s="33"/>
      <c r="B2007" s="33"/>
      <c r="C2007" s="33"/>
      <c r="D2007" s="33"/>
      <c r="E2007" s="33"/>
      <c r="F2007" s="33"/>
      <c r="G2007" s="33"/>
      <c r="H2007" s="33"/>
      <c r="I2007" s="33"/>
      <c r="J2007" s="33"/>
      <c r="K2007" s="33"/>
      <c r="L2007" s="33"/>
    </row>
    <row r="2008" spans="1:12" s="1" customFormat="1" x14ac:dyDescent="0.3">
      <c r="A2008" s="33"/>
      <c r="B2008" s="33"/>
      <c r="C2008" s="33"/>
      <c r="D2008" s="33"/>
      <c r="E2008" s="33"/>
      <c r="F2008" s="33"/>
      <c r="G2008" s="33"/>
      <c r="H2008" s="33"/>
      <c r="I2008" s="33"/>
      <c r="J2008" s="33"/>
      <c r="K2008" s="33"/>
      <c r="L2008" s="33"/>
    </row>
    <row r="2009" spans="1:12" s="1" customFormat="1" x14ac:dyDescent="0.3">
      <c r="A2009" s="33"/>
      <c r="B2009" s="33"/>
      <c r="C2009" s="33"/>
      <c r="D2009" s="33"/>
      <c r="E2009" s="33"/>
      <c r="F2009" s="33"/>
      <c r="G2009" s="33"/>
      <c r="H2009" s="33"/>
      <c r="I2009" s="33"/>
      <c r="J2009" s="33"/>
      <c r="K2009" s="33"/>
      <c r="L2009" s="33"/>
    </row>
    <row r="2010" spans="1:12" s="1" customFormat="1" x14ac:dyDescent="0.3">
      <c r="A2010" s="33"/>
      <c r="B2010" s="33"/>
      <c r="C2010" s="33"/>
      <c r="D2010" s="33"/>
      <c r="E2010" s="33"/>
      <c r="F2010" s="33"/>
      <c r="G2010" s="33"/>
      <c r="H2010" s="33"/>
      <c r="I2010" s="33"/>
      <c r="J2010" s="33"/>
      <c r="K2010" s="33"/>
      <c r="L2010" s="33"/>
    </row>
    <row r="2011" spans="1:12" s="1" customFormat="1" x14ac:dyDescent="0.3">
      <c r="A2011" s="33"/>
      <c r="B2011" s="33"/>
      <c r="C2011" s="33"/>
      <c r="D2011" s="33"/>
      <c r="E2011" s="33"/>
      <c r="F2011" s="33"/>
      <c r="G2011" s="33"/>
      <c r="H2011" s="33"/>
      <c r="I2011" s="33"/>
      <c r="J2011" s="33"/>
      <c r="K2011" s="33"/>
      <c r="L2011" s="33"/>
    </row>
    <row r="2012" spans="1:12" s="1" customFormat="1" x14ac:dyDescent="0.3">
      <c r="A2012" s="33"/>
      <c r="B2012" s="33"/>
      <c r="C2012" s="33"/>
      <c r="D2012" s="33"/>
      <c r="E2012" s="33"/>
      <c r="F2012" s="33"/>
      <c r="G2012" s="33"/>
      <c r="H2012" s="33"/>
      <c r="I2012" s="33"/>
      <c r="J2012" s="33"/>
      <c r="K2012" s="33"/>
      <c r="L2012" s="33"/>
    </row>
    <row r="2013" spans="1:12" s="1" customFormat="1" x14ac:dyDescent="0.3">
      <c r="A2013" s="33"/>
      <c r="B2013" s="33"/>
      <c r="C2013" s="33"/>
      <c r="D2013" s="33"/>
      <c r="E2013" s="33"/>
      <c r="F2013" s="33"/>
      <c r="G2013" s="33"/>
      <c r="H2013" s="33"/>
      <c r="I2013" s="33"/>
      <c r="J2013" s="33"/>
      <c r="K2013" s="33"/>
      <c r="L2013" s="33"/>
    </row>
    <row r="2014" spans="1:12" s="1" customFormat="1" x14ac:dyDescent="0.3">
      <c r="A2014" s="33"/>
      <c r="B2014" s="33"/>
      <c r="C2014" s="33"/>
      <c r="D2014" s="33"/>
      <c r="E2014" s="33"/>
      <c r="F2014" s="33"/>
      <c r="G2014" s="33"/>
      <c r="H2014" s="33"/>
      <c r="I2014" s="33"/>
      <c r="J2014" s="33"/>
      <c r="K2014" s="33"/>
      <c r="L2014" s="33"/>
    </row>
    <row r="2015" spans="1:12" s="1" customFormat="1" x14ac:dyDescent="0.3">
      <c r="A2015" s="33"/>
      <c r="B2015" s="33"/>
      <c r="C2015" s="33"/>
      <c r="D2015" s="33"/>
      <c r="E2015" s="33"/>
      <c r="F2015" s="33"/>
      <c r="G2015" s="33"/>
      <c r="H2015" s="33"/>
      <c r="I2015" s="33"/>
      <c r="J2015" s="33"/>
      <c r="K2015" s="33"/>
      <c r="L2015" s="33"/>
    </row>
    <row r="2016" spans="1:12" s="1" customFormat="1" x14ac:dyDescent="0.3">
      <c r="A2016" s="33"/>
      <c r="B2016" s="33"/>
      <c r="C2016" s="33"/>
      <c r="D2016" s="33"/>
      <c r="E2016" s="33"/>
      <c r="F2016" s="33"/>
      <c r="G2016" s="33"/>
      <c r="H2016" s="33"/>
      <c r="I2016" s="33"/>
      <c r="J2016" s="33"/>
      <c r="K2016" s="33"/>
      <c r="L2016" s="33"/>
    </row>
    <row r="2017" spans="1:12" s="1" customFormat="1" x14ac:dyDescent="0.3">
      <c r="A2017" s="33"/>
      <c r="B2017" s="33"/>
      <c r="C2017" s="33"/>
      <c r="D2017" s="33"/>
      <c r="E2017" s="33"/>
      <c r="F2017" s="33"/>
      <c r="G2017" s="33"/>
      <c r="H2017" s="33"/>
      <c r="I2017" s="33"/>
      <c r="J2017" s="33"/>
      <c r="K2017" s="33"/>
      <c r="L2017" s="33"/>
    </row>
    <row r="2018" spans="1:12" s="1" customFormat="1" x14ac:dyDescent="0.3">
      <c r="A2018" s="33"/>
      <c r="B2018" s="33"/>
      <c r="C2018" s="33"/>
      <c r="D2018" s="33"/>
      <c r="E2018" s="33"/>
      <c r="F2018" s="33"/>
      <c r="G2018" s="33"/>
      <c r="H2018" s="33"/>
      <c r="I2018" s="33"/>
      <c r="J2018" s="33"/>
      <c r="K2018" s="33"/>
      <c r="L2018" s="33"/>
    </row>
    <row r="2019" spans="1:12" s="1" customFormat="1" x14ac:dyDescent="0.3">
      <c r="A2019" s="33"/>
      <c r="B2019" s="33"/>
      <c r="C2019" s="33"/>
      <c r="D2019" s="33"/>
      <c r="E2019" s="33"/>
      <c r="F2019" s="33"/>
      <c r="G2019" s="33"/>
      <c r="H2019" s="33"/>
      <c r="I2019" s="33"/>
      <c r="J2019" s="33"/>
      <c r="K2019" s="33"/>
      <c r="L2019" s="33"/>
    </row>
    <row r="2020" spans="1:12" s="1" customFormat="1" x14ac:dyDescent="0.3">
      <c r="A2020" s="33"/>
      <c r="B2020" s="33"/>
      <c r="C2020" s="33"/>
      <c r="D2020" s="33"/>
      <c r="E2020" s="33"/>
      <c r="F2020" s="33"/>
      <c r="G2020" s="33"/>
      <c r="H2020" s="33"/>
      <c r="I2020" s="33"/>
      <c r="J2020" s="33"/>
      <c r="K2020" s="33"/>
      <c r="L2020" s="33"/>
    </row>
    <row r="2021" spans="1:12" s="1" customFormat="1" x14ac:dyDescent="0.3">
      <c r="A2021" s="33"/>
      <c r="B2021" s="33"/>
      <c r="C2021" s="33"/>
      <c r="D2021" s="33"/>
      <c r="E2021" s="33"/>
      <c r="F2021" s="33"/>
      <c r="G2021" s="33"/>
      <c r="H2021" s="33"/>
      <c r="I2021" s="33"/>
      <c r="J2021" s="33"/>
      <c r="K2021" s="33"/>
      <c r="L2021" s="33"/>
    </row>
    <row r="2022" spans="1:12" s="1" customFormat="1" x14ac:dyDescent="0.3">
      <c r="A2022" s="33"/>
      <c r="B2022" s="33"/>
      <c r="C2022" s="33"/>
      <c r="D2022" s="33"/>
      <c r="E2022" s="33"/>
      <c r="F2022" s="33"/>
      <c r="G2022" s="33"/>
      <c r="H2022" s="33"/>
      <c r="I2022" s="33"/>
      <c r="J2022" s="33"/>
      <c r="K2022" s="33"/>
      <c r="L2022" s="33"/>
    </row>
    <row r="2023" spans="1:12" s="1" customFormat="1" x14ac:dyDescent="0.3">
      <c r="A2023" s="33"/>
      <c r="B2023" s="33"/>
      <c r="C2023" s="33"/>
      <c r="D2023" s="33"/>
      <c r="E2023" s="33"/>
      <c r="F2023" s="33"/>
      <c r="G2023" s="33"/>
      <c r="H2023" s="33"/>
      <c r="I2023" s="33"/>
      <c r="J2023" s="33"/>
      <c r="K2023" s="33"/>
      <c r="L2023" s="33"/>
    </row>
    <row r="2024" spans="1:12" s="1" customFormat="1" x14ac:dyDescent="0.3">
      <c r="A2024" s="33"/>
      <c r="B2024" s="33"/>
      <c r="C2024" s="33"/>
      <c r="D2024" s="33"/>
      <c r="E2024" s="33"/>
      <c r="F2024" s="33"/>
      <c r="G2024" s="33"/>
      <c r="H2024" s="33"/>
      <c r="I2024" s="33"/>
      <c r="J2024" s="33"/>
      <c r="K2024" s="33"/>
      <c r="L2024" s="33"/>
    </row>
    <row r="2025" spans="1:12" s="1" customFormat="1" x14ac:dyDescent="0.3">
      <c r="A2025" s="33"/>
      <c r="B2025" s="33"/>
      <c r="C2025" s="33"/>
      <c r="D2025" s="33"/>
      <c r="E2025" s="33"/>
      <c r="F2025" s="33"/>
      <c r="G2025" s="33"/>
      <c r="H2025" s="33"/>
      <c r="I2025" s="33"/>
      <c r="J2025" s="33"/>
      <c r="K2025" s="33"/>
      <c r="L2025" s="33"/>
    </row>
    <row r="2026" spans="1:12" s="1" customFormat="1" x14ac:dyDescent="0.3">
      <c r="A2026" s="33"/>
      <c r="B2026" s="33"/>
      <c r="C2026" s="33"/>
      <c r="D2026" s="33"/>
      <c r="E2026" s="33"/>
      <c r="F2026" s="33"/>
      <c r="G2026" s="33"/>
      <c r="H2026" s="33"/>
      <c r="I2026" s="33"/>
      <c r="J2026" s="33"/>
      <c r="K2026" s="33"/>
      <c r="L2026" s="33"/>
    </row>
    <row r="2027" spans="1:12" s="1" customFormat="1" x14ac:dyDescent="0.3">
      <c r="A2027" s="33"/>
      <c r="B2027" s="33"/>
      <c r="C2027" s="33"/>
      <c r="D2027" s="33"/>
      <c r="E2027" s="33"/>
      <c r="F2027" s="33"/>
      <c r="G2027" s="33"/>
      <c r="H2027" s="33"/>
      <c r="I2027" s="33"/>
      <c r="J2027" s="33"/>
      <c r="K2027" s="33"/>
      <c r="L2027" s="33"/>
    </row>
    <row r="2028" spans="1:12" s="1" customFormat="1" x14ac:dyDescent="0.3">
      <c r="A2028" s="33"/>
      <c r="B2028" s="33"/>
      <c r="C2028" s="33"/>
      <c r="D2028" s="33"/>
      <c r="E2028" s="33"/>
      <c r="F2028" s="33"/>
      <c r="G2028" s="33"/>
      <c r="H2028" s="33"/>
      <c r="I2028" s="33"/>
      <c r="J2028" s="33"/>
      <c r="K2028" s="33"/>
      <c r="L2028" s="33"/>
    </row>
    <row r="2029" spans="1:12" s="1" customFormat="1" x14ac:dyDescent="0.3">
      <c r="A2029" s="33"/>
      <c r="B2029" s="33"/>
      <c r="C2029" s="33"/>
      <c r="D2029" s="33"/>
      <c r="E2029" s="33"/>
      <c r="F2029" s="33"/>
      <c r="G2029" s="33"/>
      <c r="H2029" s="33"/>
      <c r="I2029" s="33"/>
      <c r="J2029" s="33"/>
      <c r="K2029" s="33"/>
      <c r="L2029" s="33"/>
    </row>
    <row r="2030" spans="1:12" s="1" customFormat="1" x14ac:dyDescent="0.3">
      <c r="A2030" s="33"/>
      <c r="B2030" s="33"/>
      <c r="C2030" s="33"/>
      <c r="D2030" s="33"/>
      <c r="E2030" s="33"/>
      <c r="F2030" s="33"/>
      <c r="G2030" s="33"/>
      <c r="H2030" s="33"/>
      <c r="I2030" s="33"/>
      <c r="J2030" s="33"/>
      <c r="K2030" s="33"/>
      <c r="L2030" s="33"/>
    </row>
    <row r="2031" spans="1:12" s="1" customFormat="1" x14ac:dyDescent="0.3">
      <c r="A2031" s="33"/>
      <c r="B2031" s="33"/>
      <c r="C2031" s="33"/>
      <c r="D2031" s="33"/>
      <c r="E2031" s="33"/>
      <c r="F2031" s="33"/>
      <c r="G2031" s="33"/>
      <c r="H2031" s="33"/>
      <c r="I2031" s="33"/>
      <c r="J2031" s="33"/>
      <c r="K2031" s="33"/>
      <c r="L2031" s="33"/>
    </row>
    <row r="2032" spans="1:12" s="1" customFormat="1" x14ac:dyDescent="0.3">
      <c r="A2032" s="33"/>
      <c r="B2032" s="33"/>
      <c r="C2032" s="33"/>
      <c r="D2032" s="33"/>
      <c r="E2032" s="33"/>
      <c r="F2032" s="33"/>
      <c r="G2032" s="33"/>
      <c r="H2032" s="33"/>
      <c r="I2032" s="33"/>
      <c r="J2032" s="33"/>
      <c r="K2032" s="33"/>
      <c r="L2032" s="33"/>
    </row>
    <row r="2033" spans="1:12" s="1" customFormat="1" x14ac:dyDescent="0.3">
      <c r="A2033" s="33"/>
      <c r="B2033" s="33"/>
      <c r="C2033" s="33"/>
      <c r="D2033" s="33"/>
      <c r="E2033" s="33"/>
      <c r="F2033" s="33"/>
      <c r="G2033" s="33"/>
      <c r="H2033" s="33"/>
      <c r="I2033" s="33"/>
      <c r="J2033" s="33"/>
      <c r="K2033" s="33"/>
      <c r="L2033" s="33"/>
    </row>
    <row r="2034" spans="1:12" s="1" customFormat="1" x14ac:dyDescent="0.3">
      <c r="A2034" s="33"/>
      <c r="B2034" s="33"/>
      <c r="C2034" s="33"/>
      <c r="D2034" s="33"/>
      <c r="E2034" s="33"/>
      <c r="F2034" s="33"/>
      <c r="G2034" s="33"/>
      <c r="H2034" s="33"/>
      <c r="I2034" s="33"/>
      <c r="J2034" s="33"/>
      <c r="K2034" s="33"/>
      <c r="L2034" s="33"/>
    </row>
    <row r="2035" spans="1:12" s="1" customFormat="1" x14ac:dyDescent="0.3">
      <c r="A2035" s="33"/>
      <c r="B2035" s="33"/>
      <c r="C2035" s="33"/>
      <c r="D2035" s="33"/>
      <c r="E2035" s="33"/>
      <c r="F2035" s="33"/>
      <c r="G2035" s="33"/>
      <c r="H2035" s="33"/>
      <c r="I2035" s="33"/>
      <c r="J2035" s="33"/>
      <c r="K2035" s="33"/>
      <c r="L2035" s="33"/>
    </row>
    <row r="2036" spans="1:12" s="1" customFormat="1" x14ac:dyDescent="0.3">
      <c r="A2036" s="33"/>
      <c r="B2036" s="33"/>
      <c r="C2036" s="33"/>
      <c r="D2036" s="33"/>
      <c r="E2036" s="33"/>
      <c r="F2036" s="33"/>
      <c r="G2036" s="33"/>
      <c r="H2036" s="33"/>
      <c r="I2036" s="33"/>
      <c r="J2036" s="33"/>
      <c r="K2036" s="33"/>
      <c r="L2036" s="33"/>
    </row>
    <row r="2037" spans="1:12" s="1" customFormat="1" x14ac:dyDescent="0.3">
      <c r="A2037" s="33"/>
      <c r="B2037" s="33"/>
      <c r="C2037" s="33"/>
      <c r="D2037" s="33"/>
      <c r="E2037" s="33"/>
      <c r="F2037" s="33"/>
      <c r="G2037" s="33"/>
      <c r="H2037" s="33"/>
      <c r="I2037" s="33"/>
      <c r="J2037" s="33"/>
      <c r="K2037" s="33"/>
      <c r="L2037" s="33"/>
    </row>
    <row r="2038" spans="1:12" s="1" customFormat="1" x14ac:dyDescent="0.3">
      <c r="A2038" s="33"/>
      <c r="B2038" s="33"/>
      <c r="C2038" s="33"/>
      <c r="D2038" s="33"/>
      <c r="E2038" s="33"/>
      <c r="F2038" s="33"/>
      <c r="G2038" s="33"/>
      <c r="H2038" s="33"/>
      <c r="I2038" s="33"/>
      <c r="J2038" s="33"/>
      <c r="K2038" s="33"/>
      <c r="L2038" s="33"/>
    </row>
    <row r="2039" spans="1:12" s="1" customFormat="1" x14ac:dyDescent="0.3">
      <c r="A2039" s="33"/>
      <c r="B2039" s="33"/>
      <c r="C2039" s="33"/>
      <c r="D2039" s="33"/>
      <c r="E2039" s="33"/>
      <c r="F2039" s="33"/>
      <c r="G2039" s="33"/>
      <c r="H2039" s="33"/>
      <c r="I2039" s="33"/>
      <c r="J2039" s="33"/>
      <c r="K2039" s="33"/>
      <c r="L2039" s="33"/>
    </row>
    <row r="2040" spans="1:12" s="1" customFormat="1" x14ac:dyDescent="0.3">
      <c r="A2040" s="33"/>
      <c r="B2040" s="33"/>
      <c r="C2040" s="33"/>
      <c r="D2040" s="33"/>
      <c r="E2040" s="33"/>
      <c r="F2040" s="33"/>
      <c r="G2040" s="33"/>
      <c r="H2040" s="33"/>
      <c r="I2040" s="33"/>
      <c r="J2040" s="33"/>
      <c r="K2040" s="33"/>
      <c r="L2040" s="33"/>
    </row>
    <row r="2041" spans="1:12" s="1" customFormat="1" x14ac:dyDescent="0.3">
      <c r="A2041" s="33"/>
      <c r="B2041" s="33"/>
      <c r="C2041" s="33"/>
      <c r="D2041" s="33"/>
      <c r="E2041" s="33"/>
      <c r="F2041" s="33"/>
      <c r="G2041" s="33"/>
      <c r="H2041" s="33"/>
      <c r="I2041" s="33"/>
      <c r="J2041" s="33"/>
      <c r="K2041" s="33"/>
      <c r="L2041" s="33"/>
    </row>
    <row r="2042" spans="1:12" s="1" customFormat="1" x14ac:dyDescent="0.3">
      <c r="A2042" s="33"/>
      <c r="B2042" s="33"/>
      <c r="C2042" s="33"/>
      <c r="D2042" s="33"/>
      <c r="E2042" s="33"/>
      <c r="F2042" s="33"/>
      <c r="G2042" s="33"/>
      <c r="H2042" s="33"/>
      <c r="I2042" s="33"/>
      <c r="J2042" s="33"/>
      <c r="K2042" s="33"/>
      <c r="L2042" s="33"/>
    </row>
    <row r="2043" spans="1:12" s="1" customFormat="1" x14ac:dyDescent="0.3">
      <c r="A2043" s="33"/>
      <c r="B2043" s="33"/>
      <c r="C2043" s="33"/>
      <c r="D2043" s="33"/>
      <c r="E2043" s="33"/>
      <c r="F2043" s="33"/>
      <c r="G2043" s="33"/>
      <c r="H2043" s="33"/>
      <c r="I2043" s="33"/>
      <c r="J2043" s="33"/>
      <c r="K2043" s="33"/>
      <c r="L2043" s="33"/>
    </row>
    <row r="2044" spans="1:12" s="1" customFormat="1" x14ac:dyDescent="0.3">
      <c r="A2044" s="33"/>
      <c r="B2044" s="33"/>
      <c r="C2044" s="33"/>
      <c r="D2044" s="33"/>
      <c r="E2044" s="33"/>
      <c r="F2044" s="33"/>
      <c r="G2044" s="33"/>
      <c r="H2044" s="33"/>
      <c r="I2044" s="33"/>
      <c r="J2044" s="33"/>
      <c r="K2044" s="33"/>
      <c r="L2044" s="33"/>
    </row>
    <row r="2045" spans="1:12" s="1" customFormat="1" x14ac:dyDescent="0.3">
      <c r="A2045" s="33"/>
      <c r="B2045" s="33"/>
      <c r="C2045" s="33"/>
      <c r="D2045" s="33"/>
      <c r="E2045" s="33"/>
      <c r="F2045" s="33"/>
      <c r="G2045" s="33"/>
      <c r="H2045" s="33"/>
      <c r="I2045" s="33"/>
      <c r="J2045" s="33"/>
      <c r="K2045" s="33"/>
      <c r="L2045" s="33"/>
    </row>
    <row r="2046" spans="1:12" s="1" customFormat="1" x14ac:dyDescent="0.3">
      <c r="A2046" s="33"/>
      <c r="B2046" s="33"/>
      <c r="C2046" s="33"/>
      <c r="D2046" s="33"/>
      <c r="E2046" s="33"/>
      <c r="F2046" s="33"/>
      <c r="G2046" s="33"/>
      <c r="H2046" s="33"/>
      <c r="I2046" s="33"/>
      <c r="J2046" s="33"/>
      <c r="K2046" s="33"/>
      <c r="L2046" s="33"/>
    </row>
    <row r="2047" spans="1:12" s="1" customFormat="1" x14ac:dyDescent="0.3">
      <c r="A2047" s="33"/>
      <c r="B2047" s="33"/>
      <c r="C2047" s="33"/>
      <c r="D2047" s="33"/>
      <c r="E2047" s="33"/>
      <c r="F2047" s="33"/>
      <c r="G2047" s="33"/>
      <c r="H2047" s="33"/>
      <c r="I2047" s="33"/>
      <c r="J2047" s="33"/>
      <c r="K2047" s="33"/>
      <c r="L2047" s="33"/>
    </row>
    <row r="2048" spans="1:12" s="1" customFormat="1" x14ac:dyDescent="0.3">
      <c r="A2048" s="33"/>
      <c r="B2048" s="33"/>
      <c r="C2048" s="33"/>
      <c r="D2048" s="33"/>
      <c r="E2048" s="33"/>
      <c r="F2048" s="33"/>
      <c r="G2048" s="33"/>
      <c r="H2048" s="33"/>
      <c r="I2048" s="33"/>
      <c r="J2048" s="33"/>
      <c r="K2048" s="33"/>
      <c r="L2048" s="33"/>
    </row>
    <row r="2049" spans="1:12" s="1" customFormat="1" x14ac:dyDescent="0.3">
      <c r="A2049" s="33"/>
      <c r="B2049" s="33"/>
      <c r="C2049" s="33"/>
      <c r="D2049" s="33"/>
      <c r="E2049" s="33"/>
      <c r="F2049" s="33"/>
      <c r="G2049" s="33"/>
      <c r="H2049" s="33"/>
      <c r="I2049" s="33"/>
      <c r="J2049" s="33"/>
      <c r="K2049" s="33"/>
      <c r="L2049" s="33"/>
    </row>
    <row r="2050" spans="1:12" s="1" customFormat="1" x14ac:dyDescent="0.3">
      <c r="A2050" s="33"/>
      <c r="B2050" s="33"/>
      <c r="C2050" s="33"/>
      <c r="D2050" s="33"/>
      <c r="E2050" s="33"/>
      <c r="F2050" s="33"/>
      <c r="G2050" s="33"/>
      <c r="H2050" s="33"/>
      <c r="I2050" s="33"/>
      <c r="J2050" s="33"/>
      <c r="K2050" s="33"/>
      <c r="L2050" s="33"/>
    </row>
    <row r="2051" spans="1:12" s="1" customFormat="1" x14ac:dyDescent="0.3">
      <c r="A2051" s="33"/>
      <c r="B2051" s="33"/>
      <c r="C2051" s="33"/>
      <c r="D2051" s="33"/>
      <c r="E2051" s="33"/>
      <c r="F2051" s="33"/>
      <c r="G2051" s="33"/>
      <c r="H2051" s="33"/>
      <c r="I2051" s="33"/>
      <c r="J2051" s="33"/>
      <c r="K2051" s="33"/>
      <c r="L2051" s="33"/>
    </row>
    <row r="2052" spans="1:12" s="1" customFormat="1" x14ac:dyDescent="0.3">
      <c r="A2052" s="33"/>
      <c r="B2052" s="33"/>
      <c r="C2052" s="33"/>
      <c r="D2052" s="33"/>
      <c r="E2052" s="33"/>
      <c r="F2052" s="33"/>
      <c r="G2052" s="33"/>
      <c r="H2052" s="33"/>
      <c r="I2052" s="33"/>
      <c r="J2052" s="33"/>
      <c r="K2052" s="33"/>
      <c r="L2052" s="33"/>
    </row>
    <row r="2053" spans="1:12" s="1" customFormat="1" x14ac:dyDescent="0.3">
      <c r="A2053" s="33"/>
      <c r="B2053" s="33"/>
      <c r="C2053" s="33"/>
      <c r="D2053" s="33"/>
      <c r="E2053" s="33"/>
      <c r="F2053" s="33"/>
      <c r="G2053" s="33"/>
      <c r="H2053" s="33"/>
      <c r="I2053" s="33"/>
      <c r="J2053" s="33"/>
      <c r="K2053" s="33"/>
      <c r="L2053" s="33"/>
    </row>
    <row r="2054" spans="1:12" s="1" customFormat="1" x14ac:dyDescent="0.3">
      <c r="A2054" s="33"/>
      <c r="B2054" s="33"/>
      <c r="C2054" s="33"/>
      <c r="D2054" s="33"/>
      <c r="E2054" s="33"/>
      <c r="F2054" s="33"/>
      <c r="G2054" s="33"/>
      <c r="H2054" s="33"/>
      <c r="I2054" s="33"/>
      <c r="J2054" s="33"/>
      <c r="K2054" s="33"/>
      <c r="L2054" s="33"/>
    </row>
    <row r="2055" spans="1:12" s="1" customFormat="1" x14ac:dyDescent="0.3">
      <c r="A2055" s="33"/>
      <c r="B2055" s="33"/>
      <c r="C2055" s="33"/>
      <c r="D2055" s="33"/>
      <c r="E2055" s="33"/>
      <c r="F2055" s="33"/>
      <c r="G2055" s="33"/>
      <c r="H2055" s="33"/>
      <c r="I2055" s="33"/>
      <c r="J2055" s="33"/>
      <c r="K2055" s="33"/>
      <c r="L2055" s="33"/>
    </row>
    <row r="2056" spans="1:12" s="1" customFormat="1" x14ac:dyDescent="0.3">
      <c r="A2056" s="33"/>
      <c r="B2056" s="33"/>
      <c r="C2056" s="33"/>
      <c r="D2056" s="33"/>
      <c r="E2056" s="33"/>
      <c r="F2056" s="33"/>
      <c r="G2056" s="33"/>
      <c r="H2056" s="33"/>
      <c r="I2056" s="33"/>
      <c r="J2056" s="33"/>
      <c r="K2056" s="33"/>
      <c r="L2056" s="33"/>
    </row>
    <row r="2057" spans="1:12" s="1" customFormat="1" x14ac:dyDescent="0.3">
      <c r="A2057" s="33"/>
      <c r="B2057" s="33"/>
      <c r="C2057" s="33"/>
      <c r="D2057" s="33"/>
      <c r="E2057" s="33"/>
      <c r="F2057" s="33"/>
      <c r="G2057" s="33"/>
      <c r="H2057" s="33"/>
      <c r="I2057" s="33"/>
      <c r="J2057" s="33"/>
      <c r="K2057" s="33"/>
      <c r="L2057" s="33"/>
    </row>
    <row r="2058" spans="1:12" s="1" customFormat="1" x14ac:dyDescent="0.3">
      <c r="A2058" s="33"/>
      <c r="B2058" s="33"/>
      <c r="C2058" s="33"/>
      <c r="D2058" s="33"/>
      <c r="E2058" s="33"/>
      <c r="F2058" s="33"/>
      <c r="G2058" s="33"/>
      <c r="H2058" s="33"/>
      <c r="I2058" s="33"/>
      <c r="J2058" s="33"/>
      <c r="K2058" s="33"/>
      <c r="L2058" s="33"/>
    </row>
    <row r="2059" spans="1:12" s="1" customFormat="1" x14ac:dyDescent="0.3">
      <c r="A2059" s="33"/>
      <c r="B2059" s="33"/>
      <c r="C2059" s="33"/>
      <c r="D2059" s="33"/>
      <c r="E2059" s="33"/>
      <c r="F2059" s="33"/>
      <c r="G2059" s="33"/>
      <c r="H2059" s="33"/>
      <c r="I2059" s="33"/>
      <c r="J2059" s="33"/>
      <c r="K2059" s="33"/>
      <c r="L2059" s="33"/>
    </row>
    <row r="2060" spans="1:12" s="1" customFormat="1" x14ac:dyDescent="0.3">
      <c r="A2060" s="33"/>
      <c r="B2060" s="33"/>
      <c r="C2060" s="33"/>
      <c r="D2060" s="33"/>
      <c r="E2060" s="33"/>
      <c r="F2060" s="33"/>
      <c r="G2060" s="33"/>
      <c r="H2060" s="33"/>
      <c r="I2060" s="33"/>
      <c r="J2060" s="33"/>
      <c r="K2060" s="33"/>
      <c r="L2060" s="33"/>
    </row>
    <row r="2061" spans="1:12" s="1" customFormat="1" x14ac:dyDescent="0.3">
      <c r="A2061" s="33"/>
      <c r="B2061" s="33"/>
      <c r="C2061" s="33"/>
      <c r="D2061" s="33"/>
      <c r="E2061" s="33"/>
      <c r="F2061" s="33"/>
      <c r="G2061" s="33"/>
      <c r="H2061" s="33"/>
      <c r="I2061" s="33"/>
      <c r="J2061" s="33"/>
      <c r="K2061" s="33"/>
      <c r="L2061" s="33"/>
    </row>
    <row r="2062" spans="1:12" s="1" customFormat="1" x14ac:dyDescent="0.3">
      <c r="A2062" s="33"/>
      <c r="B2062" s="33"/>
      <c r="C2062" s="33"/>
      <c r="D2062" s="33"/>
      <c r="E2062" s="33"/>
      <c r="F2062" s="33"/>
      <c r="G2062" s="33"/>
      <c r="H2062" s="33"/>
      <c r="I2062" s="33"/>
      <c r="J2062" s="33"/>
      <c r="K2062" s="33"/>
      <c r="L2062" s="33"/>
    </row>
    <row r="2063" spans="1:12" s="1" customFormat="1" x14ac:dyDescent="0.3">
      <c r="A2063" s="33"/>
      <c r="B2063" s="33"/>
      <c r="C2063" s="33"/>
      <c r="D2063" s="33"/>
      <c r="E2063" s="33"/>
      <c r="F2063" s="33"/>
      <c r="G2063" s="33"/>
      <c r="H2063" s="33"/>
      <c r="I2063" s="33"/>
      <c r="J2063" s="33"/>
      <c r="K2063" s="33"/>
      <c r="L2063" s="33"/>
    </row>
    <row r="2064" spans="1:12" s="1" customFormat="1" x14ac:dyDescent="0.3">
      <c r="A2064" s="33"/>
      <c r="B2064" s="33"/>
      <c r="C2064" s="33"/>
      <c r="D2064" s="33"/>
      <c r="E2064" s="33"/>
      <c r="F2064" s="33"/>
      <c r="G2064" s="33"/>
      <c r="H2064" s="33"/>
      <c r="I2064" s="33"/>
      <c r="J2064" s="33"/>
      <c r="K2064" s="33"/>
      <c r="L2064" s="33"/>
    </row>
    <row r="2065" spans="1:12" s="1" customFormat="1" x14ac:dyDescent="0.3">
      <c r="A2065" s="33"/>
      <c r="B2065" s="33"/>
      <c r="C2065" s="33"/>
      <c r="D2065" s="33"/>
      <c r="E2065" s="33"/>
      <c r="F2065" s="33"/>
      <c r="G2065" s="33"/>
      <c r="H2065" s="33"/>
      <c r="I2065" s="33"/>
      <c r="J2065" s="33"/>
      <c r="K2065" s="33"/>
      <c r="L2065" s="33"/>
    </row>
    <row r="2066" spans="1:12" s="1" customFormat="1" x14ac:dyDescent="0.3">
      <c r="A2066" s="33"/>
      <c r="B2066" s="33"/>
      <c r="C2066" s="33"/>
      <c r="D2066" s="33"/>
      <c r="E2066" s="33"/>
      <c r="F2066" s="33"/>
      <c r="G2066" s="33"/>
      <c r="H2066" s="33"/>
      <c r="I2066" s="33"/>
      <c r="J2066" s="33"/>
      <c r="K2066" s="33"/>
      <c r="L2066" s="33"/>
    </row>
    <row r="2067" spans="1:12" s="1" customFormat="1" x14ac:dyDescent="0.3">
      <c r="A2067" s="33"/>
      <c r="B2067" s="33"/>
      <c r="C2067" s="33"/>
      <c r="D2067" s="33"/>
      <c r="E2067" s="33"/>
      <c r="F2067" s="33"/>
      <c r="G2067" s="33"/>
      <c r="H2067" s="33"/>
      <c r="I2067" s="33"/>
      <c r="J2067" s="33"/>
      <c r="K2067" s="33"/>
      <c r="L2067" s="33"/>
    </row>
    <row r="2068" spans="1:12" s="1" customFormat="1" x14ac:dyDescent="0.3">
      <c r="A2068" s="33"/>
      <c r="B2068" s="33"/>
      <c r="C2068" s="33"/>
      <c r="D2068" s="33"/>
      <c r="E2068" s="33"/>
      <c r="F2068" s="33"/>
      <c r="G2068" s="33"/>
      <c r="H2068" s="33"/>
      <c r="I2068" s="33"/>
      <c r="J2068" s="33"/>
      <c r="K2068" s="33"/>
      <c r="L2068" s="33"/>
    </row>
    <row r="2069" spans="1:12" s="1" customFormat="1" x14ac:dyDescent="0.3">
      <c r="A2069" s="33"/>
      <c r="B2069" s="33"/>
      <c r="C2069" s="33"/>
      <c r="D2069" s="33"/>
      <c r="E2069" s="33"/>
      <c r="F2069" s="33"/>
      <c r="G2069" s="33"/>
      <c r="H2069" s="33"/>
      <c r="I2069" s="33"/>
      <c r="J2069" s="33"/>
      <c r="K2069" s="33"/>
      <c r="L2069" s="33"/>
    </row>
    <row r="2070" spans="1:12" s="1" customFormat="1" x14ac:dyDescent="0.3">
      <c r="A2070" s="33"/>
      <c r="B2070" s="33"/>
      <c r="C2070" s="33"/>
      <c r="D2070" s="33"/>
      <c r="E2070" s="33"/>
      <c r="F2070" s="33"/>
      <c r="G2070" s="33"/>
      <c r="H2070" s="33"/>
      <c r="I2070" s="33"/>
      <c r="J2070" s="33"/>
      <c r="K2070" s="33"/>
      <c r="L2070" s="33"/>
    </row>
    <row r="2071" spans="1:12" s="1" customFormat="1" x14ac:dyDescent="0.3">
      <c r="A2071" s="33"/>
      <c r="B2071" s="33"/>
      <c r="C2071" s="33"/>
      <c r="D2071" s="33"/>
      <c r="E2071" s="33"/>
      <c r="F2071" s="33"/>
      <c r="G2071" s="33"/>
      <c r="H2071" s="33"/>
      <c r="I2071" s="33"/>
      <c r="J2071" s="33"/>
      <c r="K2071" s="33"/>
      <c r="L2071" s="33"/>
    </row>
    <row r="2072" spans="1:12" s="1" customFormat="1" x14ac:dyDescent="0.3">
      <c r="A2072" s="33"/>
      <c r="B2072" s="33"/>
      <c r="C2072" s="33"/>
      <c r="D2072" s="33"/>
      <c r="E2072" s="33"/>
      <c r="F2072" s="33"/>
      <c r="G2072" s="33"/>
      <c r="H2072" s="33"/>
      <c r="I2072" s="33"/>
      <c r="J2072" s="33"/>
      <c r="K2072" s="33"/>
      <c r="L2072" s="33"/>
    </row>
    <row r="2073" spans="1:12" s="1" customFormat="1" x14ac:dyDescent="0.3">
      <c r="A2073" s="33"/>
      <c r="B2073" s="33"/>
      <c r="C2073" s="33"/>
      <c r="D2073" s="33"/>
      <c r="E2073" s="33"/>
      <c r="F2073" s="33"/>
      <c r="G2073" s="33"/>
      <c r="H2073" s="33"/>
      <c r="I2073" s="33"/>
      <c r="J2073" s="33"/>
      <c r="K2073" s="33"/>
      <c r="L2073" s="33"/>
    </row>
    <row r="2074" spans="1:12" s="1" customFormat="1" x14ac:dyDescent="0.3">
      <c r="A2074" s="33"/>
      <c r="B2074" s="33"/>
      <c r="C2074" s="33"/>
      <c r="D2074" s="33"/>
      <c r="E2074" s="33"/>
      <c r="F2074" s="33"/>
      <c r="G2074" s="33"/>
      <c r="H2074" s="33"/>
      <c r="I2074" s="33"/>
      <c r="J2074" s="33"/>
      <c r="K2074" s="33"/>
      <c r="L2074" s="33"/>
    </row>
    <row r="2075" spans="1:12" s="1" customFormat="1" x14ac:dyDescent="0.3">
      <c r="A2075" s="33"/>
      <c r="B2075" s="33"/>
      <c r="C2075" s="33"/>
      <c r="D2075" s="33"/>
      <c r="E2075" s="33"/>
      <c r="F2075" s="33"/>
      <c r="G2075" s="33"/>
      <c r="H2075" s="33"/>
      <c r="I2075" s="33"/>
      <c r="J2075" s="33"/>
      <c r="K2075" s="33"/>
      <c r="L2075" s="33"/>
    </row>
    <row r="2076" spans="1:12" s="1" customFormat="1" x14ac:dyDescent="0.3">
      <c r="A2076" s="33"/>
      <c r="B2076" s="33"/>
      <c r="C2076" s="33"/>
      <c r="D2076" s="33"/>
      <c r="E2076" s="33"/>
      <c r="F2076" s="33"/>
      <c r="G2076" s="33"/>
      <c r="H2076" s="33"/>
      <c r="I2076" s="33"/>
      <c r="J2076" s="33"/>
      <c r="K2076" s="33"/>
      <c r="L2076" s="33"/>
    </row>
    <row r="2077" spans="1:12" s="1" customFormat="1" x14ac:dyDescent="0.3">
      <c r="A2077" s="33"/>
      <c r="B2077" s="33"/>
      <c r="C2077" s="33"/>
      <c r="D2077" s="33"/>
      <c r="E2077" s="33"/>
      <c r="F2077" s="33"/>
      <c r="G2077" s="33"/>
      <c r="H2077" s="33"/>
      <c r="I2077" s="33"/>
      <c r="J2077" s="33"/>
      <c r="K2077" s="33"/>
      <c r="L2077" s="33"/>
    </row>
    <row r="2078" spans="1:12" s="1" customFormat="1" x14ac:dyDescent="0.3">
      <c r="A2078" s="33"/>
      <c r="B2078" s="33"/>
      <c r="C2078" s="33"/>
      <c r="D2078" s="33"/>
      <c r="E2078" s="33"/>
      <c r="F2078" s="33"/>
      <c r="G2078" s="33"/>
      <c r="H2078" s="33"/>
      <c r="I2078" s="33"/>
      <c r="J2078" s="33"/>
      <c r="K2078" s="33"/>
      <c r="L2078" s="33"/>
    </row>
    <row r="2079" spans="1:12" s="1" customFormat="1" x14ac:dyDescent="0.3">
      <c r="A2079" s="33"/>
      <c r="B2079" s="33"/>
      <c r="C2079" s="33"/>
      <c r="D2079" s="33"/>
      <c r="E2079" s="33"/>
      <c r="F2079" s="33"/>
      <c r="G2079" s="33"/>
      <c r="H2079" s="33"/>
      <c r="I2079" s="33"/>
      <c r="J2079" s="33"/>
      <c r="K2079" s="33"/>
      <c r="L2079" s="33"/>
    </row>
    <row r="2080" spans="1:12" s="1" customFormat="1" x14ac:dyDescent="0.3">
      <c r="A2080" s="33"/>
      <c r="B2080" s="33"/>
      <c r="C2080" s="33"/>
      <c r="D2080" s="33"/>
      <c r="E2080" s="33"/>
      <c r="F2080" s="33"/>
      <c r="G2080" s="33"/>
      <c r="H2080" s="33"/>
      <c r="I2080" s="33"/>
      <c r="J2080" s="33"/>
      <c r="K2080" s="33"/>
      <c r="L2080" s="33"/>
    </row>
    <row r="2081" spans="1:12" s="1" customFormat="1" x14ac:dyDescent="0.3">
      <c r="A2081" s="33"/>
      <c r="B2081" s="33"/>
      <c r="C2081" s="33"/>
      <c r="D2081" s="33"/>
      <c r="E2081" s="33"/>
      <c r="F2081" s="33"/>
      <c r="G2081" s="33"/>
      <c r="H2081" s="33"/>
      <c r="I2081" s="33"/>
      <c r="J2081" s="33"/>
      <c r="K2081" s="33"/>
      <c r="L2081" s="33"/>
    </row>
    <row r="2082" spans="1:12" s="1" customFormat="1" x14ac:dyDescent="0.3">
      <c r="A2082" s="33"/>
      <c r="B2082" s="33"/>
      <c r="C2082" s="33"/>
      <c r="D2082" s="33"/>
      <c r="E2082" s="33"/>
      <c r="F2082" s="33"/>
      <c r="G2082" s="33"/>
      <c r="H2082" s="33"/>
      <c r="I2082" s="33"/>
      <c r="J2082" s="33"/>
      <c r="K2082" s="33"/>
      <c r="L2082" s="33"/>
    </row>
    <row r="2083" spans="1:12" s="1" customFormat="1" x14ac:dyDescent="0.3">
      <c r="A2083" s="33"/>
      <c r="B2083" s="33"/>
      <c r="C2083" s="33"/>
      <c r="D2083" s="33"/>
      <c r="E2083" s="33"/>
      <c r="F2083" s="33"/>
      <c r="G2083" s="33"/>
      <c r="H2083" s="33"/>
      <c r="I2083" s="33"/>
      <c r="J2083" s="33"/>
      <c r="K2083" s="33"/>
      <c r="L2083" s="33"/>
    </row>
    <row r="2084" spans="1:12" s="1" customFormat="1" x14ac:dyDescent="0.3">
      <c r="A2084" s="33"/>
      <c r="B2084" s="33"/>
      <c r="C2084" s="33"/>
      <c r="D2084" s="33"/>
      <c r="E2084" s="33"/>
      <c r="F2084" s="33"/>
      <c r="G2084" s="33"/>
      <c r="H2084" s="33"/>
      <c r="I2084" s="33"/>
      <c r="J2084" s="33"/>
      <c r="K2084" s="33"/>
      <c r="L2084" s="33"/>
    </row>
    <row r="2085" spans="1:12" s="1" customFormat="1" x14ac:dyDescent="0.3">
      <c r="A2085" s="33"/>
      <c r="B2085" s="33"/>
      <c r="C2085" s="33"/>
      <c r="D2085" s="33"/>
      <c r="E2085" s="33"/>
      <c r="F2085" s="33"/>
      <c r="G2085" s="33"/>
      <c r="H2085" s="33"/>
      <c r="I2085" s="33"/>
      <c r="J2085" s="33"/>
      <c r="K2085" s="33"/>
      <c r="L2085" s="33"/>
    </row>
    <row r="2086" spans="1:12" s="1" customFormat="1" x14ac:dyDescent="0.3">
      <c r="A2086" s="33"/>
      <c r="B2086" s="33"/>
      <c r="C2086" s="33"/>
      <c r="D2086" s="33"/>
      <c r="E2086" s="33"/>
      <c r="F2086" s="33"/>
      <c r="G2086" s="33"/>
      <c r="H2086" s="33"/>
      <c r="I2086" s="33"/>
      <c r="J2086" s="33"/>
      <c r="K2086" s="33"/>
      <c r="L2086" s="33"/>
    </row>
    <row r="2087" spans="1:12" s="1" customFormat="1" x14ac:dyDescent="0.3">
      <c r="A2087" s="33"/>
      <c r="B2087" s="33"/>
      <c r="C2087" s="33"/>
      <c r="D2087" s="33"/>
      <c r="E2087" s="33"/>
      <c r="F2087" s="33"/>
      <c r="G2087" s="33"/>
      <c r="H2087" s="33"/>
      <c r="I2087" s="33"/>
      <c r="J2087" s="33"/>
      <c r="K2087" s="33"/>
      <c r="L2087" s="33"/>
    </row>
    <row r="2088" spans="1:12" s="1" customFormat="1" x14ac:dyDescent="0.3">
      <c r="A2088" s="33"/>
      <c r="B2088" s="33"/>
      <c r="C2088" s="33"/>
      <c r="D2088" s="33"/>
      <c r="E2088" s="33"/>
      <c r="F2088" s="33"/>
      <c r="G2088" s="33"/>
      <c r="H2088" s="33"/>
      <c r="I2088" s="33"/>
      <c r="J2088" s="33"/>
      <c r="K2088" s="33"/>
      <c r="L2088" s="33"/>
    </row>
    <row r="2089" spans="1:12" s="1" customFormat="1" x14ac:dyDescent="0.3">
      <c r="A2089" s="33"/>
      <c r="B2089" s="33"/>
      <c r="C2089" s="33"/>
      <c r="D2089" s="33"/>
      <c r="E2089" s="33"/>
      <c r="F2089" s="33"/>
      <c r="G2089" s="33"/>
      <c r="H2089" s="33"/>
      <c r="I2089" s="33"/>
      <c r="J2089" s="33"/>
      <c r="K2089" s="33"/>
      <c r="L2089" s="33"/>
    </row>
    <row r="2090" spans="1:12" s="1" customFormat="1" x14ac:dyDescent="0.3">
      <c r="A2090" s="33"/>
      <c r="B2090" s="33"/>
      <c r="C2090" s="33"/>
      <c r="D2090" s="33"/>
      <c r="E2090" s="33"/>
      <c r="F2090" s="33"/>
      <c r="G2090" s="33"/>
      <c r="H2090" s="33"/>
      <c r="I2090" s="33"/>
      <c r="J2090" s="33"/>
      <c r="K2090" s="33"/>
      <c r="L2090" s="33"/>
    </row>
    <row r="2091" spans="1:12" s="1" customFormat="1" x14ac:dyDescent="0.3">
      <c r="A2091" s="33"/>
      <c r="B2091" s="33"/>
      <c r="C2091" s="33"/>
      <c r="D2091" s="33"/>
      <c r="E2091" s="33"/>
      <c r="F2091" s="33"/>
      <c r="G2091" s="33"/>
      <c r="H2091" s="33"/>
      <c r="I2091" s="33"/>
      <c r="J2091" s="33"/>
      <c r="K2091" s="33"/>
      <c r="L2091" s="33"/>
    </row>
    <row r="2092" spans="1:12" s="1" customFormat="1" x14ac:dyDescent="0.3">
      <c r="A2092" s="33"/>
      <c r="B2092" s="33"/>
      <c r="C2092" s="33"/>
      <c r="D2092" s="33"/>
      <c r="E2092" s="33"/>
      <c r="F2092" s="33"/>
      <c r="G2092" s="33"/>
      <c r="H2092" s="33"/>
      <c r="I2092" s="33"/>
      <c r="J2092" s="33"/>
      <c r="K2092" s="33"/>
      <c r="L2092" s="33"/>
    </row>
    <row r="2093" spans="1:12" s="1" customFormat="1" x14ac:dyDescent="0.3">
      <c r="A2093" s="33"/>
      <c r="B2093" s="33"/>
      <c r="C2093" s="33"/>
      <c r="D2093" s="33"/>
      <c r="E2093" s="33"/>
      <c r="F2093" s="33"/>
      <c r="G2093" s="33"/>
      <c r="H2093" s="33"/>
      <c r="I2093" s="33"/>
      <c r="J2093" s="33"/>
      <c r="K2093" s="33"/>
      <c r="L2093" s="33"/>
    </row>
    <row r="2094" spans="1:12" s="1" customFormat="1" x14ac:dyDescent="0.3">
      <c r="A2094" s="33"/>
      <c r="B2094" s="33"/>
      <c r="C2094" s="33"/>
      <c r="D2094" s="33"/>
      <c r="E2094" s="33"/>
      <c r="F2094" s="33"/>
      <c r="G2094" s="33"/>
      <c r="H2094" s="33"/>
      <c r="I2094" s="33"/>
      <c r="J2094" s="33"/>
      <c r="K2094" s="33"/>
      <c r="L2094" s="33"/>
    </row>
    <row r="2095" spans="1:12" s="1" customFormat="1" x14ac:dyDescent="0.3">
      <c r="A2095" s="33"/>
      <c r="B2095" s="33"/>
      <c r="C2095" s="33"/>
      <c r="D2095" s="33"/>
      <c r="E2095" s="33"/>
      <c r="F2095" s="33"/>
      <c r="G2095" s="33"/>
      <c r="H2095" s="33"/>
      <c r="I2095" s="33"/>
      <c r="J2095" s="33"/>
      <c r="K2095" s="33"/>
      <c r="L2095" s="33"/>
    </row>
    <row r="2096" spans="1:12" s="1" customFormat="1" x14ac:dyDescent="0.3">
      <c r="A2096" s="33"/>
      <c r="B2096" s="33"/>
      <c r="C2096" s="33"/>
      <c r="D2096" s="33"/>
      <c r="E2096" s="33"/>
      <c r="F2096" s="33"/>
      <c r="G2096" s="33"/>
      <c r="H2096" s="33"/>
      <c r="I2096" s="33"/>
      <c r="J2096" s="33"/>
      <c r="K2096" s="33"/>
      <c r="L2096" s="33"/>
    </row>
    <row r="2097" spans="1:12" s="1" customFormat="1" x14ac:dyDescent="0.3">
      <c r="A2097" s="33"/>
      <c r="B2097" s="33"/>
      <c r="C2097" s="33"/>
      <c r="D2097" s="33"/>
      <c r="E2097" s="33"/>
      <c r="F2097" s="33"/>
      <c r="G2097" s="33"/>
      <c r="H2097" s="33"/>
      <c r="I2097" s="33"/>
      <c r="J2097" s="33"/>
      <c r="K2097" s="33"/>
      <c r="L2097" s="33"/>
    </row>
    <row r="2098" spans="1:12" s="1" customFormat="1" x14ac:dyDescent="0.3">
      <c r="A2098" s="33"/>
      <c r="B2098" s="33"/>
      <c r="C2098" s="33"/>
      <c r="D2098" s="33"/>
      <c r="E2098" s="33"/>
      <c r="F2098" s="33"/>
      <c r="G2098" s="33"/>
      <c r="H2098" s="33"/>
      <c r="I2098" s="33"/>
      <c r="J2098" s="33"/>
      <c r="K2098" s="33"/>
      <c r="L2098" s="33"/>
    </row>
    <row r="2099" spans="1:12" s="1" customFormat="1" x14ac:dyDescent="0.3">
      <c r="A2099" s="33"/>
      <c r="B2099" s="33"/>
      <c r="C2099" s="33"/>
      <c r="D2099" s="33"/>
      <c r="E2099" s="33"/>
      <c r="F2099" s="33"/>
      <c r="G2099" s="33"/>
      <c r="H2099" s="33"/>
      <c r="I2099" s="33"/>
      <c r="J2099" s="33"/>
      <c r="K2099" s="33"/>
      <c r="L2099" s="33"/>
    </row>
    <row r="2100" spans="1:12" s="1" customFormat="1" x14ac:dyDescent="0.3">
      <c r="A2100" s="33"/>
      <c r="B2100" s="33"/>
      <c r="C2100" s="33"/>
      <c r="D2100" s="33"/>
      <c r="E2100" s="33"/>
      <c r="F2100" s="33"/>
      <c r="G2100" s="33"/>
      <c r="H2100" s="33"/>
      <c r="I2100" s="33"/>
      <c r="J2100" s="33"/>
      <c r="K2100" s="33"/>
      <c r="L2100" s="33"/>
    </row>
    <row r="2101" spans="1:12" s="1" customFormat="1" x14ac:dyDescent="0.3">
      <c r="A2101" s="33"/>
      <c r="B2101" s="33"/>
      <c r="C2101" s="33"/>
      <c r="D2101" s="33"/>
      <c r="E2101" s="33"/>
      <c r="F2101" s="33"/>
      <c r="G2101" s="33"/>
      <c r="H2101" s="33"/>
      <c r="I2101" s="33"/>
      <c r="J2101" s="33"/>
      <c r="K2101" s="33"/>
      <c r="L2101" s="33"/>
    </row>
    <row r="2102" spans="1:12" s="1" customFormat="1" x14ac:dyDescent="0.3">
      <c r="A2102" s="33"/>
      <c r="B2102" s="33"/>
      <c r="C2102" s="33"/>
      <c r="D2102" s="33"/>
      <c r="E2102" s="33"/>
      <c r="F2102" s="33"/>
      <c r="G2102" s="33"/>
      <c r="H2102" s="33"/>
      <c r="I2102" s="33"/>
      <c r="J2102" s="33"/>
      <c r="K2102" s="33"/>
      <c r="L2102" s="33"/>
    </row>
    <row r="2103" spans="1:12" s="1" customFormat="1" x14ac:dyDescent="0.3">
      <c r="A2103" s="33"/>
      <c r="B2103" s="33"/>
      <c r="C2103" s="33"/>
      <c r="D2103" s="33"/>
      <c r="E2103" s="33"/>
      <c r="F2103" s="33"/>
      <c r="G2103" s="33"/>
      <c r="H2103" s="33"/>
      <c r="I2103" s="33"/>
      <c r="J2103" s="33"/>
      <c r="K2103" s="33"/>
      <c r="L2103" s="33"/>
    </row>
    <row r="2104" spans="1:12" s="1" customFormat="1" x14ac:dyDescent="0.3">
      <c r="A2104" s="33"/>
      <c r="B2104" s="33"/>
      <c r="C2104" s="33"/>
      <c r="D2104" s="33"/>
      <c r="E2104" s="33"/>
      <c r="F2104" s="33"/>
      <c r="G2104" s="33"/>
      <c r="H2104" s="33"/>
      <c r="I2104" s="33"/>
      <c r="J2104" s="33"/>
      <c r="K2104" s="33"/>
      <c r="L2104" s="33"/>
    </row>
    <row r="2105" spans="1:12" s="1" customFormat="1" x14ac:dyDescent="0.3">
      <c r="A2105" s="33"/>
      <c r="B2105" s="33"/>
      <c r="C2105" s="33"/>
      <c r="D2105" s="33"/>
      <c r="E2105" s="33"/>
      <c r="F2105" s="33"/>
      <c r="G2105" s="33"/>
      <c r="H2105" s="33"/>
      <c r="I2105" s="33"/>
      <c r="J2105" s="33"/>
      <c r="K2105" s="33"/>
      <c r="L2105" s="33"/>
    </row>
    <row r="2106" spans="1:12" s="1" customFormat="1" x14ac:dyDescent="0.3">
      <c r="A2106" s="33"/>
      <c r="B2106" s="33"/>
      <c r="C2106" s="33"/>
      <c r="D2106" s="33"/>
      <c r="E2106" s="33"/>
      <c r="F2106" s="33"/>
      <c r="G2106" s="33"/>
      <c r="H2106" s="33"/>
      <c r="I2106" s="33"/>
      <c r="J2106" s="33"/>
      <c r="K2106" s="33"/>
      <c r="L2106" s="33"/>
    </row>
    <row r="2107" spans="1:12" s="1" customFormat="1" x14ac:dyDescent="0.3">
      <c r="A2107" s="33"/>
      <c r="B2107" s="33"/>
      <c r="C2107" s="33"/>
      <c r="D2107" s="33"/>
      <c r="E2107" s="33"/>
      <c r="F2107" s="33"/>
      <c r="G2107" s="33"/>
      <c r="H2107" s="33"/>
      <c r="I2107" s="33"/>
      <c r="J2107" s="33"/>
      <c r="K2107" s="33"/>
      <c r="L2107" s="33"/>
    </row>
    <row r="2108" spans="1:12" s="1" customFormat="1" x14ac:dyDescent="0.3">
      <c r="A2108" s="33"/>
      <c r="B2108" s="33"/>
      <c r="C2108" s="33"/>
      <c r="D2108" s="33"/>
      <c r="E2108" s="33"/>
      <c r="F2108" s="33"/>
      <c r="G2108" s="33"/>
      <c r="H2108" s="33"/>
      <c r="I2108" s="33"/>
      <c r="J2108" s="33"/>
      <c r="K2108" s="33"/>
      <c r="L2108" s="33"/>
    </row>
    <row r="2109" spans="1:12" s="1" customFormat="1" x14ac:dyDescent="0.3">
      <c r="A2109" s="33"/>
      <c r="B2109" s="33"/>
      <c r="C2109" s="33"/>
      <c r="D2109" s="33"/>
      <c r="E2109" s="33"/>
      <c r="F2109" s="33"/>
      <c r="G2109" s="33"/>
      <c r="H2109" s="33"/>
      <c r="I2109" s="33"/>
      <c r="J2109" s="33"/>
      <c r="K2109" s="33"/>
      <c r="L2109" s="33"/>
    </row>
    <row r="2110" spans="1:12" s="1" customFormat="1" x14ac:dyDescent="0.3">
      <c r="A2110" s="33"/>
      <c r="B2110" s="33"/>
      <c r="C2110" s="33"/>
      <c r="D2110" s="33"/>
      <c r="E2110" s="33"/>
      <c r="F2110" s="33"/>
      <c r="G2110" s="33"/>
      <c r="H2110" s="33"/>
      <c r="I2110" s="33"/>
      <c r="J2110" s="33"/>
      <c r="K2110" s="33"/>
      <c r="L2110" s="33"/>
    </row>
    <row r="2111" spans="1:12" s="1" customFormat="1" x14ac:dyDescent="0.3">
      <c r="A2111" s="33"/>
      <c r="B2111" s="33"/>
      <c r="C2111" s="33"/>
      <c r="D2111" s="33"/>
      <c r="E2111" s="33"/>
      <c r="F2111" s="33"/>
      <c r="G2111" s="33"/>
      <c r="H2111" s="33"/>
      <c r="I2111" s="33"/>
      <c r="J2111" s="33"/>
      <c r="K2111" s="33"/>
      <c r="L2111" s="33"/>
    </row>
    <row r="2112" spans="1:12" s="1" customFormat="1" x14ac:dyDescent="0.3">
      <c r="A2112" s="33"/>
      <c r="B2112" s="33"/>
      <c r="C2112" s="33"/>
      <c r="D2112" s="33"/>
      <c r="E2112" s="33"/>
      <c r="F2112" s="33"/>
      <c r="G2112" s="33"/>
      <c r="H2112" s="33"/>
      <c r="I2112" s="33"/>
      <c r="J2112" s="33"/>
      <c r="K2112" s="33"/>
      <c r="L2112" s="33"/>
    </row>
    <row r="2113" spans="13:13" x14ac:dyDescent="0.3">
      <c r="M2113" s="1"/>
    </row>
    <row r="2114" spans="13:13" x14ac:dyDescent="0.3">
      <c r="M2114" s="1"/>
    </row>
    <row r="2115" spans="13:13" x14ac:dyDescent="0.3">
      <c r="M2115" s="1"/>
    </row>
    <row r="2116" spans="13:13" x14ac:dyDescent="0.3">
      <c r="M2116" s="1"/>
    </row>
    <row r="2117" spans="13:13" x14ac:dyDescent="0.3">
      <c r="M2117" s="1"/>
    </row>
    <row r="2118" spans="13:13" x14ac:dyDescent="0.3">
      <c r="M2118" s="1"/>
    </row>
    <row r="2119" spans="13:13" x14ac:dyDescent="0.3">
      <c r="M2119" s="1"/>
    </row>
    <row r="2120" spans="13:13" x14ac:dyDescent="0.3">
      <c r="M2120" s="1"/>
    </row>
    <row r="2121" spans="13:13" x14ac:dyDescent="0.3">
      <c r="M2121" s="1"/>
    </row>
    <row r="2122" spans="13:13" x14ac:dyDescent="0.3">
      <c r="M2122" s="1"/>
    </row>
    <row r="2123" spans="13:13" x14ac:dyDescent="0.3">
      <c r="M2123" s="1"/>
    </row>
    <row r="2124" spans="13:13" x14ac:dyDescent="0.3">
      <c r="M2124" s="1"/>
    </row>
    <row r="2125" spans="13:13" x14ac:dyDescent="0.3">
      <c r="M2125" s="26"/>
    </row>
    <row r="2126" spans="13:13" x14ac:dyDescent="0.3">
      <c r="M2126" s="1"/>
    </row>
    <row r="2127" spans="13:13" x14ac:dyDescent="0.3">
      <c r="M2127" s="1"/>
    </row>
    <row r="2128" spans="13:13" x14ac:dyDescent="0.3">
      <c r="M2128" s="1"/>
    </row>
    <row r="2129" spans="1:12" s="1" customFormat="1" x14ac:dyDescent="0.3">
      <c r="A2129" s="33"/>
      <c r="B2129" s="33"/>
      <c r="C2129" s="33"/>
      <c r="D2129" s="33"/>
      <c r="E2129" s="33"/>
      <c r="F2129" s="33"/>
      <c r="G2129" s="33"/>
      <c r="H2129" s="33"/>
      <c r="I2129" s="33"/>
      <c r="J2129" s="33"/>
      <c r="K2129" s="33"/>
      <c r="L2129" s="33"/>
    </row>
    <row r="2130" spans="1:12" s="1" customFormat="1" x14ac:dyDescent="0.3">
      <c r="A2130" s="33"/>
      <c r="B2130" s="33"/>
      <c r="C2130" s="33"/>
      <c r="D2130" s="33"/>
      <c r="E2130" s="33"/>
      <c r="F2130" s="33"/>
      <c r="G2130" s="33"/>
      <c r="H2130" s="33"/>
      <c r="I2130" s="33"/>
      <c r="J2130" s="33"/>
      <c r="K2130" s="33"/>
      <c r="L2130" s="33"/>
    </row>
    <row r="2131" spans="1:12" s="1" customFormat="1" x14ac:dyDescent="0.3">
      <c r="A2131" s="33"/>
      <c r="B2131" s="33"/>
      <c r="C2131" s="33"/>
      <c r="D2131" s="33"/>
      <c r="E2131" s="33"/>
      <c r="F2131" s="33"/>
      <c r="G2131" s="33"/>
      <c r="H2131" s="33"/>
      <c r="I2131" s="33"/>
      <c r="J2131" s="33"/>
      <c r="K2131" s="33"/>
      <c r="L2131" s="33"/>
    </row>
    <row r="2132" spans="1:12" s="1" customFormat="1" x14ac:dyDescent="0.3">
      <c r="A2132" s="33"/>
      <c r="B2132" s="33"/>
      <c r="C2132" s="33"/>
      <c r="D2132" s="33"/>
      <c r="E2132" s="33"/>
      <c r="F2132" s="33"/>
      <c r="G2132" s="33"/>
      <c r="H2132" s="33"/>
      <c r="I2132" s="33"/>
      <c r="J2132" s="33"/>
      <c r="K2132" s="33"/>
      <c r="L2132" s="33"/>
    </row>
    <row r="2133" spans="1:12" s="1" customFormat="1" x14ac:dyDescent="0.3">
      <c r="A2133" s="33"/>
      <c r="B2133" s="33"/>
      <c r="C2133" s="33"/>
      <c r="D2133" s="33"/>
      <c r="E2133" s="33"/>
      <c r="F2133" s="33"/>
      <c r="G2133" s="33"/>
      <c r="H2133" s="33"/>
      <c r="I2133" s="33"/>
      <c r="J2133" s="33"/>
      <c r="K2133" s="33"/>
      <c r="L2133" s="33"/>
    </row>
    <row r="2134" spans="1:12" s="1" customFormat="1" x14ac:dyDescent="0.3">
      <c r="A2134" s="33"/>
      <c r="B2134" s="33"/>
      <c r="C2134" s="33"/>
      <c r="D2134" s="33"/>
      <c r="E2134" s="33"/>
      <c r="F2134" s="33"/>
      <c r="G2134" s="33"/>
      <c r="H2134" s="33"/>
      <c r="I2134" s="33"/>
      <c r="J2134" s="33"/>
      <c r="K2134" s="33"/>
      <c r="L2134" s="33"/>
    </row>
    <row r="2135" spans="1:12" s="1" customFormat="1" x14ac:dyDescent="0.3">
      <c r="A2135" s="33"/>
      <c r="B2135" s="33"/>
      <c r="C2135" s="33"/>
      <c r="D2135" s="33"/>
      <c r="E2135" s="33"/>
      <c r="F2135" s="33"/>
      <c r="G2135" s="33"/>
      <c r="H2135" s="33"/>
      <c r="I2135" s="33"/>
      <c r="J2135" s="33"/>
      <c r="K2135" s="33"/>
      <c r="L2135" s="33"/>
    </row>
    <row r="2136" spans="1:12" s="1" customFormat="1" x14ac:dyDescent="0.3">
      <c r="A2136" s="33"/>
      <c r="B2136" s="33"/>
      <c r="C2136" s="33"/>
      <c r="D2136" s="33"/>
      <c r="E2136" s="33"/>
      <c r="F2136" s="33"/>
      <c r="G2136" s="33"/>
      <c r="H2136" s="33"/>
      <c r="I2136" s="33"/>
      <c r="J2136" s="33"/>
      <c r="K2136" s="33"/>
      <c r="L2136" s="33"/>
    </row>
    <row r="2137" spans="1:12" s="1" customFormat="1" x14ac:dyDescent="0.3">
      <c r="A2137" s="33"/>
      <c r="B2137" s="33"/>
      <c r="C2137" s="33"/>
      <c r="D2137" s="33"/>
      <c r="E2137" s="33"/>
      <c r="F2137" s="33"/>
      <c r="G2137" s="33"/>
      <c r="H2137" s="33"/>
      <c r="I2137" s="33"/>
      <c r="J2137" s="33"/>
      <c r="K2137" s="33"/>
      <c r="L2137" s="33"/>
    </row>
    <row r="2138" spans="1:12" s="1" customFormat="1" x14ac:dyDescent="0.3">
      <c r="A2138" s="33"/>
      <c r="B2138" s="33"/>
      <c r="C2138" s="33"/>
      <c r="D2138" s="33"/>
      <c r="E2138" s="33"/>
      <c r="F2138" s="33"/>
      <c r="G2138" s="33"/>
      <c r="H2138" s="33"/>
      <c r="I2138" s="33"/>
      <c r="J2138" s="33"/>
      <c r="K2138" s="33"/>
      <c r="L2138" s="33"/>
    </row>
    <row r="2139" spans="1:12" s="1" customFormat="1" x14ac:dyDescent="0.3">
      <c r="A2139" s="33"/>
      <c r="B2139" s="33"/>
      <c r="C2139" s="33"/>
      <c r="D2139" s="33"/>
      <c r="E2139" s="33"/>
      <c r="F2139" s="33"/>
      <c r="G2139" s="33"/>
      <c r="H2139" s="33"/>
      <c r="I2139" s="33"/>
      <c r="J2139" s="33"/>
      <c r="K2139" s="33"/>
      <c r="L2139" s="33"/>
    </row>
    <row r="2140" spans="1:12" s="1" customFormat="1" x14ac:dyDescent="0.3">
      <c r="A2140" s="33"/>
      <c r="B2140" s="33"/>
      <c r="C2140" s="33"/>
      <c r="D2140" s="33"/>
      <c r="E2140" s="33"/>
      <c r="F2140" s="33"/>
      <c r="G2140" s="33"/>
      <c r="H2140" s="33"/>
      <c r="I2140" s="33"/>
      <c r="J2140" s="33"/>
      <c r="K2140" s="33"/>
      <c r="L2140" s="33"/>
    </row>
    <row r="2141" spans="1:12" s="1" customFormat="1" x14ac:dyDescent="0.3">
      <c r="A2141" s="33"/>
      <c r="B2141" s="33"/>
      <c r="C2141" s="33"/>
      <c r="D2141" s="33"/>
      <c r="E2141" s="33"/>
      <c r="F2141" s="33"/>
      <c r="G2141" s="33"/>
      <c r="H2141" s="33"/>
      <c r="I2141" s="33"/>
      <c r="J2141" s="33"/>
      <c r="K2141" s="33"/>
      <c r="L2141" s="33"/>
    </row>
    <row r="2142" spans="1:12" s="1" customFormat="1" x14ac:dyDescent="0.3">
      <c r="A2142" s="33"/>
      <c r="B2142" s="33"/>
      <c r="C2142" s="33"/>
      <c r="D2142" s="33"/>
      <c r="E2142" s="33"/>
      <c r="F2142" s="33"/>
      <c r="G2142" s="33"/>
      <c r="H2142" s="33"/>
      <c r="I2142" s="33"/>
      <c r="J2142" s="33"/>
      <c r="K2142" s="33"/>
      <c r="L2142" s="33"/>
    </row>
    <row r="2143" spans="1:12" s="1" customFormat="1" x14ac:dyDescent="0.3">
      <c r="A2143" s="33"/>
      <c r="B2143" s="33"/>
      <c r="C2143" s="33"/>
      <c r="D2143" s="33"/>
      <c r="E2143" s="33"/>
      <c r="F2143" s="33"/>
      <c r="G2143" s="33"/>
      <c r="H2143" s="33"/>
      <c r="I2143" s="33"/>
      <c r="J2143" s="33"/>
      <c r="K2143" s="33"/>
      <c r="L2143" s="33"/>
    </row>
    <row r="2144" spans="1:12" s="1" customFormat="1" x14ac:dyDescent="0.3">
      <c r="A2144" s="33"/>
      <c r="B2144" s="33"/>
      <c r="C2144" s="33"/>
      <c r="D2144" s="33"/>
      <c r="E2144" s="33"/>
      <c r="F2144" s="33"/>
      <c r="G2144" s="33"/>
      <c r="H2144" s="33"/>
      <c r="I2144" s="33"/>
      <c r="J2144" s="33"/>
      <c r="K2144" s="33"/>
      <c r="L2144" s="33"/>
    </row>
    <row r="2145" spans="1:12" s="1" customFormat="1" x14ac:dyDescent="0.3">
      <c r="A2145" s="33"/>
      <c r="B2145" s="33"/>
      <c r="C2145" s="33"/>
      <c r="D2145" s="33"/>
      <c r="E2145" s="33"/>
      <c r="F2145" s="33"/>
      <c r="G2145" s="33"/>
      <c r="H2145" s="33"/>
      <c r="I2145" s="33"/>
      <c r="J2145" s="33"/>
      <c r="K2145" s="33"/>
      <c r="L2145" s="33"/>
    </row>
    <row r="2146" spans="1:12" s="1" customFormat="1" x14ac:dyDescent="0.3">
      <c r="A2146" s="33"/>
      <c r="B2146" s="33"/>
      <c r="C2146" s="33"/>
      <c r="D2146" s="33"/>
      <c r="E2146" s="33"/>
      <c r="F2146" s="33"/>
      <c r="G2146" s="33"/>
      <c r="H2146" s="33"/>
      <c r="I2146" s="33"/>
      <c r="J2146" s="33"/>
      <c r="K2146" s="33"/>
      <c r="L2146" s="33"/>
    </row>
    <row r="2147" spans="1:12" s="1" customFormat="1" x14ac:dyDescent="0.3">
      <c r="A2147" s="33"/>
      <c r="B2147" s="33"/>
      <c r="C2147" s="33"/>
      <c r="D2147" s="33"/>
      <c r="E2147" s="33"/>
      <c r="F2147" s="33"/>
      <c r="G2147" s="33"/>
      <c r="H2147" s="33"/>
      <c r="I2147" s="33"/>
      <c r="J2147" s="33"/>
      <c r="K2147" s="33"/>
      <c r="L2147" s="33"/>
    </row>
    <row r="2148" spans="1:12" s="1" customFormat="1" x14ac:dyDescent="0.3">
      <c r="A2148" s="33"/>
      <c r="B2148" s="33"/>
      <c r="C2148" s="33"/>
      <c r="D2148" s="33"/>
      <c r="E2148" s="33"/>
      <c r="F2148" s="33"/>
      <c r="G2148" s="33"/>
      <c r="H2148" s="33"/>
      <c r="I2148" s="33"/>
      <c r="J2148" s="33"/>
      <c r="K2148" s="33"/>
      <c r="L2148" s="33"/>
    </row>
    <row r="2149" spans="1:12" s="1" customFormat="1" x14ac:dyDescent="0.3">
      <c r="A2149" s="33"/>
      <c r="B2149" s="33"/>
      <c r="C2149" s="33"/>
      <c r="D2149" s="33"/>
      <c r="E2149" s="33"/>
      <c r="F2149" s="33"/>
      <c r="G2149" s="33"/>
      <c r="H2149" s="33"/>
      <c r="I2149" s="33"/>
      <c r="J2149" s="33"/>
      <c r="K2149" s="33"/>
      <c r="L2149" s="33"/>
    </row>
    <row r="2150" spans="1:12" s="1" customFormat="1" x14ac:dyDescent="0.3">
      <c r="A2150" s="33"/>
      <c r="B2150" s="33"/>
      <c r="C2150" s="33"/>
      <c r="D2150" s="33"/>
      <c r="E2150" s="33"/>
      <c r="F2150" s="33"/>
      <c r="G2150" s="33"/>
      <c r="H2150" s="33"/>
      <c r="I2150" s="33"/>
      <c r="J2150" s="33"/>
      <c r="K2150" s="33"/>
      <c r="L2150" s="33"/>
    </row>
    <row r="2151" spans="1:12" s="1" customFormat="1" x14ac:dyDescent="0.3">
      <c r="A2151" s="33"/>
      <c r="B2151" s="33"/>
      <c r="C2151" s="33"/>
      <c r="D2151" s="33"/>
      <c r="E2151" s="33"/>
      <c r="F2151" s="33"/>
      <c r="G2151" s="33"/>
      <c r="H2151" s="33"/>
      <c r="I2151" s="33"/>
      <c r="J2151" s="33"/>
      <c r="K2151" s="33"/>
      <c r="L2151" s="33"/>
    </row>
    <row r="2152" spans="1:12" s="1" customFormat="1" x14ac:dyDescent="0.3">
      <c r="A2152" s="33"/>
      <c r="B2152" s="33"/>
      <c r="C2152" s="33"/>
      <c r="D2152" s="33"/>
      <c r="E2152" s="33"/>
      <c r="F2152" s="33"/>
      <c r="G2152" s="33"/>
      <c r="H2152" s="33"/>
      <c r="I2152" s="33"/>
      <c r="J2152" s="33"/>
      <c r="K2152" s="33"/>
      <c r="L2152" s="33"/>
    </row>
    <row r="2153" spans="1:12" s="1" customFormat="1" x14ac:dyDescent="0.3">
      <c r="A2153" s="33"/>
      <c r="B2153" s="33"/>
      <c r="C2153" s="33"/>
      <c r="D2153" s="33"/>
      <c r="E2153" s="33"/>
      <c r="F2153" s="33"/>
      <c r="G2153" s="33"/>
      <c r="H2153" s="33"/>
      <c r="I2153" s="33"/>
      <c r="J2153" s="33"/>
      <c r="K2153" s="33"/>
      <c r="L2153" s="33"/>
    </row>
    <row r="2154" spans="1:12" s="1" customFormat="1" x14ac:dyDescent="0.3">
      <c r="A2154" s="33"/>
      <c r="B2154" s="33"/>
      <c r="C2154" s="33"/>
      <c r="D2154" s="33"/>
      <c r="E2154" s="33"/>
      <c r="F2154" s="33"/>
      <c r="G2154" s="33"/>
      <c r="H2154" s="33"/>
      <c r="I2154" s="33"/>
      <c r="J2154" s="33"/>
      <c r="K2154" s="33"/>
      <c r="L2154" s="33"/>
    </row>
    <row r="2155" spans="1:12" s="1" customFormat="1" x14ac:dyDescent="0.3">
      <c r="A2155" s="33"/>
      <c r="B2155" s="33"/>
      <c r="C2155" s="33"/>
      <c r="D2155" s="33"/>
      <c r="E2155" s="33"/>
      <c r="F2155" s="33"/>
      <c r="G2155" s="33"/>
      <c r="H2155" s="33"/>
      <c r="I2155" s="33"/>
      <c r="J2155" s="33"/>
      <c r="K2155" s="33"/>
      <c r="L2155" s="33"/>
    </row>
    <row r="2156" spans="1:12" s="1" customFormat="1" x14ac:dyDescent="0.3">
      <c r="A2156" s="33"/>
      <c r="B2156" s="33"/>
      <c r="C2156" s="33"/>
      <c r="D2156" s="33"/>
      <c r="E2156" s="33"/>
      <c r="F2156" s="33"/>
      <c r="G2156" s="33"/>
      <c r="H2156" s="33"/>
      <c r="I2156" s="33"/>
      <c r="J2156" s="33"/>
      <c r="K2156" s="33"/>
      <c r="L2156" s="33"/>
    </row>
    <row r="2157" spans="1:12" s="1" customFormat="1" x14ac:dyDescent="0.3">
      <c r="A2157" s="33"/>
      <c r="B2157" s="33"/>
      <c r="C2157" s="33"/>
      <c r="D2157" s="33"/>
      <c r="E2157" s="33"/>
      <c r="F2157" s="33"/>
      <c r="G2157" s="33"/>
      <c r="H2157" s="33"/>
      <c r="I2157" s="33"/>
      <c r="J2157" s="33"/>
      <c r="K2157" s="33"/>
      <c r="L2157" s="33"/>
    </row>
    <row r="2158" spans="1:12" s="1" customFormat="1" x14ac:dyDescent="0.3">
      <c r="A2158" s="33"/>
      <c r="B2158" s="33"/>
      <c r="C2158" s="33"/>
      <c r="D2158" s="33"/>
      <c r="E2158" s="33"/>
      <c r="F2158" s="33"/>
      <c r="G2158" s="33"/>
      <c r="H2158" s="33"/>
      <c r="I2158" s="33"/>
      <c r="J2158" s="33"/>
      <c r="K2158" s="33"/>
      <c r="L2158" s="33"/>
    </row>
    <row r="2159" spans="1:12" s="1" customFormat="1" x14ac:dyDescent="0.3">
      <c r="A2159" s="33"/>
      <c r="B2159" s="33"/>
      <c r="C2159" s="33"/>
      <c r="D2159" s="33"/>
      <c r="E2159" s="33"/>
      <c r="F2159" s="33"/>
      <c r="G2159" s="33"/>
      <c r="H2159" s="33"/>
      <c r="I2159" s="33"/>
      <c r="J2159" s="33"/>
      <c r="K2159" s="33"/>
      <c r="L2159" s="33"/>
    </row>
    <row r="2160" spans="1:12" s="1" customFormat="1" x14ac:dyDescent="0.3">
      <c r="A2160" s="33"/>
      <c r="B2160" s="33"/>
      <c r="C2160" s="33"/>
      <c r="D2160" s="33"/>
      <c r="E2160" s="33"/>
      <c r="F2160" s="33"/>
      <c r="G2160" s="33"/>
      <c r="H2160" s="33"/>
      <c r="I2160" s="33"/>
      <c r="J2160" s="33"/>
      <c r="K2160" s="33"/>
      <c r="L2160" s="33"/>
    </row>
    <row r="2161" spans="1:12" s="1" customFormat="1" x14ac:dyDescent="0.3">
      <c r="A2161" s="33"/>
      <c r="B2161" s="33"/>
      <c r="C2161" s="33"/>
      <c r="D2161" s="33"/>
      <c r="E2161" s="33"/>
      <c r="F2161" s="33"/>
      <c r="G2161" s="33"/>
      <c r="H2161" s="33"/>
      <c r="I2161" s="33"/>
      <c r="J2161" s="33"/>
      <c r="K2161" s="33"/>
      <c r="L2161" s="33"/>
    </row>
    <row r="2162" spans="1:12" s="1" customFormat="1" x14ac:dyDescent="0.3">
      <c r="A2162" s="33"/>
      <c r="B2162" s="33"/>
      <c r="C2162" s="33"/>
      <c r="D2162" s="33"/>
      <c r="E2162" s="33"/>
      <c r="F2162" s="33"/>
      <c r="G2162" s="33"/>
      <c r="H2162" s="33"/>
      <c r="I2162" s="33"/>
      <c r="J2162" s="33"/>
      <c r="K2162" s="33"/>
      <c r="L2162" s="33"/>
    </row>
    <row r="2163" spans="1:12" s="1" customFormat="1" x14ac:dyDescent="0.3">
      <c r="A2163" s="33"/>
      <c r="B2163" s="33"/>
      <c r="C2163" s="33"/>
      <c r="D2163" s="33"/>
      <c r="E2163" s="33"/>
      <c r="F2163" s="33"/>
      <c r="G2163" s="33"/>
      <c r="H2163" s="33"/>
      <c r="I2163" s="33"/>
      <c r="J2163" s="33"/>
      <c r="K2163" s="33"/>
      <c r="L2163" s="33"/>
    </row>
    <row r="2164" spans="1:12" s="1" customFormat="1" x14ac:dyDescent="0.3">
      <c r="A2164" s="33"/>
      <c r="B2164" s="33"/>
      <c r="C2164" s="33"/>
      <c r="D2164" s="33"/>
      <c r="E2164" s="33"/>
      <c r="F2164" s="33"/>
      <c r="G2164" s="33"/>
      <c r="H2164" s="33"/>
      <c r="I2164" s="33"/>
      <c r="J2164" s="33"/>
      <c r="K2164" s="33"/>
      <c r="L2164" s="33"/>
    </row>
    <row r="2165" spans="1:12" s="1" customFormat="1" x14ac:dyDescent="0.3">
      <c r="A2165" s="33"/>
      <c r="B2165" s="33"/>
      <c r="C2165" s="33"/>
      <c r="D2165" s="33"/>
      <c r="E2165" s="33"/>
      <c r="F2165" s="33"/>
      <c r="G2165" s="33"/>
      <c r="H2165" s="33"/>
      <c r="I2165" s="33"/>
      <c r="J2165" s="33"/>
      <c r="K2165" s="33"/>
      <c r="L2165" s="33"/>
    </row>
    <row r="2166" spans="1:12" s="1" customFormat="1" x14ac:dyDescent="0.3">
      <c r="A2166" s="33"/>
      <c r="B2166" s="33"/>
      <c r="C2166" s="33"/>
      <c r="D2166" s="33"/>
      <c r="E2166" s="33"/>
      <c r="F2166" s="33"/>
      <c r="G2166" s="33"/>
      <c r="H2166" s="33"/>
      <c r="I2166" s="33"/>
      <c r="J2166" s="33"/>
      <c r="K2166" s="33"/>
      <c r="L2166" s="33"/>
    </row>
    <row r="2167" spans="1:12" s="1" customFormat="1" x14ac:dyDescent="0.3">
      <c r="A2167" s="33"/>
      <c r="B2167" s="33"/>
      <c r="C2167" s="33"/>
      <c r="D2167" s="33"/>
      <c r="E2167" s="33"/>
      <c r="F2167" s="33"/>
      <c r="G2167" s="33"/>
      <c r="H2167" s="33"/>
      <c r="I2167" s="33"/>
      <c r="J2167" s="33"/>
      <c r="K2167" s="33"/>
      <c r="L2167" s="33"/>
    </row>
    <row r="2168" spans="1:12" s="1" customFormat="1" x14ac:dyDescent="0.3">
      <c r="A2168" s="33"/>
      <c r="B2168" s="33"/>
      <c r="C2168" s="33"/>
      <c r="D2168" s="33"/>
      <c r="E2168" s="33"/>
      <c r="F2168" s="33"/>
      <c r="G2168" s="33"/>
      <c r="H2168" s="33"/>
      <c r="I2168" s="33"/>
      <c r="J2168" s="33"/>
      <c r="K2168" s="33"/>
      <c r="L2168" s="33"/>
    </row>
    <row r="2169" spans="1:12" s="1" customFormat="1" x14ac:dyDescent="0.3">
      <c r="A2169" s="33"/>
      <c r="B2169" s="33"/>
      <c r="C2169" s="33"/>
      <c r="D2169" s="33"/>
      <c r="E2169" s="33"/>
      <c r="F2169" s="33"/>
      <c r="G2169" s="33"/>
      <c r="H2169" s="33"/>
      <c r="I2169" s="33"/>
      <c r="J2169" s="33"/>
      <c r="K2169" s="33"/>
      <c r="L2169" s="33"/>
    </row>
    <row r="2170" spans="1:12" s="1" customFormat="1" x14ac:dyDescent="0.3">
      <c r="A2170" s="33"/>
      <c r="B2170" s="33"/>
      <c r="C2170" s="33"/>
      <c r="D2170" s="33"/>
      <c r="E2170" s="33"/>
      <c r="F2170" s="33"/>
      <c r="G2170" s="33"/>
      <c r="H2170" s="33"/>
      <c r="I2170" s="33"/>
      <c r="J2170" s="33"/>
      <c r="K2170" s="33"/>
      <c r="L2170" s="33"/>
    </row>
    <row r="2171" spans="1:12" s="1" customFormat="1" x14ac:dyDescent="0.3">
      <c r="A2171" s="33"/>
      <c r="B2171" s="33"/>
      <c r="C2171" s="33"/>
      <c r="D2171" s="33"/>
      <c r="E2171" s="33"/>
      <c r="F2171" s="33"/>
      <c r="G2171" s="33"/>
      <c r="H2171" s="33"/>
      <c r="I2171" s="33"/>
      <c r="J2171" s="33"/>
      <c r="K2171" s="33"/>
      <c r="L2171" s="33"/>
    </row>
    <row r="2172" spans="1:12" s="1" customFormat="1" x14ac:dyDescent="0.3">
      <c r="A2172" s="33"/>
      <c r="B2172" s="33"/>
      <c r="C2172" s="33"/>
      <c r="D2172" s="33"/>
      <c r="E2172" s="33"/>
      <c r="F2172" s="33"/>
      <c r="G2172" s="33"/>
      <c r="H2172" s="33"/>
      <c r="I2172" s="33"/>
      <c r="J2172" s="33"/>
      <c r="K2172" s="33"/>
      <c r="L2172" s="33"/>
    </row>
    <row r="2173" spans="1:12" s="1" customFormat="1" x14ac:dyDescent="0.3">
      <c r="A2173" s="33"/>
      <c r="B2173" s="33"/>
      <c r="C2173" s="33"/>
      <c r="D2173" s="33"/>
      <c r="E2173" s="33"/>
      <c r="F2173" s="33"/>
      <c r="G2173" s="33"/>
      <c r="H2173" s="33"/>
      <c r="I2173" s="33"/>
      <c r="J2173" s="33"/>
      <c r="K2173" s="33"/>
      <c r="L2173" s="33"/>
    </row>
    <row r="2174" spans="1:12" s="1" customFormat="1" x14ac:dyDescent="0.3">
      <c r="A2174" s="33"/>
      <c r="B2174" s="33"/>
      <c r="C2174" s="33"/>
      <c r="D2174" s="33"/>
      <c r="E2174" s="33"/>
      <c r="F2174" s="33"/>
      <c r="G2174" s="33"/>
      <c r="H2174" s="33"/>
      <c r="I2174" s="33"/>
      <c r="J2174" s="33"/>
      <c r="K2174" s="33"/>
      <c r="L2174" s="33"/>
    </row>
    <row r="2175" spans="1:12" s="1" customFormat="1" x14ac:dyDescent="0.3">
      <c r="A2175" s="33"/>
      <c r="B2175" s="33"/>
      <c r="C2175" s="33"/>
      <c r="D2175" s="33"/>
      <c r="E2175" s="33"/>
      <c r="F2175" s="33"/>
      <c r="G2175" s="33"/>
      <c r="H2175" s="33"/>
      <c r="I2175" s="33"/>
      <c r="J2175" s="33"/>
      <c r="K2175" s="33"/>
      <c r="L2175" s="33"/>
    </row>
    <row r="2176" spans="1:12" s="1" customFormat="1" x14ac:dyDescent="0.3">
      <c r="A2176" s="33"/>
      <c r="B2176" s="33"/>
      <c r="C2176" s="33"/>
      <c r="D2176" s="33"/>
      <c r="E2176" s="33"/>
      <c r="F2176" s="33"/>
      <c r="G2176" s="33"/>
      <c r="H2176" s="33"/>
      <c r="I2176" s="33"/>
      <c r="J2176" s="33"/>
      <c r="K2176" s="33"/>
      <c r="L2176" s="33"/>
    </row>
    <row r="2177" spans="1:12" s="1" customFormat="1" x14ac:dyDescent="0.3">
      <c r="A2177" s="33"/>
      <c r="B2177" s="33"/>
      <c r="C2177" s="33"/>
      <c r="D2177" s="33"/>
      <c r="E2177" s="33"/>
      <c r="F2177" s="33"/>
      <c r="G2177" s="33"/>
      <c r="H2177" s="33"/>
      <c r="I2177" s="33"/>
      <c r="J2177" s="33"/>
      <c r="K2177" s="33"/>
      <c r="L2177" s="33"/>
    </row>
    <row r="2178" spans="1:12" s="1" customFormat="1" x14ac:dyDescent="0.3">
      <c r="A2178" s="33"/>
      <c r="B2178" s="33"/>
      <c r="C2178" s="33"/>
      <c r="D2178" s="33"/>
      <c r="E2178" s="33"/>
      <c r="F2178" s="33"/>
      <c r="G2178" s="33"/>
      <c r="H2178" s="33"/>
      <c r="I2178" s="33"/>
      <c r="J2178" s="33"/>
      <c r="K2178" s="33"/>
      <c r="L2178" s="33"/>
    </row>
    <row r="2179" spans="1:12" s="1" customFormat="1" x14ac:dyDescent="0.3">
      <c r="A2179" s="33"/>
      <c r="B2179" s="33"/>
      <c r="C2179" s="33"/>
      <c r="D2179" s="33"/>
      <c r="E2179" s="33"/>
      <c r="F2179" s="33"/>
      <c r="G2179" s="33"/>
      <c r="H2179" s="33"/>
      <c r="I2179" s="33"/>
      <c r="J2179" s="33"/>
      <c r="K2179" s="33"/>
      <c r="L2179" s="33"/>
    </row>
    <row r="2180" spans="1:12" s="1" customFormat="1" x14ac:dyDescent="0.3">
      <c r="A2180" s="33"/>
      <c r="B2180" s="33"/>
      <c r="C2180" s="33"/>
      <c r="D2180" s="33"/>
      <c r="E2180" s="33"/>
      <c r="F2180" s="33"/>
      <c r="G2180" s="33"/>
      <c r="H2180" s="33"/>
      <c r="I2180" s="33"/>
      <c r="J2180" s="33"/>
      <c r="K2180" s="33"/>
      <c r="L2180" s="33"/>
    </row>
    <row r="2181" spans="1:12" s="1" customFormat="1" x14ac:dyDescent="0.3">
      <c r="A2181" s="33"/>
      <c r="B2181" s="33"/>
      <c r="C2181" s="33"/>
      <c r="D2181" s="33"/>
      <c r="E2181" s="33"/>
      <c r="F2181" s="33"/>
      <c r="G2181" s="33"/>
      <c r="H2181" s="33"/>
      <c r="I2181" s="33"/>
      <c r="J2181" s="33"/>
      <c r="K2181" s="33"/>
      <c r="L2181" s="33"/>
    </row>
    <row r="2182" spans="1:12" s="1" customFormat="1" x14ac:dyDescent="0.3">
      <c r="A2182" s="33"/>
      <c r="B2182" s="33"/>
      <c r="C2182" s="33"/>
      <c r="D2182" s="33"/>
      <c r="E2182" s="33"/>
      <c r="F2182" s="33"/>
      <c r="G2182" s="33"/>
      <c r="H2182" s="33"/>
      <c r="I2182" s="33"/>
      <c r="J2182" s="33"/>
      <c r="K2182" s="33"/>
      <c r="L2182" s="33"/>
    </row>
    <row r="2183" spans="1:12" s="1" customFormat="1" x14ac:dyDescent="0.3">
      <c r="A2183" s="33"/>
      <c r="B2183" s="33"/>
      <c r="C2183" s="33"/>
      <c r="D2183" s="33"/>
      <c r="E2183" s="33"/>
      <c r="F2183" s="33"/>
      <c r="G2183" s="33"/>
      <c r="H2183" s="33"/>
      <c r="I2183" s="33"/>
      <c r="J2183" s="33"/>
      <c r="K2183" s="33"/>
      <c r="L2183" s="33"/>
    </row>
    <row r="2184" spans="1:12" s="1" customFormat="1" x14ac:dyDescent="0.3">
      <c r="A2184" s="33"/>
      <c r="B2184" s="33"/>
      <c r="C2184" s="33"/>
      <c r="D2184" s="33"/>
      <c r="E2184" s="33"/>
      <c r="F2184" s="33"/>
      <c r="G2184" s="33"/>
      <c r="H2184" s="33"/>
      <c r="I2184" s="33"/>
      <c r="J2184" s="33"/>
      <c r="K2184" s="33"/>
      <c r="L2184" s="33"/>
    </row>
    <row r="2185" spans="1:12" s="1" customFormat="1" x14ac:dyDescent="0.3">
      <c r="A2185" s="33"/>
      <c r="B2185" s="33"/>
      <c r="C2185" s="33"/>
      <c r="D2185" s="33"/>
      <c r="E2185" s="33"/>
      <c r="F2185" s="33"/>
      <c r="G2185" s="33"/>
      <c r="H2185" s="33"/>
      <c r="I2185" s="33"/>
      <c r="J2185" s="33"/>
      <c r="K2185" s="33"/>
      <c r="L2185" s="33"/>
    </row>
    <row r="2186" spans="1:12" s="1" customFormat="1" x14ac:dyDescent="0.3">
      <c r="A2186" s="33"/>
      <c r="B2186" s="33"/>
      <c r="C2186" s="33"/>
      <c r="D2186" s="33"/>
      <c r="E2186" s="33"/>
      <c r="F2186" s="33"/>
      <c r="G2186" s="33"/>
      <c r="H2186" s="33"/>
      <c r="I2186" s="33"/>
      <c r="J2186" s="33"/>
      <c r="K2186" s="33"/>
      <c r="L2186" s="33"/>
    </row>
    <row r="2187" spans="1:12" s="1" customFormat="1" x14ac:dyDescent="0.3">
      <c r="A2187" s="33"/>
      <c r="B2187" s="33"/>
      <c r="C2187" s="33"/>
      <c r="D2187" s="33"/>
      <c r="E2187" s="33"/>
      <c r="F2187" s="33"/>
      <c r="G2187" s="33"/>
      <c r="H2187" s="33"/>
      <c r="I2187" s="33"/>
      <c r="J2187" s="33"/>
      <c r="K2187" s="33"/>
      <c r="L2187" s="33"/>
    </row>
    <row r="2188" spans="1:12" s="1" customFormat="1" x14ac:dyDescent="0.3">
      <c r="A2188" s="33"/>
      <c r="B2188" s="33"/>
      <c r="C2188" s="33"/>
      <c r="D2188" s="33"/>
      <c r="E2188" s="33"/>
      <c r="F2188" s="33"/>
      <c r="G2188" s="33"/>
      <c r="H2188" s="33"/>
      <c r="I2188" s="33"/>
      <c r="J2188" s="33"/>
      <c r="K2188" s="33"/>
      <c r="L2188" s="33"/>
    </row>
    <row r="2189" spans="1:12" s="1" customFormat="1" x14ac:dyDescent="0.3">
      <c r="A2189" s="33"/>
      <c r="B2189" s="33"/>
      <c r="C2189" s="33"/>
      <c r="D2189" s="33"/>
      <c r="E2189" s="33"/>
      <c r="F2189" s="33"/>
      <c r="G2189" s="33"/>
      <c r="H2189" s="33"/>
      <c r="I2189" s="33"/>
      <c r="J2189" s="33"/>
      <c r="K2189" s="33"/>
      <c r="L2189" s="33"/>
    </row>
    <row r="2190" spans="1:12" s="1" customFormat="1" x14ac:dyDescent="0.3">
      <c r="A2190" s="33"/>
      <c r="B2190" s="33"/>
      <c r="C2190" s="33"/>
      <c r="D2190" s="33"/>
      <c r="E2190" s="33"/>
      <c r="F2190" s="33"/>
      <c r="G2190" s="33"/>
      <c r="H2190" s="33"/>
      <c r="I2190" s="33"/>
      <c r="J2190" s="33"/>
      <c r="K2190" s="33"/>
      <c r="L2190" s="33"/>
    </row>
    <row r="2191" spans="1:12" s="1" customFormat="1" x14ac:dyDescent="0.3">
      <c r="A2191" s="33"/>
      <c r="B2191" s="33"/>
      <c r="C2191" s="33"/>
      <c r="D2191" s="33"/>
      <c r="E2191" s="33"/>
      <c r="F2191" s="33"/>
      <c r="G2191" s="33"/>
      <c r="H2191" s="33"/>
      <c r="I2191" s="33"/>
      <c r="J2191" s="33"/>
      <c r="K2191" s="33"/>
      <c r="L2191" s="33"/>
    </row>
    <row r="2192" spans="1:12" s="1" customFormat="1" x14ac:dyDescent="0.3">
      <c r="A2192" s="33"/>
      <c r="B2192" s="33"/>
      <c r="C2192" s="33"/>
      <c r="D2192" s="33"/>
      <c r="E2192" s="33"/>
      <c r="F2192" s="33"/>
      <c r="G2192" s="33"/>
      <c r="H2192" s="33"/>
      <c r="I2192" s="33"/>
      <c r="J2192" s="33"/>
      <c r="K2192" s="33"/>
      <c r="L2192" s="33"/>
    </row>
    <row r="2193" spans="1:12" s="1" customFormat="1" x14ac:dyDescent="0.3">
      <c r="A2193" s="33"/>
      <c r="B2193" s="33"/>
      <c r="C2193" s="33"/>
      <c r="D2193" s="33"/>
      <c r="E2193" s="33"/>
      <c r="F2193" s="33"/>
      <c r="G2193" s="33"/>
      <c r="H2193" s="33"/>
      <c r="I2193" s="33"/>
      <c r="J2193" s="33"/>
      <c r="K2193" s="33"/>
      <c r="L2193" s="33"/>
    </row>
    <row r="2194" spans="1:12" s="1" customFormat="1" x14ac:dyDescent="0.3">
      <c r="A2194" s="33"/>
      <c r="B2194" s="33"/>
      <c r="C2194" s="33"/>
      <c r="D2194" s="33"/>
      <c r="E2194" s="33"/>
      <c r="F2194" s="33"/>
      <c r="G2194" s="33"/>
      <c r="H2194" s="33"/>
      <c r="I2194" s="33"/>
      <c r="J2194" s="33"/>
      <c r="K2194" s="33"/>
      <c r="L2194" s="33"/>
    </row>
    <row r="2195" spans="1:12" s="1" customFormat="1" x14ac:dyDescent="0.3">
      <c r="A2195" s="33"/>
      <c r="B2195" s="33"/>
      <c r="C2195" s="33"/>
      <c r="D2195" s="33"/>
      <c r="E2195" s="33"/>
      <c r="F2195" s="33"/>
      <c r="G2195" s="33"/>
      <c r="H2195" s="33"/>
      <c r="I2195" s="33"/>
      <c r="J2195" s="33"/>
      <c r="K2195" s="33"/>
      <c r="L2195" s="33"/>
    </row>
    <row r="2196" spans="1:12" s="1" customFormat="1" x14ac:dyDescent="0.3">
      <c r="A2196" s="33"/>
      <c r="B2196" s="33"/>
      <c r="C2196" s="33"/>
      <c r="D2196" s="33"/>
      <c r="E2196" s="33"/>
      <c r="F2196" s="33"/>
      <c r="G2196" s="33"/>
      <c r="H2196" s="33"/>
      <c r="I2196" s="33"/>
      <c r="J2196" s="33"/>
      <c r="K2196" s="33"/>
      <c r="L2196" s="33"/>
    </row>
    <row r="2197" spans="1:12" s="1" customFormat="1" x14ac:dyDescent="0.3">
      <c r="A2197" s="33"/>
      <c r="B2197" s="33"/>
      <c r="C2197" s="33"/>
      <c r="D2197" s="33"/>
      <c r="E2197" s="33"/>
      <c r="F2197" s="33"/>
      <c r="G2197" s="33"/>
      <c r="H2197" s="33"/>
      <c r="I2197" s="33"/>
      <c r="J2197" s="33"/>
      <c r="K2197" s="33"/>
      <c r="L2197" s="33"/>
    </row>
    <row r="2198" spans="1:12" s="1" customFormat="1" x14ac:dyDescent="0.3">
      <c r="A2198" s="33"/>
      <c r="B2198" s="33"/>
      <c r="C2198" s="33"/>
      <c r="D2198" s="33"/>
      <c r="E2198" s="33"/>
      <c r="F2198" s="33"/>
      <c r="G2198" s="33"/>
      <c r="H2198" s="33"/>
      <c r="I2198" s="33"/>
      <c r="J2198" s="33"/>
      <c r="K2198" s="33"/>
      <c r="L2198" s="33"/>
    </row>
    <row r="2199" spans="1:12" s="1" customFormat="1" x14ac:dyDescent="0.3">
      <c r="A2199" s="33"/>
      <c r="B2199" s="33"/>
      <c r="C2199" s="33"/>
      <c r="D2199" s="33"/>
      <c r="E2199" s="33"/>
      <c r="F2199" s="33"/>
      <c r="G2199" s="33"/>
      <c r="H2199" s="33"/>
      <c r="I2199" s="33"/>
      <c r="J2199" s="33"/>
      <c r="K2199" s="33"/>
      <c r="L2199" s="33"/>
    </row>
    <row r="2200" spans="1:12" s="1" customFormat="1" x14ac:dyDescent="0.3">
      <c r="A2200" s="33"/>
      <c r="B2200" s="33"/>
      <c r="C2200" s="33"/>
      <c r="D2200" s="33"/>
      <c r="E2200" s="33"/>
      <c r="F2200" s="33"/>
      <c r="G2200" s="33"/>
      <c r="H2200" s="33"/>
      <c r="I2200" s="33"/>
      <c r="J2200" s="33"/>
      <c r="K2200" s="33"/>
      <c r="L2200" s="33"/>
    </row>
    <row r="2201" spans="1:12" s="1" customFormat="1" x14ac:dyDescent="0.3">
      <c r="A2201" s="33"/>
      <c r="B2201" s="33"/>
      <c r="C2201" s="33"/>
      <c r="D2201" s="33"/>
      <c r="E2201" s="33"/>
      <c r="F2201" s="33"/>
      <c r="G2201" s="33"/>
      <c r="H2201" s="33"/>
      <c r="I2201" s="33"/>
      <c r="J2201" s="33"/>
      <c r="K2201" s="33"/>
      <c r="L2201" s="33"/>
    </row>
    <row r="2202" spans="1:12" s="1" customFormat="1" x14ac:dyDescent="0.3">
      <c r="A2202" s="33"/>
      <c r="B2202" s="33"/>
      <c r="C2202" s="33"/>
      <c r="D2202" s="33"/>
      <c r="E2202" s="33"/>
      <c r="F2202" s="33"/>
      <c r="G2202" s="33"/>
      <c r="H2202" s="33"/>
      <c r="I2202" s="33"/>
      <c r="J2202" s="33"/>
      <c r="K2202" s="33"/>
      <c r="L2202" s="33"/>
    </row>
    <row r="2203" spans="1:12" s="1" customFormat="1" x14ac:dyDescent="0.3">
      <c r="A2203" s="33"/>
      <c r="B2203" s="33"/>
      <c r="C2203" s="33"/>
      <c r="D2203" s="33"/>
      <c r="E2203" s="33"/>
      <c r="F2203" s="33"/>
      <c r="G2203" s="33"/>
      <c r="H2203" s="33"/>
      <c r="I2203" s="33"/>
      <c r="J2203" s="33"/>
      <c r="K2203" s="33"/>
      <c r="L2203" s="33"/>
    </row>
    <row r="2204" spans="1:12" s="1" customFormat="1" x14ac:dyDescent="0.3">
      <c r="A2204" s="33"/>
      <c r="B2204" s="33"/>
      <c r="C2204" s="33"/>
      <c r="D2204" s="33"/>
      <c r="E2204" s="33"/>
      <c r="F2204" s="33"/>
      <c r="G2204" s="33"/>
      <c r="H2204" s="33"/>
      <c r="I2204" s="33"/>
      <c r="J2204" s="33"/>
      <c r="K2204" s="33"/>
      <c r="L2204" s="33"/>
    </row>
    <row r="2205" spans="1:12" s="1" customFormat="1" x14ac:dyDescent="0.3">
      <c r="A2205" s="33"/>
      <c r="B2205" s="33"/>
      <c r="C2205" s="33"/>
      <c r="D2205" s="33"/>
      <c r="E2205" s="33"/>
      <c r="F2205" s="33"/>
      <c r="G2205" s="33"/>
      <c r="H2205" s="33"/>
      <c r="I2205" s="33"/>
      <c r="J2205" s="33"/>
      <c r="K2205" s="33"/>
      <c r="L2205" s="33"/>
    </row>
    <row r="2206" spans="1:12" s="1" customFormat="1" x14ac:dyDescent="0.3">
      <c r="A2206" s="33"/>
      <c r="B2206" s="33"/>
      <c r="C2206" s="33"/>
      <c r="D2206" s="33"/>
      <c r="E2206" s="33"/>
      <c r="F2206" s="33"/>
      <c r="G2206" s="33"/>
      <c r="H2206" s="33"/>
      <c r="I2206" s="33"/>
      <c r="J2206" s="33"/>
      <c r="K2206" s="33"/>
      <c r="L2206" s="33"/>
    </row>
    <row r="2207" spans="1:12" s="1" customFormat="1" x14ac:dyDescent="0.3">
      <c r="A2207" s="33"/>
      <c r="B2207" s="33"/>
      <c r="C2207" s="33"/>
      <c r="D2207" s="33"/>
      <c r="E2207" s="33"/>
      <c r="F2207" s="33"/>
      <c r="G2207" s="33"/>
      <c r="H2207" s="33"/>
      <c r="I2207" s="33"/>
      <c r="J2207" s="33"/>
      <c r="K2207" s="33"/>
      <c r="L2207" s="33"/>
    </row>
    <row r="2208" spans="1:12" s="1" customFormat="1" x14ac:dyDescent="0.3">
      <c r="A2208" s="33"/>
      <c r="B2208" s="33"/>
      <c r="C2208" s="33"/>
      <c r="D2208" s="33"/>
      <c r="E2208" s="33"/>
      <c r="F2208" s="33"/>
      <c r="G2208" s="33"/>
      <c r="H2208" s="33"/>
      <c r="I2208" s="33"/>
      <c r="J2208" s="33"/>
      <c r="K2208" s="33"/>
      <c r="L2208" s="33"/>
    </row>
    <row r="2209" spans="1:12" s="1" customFormat="1" x14ac:dyDescent="0.3">
      <c r="A2209" s="33"/>
      <c r="B2209" s="33"/>
      <c r="C2209" s="33"/>
      <c r="D2209" s="33"/>
      <c r="E2209" s="33"/>
      <c r="F2209" s="33"/>
      <c r="G2209" s="33"/>
      <c r="H2209" s="33"/>
      <c r="I2209" s="33"/>
      <c r="J2209" s="33"/>
      <c r="K2209" s="33"/>
      <c r="L2209" s="33"/>
    </row>
    <row r="2210" spans="1:12" s="1" customFormat="1" x14ac:dyDescent="0.3">
      <c r="A2210" s="33"/>
      <c r="B2210" s="33"/>
      <c r="C2210" s="33"/>
      <c r="D2210" s="33"/>
      <c r="E2210" s="33"/>
      <c r="F2210" s="33"/>
      <c r="G2210" s="33"/>
      <c r="H2210" s="33"/>
      <c r="I2210" s="33"/>
      <c r="J2210" s="33"/>
      <c r="K2210" s="33"/>
      <c r="L2210" s="33"/>
    </row>
    <row r="2211" spans="1:12" s="1" customFormat="1" x14ac:dyDescent="0.3">
      <c r="A2211" s="33"/>
      <c r="B2211" s="33"/>
      <c r="C2211" s="33"/>
      <c r="D2211" s="33"/>
      <c r="E2211" s="33"/>
      <c r="F2211" s="33"/>
      <c r="G2211" s="33"/>
      <c r="H2211" s="33"/>
      <c r="I2211" s="33"/>
      <c r="J2211" s="33"/>
      <c r="K2211" s="33"/>
      <c r="L2211" s="33"/>
    </row>
    <row r="2212" spans="1:12" s="1" customFormat="1" x14ac:dyDescent="0.3">
      <c r="A2212" s="33"/>
      <c r="B2212" s="33"/>
      <c r="C2212" s="33"/>
      <c r="D2212" s="33"/>
      <c r="E2212" s="33"/>
      <c r="F2212" s="33"/>
      <c r="G2212" s="33"/>
      <c r="H2212" s="33"/>
      <c r="I2212" s="33"/>
      <c r="J2212" s="33"/>
      <c r="K2212" s="33"/>
      <c r="L2212" s="33"/>
    </row>
    <row r="2213" spans="1:12" s="1" customFormat="1" x14ac:dyDescent="0.3">
      <c r="A2213" s="33"/>
      <c r="B2213" s="33"/>
      <c r="C2213" s="33"/>
      <c r="D2213" s="33"/>
      <c r="E2213" s="33"/>
      <c r="F2213" s="33"/>
      <c r="G2213" s="33"/>
      <c r="H2213" s="33"/>
      <c r="I2213" s="33"/>
      <c r="J2213" s="33"/>
      <c r="K2213" s="33"/>
      <c r="L2213" s="33"/>
    </row>
    <row r="2214" spans="1:12" s="1" customFormat="1" x14ac:dyDescent="0.3">
      <c r="A2214" s="33"/>
      <c r="B2214" s="33"/>
      <c r="C2214" s="33"/>
      <c r="D2214" s="33"/>
      <c r="E2214" s="33"/>
      <c r="F2214" s="33"/>
      <c r="G2214" s="33"/>
      <c r="H2214" s="33"/>
      <c r="I2214" s="33"/>
      <c r="J2214" s="33"/>
      <c r="K2214" s="33"/>
      <c r="L2214" s="33"/>
    </row>
    <row r="2215" spans="1:12" s="1" customFormat="1" x14ac:dyDescent="0.3">
      <c r="A2215" s="33"/>
      <c r="B2215" s="33"/>
      <c r="C2215" s="33"/>
      <c r="D2215" s="33"/>
      <c r="E2215" s="33"/>
      <c r="F2215" s="33"/>
      <c r="G2215" s="33"/>
      <c r="H2215" s="33"/>
      <c r="I2215" s="33"/>
      <c r="J2215" s="33"/>
      <c r="K2215" s="33"/>
      <c r="L2215" s="33"/>
    </row>
    <row r="2216" spans="1:12" s="1" customFormat="1" x14ac:dyDescent="0.3">
      <c r="A2216" s="33"/>
      <c r="B2216" s="33"/>
      <c r="C2216" s="33"/>
      <c r="D2216" s="33"/>
      <c r="E2216" s="33"/>
      <c r="F2216" s="33"/>
      <c r="G2216" s="33"/>
      <c r="H2216" s="33"/>
      <c r="I2216" s="33"/>
      <c r="J2216" s="33"/>
      <c r="K2216" s="33"/>
      <c r="L2216" s="33"/>
    </row>
    <row r="2217" spans="1:12" s="1" customFormat="1" x14ac:dyDescent="0.3">
      <c r="A2217" s="33"/>
      <c r="B2217" s="33"/>
      <c r="C2217" s="33"/>
      <c r="D2217" s="33"/>
      <c r="E2217" s="33"/>
      <c r="F2217" s="33"/>
      <c r="G2217" s="33"/>
      <c r="H2217" s="33"/>
      <c r="I2217" s="33"/>
      <c r="J2217" s="33"/>
      <c r="K2217" s="33"/>
      <c r="L2217" s="33"/>
    </row>
    <row r="2218" spans="1:12" s="1" customFormat="1" x14ac:dyDescent="0.3">
      <c r="A2218" s="33"/>
      <c r="B2218" s="33"/>
      <c r="C2218" s="33"/>
      <c r="D2218" s="33"/>
      <c r="E2218" s="33"/>
      <c r="F2218" s="33"/>
      <c r="G2218" s="33"/>
      <c r="H2218" s="33"/>
      <c r="I2218" s="33"/>
      <c r="J2218" s="33"/>
      <c r="K2218" s="33"/>
      <c r="L2218" s="33"/>
    </row>
    <row r="2219" spans="1:12" s="1" customFormat="1" x14ac:dyDescent="0.3">
      <c r="A2219" s="33"/>
      <c r="B2219" s="33"/>
      <c r="C2219" s="33"/>
      <c r="D2219" s="33"/>
      <c r="E2219" s="33"/>
      <c r="F2219" s="33"/>
      <c r="G2219" s="33"/>
      <c r="H2219" s="33"/>
      <c r="I2219" s="33"/>
      <c r="J2219" s="33"/>
      <c r="K2219" s="33"/>
      <c r="L2219" s="33"/>
    </row>
    <row r="2220" spans="1:12" s="1" customFormat="1" x14ac:dyDescent="0.3">
      <c r="A2220" s="33"/>
      <c r="B2220" s="33"/>
      <c r="C2220" s="33"/>
      <c r="D2220" s="33"/>
      <c r="E2220" s="33"/>
      <c r="F2220" s="33"/>
      <c r="G2220" s="33"/>
      <c r="H2220" s="33"/>
      <c r="I2220" s="33"/>
      <c r="J2220" s="33"/>
      <c r="K2220" s="33"/>
      <c r="L2220" s="33"/>
    </row>
    <row r="2221" spans="1:12" s="1" customFormat="1" x14ac:dyDescent="0.3">
      <c r="A2221" s="33"/>
      <c r="B2221" s="33"/>
      <c r="C2221" s="33"/>
      <c r="D2221" s="33"/>
      <c r="E2221" s="33"/>
      <c r="F2221" s="33"/>
      <c r="G2221" s="33"/>
      <c r="H2221" s="33"/>
      <c r="I2221" s="33"/>
      <c r="J2221" s="33"/>
      <c r="K2221" s="33"/>
      <c r="L2221" s="33"/>
    </row>
    <row r="2222" spans="1:12" s="1" customFormat="1" x14ac:dyDescent="0.3">
      <c r="A2222" s="33"/>
      <c r="B2222" s="33"/>
      <c r="C2222" s="33"/>
      <c r="D2222" s="33"/>
      <c r="E2222" s="33"/>
      <c r="F2222" s="33"/>
      <c r="G2222" s="33"/>
      <c r="H2222" s="33"/>
      <c r="I2222" s="33"/>
      <c r="J2222" s="33"/>
      <c r="K2222" s="33"/>
      <c r="L2222" s="33"/>
    </row>
    <row r="2223" spans="1:12" s="1" customFormat="1" x14ac:dyDescent="0.3">
      <c r="A2223" s="33"/>
      <c r="B2223" s="33"/>
      <c r="C2223" s="33"/>
      <c r="D2223" s="33"/>
      <c r="E2223" s="33"/>
      <c r="F2223" s="33"/>
      <c r="G2223" s="33"/>
      <c r="H2223" s="33"/>
      <c r="I2223" s="33"/>
      <c r="J2223" s="33"/>
      <c r="K2223" s="33"/>
      <c r="L2223" s="33"/>
    </row>
    <row r="2224" spans="1:12" s="1" customFormat="1" x14ac:dyDescent="0.3">
      <c r="A2224" s="33"/>
      <c r="B2224" s="33"/>
      <c r="C2224" s="33"/>
      <c r="D2224" s="33"/>
      <c r="E2224" s="33"/>
      <c r="F2224" s="33"/>
      <c r="G2224" s="33"/>
      <c r="H2224" s="33"/>
      <c r="I2224" s="33"/>
      <c r="J2224" s="33"/>
      <c r="K2224" s="33"/>
      <c r="L2224" s="33"/>
    </row>
    <row r="2225" spans="1:12" s="1" customFormat="1" x14ac:dyDescent="0.3">
      <c r="A2225" s="33"/>
      <c r="B2225" s="33"/>
      <c r="C2225" s="33"/>
      <c r="D2225" s="33"/>
      <c r="E2225" s="33"/>
      <c r="F2225" s="33"/>
      <c r="G2225" s="33"/>
      <c r="H2225" s="33"/>
      <c r="I2225" s="33"/>
      <c r="J2225" s="33"/>
      <c r="K2225" s="33"/>
      <c r="L2225" s="33"/>
    </row>
    <row r="2226" spans="1:12" s="1" customFormat="1" x14ac:dyDescent="0.3">
      <c r="A2226" s="33"/>
      <c r="B2226" s="33"/>
      <c r="C2226" s="33"/>
      <c r="D2226" s="33"/>
      <c r="E2226" s="33"/>
      <c r="F2226" s="33"/>
      <c r="G2226" s="33"/>
      <c r="H2226" s="33"/>
      <c r="I2226" s="33"/>
      <c r="J2226" s="33"/>
      <c r="K2226" s="33"/>
      <c r="L2226" s="33"/>
    </row>
    <row r="2227" spans="1:12" s="1" customFormat="1" x14ac:dyDescent="0.3">
      <c r="A2227" s="33"/>
      <c r="B2227" s="33"/>
      <c r="C2227" s="33"/>
      <c r="D2227" s="33"/>
      <c r="E2227" s="33"/>
      <c r="F2227" s="33"/>
      <c r="G2227" s="33"/>
      <c r="H2227" s="33"/>
      <c r="I2227" s="33"/>
      <c r="J2227" s="33"/>
      <c r="K2227" s="33"/>
      <c r="L2227" s="33"/>
    </row>
    <row r="2228" spans="1:12" s="1" customFormat="1" x14ac:dyDescent="0.3">
      <c r="A2228" s="33"/>
      <c r="B2228" s="33"/>
      <c r="C2228" s="33"/>
      <c r="D2228" s="33"/>
      <c r="E2228" s="33"/>
      <c r="F2228" s="33"/>
      <c r="G2228" s="33"/>
      <c r="H2228" s="33"/>
      <c r="I2228" s="33"/>
      <c r="J2228" s="33"/>
      <c r="K2228" s="33"/>
      <c r="L2228" s="33"/>
    </row>
    <row r="2229" spans="1:12" s="1" customFormat="1" x14ac:dyDescent="0.3">
      <c r="A2229" s="33"/>
      <c r="B2229" s="33"/>
      <c r="C2229" s="33"/>
      <c r="D2229" s="33"/>
      <c r="E2229" s="33"/>
      <c r="F2229" s="33"/>
      <c r="G2229" s="33"/>
      <c r="H2229" s="33"/>
      <c r="I2229" s="33"/>
      <c r="J2229" s="33"/>
      <c r="K2229" s="33"/>
      <c r="L2229" s="33"/>
    </row>
    <row r="2230" spans="1:12" s="1" customFormat="1" x14ac:dyDescent="0.3">
      <c r="A2230" s="33"/>
      <c r="B2230" s="33"/>
      <c r="C2230" s="33"/>
      <c r="D2230" s="33"/>
      <c r="E2230" s="33"/>
      <c r="F2230" s="33"/>
      <c r="G2230" s="33"/>
      <c r="H2230" s="33"/>
      <c r="I2230" s="33"/>
      <c r="J2230" s="33"/>
      <c r="K2230" s="33"/>
      <c r="L2230" s="33"/>
    </row>
    <row r="2231" spans="1:12" s="1" customFormat="1" x14ac:dyDescent="0.3">
      <c r="A2231" s="33"/>
      <c r="B2231" s="33"/>
      <c r="C2231" s="33"/>
      <c r="D2231" s="33"/>
      <c r="E2231" s="33"/>
      <c r="F2231" s="33"/>
      <c r="G2231" s="33"/>
      <c r="H2231" s="33"/>
      <c r="I2231" s="33"/>
      <c r="J2231" s="33"/>
      <c r="K2231" s="33"/>
      <c r="L2231" s="33"/>
    </row>
    <row r="2232" spans="1:12" s="1" customFormat="1" x14ac:dyDescent="0.3">
      <c r="A2232" s="33"/>
      <c r="B2232" s="33"/>
      <c r="C2232" s="33"/>
      <c r="D2232" s="33"/>
      <c r="E2232" s="33"/>
      <c r="F2232" s="33"/>
      <c r="G2232" s="33"/>
      <c r="H2232" s="33"/>
      <c r="I2232" s="33"/>
      <c r="J2232" s="33"/>
      <c r="K2232" s="33"/>
      <c r="L2232" s="33"/>
    </row>
    <row r="2233" spans="1:12" s="1" customFormat="1" x14ac:dyDescent="0.3">
      <c r="A2233" s="33"/>
      <c r="B2233" s="33"/>
      <c r="C2233" s="33"/>
      <c r="D2233" s="33"/>
      <c r="E2233" s="33"/>
      <c r="F2233" s="33"/>
      <c r="G2233" s="33"/>
      <c r="H2233" s="33"/>
      <c r="I2233" s="33"/>
      <c r="J2233" s="33"/>
      <c r="K2233" s="33"/>
      <c r="L2233" s="33"/>
    </row>
    <row r="2234" spans="1:12" s="1" customFormat="1" x14ac:dyDescent="0.3">
      <c r="A2234" s="33"/>
      <c r="B2234" s="33"/>
      <c r="C2234" s="33"/>
      <c r="D2234" s="33"/>
      <c r="E2234" s="33"/>
      <c r="F2234" s="33"/>
      <c r="G2234" s="33"/>
      <c r="H2234" s="33"/>
      <c r="I2234" s="33"/>
      <c r="J2234" s="33"/>
      <c r="K2234" s="33"/>
      <c r="L2234" s="33"/>
    </row>
    <row r="2235" spans="1:12" s="1" customFormat="1" x14ac:dyDescent="0.3">
      <c r="A2235" s="33"/>
      <c r="B2235" s="33"/>
      <c r="C2235" s="33"/>
      <c r="D2235" s="33"/>
      <c r="E2235" s="33"/>
      <c r="F2235" s="33"/>
      <c r="G2235" s="33"/>
      <c r="H2235" s="33"/>
      <c r="I2235" s="33"/>
      <c r="J2235" s="33"/>
      <c r="K2235" s="33"/>
      <c r="L2235" s="33"/>
    </row>
    <row r="2236" spans="1:12" s="1" customFormat="1" x14ac:dyDescent="0.3">
      <c r="A2236" s="33"/>
      <c r="B2236" s="33"/>
      <c r="C2236" s="33"/>
      <c r="D2236" s="33"/>
      <c r="E2236" s="33"/>
      <c r="F2236" s="33"/>
      <c r="G2236" s="33"/>
      <c r="H2236" s="33"/>
      <c r="I2236" s="33"/>
      <c r="J2236" s="33"/>
      <c r="K2236" s="33"/>
      <c r="L2236" s="33"/>
    </row>
    <row r="2237" spans="1:12" s="1" customFormat="1" x14ac:dyDescent="0.3">
      <c r="A2237" s="33"/>
      <c r="B2237" s="33"/>
      <c r="C2237" s="33"/>
      <c r="D2237" s="33"/>
      <c r="E2237" s="33"/>
      <c r="F2237" s="33"/>
      <c r="G2237" s="33"/>
      <c r="H2237" s="33"/>
      <c r="I2237" s="33"/>
      <c r="J2237" s="33"/>
      <c r="K2237" s="33"/>
      <c r="L2237" s="33"/>
    </row>
    <row r="2238" spans="1:12" s="1" customFormat="1" x14ac:dyDescent="0.3">
      <c r="A2238" s="33"/>
      <c r="B2238" s="33"/>
      <c r="C2238" s="33"/>
      <c r="D2238" s="33"/>
      <c r="E2238" s="33"/>
      <c r="F2238" s="33"/>
      <c r="G2238" s="33"/>
      <c r="H2238" s="33"/>
      <c r="I2238" s="33"/>
      <c r="J2238" s="33"/>
      <c r="K2238" s="33"/>
      <c r="L2238" s="33"/>
    </row>
    <row r="2239" spans="1:12" s="1" customFormat="1" x14ac:dyDescent="0.3">
      <c r="A2239" s="33"/>
      <c r="B2239" s="33"/>
      <c r="C2239" s="33"/>
      <c r="D2239" s="33"/>
      <c r="E2239" s="33"/>
      <c r="F2239" s="33"/>
      <c r="G2239" s="33"/>
      <c r="H2239" s="33"/>
      <c r="I2239" s="33"/>
      <c r="J2239" s="33"/>
      <c r="K2239" s="33"/>
      <c r="L2239" s="33"/>
    </row>
    <row r="2240" spans="1:12" s="1" customFormat="1" x14ac:dyDescent="0.3">
      <c r="A2240" s="33"/>
      <c r="B2240" s="33"/>
      <c r="C2240" s="33"/>
      <c r="D2240" s="33"/>
      <c r="E2240" s="33"/>
      <c r="F2240" s="33"/>
      <c r="G2240" s="33"/>
      <c r="H2240" s="33"/>
      <c r="I2240" s="33"/>
      <c r="J2240" s="33"/>
      <c r="K2240" s="33"/>
      <c r="L2240" s="33"/>
    </row>
    <row r="2241" spans="1:12" s="1" customFormat="1" x14ac:dyDescent="0.3">
      <c r="A2241" s="33"/>
      <c r="B2241" s="33"/>
      <c r="C2241" s="33"/>
      <c r="D2241" s="33"/>
      <c r="E2241" s="33"/>
      <c r="F2241" s="33"/>
      <c r="G2241" s="33"/>
      <c r="H2241" s="33"/>
      <c r="I2241" s="33"/>
      <c r="J2241" s="33"/>
      <c r="K2241" s="33"/>
      <c r="L2241" s="33"/>
    </row>
    <row r="2242" spans="1:12" s="1" customFormat="1" x14ac:dyDescent="0.3">
      <c r="A2242" s="33"/>
      <c r="B2242" s="33"/>
      <c r="C2242" s="33"/>
      <c r="D2242" s="33"/>
      <c r="E2242" s="33"/>
      <c r="F2242" s="33"/>
      <c r="G2242" s="33"/>
      <c r="H2242" s="33"/>
      <c r="I2242" s="33"/>
      <c r="J2242" s="33"/>
      <c r="K2242" s="33"/>
      <c r="L2242" s="33"/>
    </row>
    <row r="2243" spans="1:12" s="1" customFormat="1" x14ac:dyDescent="0.3">
      <c r="A2243" s="33"/>
      <c r="B2243" s="33"/>
      <c r="C2243" s="33"/>
      <c r="D2243" s="33"/>
      <c r="E2243" s="33"/>
      <c r="F2243" s="33"/>
      <c r="G2243" s="33"/>
      <c r="H2243" s="33"/>
      <c r="I2243" s="33"/>
      <c r="J2243" s="33"/>
      <c r="K2243" s="33"/>
      <c r="L2243" s="33"/>
    </row>
    <row r="2244" spans="1:12" s="1" customFormat="1" x14ac:dyDescent="0.3">
      <c r="A2244" s="33"/>
      <c r="B2244" s="33"/>
      <c r="C2244" s="33"/>
      <c r="D2244" s="33"/>
      <c r="E2244" s="33"/>
      <c r="F2244" s="33"/>
      <c r="G2244" s="33"/>
      <c r="H2244" s="33"/>
      <c r="I2244" s="33"/>
      <c r="J2244" s="33"/>
      <c r="K2244" s="33"/>
      <c r="L2244" s="33"/>
    </row>
    <row r="2245" spans="1:12" s="1" customFormat="1" x14ac:dyDescent="0.3">
      <c r="A2245" s="33"/>
      <c r="B2245" s="33"/>
      <c r="C2245" s="33"/>
      <c r="D2245" s="33"/>
      <c r="E2245" s="33"/>
      <c r="F2245" s="33"/>
      <c r="G2245" s="33"/>
      <c r="H2245" s="33"/>
      <c r="I2245" s="33"/>
      <c r="J2245" s="33"/>
      <c r="K2245" s="33"/>
      <c r="L2245" s="33"/>
    </row>
    <row r="2246" spans="1:12" s="1" customFormat="1" x14ac:dyDescent="0.3">
      <c r="A2246" s="33"/>
      <c r="B2246" s="33"/>
      <c r="C2246" s="33"/>
      <c r="D2246" s="33"/>
      <c r="E2246" s="33"/>
      <c r="F2246" s="33"/>
      <c r="G2246" s="33"/>
      <c r="H2246" s="33"/>
      <c r="I2246" s="33"/>
      <c r="J2246" s="33"/>
      <c r="K2246" s="33"/>
      <c r="L2246" s="33"/>
    </row>
    <row r="2247" spans="1:12" s="1" customFormat="1" x14ac:dyDescent="0.3">
      <c r="A2247" s="33"/>
      <c r="B2247" s="33"/>
      <c r="C2247" s="33"/>
      <c r="D2247" s="33"/>
      <c r="E2247" s="33"/>
      <c r="F2247" s="33"/>
      <c r="G2247" s="33"/>
      <c r="H2247" s="33"/>
      <c r="I2247" s="33"/>
      <c r="J2247" s="33"/>
      <c r="K2247" s="33"/>
      <c r="L2247" s="33"/>
    </row>
    <row r="2248" spans="1:12" s="1" customFormat="1" x14ac:dyDescent="0.3">
      <c r="A2248" s="33"/>
      <c r="B2248" s="33"/>
      <c r="C2248" s="33"/>
      <c r="D2248" s="33"/>
      <c r="E2248" s="33"/>
      <c r="F2248" s="33"/>
      <c r="G2248" s="33"/>
      <c r="H2248" s="33"/>
      <c r="I2248" s="33"/>
      <c r="J2248" s="33"/>
      <c r="K2248" s="33"/>
      <c r="L2248" s="33"/>
    </row>
    <row r="2249" spans="1:12" s="1" customFormat="1" x14ac:dyDescent="0.3">
      <c r="A2249" s="33"/>
      <c r="B2249" s="33"/>
      <c r="C2249" s="33"/>
      <c r="D2249" s="33"/>
      <c r="E2249" s="33"/>
      <c r="F2249" s="33"/>
      <c r="G2249" s="33"/>
      <c r="H2249" s="33"/>
      <c r="I2249" s="33"/>
      <c r="J2249" s="33"/>
      <c r="K2249" s="33"/>
      <c r="L2249" s="33"/>
    </row>
    <row r="2250" spans="1:12" s="1" customFormat="1" x14ac:dyDescent="0.3">
      <c r="A2250" s="33"/>
      <c r="B2250" s="33"/>
      <c r="C2250" s="33"/>
      <c r="D2250" s="33"/>
      <c r="E2250" s="33"/>
      <c r="F2250" s="33"/>
      <c r="G2250" s="33"/>
      <c r="H2250" s="33"/>
      <c r="I2250" s="33"/>
      <c r="J2250" s="33"/>
      <c r="K2250" s="33"/>
      <c r="L2250" s="33"/>
    </row>
    <row r="2251" spans="1:12" s="1" customFormat="1" x14ac:dyDescent="0.3">
      <c r="A2251" s="33"/>
      <c r="B2251" s="33"/>
      <c r="C2251" s="33"/>
      <c r="D2251" s="33"/>
      <c r="E2251" s="33"/>
      <c r="F2251" s="33"/>
      <c r="G2251" s="33"/>
      <c r="H2251" s="33"/>
      <c r="I2251" s="33"/>
      <c r="J2251" s="33"/>
      <c r="K2251" s="33"/>
      <c r="L2251" s="33"/>
    </row>
    <row r="2252" spans="1:12" s="1" customFormat="1" x14ac:dyDescent="0.3">
      <c r="A2252" s="33"/>
      <c r="B2252" s="33"/>
      <c r="C2252" s="33"/>
      <c r="D2252" s="33"/>
      <c r="E2252" s="33"/>
      <c r="F2252" s="33"/>
      <c r="G2252" s="33"/>
      <c r="H2252" s="33"/>
      <c r="I2252" s="33"/>
      <c r="J2252" s="33"/>
      <c r="K2252" s="33"/>
      <c r="L2252" s="33"/>
    </row>
    <row r="2253" spans="1:12" s="1" customFormat="1" x14ac:dyDescent="0.3">
      <c r="A2253" s="33"/>
      <c r="B2253" s="33"/>
      <c r="C2253" s="33"/>
      <c r="D2253" s="33"/>
      <c r="E2253" s="33"/>
      <c r="F2253" s="33"/>
      <c r="G2253" s="33"/>
      <c r="H2253" s="33"/>
      <c r="I2253" s="33"/>
      <c r="J2253" s="33"/>
      <c r="K2253" s="33"/>
      <c r="L2253" s="33"/>
    </row>
    <row r="2254" spans="1:12" s="1" customFormat="1" x14ac:dyDescent="0.3">
      <c r="A2254" s="33"/>
      <c r="B2254" s="33"/>
      <c r="C2254" s="33"/>
      <c r="D2254" s="33"/>
      <c r="E2254" s="33"/>
      <c r="F2254" s="33"/>
      <c r="G2254" s="33"/>
      <c r="H2254" s="33"/>
      <c r="I2254" s="33"/>
      <c r="J2254" s="33"/>
      <c r="K2254" s="33"/>
      <c r="L2254" s="33"/>
    </row>
    <row r="2255" spans="1:12" s="1" customFormat="1" x14ac:dyDescent="0.3">
      <c r="A2255" s="33"/>
      <c r="B2255" s="33"/>
      <c r="C2255" s="33"/>
      <c r="D2255" s="33"/>
      <c r="E2255" s="33"/>
      <c r="F2255" s="33"/>
      <c r="G2255" s="33"/>
      <c r="H2255" s="33"/>
      <c r="I2255" s="33"/>
      <c r="J2255" s="33"/>
      <c r="K2255" s="33"/>
      <c r="L2255" s="33"/>
    </row>
    <row r="2256" spans="1:12" s="1" customFormat="1" x14ac:dyDescent="0.3">
      <c r="A2256" s="33"/>
      <c r="B2256" s="33"/>
      <c r="C2256" s="33"/>
      <c r="D2256" s="33"/>
      <c r="E2256" s="33"/>
      <c r="F2256" s="33"/>
      <c r="G2256" s="33"/>
      <c r="H2256" s="33"/>
      <c r="I2256" s="33"/>
      <c r="J2256" s="33"/>
      <c r="K2256" s="33"/>
      <c r="L2256" s="33"/>
    </row>
    <row r="2257" spans="1:12" s="1" customFormat="1" x14ac:dyDescent="0.3">
      <c r="A2257" s="33"/>
      <c r="B2257" s="33"/>
      <c r="C2257" s="33"/>
      <c r="D2257" s="33"/>
      <c r="E2257" s="33"/>
      <c r="F2257" s="33"/>
      <c r="G2257" s="33"/>
      <c r="H2257" s="33"/>
      <c r="I2257" s="33"/>
      <c r="J2257" s="33"/>
      <c r="K2257" s="33"/>
      <c r="L2257" s="33"/>
    </row>
    <row r="2258" spans="1:12" s="1" customFormat="1" x14ac:dyDescent="0.3">
      <c r="A2258" s="33"/>
      <c r="B2258" s="33"/>
      <c r="C2258" s="33"/>
      <c r="D2258" s="33"/>
      <c r="E2258" s="33"/>
      <c r="F2258" s="33"/>
      <c r="G2258" s="33"/>
      <c r="H2258" s="33"/>
      <c r="I2258" s="33"/>
      <c r="J2258" s="33"/>
      <c r="K2258" s="33"/>
      <c r="L2258" s="33"/>
    </row>
    <row r="2259" spans="1:12" s="1" customFormat="1" x14ac:dyDescent="0.3">
      <c r="A2259" s="33"/>
      <c r="B2259" s="33"/>
      <c r="C2259" s="33"/>
      <c r="D2259" s="33"/>
      <c r="E2259" s="33"/>
      <c r="F2259" s="33"/>
      <c r="G2259" s="33"/>
      <c r="H2259" s="33"/>
      <c r="I2259" s="33"/>
      <c r="J2259" s="33"/>
      <c r="K2259" s="33"/>
      <c r="L2259" s="33"/>
    </row>
    <row r="2260" spans="1:12" s="1" customFormat="1" x14ac:dyDescent="0.3">
      <c r="A2260" s="33"/>
      <c r="B2260" s="33"/>
      <c r="C2260" s="33"/>
      <c r="D2260" s="33"/>
      <c r="E2260" s="33"/>
      <c r="F2260" s="33"/>
      <c r="G2260" s="33"/>
      <c r="H2260" s="33"/>
      <c r="I2260" s="33"/>
      <c r="J2260" s="33"/>
      <c r="K2260" s="33"/>
      <c r="L2260" s="33"/>
    </row>
    <row r="2261" spans="1:12" s="1" customFormat="1" x14ac:dyDescent="0.3">
      <c r="A2261" s="33"/>
      <c r="B2261" s="33"/>
      <c r="C2261" s="33"/>
      <c r="D2261" s="33"/>
      <c r="E2261" s="33"/>
      <c r="F2261" s="33"/>
      <c r="G2261" s="33"/>
      <c r="H2261" s="33"/>
      <c r="I2261" s="33"/>
      <c r="J2261" s="33"/>
      <c r="K2261" s="33"/>
      <c r="L2261" s="33"/>
    </row>
    <row r="2262" spans="1:12" s="1" customFormat="1" x14ac:dyDescent="0.3">
      <c r="A2262" s="33"/>
      <c r="B2262" s="33"/>
      <c r="C2262" s="33"/>
      <c r="D2262" s="33"/>
      <c r="E2262" s="33"/>
      <c r="F2262" s="33"/>
      <c r="G2262" s="33"/>
      <c r="H2262" s="33"/>
      <c r="I2262" s="33"/>
      <c r="J2262" s="33"/>
      <c r="K2262" s="33"/>
      <c r="L2262" s="33"/>
    </row>
    <row r="2263" spans="1:12" s="1" customFormat="1" x14ac:dyDescent="0.3">
      <c r="A2263" s="33"/>
      <c r="B2263" s="33"/>
      <c r="C2263" s="33"/>
      <c r="D2263" s="33"/>
      <c r="E2263" s="33"/>
      <c r="F2263" s="33"/>
      <c r="G2263" s="33"/>
      <c r="H2263" s="33"/>
      <c r="I2263" s="33"/>
      <c r="J2263" s="33"/>
      <c r="K2263" s="33"/>
      <c r="L2263" s="33"/>
    </row>
    <row r="2264" spans="1:12" s="1" customFormat="1" x14ac:dyDescent="0.3">
      <c r="A2264" s="33"/>
      <c r="B2264" s="33"/>
      <c r="C2264" s="33"/>
      <c r="D2264" s="33"/>
      <c r="E2264" s="33"/>
      <c r="F2264" s="33"/>
      <c r="G2264" s="33"/>
      <c r="H2264" s="33"/>
      <c r="I2264" s="33"/>
      <c r="J2264" s="33"/>
      <c r="K2264" s="33"/>
      <c r="L2264" s="33"/>
    </row>
    <row r="2265" spans="1:12" s="1" customFormat="1" x14ac:dyDescent="0.3">
      <c r="A2265" s="33"/>
      <c r="B2265" s="33"/>
      <c r="C2265" s="33"/>
      <c r="D2265" s="33"/>
      <c r="E2265" s="33"/>
      <c r="F2265" s="33"/>
      <c r="G2265" s="33"/>
      <c r="H2265" s="33"/>
      <c r="I2265" s="33"/>
      <c r="J2265" s="33"/>
      <c r="K2265" s="33"/>
      <c r="L2265" s="33"/>
    </row>
    <row r="2266" spans="1:12" s="1" customFormat="1" x14ac:dyDescent="0.3">
      <c r="A2266" s="33"/>
      <c r="B2266" s="33"/>
      <c r="C2266" s="33"/>
      <c r="D2266" s="33"/>
      <c r="E2266" s="33"/>
      <c r="F2266" s="33"/>
      <c r="G2266" s="33"/>
      <c r="H2266" s="33"/>
      <c r="I2266" s="33"/>
      <c r="J2266" s="33"/>
      <c r="K2266" s="33"/>
      <c r="L2266" s="33"/>
    </row>
    <row r="2267" spans="1:12" s="1" customFormat="1" x14ac:dyDescent="0.3">
      <c r="A2267" s="33"/>
      <c r="B2267" s="33"/>
      <c r="C2267" s="33"/>
      <c r="D2267" s="33"/>
      <c r="E2267" s="33"/>
      <c r="F2267" s="33"/>
      <c r="G2267" s="33"/>
      <c r="H2267" s="33"/>
      <c r="I2267" s="33"/>
      <c r="J2267" s="33"/>
      <c r="K2267" s="33"/>
      <c r="L2267" s="33"/>
    </row>
    <row r="2268" spans="1:12" s="1" customFormat="1" x14ac:dyDescent="0.3">
      <c r="A2268" s="33"/>
      <c r="B2268" s="33"/>
      <c r="C2268" s="33"/>
      <c r="D2268" s="33"/>
      <c r="E2268" s="33"/>
      <c r="F2268" s="33"/>
      <c r="G2268" s="33"/>
      <c r="H2268" s="33"/>
      <c r="I2268" s="33"/>
      <c r="J2268" s="33"/>
      <c r="K2268" s="33"/>
      <c r="L2268" s="33"/>
    </row>
    <row r="2269" spans="1:12" s="1" customFormat="1" x14ac:dyDescent="0.3">
      <c r="A2269" s="33"/>
      <c r="B2269" s="33"/>
      <c r="C2269" s="33"/>
      <c r="D2269" s="33"/>
      <c r="E2269" s="33"/>
      <c r="F2269" s="33"/>
      <c r="G2269" s="33"/>
      <c r="H2269" s="33"/>
      <c r="I2269" s="33"/>
      <c r="J2269" s="33"/>
      <c r="K2269" s="33"/>
      <c r="L2269" s="33"/>
    </row>
    <row r="2270" spans="1:12" s="1" customFormat="1" x14ac:dyDescent="0.3">
      <c r="A2270" s="33"/>
      <c r="B2270" s="33"/>
      <c r="C2270" s="33"/>
      <c r="D2270" s="33"/>
      <c r="E2270" s="33"/>
      <c r="F2270" s="33"/>
      <c r="G2270" s="33"/>
      <c r="H2270" s="33"/>
      <c r="I2270" s="33"/>
      <c r="J2270" s="33"/>
      <c r="K2270" s="33"/>
      <c r="L2270" s="33"/>
    </row>
    <row r="2271" spans="1:12" s="1" customFormat="1" x14ac:dyDescent="0.3">
      <c r="A2271" s="33"/>
      <c r="B2271" s="33"/>
      <c r="C2271" s="33"/>
      <c r="D2271" s="33"/>
      <c r="E2271" s="33"/>
      <c r="F2271" s="33"/>
      <c r="G2271" s="33"/>
      <c r="H2271" s="33"/>
      <c r="I2271" s="33"/>
      <c r="J2271" s="33"/>
      <c r="K2271" s="33"/>
      <c r="L2271" s="33"/>
    </row>
    <row r="2272" spans="1:12" s="1" customFormat="1" x14ac:dyDescent="0.3">
      <c r="A2272" s="33"/>
      <c r="B2272" s="33"/>
      <c r="C2272" s="33"/>
      <c r="D2272" s="33"/>
      <c r="E2272" s="33"/>
      <c r="F2272" s="33"/>
      <c r="G2272" s="33"/>
      <c r="H2272" s="33"/>
      <c r="I2272" s="33"/>
      <c r="J2272" s="33"/>
      <c r="K2272" s="33"/>
      <c r="L2272" s="33"/>
    </row>
    <row r="2273" spans="1:12" s="1" customFormat="1" x14ac:dyDescent="0.3">
      <c r="A2273" s="33"/>
      <c r="B2273" s="33"/>
      <c r="C2273" s="33"/>
      <c r="D2273" s="33"/>
      <c r="E2273" s="33"/>
      <c r="F2273" s="33"/>
      <c r="G2273" s="33"/>
      <c r="H2273" s="33"/>
      <c r="I2273" s="33"/>
      <c r="J2273" s="33"/>
      <c r="K2273" s="33"/>
      <c r="L2273" s="33"/>
    </row>
    <row r="2274" spans="1:12" s="1" customFormat="1" x14ac:dyDescent="0.3">
      <c r="A2274" s="33"/>
      <c r="B2274" s="33"/>
      <c r="C2274" s="33"/>
      <c r="D2274" s="33"/>
      <c r="E2274" s="33"/>
      <c r="F2274" s="33"/>
      <c r="G2274" s="33"/>
      <c r="H2274" s="33"/>
      <c r="I2274" s="33"/>
      <c r="J2274" s="33"/>
      <c r="K2274" s="33"/>
      <c r="L2274" s="33"/>
    </row>
    <row r="2275" spans="1:12" s="1" customFormat="1" x14ac:dyDescent="0.3">
      <c r="A2275" s="33"/>
      <c r="B2275" s="33"/>
      <c r="C2275" s="33"/>
      <c r="D2275" s="33"/>
      <c r="E2275" s="33"/>
      <c r="F2275" s="33"/>
      <c r="G2275" s="33"/>
      <c r="H2275" s="33"/>
      <c r="I2275" s="33"/>
      <c r="J2275" s="33"/>
      <c r="K2275" s="33"/>
      <c r="L2275" s="33"/>
    </row>
    <row r="2276" spans="1:12" s="1" customFormat="1" x14ac:dyDescent="0.3">
      <c r="A2276" s="33"/>
      <c r="B2276" s="33"/>
      <c r="C2276" s="33"/>
      <c r="D2276" s="33"/>
      <c r="E2276" s="33"/>
      <c r="F2276" s="33"/>
      <c r="G2276" s="33"/>
      <c r="H2276" s="33"/>
      <c r="I2276" s="33"/>
      <c r="J2276" s="33"/>
      <c r="K2276" s="33"/>
      <c r="L2276" s="33"/>
    </row>
    <row r="2277" spans="1:12" s="1" customFormat="1" x14ac:dyDescent="0.3">
      <c r="A2277" s="33"/>
      <c r="B2277" s="33"/>
      <c r="C2277" s="33"/>
      <c r="D2277" s="33"/>
      <c r="E2277" s="33"/>
      <c r="F2277" s="33"/>
      <c r="G2277" s="33"/>
      <c r="H2277" s="33"/>
      <c r="I2277" s="33"/>
      <c r="J2277" s="33"/>
      <c r="K2277" s="33"/>
      <c r="L2277" s="33"/>
    </row>
    <row r="2278" spans="1:12" s="1" customFormat="1" x14ac:dyDescent="0.3">
      <c r="A2278" s="33"/>
      <c r="B2278" s="33"/>
      <c r="C2278" s="33"/>
      <c r="D2278" s="33"/>
      <c r="E2278" s="33"/>
      <c r="F2278" s="33"/>
      <c r="G2278" s="33"/>
      <c r="H2278" s="33"/>
      <c r="I2278" s="33"/>
      <c r="J2278" s="33"/>
      <c r="K2278" s="33"/>
      <c r="L2278" s="33"/>
    </row>
    <row r="2279" spans="1:12" s="1" customFormat="1" x14ac:dyDescent="0.3">
      <c r="A2279" s="33"/>
      <c r="B2279" s="33"/>
      <c r="C2279" s="33"/>
      <c r="D2279" s="33"/>
      <c r="E2279" s="33"/>
      <c r="F2279" s="33"/>
      <c r="G2279" s="33"/>
      <c r="H2279" s="33"/>
      <c r="I2279" s="33"/>
      <c r="J2279" s="33"/>
      <c r="K2279" s="33"/>
      <c r="L2279" s="33"/>
    </row>
    <row r="2280" spans="1:12" s="1" customFormat="1" x14ac:dyDescent="0.3">
      <c r="A2280" s="33"/>
      <c r="B2280" s="33"/>
      <c r="C2280" s="33"/>
      <c r="D2280" s="33"/>
      <c r="E2280" s="33"/>
      <c r="F2280" s="33"/>
      <c r="G2280" s="33"/>
      <c r="H2280" s="33"/>
      <c r="I2280" s="33"/>
      <c r="J2280" s="33"/>
      <c r="K2280" s="33"/>
      <c r="L2280" s="33"/>
    </row>
    <row r="2281" spans="1:12" s="1" customFormat="1" x14ac:dyDescent="0.3">
      <c r="A2281" s="33"/>
      <c r="B2281" s="33"/>
      <c r="C2281" s="33"/>
      <c r="D2281" s="33"/>
      <c r="E2281" s="33"/>
      <c r="F2281" s="33"/>
      <c r="G2281" s="33"/>
      <c r="H2281" s="33"/>
      <c r="I2281" s="33"/>
      <c r="J2281" s="33"/>
      <c r="K2281" s="33"/>
      <c r="L2281" s="33"/>
    </row>
    <row r="2282" spans="1:12" s="1" customFormat="1" x14ac:dyDescent="0.3">
      <c r="A2282" s="33"/>
      <c r="B2282" s="33"/>
      <c r="C2282" s="33"/>
      <c r="D2282" s="33"/>
      <c r="E2282" s="33"/>
      <c r="F2282" s="33"/>
      <c r="G2282" s="33"/>
      <c r="H2282" s="33"/>
      <c r="I2282" s="33"/>
      <c r="J2282" s="33"/>
      <c r="K2282" s="33"/>
      <c r="L2282" s="33"/>
    </row>
    <row r="2283" spans="1:12" s="1" customFormat="1" x14ac:dyDescent="0.3">
      <c r="A2283" s="33"/>
      <c r="B2283" s="33"/>
      <c r="C2283" s="33"/>
      <c r="D2283" s="33"/>
      <c r="E2283" s="33"/>
      <c r="F2283" s="33"/>
      <c r="G2283" s="33"/>
      <c r="H2283" s="33"/>
      <c r="I2283" s="33"/>
      <c r="J2283" s="33"/>
      <c r="K2283" s="33"/>
      <c r="L2283" s="33"/>
    </row>
    <row r="2284" spans="1:12" s="1" customFormat="1" x14ac:dyDescent="0.3">
      <c r="A2284" s="33"/>
      <c r="B2284" s="33"/>
      <c r="C2284" s="33"/>
      <c r="D2284" s="33"/>
      <c r="E2284" s="33"/>
      <c r="F2284" s="33"/>
      <c r="G2284" s="33"/>
      <c r="H2284" s="33"/>
      <c r="I2284" s="33"/>
      <c r="J2284" s="33"/>
      <c r="K2284" s="33"/>
      <c r="L2284" s="33"/>
    </row>
    <row r="2285" spans="1:12" s="1" customFormat="1" x14ac:dyDescent="0.3">
      <c r="A2285" s="33"/>
      <c r="B2285" s="33"/>
      <c r="C2285" s="33"/>
      <c r="D2285" s="33"/>
      <c r="E2285" s="33"/>
      <c r="F2285" s="33"/>
      <c r="G2285" s="33"/>
      <c r="H2285" s="33"/>
      <c r="I2285" s="33"/>
      <c r="J2285" s="33"/>
      <c r="K2285" s="33"/>
      <c r="L2285" s="33"/>
    </row>
    <row r="2286" spans="1:12" s="1" customFormat="1" x14ac:dyDescent="0.3">
      <c r="A2286" s="33"/>
      <c r="B2286" s="33"/>
      <c r="C2286" s="33"/>
      <c r="D2286" s="33"/>
      <c r="E2286" s="33"/>
      <c r="F2286" s="33"/>
      <c r="G2286" s="33"/>
      <c r="H2286" s="33"/>
      <c r="I2286" s="33"/>
      <c r="J2286" s="33"/>
      <c r="K2286" s="33"/>
      <c r="L2286" s="33"/>
    </row>
    <row r="2287" spans="1:12" s="1" customFormat="1" x14ac:dyDescent="0.3">
      <c r="A2287" s="33"/>
      <c r="B2287" s="33"/>
      <c r="C2287" s="33"/>
      <c r="D2287" s="33"/>
      <c r="E2287" s="33"/>
      <c r="F2287" s="33"/>
      <c r="G2287" s="33"/>
      <c r="H2287" s="33"/>
      <c r="I2287" s="33"/>
      <c r="J2287" s="33"/>
      <c r="K2287" s="33"/>
      <c r="L2287" s="33"/>
    </row>
    <row r="2288" spans="1:12" s="1" customFormat="1" x14ac:dyDescent="0.3">
      <c r="A2288" s="33"/>
      <c r="B2288" s="33"/>
      <c r="C2288" s="33"/>
      <c r="D2288" s="33"/>
      <c r="E2288" s="33"/>
      <c r="F2288" s="33"/>
      <c r="G2288" s="33"/>
      <c r="H2288" s="33"/>
      <c r="I2288" s="33"/>
      <c r="J2288" s="33"/>
      <c r="K2288" s="33"/>
      <c r="L2288" s="33"/>
    </row>
    <row r="2289" spans="1:12" s="1" customFormat="1" x14ac:dyDescent="0.3">
      <c r="A2289" s="33"/>
      <c r="B2289" s="33"/>
      <c r="C2289" s="33"/>
      <c r="D2289" s="33"/>
      <c r="E2289" s="33"/>
      <c r="F2289" s="33"/>
      <c r="G2289" s="33"/>
      <c r="H2289" s="33"/>
      <c r="I2289" s="33"/>
      <c r="J2289" s="33"/>
      <c r="K2289" s="33"/>
      <c r="L2289" s="33"/>
    </row>
    <row r="2290" spans="1:12" s="1" customFormat="1" x14ac:dyDescent="0.3">
      <c r="A2290" s="33"/>
      <c r="B2290" s="33"/>
      <c r="C2290" s="33"/>
      <c r="D2290" s="33"/>
      <c r="E2290" s="33"/>
      <c r="F2290" s="33"/>
      <c r="G2290" s="33"/>
      <c r="H2290" s="33"/>
      <c r="I2290" s="33"/>
      <c r="J2290" s="33"/>
      <c r="K2290" s="33"/>
      <c r="L2290" s="33"/>
    </row>
    <row r="2291" spans="1:12" s="1" customFormat="1" x14ac:dyDescent="0.3">
      <c r="A2291" s="33"/>
      <c r="B2291" s="33"/>
      <c r="C2291" s="33"/>
      <c r="D2291" s="33"/>
      <c r="E2291" s="33"/>
      <c r="F2291" s="33"/>
      <c r="G2291" s="33"/>
      <c r="H2291" s="33"/>
      <c r="I2291" s="33"/>
      <c r="J2291" s="33"/>
      <c r="K2291" s="33"/>
      <c r="L2291" s="33"/>
    </row>
    <row r="2292" spans="1:12" s="1" customFormat="1" x14ac:dyDescent="0.3">
      <c r="A2292" s="33"/>
      <c r="B2292" s="33"/>
      <c r="C2292" s="33"/>
      <c r="D2292" s="33"/>
      <c r="E2292" s="33"/>
      <c r="F2292" s="33"/>
      <c r="G2292" s="33"/>
      <c r="H2292" s="33"/>
      <c r="I2292" s="33"/>
      <c r="J2292" s="33"/>
      <c r="K2292" s="33"/>
      <c r="L2292" s="33"/>
    </row>
    <row r="2293" spans="1:12" s="1" customFormat="1" x14ac:dyDescent="0.3">
      <c r="A2293" s="33"/>
      <c r="B2293" s="33"/>
      <c r="C2293" s="33"/>
      <c r="D2293" s="33"/>
      <c r="E2293" s="33"/>
      <c r="F2293" s="33"/>
      <c r="G2293" s="33"/>
      <c r="H2293" s="33"/>
      <c r="I2293" s="33"/>
      <c r="J2293" s="33"/>
      <c r="K2293" s="33"/>
      <c r="L2293" s="33"/>
    </row>
    <row r="2294" spans="1:12" s="1" customFormat="1" x14ac:dyDescent="0.3">
      <c r="A2294" s="33"/>
      <c r="B2294" s="33"/>
      <c r="C2294" s="33"/>
      <c r="D2294" s="33"/>
      <c r="E2294" s="33"/>
      <c r="F2294" s="33"/>
      <c r="G2294" s="33"/>
      <c r="H2294" s="33"/>
      <c r="I2294" s="33"/>
      <c r="J2294" s="33"/>
      <c r="K2294" s="33"/>
      <c r="L2294" s="33"/>
    </row>
    <row r="2295" spans="1:12" s="1" customFormat="1" x14ac:dyDescent="0.3">
      <c r="A2295" s="33"/>
      <c r="B2295" s="33"/>
      <c r="C2295" s="33"/>
      <c r="D2295" s="33"/>
      <c r="E2295" s="33"/>
      <c r="F2295" s="33"/>
      <c r="G2295" s="33"/>
      <c r="H2295" s="33"/>
      <c r="I2295" s="33"/>
      <c r="J2295" s="33"/>
      <c r="K2295" s="33"/>
      <c r="L2295" s="33"/>
    </row>
    <row r="2296" spans="1:12" s="1" customFormat="1" x14ac:dyDescent="0.3">
      <c r="A2296" s="33"/>
      <c r="B2296" s="33"/>
      <c r="C2296" s="33"/>
      <c r="D2296" s="33"/>
      <c r="E2296" s="33"/>
      <c r="F2296" s="33"/>
      <c r="G2296" s="33"/>
      <c r="H2296" s="33"/>
      <c r="I2296" s="33"/>
      <c r="J2296" s="33"/>
      <c r="K2296" s="33"/>
      <c r="L2296" s="33"/>
    </row>
    <row r="2297" spans="1:12" s="1" customFormat="1" x14ac:dyDescent="0.3">
      <c r="A2297" s="33"/>
      <c r="B2297" s="33"/>
      <c r="C2297" s="33"/>
      <c r="D2297" s="33"/>
      <c r="E2297" s="33"/>
      <c r="F2297" s="33"/>
      <c r="G2297" s="33"/>
      <c r="H2297" s="33"/>
      <c r="I2297" s="33"/>
      <c r="J2297" s="33"/>
      <c r="K2297" s="33"/>
      <c r="L2297" s="33"/>
    </row>
    <row r="2298" spans="1:12" s="1" customFormat="1" x14ac:dyDescent="0.3">
      <c r="A2298" s="33"/>
      <c r="B2298" s="33"/>
      <c r="C2298" s="33"/>
      <c r="D2298" s="33"/>
      <c r="E2298" s="33"/>
      <c r="F2298" s="33"/>
      <c r="G2298" s="33"/>
      <c r="H2298" s="33"/>
      <c r="I2298" s="33"/>
      <c r="J2298" s="33"/>
      <c r="K2298" s="33"/>
      <c r="L2298" s="33"/>
    </row>
    <row r="2299" spans="1:12" s="1" customFormat="1" x14ac:dyDescent="0.3">
      <c r="A2299" s="33"/>
      <c r="B2299" s="33"/>
      <c r="C2299" s="33"/>
      <c r="D2299" s="33"/>
      <c r="E2299" s="33"/>
      <c r="F2299" s="33"/>
      <c r="G2299" s="33"/>
      <c r="H2299" s="33"/>
      <c r="I2299" s="33"/>
      <c r="J2299" s="33"/>
      <c r="K2299" s="33"/>
      <c r="L2299" s="33"/>
    </row>
    <row r="2300" spans="1:12" s="1" customFormat="1" x14ac:dyDescent="0.3">
      <c r="A2300" s="33"/>
      <c r="B2300" s="33"/>
      <c r="C2300" s="33"/>
      <c r="D2300" s="33"/>
      <c r="E2300" s="33"/>
      <c r="F2300" s="33"/>
      <c r="G2300" s="33"/>
      <c r="H2300" s="33"/>
      <c r="I2300" s="33"/>
      <c r="J2300" s="33"/>
      <c r="K2300" s="33"/>
      <c r="L2300" s="33"/>
    </row>
    <row r="2301" spans="1:12" s="1" customFormat="1" x14ac:dyDescent="0.3">
      <c r="A2301" s="33"/>
      <c r="B2301" s="33"/>
      <c r="C2301" s="33"/>
      <c r="D2301" s="33"/>
      <c r="E2301" s="33"/>
      <c r="F2301" s="33"/>
      <c r="G2301" s="33"/>
      <c r="H2301" s="33"/>
      <c r="I2301" s="33"/>
      <c r="J2301" s="33"/>
      <c r="K2301" s="33"/>
      <c r="L2301" s="33"/>
    </row>
    <row r="2302" spans="1:12" s="1" customFormat="1" x14ac:dyDescent="0.3">
      <c r="A2302" s="33"/>
      <c r="B2302" s="33"/>
      <c r="C2302" s="33"/>
      <c r="D2302" s="33"/>
      <c r="E2302" s="33"/>
      <c r="F2302" s="33"/>
      <c r="G2302" s="33"/>
      <c r="H2302" s="33"/>
      <c r="I2302" s="33"/>
      <c r="J2302" s="33"/>
      <c r="K2302" s="33"/>
      <c r="L2302" s="33"/>
    </row>
    <row r="2303" spans="1:12" s="1" customFormat="1" x14ac:dyDescent="0.3">
      <c r="A2303" s="33"/>
      <c r="B2303" s="33"/>
      <c r="C2303" s="33"/>
      <c r="D2303" s="33"/>
      <c r="E2303" s="33"/>
      <c r="F2303" s="33"/>
      <c r="G2303" s="33"/>
      <c r="H2303" s="33"/>
      <c r="I2303" s="33"/>
      <c r="J2303" s="33"/>
      <c r="K2303" s="33"/>
      <c r="L2303" s="33"/>
    </row>
    <row r="2304" spans="1:12" s="1" customFormat="1" x14ac:dyDescent="0.3">
      <c r="A2304" s="33"/>
      <c r="B2304" s="33"/>
      <c r="C2304" s="33"/>
      <c r="D2304" s="33"/>
      <c r="E2304" s="33"/>
      <c r="F2304" s="33"/>
      <c r="G2304" s="33"/>
      <c r="H2304" s="33"/>
      <c r="I2304" s="33"/>
      <c r="J2304" s="33"/>
      <c r="K2304" s="33"/>
      <c r="L2304" s="33"/>
    </row>
    <row r="2305" spans="1:12" s="1" customFormat="1" x14ac:dyDescent="0.3">
      <c r="A2305" s="33"/>
      <c r="B2305" s="33"/>
      <c r="C2305" s="33"/>
      <c r="D2305" s="33"/>
      <c r="E2305" s="33"/>
      <c r="F2305" s="33"/>
      <c r="G2305" s="33"/>
      <c r="H2305" s="33"/>
      <c r="I2305" s="33"/>
      <c r="J2305" s="33"/>
      <c r="K2305" s="33"/>
      <c r="L2305" s="33"/>
    </row>
    <row r="2306" spans="1:12" s="1" customFormat="1" x14ac:dyDescent="0.3">
      <c r="A2306" s="33"/>
      <c r="B2306" s="33"/>
      <c r="C2306" s="33"/>
      <c r="D2306" s="33"/>
      <c r="E2306" s="33"/>
      <c r="F2306" s="33"/>
      <c r="G2306" s="33"/>
      <c r="H2306" s="33"/>
      <c r="I2306" s="33"/>
      <c r="J2306" s="33"/>
      <c r="K2306" s="33"/>
      <c r="L2306" s="33"/>
    </row>
    <row r="2307" spans="1:12" s="1" customFormat="1" x14ac:dyDescent="0.3">
      <c r="A2307" s="33"/>
      <c r="B2307" s="33"/>
      <c r="C2307" s="33"/>
      <c r="D2307" s="33"/>
      <c r="E2307" s="33"/>
      <c r="F2307" s="33"/>
      <c r="G2307" s="33"/>
      <c r="H2307" s="33"/>
      <c r="I2307" s="33"/>
      <c r="J2307" s="33"/>
      <c r="K2307" s="33"/>
      <c r="L2307" s="33"/>
    </row>
    <row r="2308" spans="1:12" s="1" customFormat="1" x14ac:dyDescent="0.3">
      <c r="A2308" s="33"/>
      <c r="B2308" s="33"/>
      <c r="C2308" s="33"/>
      <c r="D2308" s="33"/>
      <c r="E2308" s="33"/>
      <c r="F2308" s="33"/>
      <c r="G2308" s="33"/>
      <c r="H2308" s="33"/>
      <c r="I2308" s="33"/>
      <c r="J2308" s="33"/>
      <c r="K2308" s="33"/>
      <c r="L2308" s="33"/>
    </row>
    <row r="2309" spans="1:12" s="1" customFormat="1" x14ac:dyDescent="0.3">
      <c r="A2309" s="33"/>
      <c r="B2309" s="33"/>
      <c r="C2309" s="33"/>
      <c r="D2309" s="33"/>
      <c r="E2309" s="33"/>
      <c r="F2309" s="33"/>
      <c r="G2309" s="33"/>
      <c r="H2309" s="33"/>
      <c r="I2309" s="33"/>
      <c r="J2309" s="33"/>
      <c r="K2309" s="33"/>
      <c r="L2309" s="33"/>
    </row>
    <row r="2310" spans="1:12" s="1" customFormat="1" x14ac:dyDescent="0.3">
      <c r="A2310" s="33"/>
      <c r="B2310" s="33"/>
      <c r="C2310" s="33"/>
      <c r="D2310" s="33"/>
      <c r="E2310" s="33"/>
      <c r="F2310" s="33"/>
      <c r="G2310" s="33"/>
      <c r="H2310" s="33"/>
      <c r="I2310" s="33"/>
      <c r="J2310" s="33"/>
      <c r="K2310" s="33"/>
      <c r="L2310" s="33"/>
    </row>
    <row r="2311" spans="1:12" s="1" customFormat="1" x14ac:dyDescent="0.3">
      <c r="A2311" s="33"/>
      <c r="B2311" s="33"/>
      <c r="C2311" s="33"/>
      <c r="D2311" s="33"/>
      <c r="E2311" s="33"/>
      <c r="F2311" s="33"/>
      <c r="G2311" s="33"/>
      <c r="H2311" s="33"/>
      <c r="I2311" s="33"/>
      <c r="J2311" s="33"/>
      <c r="K2311" s="33"/>
      <c r="L2311" s="33"/>
    </row>
    <row r="2312" spans="1:12" s="1" customFormat="1" x14ac:dyDescent="0.3">
      <c r="A2312" s="33"/>
      <c r="B2312" s="33"/>
      <c r="C2312" s="33"/>
      <c r="D2312" s="33"/>
      <c r="E2312" s="33"/>
      <c r="F2312" s="33"/>
      <c r="G2312" s="33"/>
      <c r="H2312" s="33"/>
      <c r="I2312" s="33"/>
      <c r="J2312" s="33"/>
      <c r="K2312" s="33"/>
      <c r="L2312" s="33"/>
    </row>
    <row r="2313" spans="1:12" s="1" customFormat="1" x14ac:dyDescent="0.3">
      <c r="A2313" s="33"/>
      <c r="B2313" s="33"/>
      <c r="C2313" s="33"/>
      <c r="D2313" s="33"/>
      <c r="E2313" s="33"/>
      <c r="F2313" s="33"/>
      <c r="G2313" s="33"/>
      <c r="H2313" s="33"/>
      <c r="I2313" s="33"/>
      <c r="J2313" s="33"/>
      <c r="K2313" s="33"/>
      <c r="L2313" s="33"/>
    </row>
    <row r="2314" spans="1:12" s="1" customFormat="1" x14ac:dyDescent="0.3">
      <c r="A2314" s="33"/>
      <c r="B2314" s="33"/>
      <c r="C2314" s="33"/>
      <c r="D2314" s="33"/>
      <c r="E2314" s="33"/>
      <c r="F2314" s="33"/>
      <c r="G2314" s="33"/>
      <c r="H2314" s="33"/>
      <c r="I2314" s="33"/>
      <c r="J2314" s="33"/>
      <c r="K2314" s="33"/>
      <c r="L2314" s="33"/>
    </row>
    <row r="2315" spans="1:12" s="1" customFormat="1" x14ac:dyDescent="0.3">
      <c r="A2315" s="33"/>
      <c r="B2315" s="33"/>
      <c r="C2315" s="33"/>
      <c r="D2315" s="33"/>
      <c r="E2315" s="33"/>
      <c r="F2315" s="33"/>
      <c r="G2315" s="33"/>
      <c r="H2315" s="33"/>
      <c r="I2315" s="33"/>
      <c r="J2315" s="33"/>
      <c r="K2315" s="33"/>
      <c r="L2315" s="33"/>
    </row>
    <row r="2316" spans="1:12" s="1" customFormat="1" x14ac:dyDescent="0.3">
      <c r="A2316" s="33"/>
      <c r="B2316" s="33"/>
      <c r="C2316" s="33"/>
      <c r="D2316" s="33"/>
      <c r="E2316" s="33"/>
      <c r="F2316" s="33"/>
      <c r="G2316" s="33"/>
      <c r="H2316" s="33"/>
      <c r="I2316" s="33"/>
      <c r="J2316" s="33"/>
      <c r="K2316" s="33"/>
      <c r="L2316" s="33"/>
    </row>
    <row r="2317" spans="1:12" s="1" customFormat="1" x14ac:dyDescent="0.3">
      <c r="A2317" s="33"/>
      <c r="B2317" s="33"/>
      <c r="C2317" s="33"/>
      <c r="D2317" s="33"/>
      <c r="E2317" s="33"/>
      <c r="F2317" s="33"/>
      <c r="G2317" s="33"/>
      <c r="H2317" s="33"/>
      <c r="I2317" s="33"/>
      <c r="J2317" s="33"/>
      <c r="K2317" s="33"/>
      <c r="L2317" s="33"/>
    </row>
    <row r="2318" spans="1:12" s="1" customFormat="1" x14ac:dyDescent="0.3">
      <c r="A2318" s="33"/>
      <c r="B2318" s="33"/>
      <c r="C2318" s="33"/>
      <c r="D2318" s="33"/>
      <c r="E2318" s="33"/>
      <c r="F2318" s="33"/>
      <c r="G2318" s="33"/>
      <c r="H2318" s="33"/>
      <c r="I2318" s="33"/>
      <c r="J2318" s="33"/>
      <c r="K2318" s="33"/>
      <c r="L2318" s="33"/>
    </row>
    <row r="2319" spans="1:12" s="1" customFormat="1" x14ac:dyDescent="0.3">
      <c r="A2319" s="33"/>
      <c r="B2319" s="33"/>
      <c r="C2319" s="33"/>
      <c r="D2319" s="33"/>
      <c r="E2319" s="33"/>
      <c r="F2319" s="33"/>
      <c r="G2319" s="33"/>
      <c r="H2319" s="33"/>
      <c r="I2319" s="33"/>
      <c r="J2319" s="33"/>
      <c r="K2319" s="33"/>
      <c r="L2319" s="33"/>
    </row>
    <row r="2320" spans="1:12" s="1" customFormat="1" x14ac:dyDescent="0.3">
      <c r="A2320" s="33"/>
      <c r="B2320" s="33"/>
      <c r="C2320" s="33"/>
      <c r="D2320" s="33"/>
      <c r="E2320" s="33"/>
      <c r="F2320" s="33"/>
      <c r="G2320" s="33"/>
      <c r="H2320" s="33"/>
      <c r="I2320" s="33"/>
      <c r="J2320" s="33"/>
      <c r="K2320" s="33"/>
      <c r="L2320" s="33"/>
    </row>
    <row r="2321" spans="1:12" s="1" customFormat="1" x14ac:dyDescent="0.3">
      <c r="A2321" s="33"/>
      <c r="B2321" s="33"/>
      <c r="C2321" s="33"/>
      <c r="D2321" s="33"/>
      <c r="E2321" s="33"/>
      <c r="F2321" s="33"/>
      <c r="G2321" s="33"/>
      <c r="H2321" s="33"/>
      <c r="I2321" s="33"/>
      <c r="J2321" s="33"/>
      <c r="K2321" s="33"/>
      <c r="L2321" s="33"/>
    </row>
    <row r="2322" spans="1:12" s="1" customFormat="1" x14ac:dyDescent="0.3">
      <c r="A2322" s="33"/>
      <c r="B2322" s="33"/>
      <c r="C2322" s="33"/>
      <c r="D2322" s="33"/>
      <c r="E2322" s="33"/>
      <c r="F2322" s="33"/>
      <c r="G2322" s="33"/>
      <c r="H2322" s="33"/>
      <c r="I2322" s="33"/>
      <c r="J2322" s="33"/>
      <c r="K2322" s="33"/>
      <c r="L2322" s="33"/>
    </row>
    <row r="2323" spans="1:12" s="1" customFormat="1" x14ac:dyDescent="0.3">
      <c r="A2323" s="33"/>
      <c r="B2323" s="33"/>
      <c r="C2323" s="33"/>
      <c r="D2323" s="33"/>
      <c r="E2323" s="33"/>
      <c r="F2323" s="33"/>
      <c r="G2323" s="33"/>
      <c r="H2323" s="33"/>
      <c r="I2323" s="33"/>
      <c r="J2323" s="33"/>
      <c r="K2323" s="33"/>
      <c r="L2323" s="33"/>
    </row>
    <row r="2324" spans="1:12" s="1" customFormat="1" x14ac:dyDescent="0.3">
      <c r="A2324" s="33"/>
      <c r="B2324" s="33"/>
      <c r="C2324" s="33"/>
      <c r="D2324" s="33"/>
      <c r="E2324" s="33"/>
      <c r="F2324" s="33"/>
      <c r="G2324" s="33"/>
      <c r="H2324" s="33"/>
      <c r="I2324" s="33"/>
      <c r="J2324" s="33"/>
      <c r="K2324" s="33"/>
      <c r="L2324" s="33"/>
    </row>
    <row r="2325" spans="1:12" s="1" customFormat="1" x14ac:dyDescent="0.3">
      <c r="A2325" s="33"/>
      <c r="B2325" s="33"/>
      <c r="C2325" s="33"/>
      <c r="D2325" s="33"/>
      <c r="E2325" s="33"/>
      <c r="F2325" s="33"/>
      <c r="G2325" s="33"/>
      <c r="H2325" s="33"/>
      <c r="I2325" s="33"/>
      <c r="J2325" s="33"/>
      <c r="K2325" s="33"/>
      <c r="L2325" s="33"/>
    </row>
    <row r="2326" spans="1:12" s="1" customFormat="1" x14ac:dyDescent="0.3">
      <c r="A2326" s="33"/>
      <c r="B2326" s="33"/>
      <c r="C2326" s="33"/>
      <c r="D2326" s="33"/>
      <c r="E2326" s="33"/>
      <c r="F2326" s="33"/>
      <c r="G2326" s="33"/>
      <c r="H2326" s="33"/>
      <c r="I2326" s="33"/>
      <c r="J2326" s="33"/>
      <c r="K2326" s="33"/>
      <c r="L2326" s="33"/>
    </row>
    <row r="2327" spans="1:12" s="1" customFormat="1" x14ac:dyDescent="0.3">
      <c r="A2327" s="33"/>
      <c r="B2327" s="33"/>
      <c r="C2327" s="33"/>
      <c r="D2327" s="33"/>
      <c r="E2327" s="33"/>
      <c r="F2327" s="33"/>
      <c r="G2327" s="33"/>
      <c r="H2327" s="33"/>
      <c r="I2327" s="33"/>
      <c r="J2327" s="33"/>
      <c r="K2327" s="33"/>
      <c r="L2327" s="33"/>
    </row>
    <row r="2328" spans="1:12" s="1" customFormat="1" x14ac:dyDescent="0.3">
      <c r="A2328" s="33"/>
      <c r="B2328" s="33"/>
      <c r="C2328" s="33"/>
      <c r="D2328" s="33"/>
      <c r="E2328" s="33"/>
      <c r="F2328" s="33"/>
      <c r="G2328" s="33"/>
      <c r="H2328" s="33"/>
      <c r="I2328" s="33"/>
      <c r="J2328" s="33"/>
      <c r="K2328" s="33"/>
      <c r="L2328" s="33"/>
    </row>
    <row r="2329" spans="1:12" s="1" customFormat="1" x14ac:dyDescent="0.3">
      <c r="A2329" s="33"/>
      <c r="B2329" s="33"/>
      <c r="C2329" s="33"/>
      <c r="D2329" s="33"/>
      <c r="E2329" s="33"/>
      <c r="F2329" s="33"/>
      <c r="G2329" s="33"/>
      <c r="H2329" s="33"/>
      <c r="I2329" s="33"/>
      <c r="J2329" s="33"/>
      <c r="K2329" s="33"/>
      <c r="L2329" s="33"/>
    </row>
    <row r="2330" spans="1:12" s="1" customFormat="1" x14ac:dyDescent="0.3">
      <c r="A2330" s="33"/>
      <c r="B2330" s="33"/>
      <c r="C2330" s="33"/>
      <c r="D2330" s="33"/>
      <c r="E2330" s="33"/>
      <c r="F2330" s="33"/>
      <c r="G2330" s="33"/>
      <c r="H2330" s="33"/>
      <c r="I2330" s="33"/>
      <c r="J2330" s="33"/>
      <c r="K2330" s="33"/>
      <c r="L2330" s="33"/>
    </row>
    <row r="2331" spans="1:12" s="1" customFormat="1" x14ac:dyDescent="0.3">
      <c r="A2331" s="33"/>
      <c r="B2331" s="33"/>
      <c r="C2331" s="33"/>
      <c r="D2331" s="33"/>
      <c r="E2331" s="33"/>
      <c r="F2331" s="33"/>
      <c r="G2331" s="33"/>
      <c r="H2331" s="33"/>
      <c r="I2331" s="33"/>
      <c r="J2331" s="33"/>
      <c r="K2331" s="33"/>
      <c r="L2331" s="33"/>
    </row>
    <row r="2332" spans="1:12" s="1" customFormat="1" x14ac:dyDescent="0.3">
      <c r="A2332" s="33"/>
      <c r="B2332" s="33"/>
      <c r="C2332" s="33"/>
      <c r="D2332" s="33"/>
      <c r="E2332" s="33"/>
      <c r="F2332" s="33"/>
      <c r="G2332" s="33"/>
      <c r="H2332" s="33"/>
      <c r="I2332" s="33"/>
      <c r="J2332" s="33"/>
      <c r="K2332" s="33"/>
      <c r="L2332" s="33"/>
    </row>
    <row r="2333" spans="1:12" s="1" customFormat="1" x14ac:dyDescent="0.3">
      <c r="A2333" s="33"/>
      <c r="B2333" s="33"/>
      <c r="C2333" s="33"/>
      <c r="D2333" s="33"/>
      <c r="E2333" s="33"/>
      <c r="F2333" s="33"/>
      <c r="G2333" s="33"/>
      <c r="H2333" s="33"/>
      <c r="I2333" s="33"/>
      <c r="J2333" s="33"/>
      <c r="K2333" s="33"/>
      <c r="L2333" s="33"/>
    </row>
    <row r="2334" spans="1:12" s="1" customFormat="1" x14ac:dyDescent="0.3">
      <c r="A2334" s="33"/>
      <c r="B2334" s="33"/>
      <c r="C2334" s="33"/>
      <c r="D2334" s="33"/>
      <c r="E2334" s="33"/>
      <c r="F2334" s="33"/>
      <c r="G2334" s="33"/>
      <c r="H2334" s="33"/>
      <c r="I2334" s="33"/>
      <c r="J2334" s="33"/>
      <c r="K2334" s="33"/>
      <c r="L2334" s="33"/>
    </row>
    <row r="2335" spans="1:12" s="1" customFormat="1" x14ac:dyDescent="0.3">
      <c r="A2335" s="33"/>
      <c r="B2335" s="33"/>
      <c r="C2335" s="33"/>
      <c r="D2335" s="33"/>
      <c r="E2335" s="33"/>
      <c r="F2335" s="33"/>
      <c r="G2335" s="33"/>
      <c r="H2335" s="33"/>
      <c r="I2335" s="33"/>
      <c r="J2335" s="33"/>
      <c r="K2335" s="33"/>
      <c r="L2335" s="33"/>
    </row>
    <row r="2336" spans="1:12" s="1" customFormat="1" x14ac:dyDescent="0.3">
      <c r="A2336" s="33"/>
      <c r="B2336" s="33"/>
      <c r="C2336" s="33"/>
      <c r="D2336" s="33"/>
      <c r="E2336" s="33"/>
      <c r="F2336" s="33"/>
      <c r="G2336" s="33"/>
      <c r="H2336" s="33"/>
      <c r="I2336" s="33"/>
      <c r="J2336" s="33"/>
      <c r="K2336" s="33"/>
      <c r="L2336" s="33"/>
    </row>
    <row r="2337" spans="1:12" s="1" customFormat="1" x14ac:dyDescent="0.3">
      <c r="A2337" s="33"/>
      <c r="B2337" s="33"/>
      <c r="C2337" s="33"/>
      <c r="D2337" s="33"/>
      <c r="E2337" s="33"/>
      <c r="F2337" s="33"/>
      <c r="G2337" s="33"/>
      <c r="H2337" s="33"/>
      <c r="I2337" s="33"/>
      <c r="J2337" s="33"/>
      <c r="K2337" s="33"/>
      <c r="L2337" s="33"/>
    </row>
    <row r="2338" spans="1:12" s="1" customFormat="1" x14ac:dyDescent="0.3">
      <c r="A2338" s="33"/>
      <c r="B2338" s="33"/>
      <c r="C2338" s="33"/>
      <c r="D2338" s="33"/>
      <c r="E2338" s="33"/>
      <c r="F2338" s="33"/>
      <c r="G2338" s="33"/>
      <c r="H2338" s="33"/>
      <c r="I2338" s="33"/>
      <c r="J2338" s="33"/>
      <c r="K2338" s="33"/>
      <c r="L2338" s="33"/>
    </row>
    <row r="2339" spans="1:12" s="1" customFormat="1" x14ac:dyDescent="0.3">
      <c r="A2339" s="33"/>
      <c r="B2339" s="33"/>
      <c r="C2339" s="33"/>
      <c r="D2339" s="33"/>
      <c r="E2339" s="33"/>
      <c r="F2339" s="33"/>
      <c r="G2339" s="33"/>
      <c r="H2339" s="33"/>
      <c r="I2339" s="33"/>
      <c r="J2339" s="33"/>
      <c r="K2339" s="33"/>
      <c r="L2339" s="33"/>
    </row>
    <row r="2340" spans="1:12" s="1" customFormat="1" x14ac:dyDescent="0.3">
      <c r="A2340" s="33"/>
      <c r="B2340" s="33"/>
      <c r="C2340" s="33"/>
      <c r="D2340" s="33"/>
      <c r="E2340" s="33"/>
      <c r="F2340" s="33"/>
      <c r="G2340" s="33"/>
      <c r="H2340" s="33"/>
      <c r="I2340" s="33"/>
      <c r="J2340" s="33"/>
      <c r="K2340" s="33"/>
      <c r="L2340" s="33"/>
    </row>
    <row r="2341" spans="1:12" s="1" customFormat="1" x14ac:dyDescent="0.3">
      <c r="A2341" s="33"/>
      <c r="B2341" s="33"/>
      <c r="C2341" s="33"/>
      <c r="D2341" s="33"/>
      <c r="E2341" s="33"/>
      <c r="F2341" s="33"/>
      <c r="G2341" s="33"/>
      <c r="H2341" s="33"/>
      <c r="I2341" s="33"/>
      <c r="J2341" s="33"/>
      <c r="K2341" s="33"/>
      <c r="L2341" s="33"/>
    </row>
    <row r="2342" spans="1:12" s="1" customFormat="1" x14ac:dyDescent="0.3">
      <c r="A2342" s="33"/>
      <c r="B2342" s="33"/>
      <c r="C2342" s="33"/>
      <c r="D2342" s="33"/>
      <c r="E2342" s="33"/>
      <c r="F2342" s="33"/>
      <c r="G2342" s="33"/>
      <c r="H2342" s="33"/>
      <c r="I2342" s="33"/>
      <c r="J2342" s="33"/>
      <c r="K2342" s="33"/>
      <c r="L2342" s="33"/>
    </row>
    <row r="2343" spans="1:12" s="1" customFormat="1" x14ac:dyDescent="0.3">
      <c r="A2343" s="33"/>
      <c r="B2343" s="33"/>
      <c r="C2343" s="33"/>
      <c r="D2343" s="33"/>
      <c r="E2343" s="33"/>
      <c r="F2343" s="33"/>
      <c r="G2343" s="33"/>
      <c r="H2343" s="33"/>
      <c r="I2343" s="33"/>
      <c r="J2343" s="33"/>
      <c r="K2343" s="33"/>
      <c r="L2343" s="33"/>
    </row>
    <row r="2344" spans="1:12" s="1" customFormat="1" x14ac:dyDescent="0.3">
      <c r="A2344" s="33"/>
      <c r="B2344" s="33"/>
      <c r="C2344" s="33"/>
      <c r="D2344" s="33"/>
      <c r="E2344" s="33"/>
      <c r="F2344" s="33"/>
      <c r="G2344" s="33"/>
      <c r="H2344" s="33"/>
      <c r="I2344" s="33"/>
      <c r="J2344" s="33"/>
      <c r="K2344" s="33"/>
      <c r="L2344" s="33"/>
    </row>
    <row r="2345" spans="1:12" s="1" customFormat="1" x14ac:dyDescent="0.3">
      <c r="A2345" s="33"/>
      <c r="B2345" s="33"/>
      <c r="C2345" s="33"/>
      <c r="D2345" s="33"/>
      <c r="E2345" s="33"/>
      <c r="F2345" s="33"/>
      <c r="G2345" s="33"/>
      <c r="H2345" s="33"/>
      <c r="I2345" s="33"/>
      <c r="J2345" s="33"/>
      <c r="K2345" s="33"/>
      <c r="L2345" s="33"/>
    </row>
    <row r="2346" spans="1:12" s="1" customFormat="1" x14ac:dyDescent="0.3">
      <c r="A2346" s="33"/>
      <c r="B2346" s="33"/>
      <c r="C2346" s="33"/>
      <c r="D2346" s="33"/>
      <c r="E2346" s="33"/>
      <c r="F2346" s="33"/>
      <c r="G2346" s="33"/>
      <c r="H2346" s="33"/>
      <c r="I2346" s="33"/>
      <c r="J2346" s="33"/>
      <c r="K2346" s="33"/>
      <c r="L2346" s="33"/>
    </row>
    <row r="2347" spans="1:12" s="1" customFormat="1" x14ac:dyDescent="0.3">
      <c r="A2347" s="33"/>
      <c r="B2347" s="33"/>
      <c r="C2347" s="33"/>
      <c r="D2347" s="33"/>
      <c r="E2347" s="33"/>
      <c r="F2347" s="33"/>
      <c r="G2347" s="33"/>
      <c r="H2347" s="33"/>
      <c r="I2347" s="33"/>
      <c r="J2347" s="33"/>
      <c r="K2347" s="33"/>
      <c r="L2347" s="33"/>
    </row>
    <row r="2348" spans="1:12" s="1" customFormat="1" x14ac:dyDescent="0.3">
      <c r="A2348" s="33"/>
      <c r="B2348" s="33"/>
      <c r="C2348" s="33"/>
      <c r="D2348" s="33"/>
      <c r="E2348" s="33"/>
      <c r="F2348" s="33"/>
      <c r="G2348" s="33"/>
      <c r="H2348" s="33"/>
      <c r="I2348" s="33"/>
      <c r="J2348" s="33"/>
      <c r="K2348" s="33"/>
      <c r="L2348" s="33"/>
    </row>
    <row r="2349" spans="1:12" s="1" customFormat="1" x14ac:dyDescent="0.3">
      <c r="A2349" s="33"/>
      <c r="B2349" s="33"/>
      <c r="C2349" s="33"/>
      <c r="D2349" s="33"/>
      <c r="E2349" s="33"/>
      <c r="F2349" s="33"/>
      <c r="G2349" s="33"/>
      <c r="H2349" s="33"/>
      <c r="I2349" s="33"/>
      <c r="J2349" s="33"/>
      <c r="K2349" s="33"/>
      <c r="L2349" s="33"/>
    </row>
    <row r="2350" spans="1:12" s="1" customFormat="1" x14ac:dyDescent="0.3">
      <c r="A2350" s="33"/>
      <c r="B2350" s="33"/>
      <c r="C2350" s="33"/>
      <c r="D2350" s="33"/>
      <c r="E2350" s="33"/>
      <c r="F2350" s="33"/>
      <c r="G2350" s="33"/>
      <c r="H2350" s="33"/>
      <c r="I2350" s="33"/>
      <c r="J2350" s="33"/>
      <c r="K2350" s="33"/>
      <c r="L2350" s="33"/>
    </row>
    <row r="2351" spans="1:12" s="1" customFormat="1" x14ac:dyDescent="0.3">
      <c r="A2351" s="33"/>
      <c r="B2351" s="33"/>
      <c r="C2351" s="33"/>
      <c r="D2351" s="33"/>
      <c r="E2351" s="33"/>
      <c r="F2351" s="33"/>
      <c r="G2351" s="33"/>
      <c r="H2351" s="33"/>
      <c r="I2351" s="33"/>
      <c r="J2351" s="33"/>
      <c r="K2351" s="33"/>
      <c r="L2351" s="33"/>
    </row>
    <row r="2352" spans="1:12" s="1" customFormat="1" x14ac:dyDescent="0.3">
      <c r="A2352" s="33"/>
      <c r="B2352" s="33"/>
      <c r="C2352" s="33"/>
      <c r="D2352" s="33"/>
      <c r="E2352" s="33"/>
      <c r="F2352" s="33"/>
      <c r="G2352" s="33"/>
      <c r="H2352" s="33"/>
      <c r="I2352" s="33"/>
      <c r="J2352" s="33"/>
      <c r="K2352" s="33"/>
      <c r="L2352" s="33"/>
    </row>
    <row r="2353" spans="1:12" s="1" customFormat="1" x14ac:dyDescent="0.3">
      <c r="A2353" s="33"/>
      <c r="B2353" s="33"/>
      <c r="C2353" s="33"/>
      <c r="D2353" s="33"/>
      <c r="E2353" s="33"/>
      <c r="F2353" s="33"/>
      <c r="G2353" s="33"/>
      <c r="H2353" s="33"/>
      <c r="I2353" s="33"/>
      <c r="J2353" s="33"/>
      <c r="K2353" s="33"/>
      <c r="L2353" s="33"/>
    </row>
    <row r="2354" spans="1:12" s="1" customFormat="1" x14ac:dyDescent="0.3">
      <c r="A2354" s="33"/>
      <c r="B2354" s="33"/>
      <c r="C2354" s="33"/>
      <c r="D2354" s="33"/>
      <c r="E2354" s="33"/>
      <c r="F2354" s="33"/>
      <c r="G2354" s="33"/>
      <c r="H2354" s="33"/>
      <c r="I2354" s="33"/>
      <c r="J2354" s="33"/>
      <c r="K2354" s="33"/>
      <c r="L2354" s="33"/>
    </row>
    <row r="2355" spans="1:12" s="1" customFormat="1" x14ac:dyDescent="0.3">
      <c r="A2355" s="33"/>
      <c r="B2355" s="33"/>
      <c r="C2355" s="33"/>
      <c r="D2355" s="33"/>
      <c r="E2355" s="33"/>
      <c r="F2355" s="33"/>
      <c r="G2355" s="33"/>
      <c r="H2355" s="33"/>
      <c r="I2355" s="33"/>
      <c r="J2355" s="33"/>
      <c r="K2355" s="33"/>
      <c r="L2355" s="33"/>
    </row>
    <row r="2356" spans="1:12" s="1" customFormat="1" x14ac:dyDescent="0.3">
      <c r="A2356" s="33"/>
      <c r="B2356" s="33"/>
      <c r="C2356" s="33"/>
      <c r="D2356" s="33"/>
      <c r="E2356" s="33"/>
      <c r="F2356" s="33"/>
      <c r="G2356" s="33"/>
      <c r="H2356" s="33"/>
      <c r="I2356" s="33"/>
      <c r="J2356" s="33"/>
      <c r="K2356" s="33"/>
      <c r="L2356" s="33"/>
    </row>
    <row r="2357" spans="1:12" s="1" customFormat="1" x14ac:dyDescent="0.3">
      <c r="A2357" s="33"/>
      <c r="B2357" s="33"/>
      <c r="C2357" s="33"/>
      <c r="D2357" s="33"/>
      <c r="E2357" s="33"/>
      <c r="F2357" s="33"/>
      <c r="G2357" s="33"/>
      <c r="H2357" s="33"/>
      <c r="I2357" s="33"/>
      <c r="J2357" s="33"/>
      <c r="K2357" s="33"/>
      <c r="L2357" s="33"/>
    </row>
    <row r="2358" spans="1:12" s="1" customFormat="1" x14ac:dyDescent="0.3">
      <c r="A2358" s="33"/>
      <c r="B2358" s="33"/>
      <c r="C2358" s="33"/>
      <c r="D2358" s="33"/>
      <c r="E2358" s="33"/>
      <c r="F2358" s="33"/>
      <c r="G2358" s="33"/>
      <c r="H2358" s="33"/>
      <c r="I2358" s="33"/>
      <c r="J2358" s="33"/>
      <c r="K2358" s="33"/>
      <c r="L2358" s="33"/>
    </row>
    <row r="2359" spans="1:12" s="1" customFormat="1" x14ac:dyDescent="0.3">
      <c r="A2359" s="33"/>
      <c r="B2359" s="33"/>
      <c r="C2359" s="33"/>
      <c r="D2359" s="33"/>
      <c r="E2359" s="33"/>
      <c r="F2359" s="33"/>
      <c r="G2359" s="33"/>
      <c r="H2359" s="33"/>
      <c r="I2359" s="33"/>
      <c r="J2359" s="33"/>
      <c r="K2359" s="33"/>
      <c r="L2359" s="33"/>
    </row>
    <row r="2360" spans="1:12" s="1" customFormat="1" x14ac:dyDescent="0.3">
      <c r="A2360" s="33"/>
      <c r="B2360" s="33"/>
      <c r="C2360" s="33"/>
      <c r="D2360" s="33"/>
      <c r="E2360" s="33"/>
      <c r="F2360" s="33"/>
      <c r="G2360" s="33"/>
      <c r="H2360" s="33"/>
      <c r="I2360" s="33"/>
      <c r="J2360" s="33"/>
      <c r="K2360" s="33"/>
      <c r="L2360" s="33"/>
    </row>
    <row r="2361" spans="1:12" s="1" customFormat="1" x14ac:dyDescent="0.3">
      <c r="A2361" s="33"/>
      <c r="B2361" s="33"/>
      <c r="C2361" s="33"/>
      <c r="D2361" s="33"/>
      <c r="E2361" s="33"/>
      <c r="F2361" s="33"/>
      <c r="G2361" s="33"/>
      <c r="H2361" s="33"/>
      <c r="I2361" s="33"/>
      <c r="J2361" s="33"/>
      <c r="K2361" s="33"/>
      <c r="L2361" s="33"/>
    </row>
    <row r="2362" spans="1:12" s="1" customFormat="1" x14ac:dyDescent="0.3">
      <c r="A2362" s="33"/>
      <c r="B2362" s="33"/>
      <c r="C2362" s="33"/>
      <c r="D2362" s="33"/>
      <c r="E2362" s="33"/>
      <c r="F2362" s="33"/>
      <c r="G2362" s="33"/>
      <c r="H2362" s="33"/>
      <c r="I2362" s="33"/>
      <c r="J2362" s="33"/>
      <c r="K2362" s="33"/>
      <c r="L2362" s="33"/>
    </row>
    <row r="2363" spans="1:12" s="1" customFormat="1" x14ac:dyDescent="0.3">
      <c r="A2363" s="33"/>
      <c r="B2363" s="33"/>
      <c r="C2363" s="33"/>
      <c r="D2363" s="33"/>
      <c r="E2363" s="33"/>
      <c r="F2363" s="33"/>
      <c r="G2363" s="33"/>
      <c r="H2363" s="33"/>
      <c r="I2363" s="33"/>
      <c r="J2363" s="33"/>
      <c r="K2363" s="33"/>
      <c r="L2363" s="33"/>
    </row>
    <row r="2364" spans="1:12" s="1" customFormat="1" x14ac:dyDescent="0.3">
      <c r="A2364" s="33"/>
      <c r="B2364" s="33"/>
      <c r="C2364" s="33"/>
      <c r="D2364" s="33"/>
      <c r="E2364" s="33"/>
      <c r="F2364" s="33"/>
      <c r="G2364" s="33"/>
      <c r="H2364" s="33"/>
      <c r="I2364" s="33"/>
      <c r="J2364" s="33"/>
      <c r="K2364" s="33"/>
      <c r="L2364" s="33"/>
    </row>
    <row r="2365" spans="1:12" s="1" customFormat="1" x14ac:dyDescent="0.3">
      <c r="A2365" s="33"/>
      <c r="B2365" s="33"/>
      <c r="C2365" s="33"/>
      <c r="D2365" s="33"/>
      <c r="E2365" s="33"/>
      <c r="F2365" s="33"/>
      <c r="G2365" s="33"/>
      <c r="H2365" s="33"/>
      <c r="I2365" s="33"/>
      <c r="J2365" s="33"/>
      <c r="K2365" s="33"/>
      <c r="L2365" s="33"/>
    </row>
    <row r="2366" spans="1:12" s="1" customFormat="1" x14ac:dyDescent="0.3">
      <c r="A2366" s="33"/>
      <c r="B2366" s="33"/>
      <c r="C2366" s="33"/>
      <c r="D2366" s="33"/>
      <c r="E2366" s="33"/>
      <c r="F2366" s="33"/>
      <c r="G2366" s="33"/>
      <c r="H2366" s="33"/>
      <c r="I2366" s="33"/>
      <c r="J2366" s="33"/>
      <c r="K2366" s="33"/>
      <c r="L2366" s="33"/>
    </row>
    <row r="2367" spans="1:12" s="1" customFormat="1" x14ac:dyDescent="0.3">
      <c r="A2367" s="33"/>
      <c r="B2367" s="33"/>
      <c r="C2367" s="33"/>
      <c r="D2367" s="33"/>
      <c r="E2367" s="33"/>
      <c r="F2367" s="33"/>
      <c r="G2367" s="33"/>
      <c r="H2367" s="33"/>
      <c r="I2367" s="33"/>
      <c r="J2367" s="33"/>
      <c r="K2367" s="33"/>
      <c r="L2367" s="33"/>
    </row>
    <row r="2368" spans="1:12" s="1" customFormat="1" x14ac:dyDescent="0.3">
      <c r="A2368" s="33"/>
      <c r="B2368" s="33"/>
      <c r="C2368" s="33"/>
      <c r="D2368" s="33"/>
      <c r="E2368" s="33"/>
      <c r="F2368" s="33"/>
      <c r="G2368" s="33"/>
      <c r="H2368" s="33"/>
      <c r="I2368" s="33"/>
      <c r="J2368" s="33"/>
      <c r="K2368" s="33"/>
      <c r="L2368" s="33"/>
    </row>
    <row r="2369" spans="1:12" s="1" customFormat="1" x14ac:dyDescent="0.3">
      <c r="A2369" s="33"/>
      <c r="B2369" s="33"/>
      <c r="C2369" s="33"/>
      <c r="D2369" s="33"/>
      <c r="E2369" s="33"/>
      <c r="F2369" s="33"/>
      <c r="G2369" s="33"/>
      <c r="H2369" s="33"/>
      <c r="I2369" s="33"/>
      <c r="J2369" s="33"/>
      <c r="K2369" s="33"/>
      <c r="L2369" s="33"/>
    </row>
    <row r="2370" spans="1:12" s="1" customFormat="1" x14ac:dyDescent="0.3">
      <c r="A2370" s="33"/>
      <c r="B2370" s="33"/>
      <c r="C2370" s="33"/>
      <c r="D2370" s="33"/>
      <c r="E2370" s="33"/>
      <c r="F2370" s="33"/>
      <c r="G2370" s="33"/>
      <c r="H2370" s="33"/>
      <c r="I2370" s="33"/>
      <c r="J2370" s="33"/>
      <c r="K2370" s="33"/>
      <c r="L2370" s="33"/>
    </row>
    <row r="2371" spans="1:12" s="1" customFormat="1" x14ac:dyDescent="0.3">
      <c r="A2371" s="33"/>
      <c r="B2371" s="33"/>
      <c r="C2371" s="33"/>
      <c r="D2371" s="33"/>
      <c r="E2371" s="33"/>
      <c r="F2371" s="33"/>
      <c r="G2371" s="33"/>
      <c r="H2371" s="33"/>
      <c r="I2371" s="33"/>
      <c r="J2371" s="33"/>
      <c r="K2371" s="33"/>
      <c r="L2371" s="33"/>
    </row>
    <row r="2372" spans="1:12" s="1" customFormat="1" x14ac:dyDescent="0.3">
      <c r="A2372" s="33"/>
      <c r="B2372" s="33"/>
      <c r="C2372" s="33"/>
      <c r="D2372" s="33"/>
      <c r="E2372" s="33"/>
      <c r="F2372" s="33"/>
      <c r="G2372" s="33"/>
      <c r="H2372" s="33"/>
      <c r="I2372" s="33"/>
      <c r="J2372" s="33"/>
      <c r="K2372" s="33"/>
      <c r="L2372" s="33"/>
    </row>
    <row r="2373" spans="1:12" s="1" customFormat="1" x14ac:dyDescent="0.3">
      <c r="A2373" s="33"/>
      <c r="B2373" s="33"/>
      <c r="C2373" s="33"/>
      <c r="D2373" s="33"/>
      <c r="E2373" s="33"/>
      <c r="F2373" s="33"/>
      <c r="G2373" s="33"/>
      <c r="H2373" s="33"/>
      <c r="I2373" s="33"/>
      <c r="J2373" s="33"/>
      <c r="K2373" s="33"/>
      <c r="L2373" s="33"/>
    </row>
    <row r="2374" spans="1:12" s="1" customFormat="1" x14ac:dyDescent="0.3">
      <c r="A2374" s="33"/>
      <c r="B2374" s="33"/>
      <c r="C2374" s="33"/>
      <c r="D2374" s="33"/>
      <c r="E2374" s="33"/>
      <c r="F2374" s="33"/>
      <c r="G2374" s="33"/>
      <c r="H2374" s="33"/>
      <c r="I2374" s="33"/>
      <c r="J2374" s="33"/>
      <c r="K2374" s="33"/>
      <c r="L2374" s="33"/>
    </row>
    <row r="2375" spans="1:12" s="1" customFormat="1" x14ac:dyDescent="0.3">
      <c r="A2375" s="33"/>
      <c r="B2375" s="33"/>
      <c r="C2375" s="33"/>
      <c r="D2375" s="33"/>
      <c r="E2375" s="33"/>
      <c r="F2375" s="33"/>
      <c r="G2375" s="33"/>
      <c r="H2375" s="33"/>
      <c r="I2375" s="33"/>
      <c r="J2375" s="33"/>
      <c r="K2375" s="33"/>
      <c r="L2375" s="33"/>
    </row>
    <row r="2376" spans="1:12" s="1" customFormat="1" x14ac:dyDescent="0.3">
      <c r="A2376" s="33"/>
      <c r="B2376" s="33"/>
      <c r="C2376" s="33"/>
      <c r="D2376" s="33"/>
      <c r="E2376" s="33"/>
      <c r="F2376" s="33"/>
      <c r="G2376" s="33"/>
      <c r="H2376" s="33"/>
      <c r="I2376" s="33"/>
      <c r="J2376" s="33"/>
      <c r="K2376" s="33"/>
      <c r="L2376" s="33"/>
    </row>
    <row r="2377" spans="1:12" s="1" customFormat="1" x14ac:dyDescent="0.3">
      <c r="A2377" s="33"/>
      <c r="B2377" s="33"/>
      <c r="C2377" s="33"/>
      <c r="D2377" s="33"/>
      <c r="E2377" s="33"/>
      <c r="F2377" s="33"/>
      <c r="G2377" s="33"/>
      <c r="H2377" s="33"/>
      <c r="I2377" s="33"/>
      <c r="J2377" s="33"/>
      <c r="K2377" s="33"/>
      <c r="L2377" s="33"/>
    </row>
    <row r="2378" spans="1:12" s="1" customFormat="1" x14ac:dyDescent="0.3">
      <c r="A2378" s="33"/>
      <c r="B2378" s="33"/>
      <c r="C2378" s="33"/>
      <c r="D2378" s="33"/>
      <c r="E2378" s="33"/>
      <c r="F2378" s="33"/>
      <c r="G2378" s="33"/>
      <c r="H2378" s="33"/>
      <c r="I2378" s="33"/>
      <c r="J2378" s="33"/>
      <c r="K2378" s="33"/>
      <c r="L2378" s="33"/>
    </row>
    <row r="2379" spans="1:12" s="1" customFormat="1" x14ac:dyDescent="0.3">
      <c r="A2379" s="33"/>
      <c r="B2379" s="33"/>
      <c r="C2379" s="33"/>
      <c r="D2379" s="33"/>
      <c r="E2379" s="33"/>
      <c r="F2379" s="33"/>
      <c r="G2379" s="33"/>
      <c r="H2379" s="33"/>
      <c r="I2379" s="33"/>
      <c r="J2379" s="33"/>
      <c r="K2379" s="33"/>
      <c r="L2379" s="33"/>
    </row>
    <row r="2380" spans="1:12" s="1" customFormat="1" x14ac:dyDescent="0.3">
      <c r="A2380" s="33"/>
      <c r="B2380" s="33"/>
      <c r="C2380" s="33"/>
      <c r="D2380" s="33"/>
      <c r="E2380" s="33"/>
      <c r="F2380" s="33"/>
      <c r="G2380" s="33"/>
      <c r="H2380" s="33"/>
      <c r="I2380" s="33"/>
      <c r="J2380" s="33"/>
      <c r="K2380" s="33"/>
      <c r="L2380" s="33"/>
    </row>
    <row r="2381" spans="1:12" s="1" customFormat="1" x14ac:dyDescent="0.3">
      <c r="A2381" s="33"/>
      <c r="B2381" s="33"/>
      <c r="C2381" s="33"/>
      <c r="D2381" s="33"/>
      <c r="E2381" s="33"/>
      <c r="F2381" s="33"/>
      <c r="G2381" s="33"/>
      <c r="H2381" s="33"/>
      <c r="I2381" s="33"/>
      <c r="J2381" s="33"/>
      <c r="K2381" s="33"/>
      <c r="L2381" s="33"/>
    </row>
    <row r="2382" spans="1:12" s="1" customFormat="1" x14ac:dyDescent="0.3">
      <c r="A2382" s="33"/>
      <c r="B2382" s="33"/>
      <c r="C2382" s="33"/>
      <c r="D2382" s="33"/>
      <c r="E2382" s="33"/>
      <c r="F2382" s="33"/>
      <c r="G2382" s="33"/>
      <c r="H2382" s="33"/>
      <c r="I2382" s="33"/>
      <c r="J2382" s="33"/>
      <c r="K2382" s="33"/>
      <c r="L2382" s="33"/>
    </row>
    <row r="2383" spans="1:12" s="1" customFormat="1" x14ac:dyDescent="0.3">
      <c r="A2383" s="33"/>
      <c r="B2383" s="33"/>
      <c r="C2383" s="33"/>
      <c r="D2383" s="33"/>
      <c r="E2383" s="33"/>
      <c r="F2383" s="33"/>
      <c r="G2383" s="33"/>
      <c r="H2383" s="33"/>
      <c r="I2383" s="33"/>
      <c r="J2383" s="33"/>
      <c r="K2383" s="33"/>
      <c r="L2383" s="33"/>
    </row>
    <row r="2384" spans="1:12" s="1" customFormat="1" x14ac:dyDescent="0.3">
      <c r="A2384" s="33"/>
      <c r="B2384" s="33"/>
      <c r="C2384" s="33"/>
      <c r="D2384" s="33"/>
      <c r="E2384" s="33"/>
      <c r="F2384" s="33"/>
      <c r="G2384" s="33"/>
      <c r="H2384" s="33"/>
      <c r="I2384" s="33"/>
      <c r="J2384" s="33"/>
      <c r="K2384" s="33"/>
      <c r="L2384" s="33"/>
    </row>
    <row r="2385" spans="1:12" s="1" customFormat="1" x14ac:dyDescent="0.3">
      <c r="A2385" s="33"/>
      <c r="B2385" s="33"/>
      <c r="C2385" s="33"/>
      <c r="D2385" s="33"/>
      <c r="E2385" s="33"/>
      <c r="F2385" s="33"/>
      <c r="G2385" s="33"/>
      <c r="H2385" s="33"/>
      <c r="I2385" s="33"/>
      <c r="J2385" s="33"/>
      <c r="K2385" s="33"/>
      <c r="L2385" s="33"/>
    </row>
    <row r="2386" spans="1:12" s="1" customFormat="1" x14ac:dyDescent="0.3">
      <c r="A2386" s="33"/>
      <c r="B2386" s="33"/>
      <c r="C2386" s="33"/>
      <c r="D2386" s="33"/>
      <c r="E2386" s="33"/>
      <c r="F2386" s="33"/>
      <c r="G2386" s="33"/>
      <c r="H2386" s="33"/>
      <c r="I2386" s="33"/>
      <c r="J2386" s="33"/>
      <c r="K2386" s="33"/>
      <c r="L2386" s="33"/>
    </row>
    <row r="2387" spans="1:12" s="1" customFormat="1" x14ac:dyDescent="0.3">
      <c r="A2387" s="33"/>
      <c r="B2387" s="33"/>
      <c r="C2387" s="33"/>
      <c r="D2387" s="33"/>
      <c r="E2387" s="33"/>
      <c r="F2387" s="33"/>
      <c r="G2387" s="33"/>
      <c r="H2387" s="33"/>
      <c r="I2387" s="33"/>
      <c r="J2387" s="33"/>
      <c r="K2387" s="33"/>
      <c r="L2387" s="33"/>
    </row>
    <row r="2388" spans="1:12" s="1" customFormat="1" x14ac:dyDescent="0.3">
      <c r="A2388" s="33"/>
      <c r="B2388" s="33"/>
      <c r="C2388" s="33"/>
      <c r="D2388" s="33"/>
      <c r="E2388" s="33"/>
      <c r="F2388" s="33"/>
      <c r="G2388" s="33"/>
      <c r="H2388" s="33"/>
      <c r="I2388" s="33"/>
      <c r="J2388" s="33"/>
      <c r="K2388" s="33"/>
      <c r="L2388" s="33"/>
    </row>
    <row r="2389" spans="1:12" s="1" customFormat="1" x14ac:dyDescent="0.3">
      <c r="A2389" s="33"/>
      <c r="B2389" s="33"/>
      <c r="C2389" s="33"/>
      <c r="D2389" s="33"/>
      <c r="E2389" s="33"/>
      <c r="F2389" s="33"/>
      <c r="G2389" s="33"/>
      <c r="H2389" s="33"/>
      <c r="I2389" s="33"/>
      <c r="J2389" s="33"/>
      <c r="K2389" s="33"/>
      <c r="L2389" s="33"/>
    </row>
    <row r="2390" spans="1:12" s="1" customFormat="1" x14ac:dyDescent="0.3">
      <c r="A2390" s="33"/>
      <c r="B2390" s="33"/>
      <c r="C2390" s="33"/>
      <c r="D2390" s="33"/>
      <c r="E2390" s="33"/>
      <c r="F2390" s="33"/>
      <c r="G2390" s="33"/>
      <c r="H2390" s="33"/>
      <c r="I2390" s="33"/>
      <c r="J2390" s="33"/>
      <c r="K2390" s="33"/>
      <c r="L2390" s="33"/>
    </row>
    <row r="2391" spans="1:12" s="1" customFormat="1" x14ac:dyDescent="0.3">
      <c r="A2391" s="33"/>
      <c r="B2391" s="33"/>
      <c r="C2391" s="33"/>
      <c r="D2391" s="33"/>
      <c r="E2391" s="33"/>
      <c r="F2391" s="33"/>
      <c r="G2391" s="33"/>
      <c r="H2391" s="33"/>
      <c r="I2391" s="33"/>
      <c r="J2391" s="33"/>
      <c r="K2391" s="33"/>
      <c r="L2391" s="33"/>
    </row>
    <row r="2392" spans="1:12" s="1" customFormat="1" x14ac:dyDescent="0.3">
      <c r="A2392" s="33"/>
      <c r="B2392" s="33"/>
      <c r="C2392" s="33"/>
      <c r="D2392" s="33"/>
      <c r="E2392" s="33"/>
      <c r="F2392" s="33"/>
      <c r="G2392" s="33"/>
      <c r="H2392" s="33"/>
      <c r="I2392" s="33"/>
      <c r="J2392" s="33"/>
      <c r="K2392" s="33"/>
      <c r="L2392" s="33"/>
    </row>
    <row r="2393" spans="1:12" s="1" customFormat="1" x14ac:dyDescent="0.3">
      <c r="A2393" s="33"/>
      <c r="B2393" s="33"/>
      <c r="C2393" s="33"/>
      <c r="D2393" s="33"/>
      <c r="E2393" s="33"/>
      <c r="F2393" s="33"/>
      <c r="G2393" s="33"/>
      <c r="H2393" s="33"/>
      <c r="I2393" s="33"/>
      <c r="J2393" s="33"/>
      <c r="K2393" s="33"/>
      <c r="L2393" s="33"/>
    </row>
    <row r="2394" spans="1:12" s="1" customFormat="1" x14ac:dyDescent="0.3">
      <c r="A2394" s="33"/>
      <c r="B2394" s="33"/>
      <c r="C2394" s="33"/>
      <c r="D2394" s="33"/>
      <c r="E2394" s="33"/>
      <c r="F2394" s="33"/>
      <c r="G2394" s="33"/>
      <c r="H2394" s="33"/>
      <c r="I2394" s="33"/>
      <c r="J2394" s="33"/>
      <c r="K2394" s="33"/>
      <c r="L2394" s="33"/>
    </row>
    <row r="2395" spans="1:12" s="1" customFormat="1" x14ac:dyDescent="0.3">
      <c r="A2395" s="33"/>
      <c r="B2395" s="33"/>
      <c r="C2395" s="33"/>
      <c r="D2395" s="33"/>
      <c r="E2395" s="33"/>
      <c r="F2395" s="33"/>
      <c r="G2395" s="33"/>
      <c r="H2395" s="33"/>
      <c r="I2395" s="33"/>
      <c r="J2395" s="33"/>
      <c r="K2395" s="33"/>
      <c r="L2395" s="33"/>
    </row>
    <row r="2396" spans="1:12" s="1" customFormat="1" x14ac:dyDescent="0.3">
      <c r="A2396" s="33"/>
      <c r="B2396" s="33"/>
      <c r="C2396" s="33"/>
      <c r="D2396" s="33"/>
      <c r="E2396" s="33"/>
      <c r="F2396" s="33"/>
      <c r="G2396" s="33"/>
      <c r="H2396" s="33"/>
      <c r="I2396" s="33"/>
      <c r="J2396" s="33"/>
      <c r="K2396" s="33"/>
      <c r="L2396" s="33"/>
    </row>
    <row r="2397" spans="1:12" s="1" customFormat="1" x14ac:dyDescent="0.3">
      <c r="A2397" s="33"/>
      <c r="B2397" s="33"/>
      <c r="C2397" s="33"/>
      <c r="D2397" s="33"/>
      <c r="E2397" s="33"/>
      <c r="F2397" s="33"/>
      <c r="G2397" s="33"/>
      <c r="H2397" s="33"/>
      <c r="I2397" s="33"/>
      <c r="J2397" s="33"/>
      <c r="K2397" s="33"/>
      <c r="L2397" s="33"/>
    </row>
    <row r="2398" spans="1:12" s="1" customFormat="1" x14ac:dyDescent="0.3">
      <c r="A2398" s="33"/>
      <c r="B2398" s="33"/>
      <c r="C2398" s="33"/>
      <c r="D2398" s="33"/>
      <c r="E2398" s="33"/>
      <c r="F2398" s="33"/>
      <c r="G2398" s="33"/>
      <c r="H2398" s="33"/>
      <c r="I2398" s="33"/>
      <c r="J2398" s="33"/>
      <c r="K2398" s="33"/>
      <c r="L2398" s="33"/>
    </row>
    <row r="2399" spans="1:12" s="1" customFormat="1" x14ac:dyDescent="0.3">
      <c r="A2399" s="33"/>
      <c r="B2399" s="33"/>
      <c r="C2399" s="33"/>
      <c r="D2399" s="33"/>
      <c r="E2399" s="33"/>
      <c r="F2399" s="33"/>
      <c r="G2399" s="33"/>
      <c r="H2399" s="33"/>
      <c r="I2399" s="33"/>
      <c r="J2399" s="33"/>
      <c r="K2399" s="33"/>
      <c r="L2399" s="33"/>
    </row>
    <row r="2400" spans="1:12" s="1" customFormat="1" x14ac:dyDescent="0.3">
      <c r="A2400" s="33"/>
      <c r="B2400" s="33"/>
      <c r="C2400" s="33"/>
      <c r="D2400" s="33"/>
      <c r="E2400" s="33"/>
      <c r="F2400" s="33"/>
      <c r="G2400" s="33"/>
      <c r="H2400" s="33"/>
      <c r="I2400" s="33"/>
      <c r="J2400" s="33"/>
      <c r="K2400" s="33"/>
      <c r="L2400" s="33"/>
    </row>
    <row r="2401" spans="1:12" s="1" customFormat="1" x14ac:dyDescent="0.3">
      <c r="A2401" s="33"/>
      <c r="B2401" s="33"/>
      <c r="C2401" s="33"/>
      <c r="D2401" s="33"/>
      <c r="E2401" s="33"/>
      <c r="F2401" s="33"/>
      <c r="G2401" s="33"/>
      <c r="H2401" s="33"/>
      <c r="I2401" s="33"/>
      <c r="J2401" s="33"/>
      <c r="K2401" s="33"/>
      <c r="L2401" s="33"/>
    </row>
    <row r="2402" spans="1:12" s="1" customFormat="1" x14ac:dyDescent="0.3">
      <c r="A2402" s="33"/>
      <c r="B2402" s="33"/>
      <c r="C2402" s="33"/>
      <c r="D2402" s="33"/>
      <c r="E2402" s="33"/>
      <c r="F2402" s="33"/>
      <c r="G2402" s="33"/>
      <c r="H2402" s="33"/>
      <c r="I2402" s="33"/>
      <c r="J2402" s="33"/>
      <c r="K2402" s="33"/>
      <c r="L2402" s="33"/>
    </row>
    <row r="2403" spans="1:12" s="1" customFormat="1" x14ac:dyDescent="0.3">
      <c r="A2403" s="33"/>
      <c r="B2403" s="33"/>
      <c r="C2403" s="33"/>
      <c r="D2403" s="33"/>
      <c r="E2403" s="33"/>
      <c r="F2403" s="33"/>
      <c r="G2403" s="33"/>
      <c r="H2403" s="33"/>
      <c r="I2403" s="33"/>
      <c r="J2403" s="33"/>
      <c r="K2403" s="33"/>
      <c r="L2403" s="33"/>
    </row>
    <row r="2404" spans="1:12" s="1" customFormat="1" x14ac:dyDescent="0.3">
      <c r="A2404" s="33"/>
      <c r="B2404" s="33"/>
      <c r="C2404" s="33"/>
      <c r="D2404" s="33"/>
      <c r="E2404" s="33"/>
      <c r="F2404" s="33"/>
      <c r="G2404" s="33"/>
      <c r="H2404" s="33"/>
      <c r="I2404" s="33"/>
      <c r="J2404" s="33"/>
      <c r="K2404" s="33"/>
      <c r="L2404" s="33"/>
    </row>
    <row r="2405" spans="1:12" s="1" customFormat="1" x14ac:dyDescent="0.3">
      <c r="A2405" s="33"/>
      <c r="B2405" s="33"/>
      <c r="C2405" s="33"/>
      <c r="D2405" s="33"/>
      <c r="E2405" s="33"/>
      <c r="F2405" s="33"/>
      <c r="G2405" s="33"/>
      <c r="H2405" s="33"/>
      <c r="I2405" s="33"/>
      <c r="J2405" s="33"/>
      <c r="K2405" s="33"/>
      <c r="L2405" s="33"/>
    </row>
    <row r="2406" spans="1:12" s="1" customFormat="1" x14ac:dyDescent="0.3">
      <c r="A2406" s="33"/>
      <c r="B2406" s="33"/>
      <c r="C2406" s="33"/>
      <c r="D2406" s="33"/>
      <c r="E2406" s="33"/>
      <c r="F2406" s="33"/>
      <c r="G2406" s="33"/>
      <c r="H2406" s="33"/>
      <c r="I2406" s="33"/>
      <c r="J2406" s="33"/>
      <c r="K2406" s="33"/>
      <c r="L2406" s="33"/>
    </row>
    <row r="2407" spans="1:12" s="1" customFormat="1" x14ac:dyDescent="0.3">
      <c r="A2407" s="33"/>
      <c r="B2407" s="33"/>
      <c r="C2407" s="33"/>
      <c r="D2407" s="33"/>
      <c r="E2407" s="33"/>
      <c r="F2407" s="33"/>
      <c r="G2407" s="33"/>
      <c r="H2407" s="33"/>
      <c r="I2407" s="33"/>
      <c r="J2407" s="33"/>
      <c r="K2407" s="33"/>
      <c r="L2407" s="33"/>
    </row>
    <row r="2408" spans="1:12" s="1" customFormat="1" x14ac:dyDescent="0.3">
      <c r="A2408" s="33"/>
      <c r="B2408" s="33"/>
      <c r="C2408" s="33"/>
      <c r="D2408" s="33"/>
      <c r="E2408" s="33"/>
      <c r="F2408" s="33"/>
      <c r="G2408" s="33"/>
      <c r="H2408" s="33"/>
      <c r="I2408" s="33"/>
      <c r="J2408" s="33"/>
      <c r="K2408" s="33"/>
      <c r="L2408" s="33"/>
    </row>
    <row r="2409" spans="1:12" s="1" customFormat="1" x14ac:dyDescent="0.3">
      <c r="A2409" s="33"/>
      <c r="B2409" s="33"/>
      <c r="C2409" s="33"/>
      <c r="D2409" s="33"/>
      <c r="E2409" s="33"/>
      <c r="F2409" s="33"/>
      <c r="G2409" s="33"/>
      <c r="H2409" s="33"/>
      <c r="I2409" s="33"/>
      <c r="J2409" s="33"/>
      <c r="K2409" s="33"/>
      <c r="L2409" s="33"/>
    </row>
    <row r="2410" spans="1:12" s="1" customFormat="1" x14ac:dyDescent="0.3">
      <c r="A2410" s="33"/>
      <c r="B2410" s="33"/>
      <c r="C2410" s="33"/>
      <c r="D2410" s="33"/>
      <c r="E2410" s="33"/>
      <c r="F2410" s="33"/>
      <c r="G2410" s="33"/>
      <c r="H2410" s="33"/>
      <c r="I2410" s="33"/>
      <c r="J2410" s="33"/>
      <c r="K2410" s="33"/>
      <c r="L2410" s="33"/>
    </row>
    <row r="2411" spans="1:12" s="1" customFormat="1" x14ac:dyDescent="0.3">
      <c r="A2411" s="33"/>
      <c r="B2411" s="33"/>
      <c r="C2411" s="33"/>
      <c r="D2411" s="33"/>
      <c r="E2411" s="33"/>
      <c r="F2411" s="33"/>
      <c r="G2411" s="33"/>
      <c r="H2411" s="33"/>
      <c r="I2411" s="33"/>
      <c r="J2411" s="33"/>
      <c r="K2411" s="33"/>
      <c r="L2411" s="33"/>
    </row>
    <row r="2412" spans="1:12" s="1" customFormat="1" x14ac:dyDescent="0.3">
      <c r="A2412" s="33"/>
      <c r="B2412" s="33"/>
      <c r="C2412" s="33"/>
      <c r="D2412" s="33"/>
      <c r="E2412" s="33"/>
      <c r="F2412" s="33"/>
      <c r="G2412" s="33"/>
      <c r="H2412" s="33"/>
      <c r="I2412" s="33"/>
      <c r="J2412" s="33"/>
      <c r="K2412" s="33"/>
      <c r="L2412" s="33"/>
    </row>
    <row r="2413" spans="1:12" s="1" customFormat="1" x14ac:dyDescent="0.3">
      <c r="A2413" s="33"/>
      <c r="B2413" s="33"/>
      <c r="C2413" s="33"/>
      <c r="D2413" s="33"/>
      <c r="E2413" s="33"/>
      <c r="F2413" s="33"/>
      <c r="G2413" s="33"/>
      <c r="H2413" s="33"/>
      <c r="I2413" s="33"/>
      <c r="J2413" s="33"/>
      <c r="K2413" s="33"/>
      <c r="L2413" s="33"/>
    </row>
    <row r="2414" spans="1:12" s="1" customFormat="1" x14ac:dyDescent="0.3">
      <c r="A2414" s="33"/>
      <c r="B2414" s="33"/>
      <c r="C2414" s="33"/>
      <c r="D2414" s="33"/>
      <c r="E2414" s="33"/>
      <c r="F2414" s="33"/>
      <c r="G2414" s="33"/>
      <c r="H2414" s="33"/>
      <c r="I2414" s="33"/>
      <c r="J2414" s="33"/>
      <c r="K2414" s="33"/>
      <c r="L2414" s="33"/>
    </row>
    <row r="2415" spans="1:12" s="1" customFormat="1" x14ac:dyDescent="0.3">
      <c r="A2415" s="33"/>
      <c r="B2415" s="33"/>
      <c r="C2415" s="33"/>
      <c r="D2415" s="33"/>
      <c r="E2415" s="33"/>
      <c r="F2415" s="33"/>
      <c r="G2415" s="33"/>
      <c r="H2415" s="33"/>
      <c r="I2415" s="33"/>
      <c r="J2415" s="33"/>
      <c r="K2415" s="33"/>
      <c r="L2415" s="33"/>
    </row>
    <row r="2416" spans="1:12" s="1" customFormat="1" x14ac:dyDescent="0.3">
      <c r="A2416" s="33"/>
      <c r="B2416" s="33"/>
      <c r="C2416" s="33"/>
      <c r="D2416" s="33"/>
      <c r="E2416" s="33"/>
      <c r="F2416" s="33"/>
      <c r="G2416" s="33"/>
      <c r="H2416" s="33"/>
      <c r="I2416" s="33"/>
      <c r="J2416" s="33"/>
      <c r="K2416" s="33"/>
      <c r="L2416" s="33"/>
    </row>
    <row r="2417" spans="1:12" s="1" customFormat="1" x14ac:dyDescent="0.3">
      <c r="A2417" s="33"/>
      <c r="B2417" s="33"/>
      <c r="C2417" s="33"/>
      <c r="D2417" s="33"/>
      <c r="E2417" s="33"/>
      <c r="F2417" s="33"/>
      <c r="G2417" s="33"/>
      <c r="H2417" s="33"/>
      <c r="I2417" s="33"/>
      <c r="J2417" s="33"/>
      <c r="K2417" s="33"/>
      <c r="L2417" s="33"/>
    </row>
    <row r="2418" spans="1:12" s="1" customFormat="1" x14ac:dyDescent="0.3">
      <c r="A2418" s="33"/>
      <c r="B2418" s="33"/>
      <c r="C2418" s="33"/>
      <c r="D2418" s="33"/>
      <c r="E2418" s="33"/>
      <c r="F2418" s="33"/>
      <c r="G2418" s="33"/>
      <c r="H2418" s="33"/>
      <c r="I2418" s="33"/>
      <c r="J2418" s="33"/>
      <c r="K2418" s="33"/>
      <c r="L2418" s="33"/>
    </row>
    <row r="2419" spans="1:12" s="1" customFormat="1" x14ac:dyDescent="0.3">
      <c r="A2419" s="33"/>
      <c r="B2419" s="33"/>
      <c r="C2419" s="33"/>
      <c r="D2419" s="33"/>
      <c r="E2419" s="33"/>
      <c r="F2419" s="33"/>
      <c r="G2419" s="33"/>
      <c r="H2419" s="33"/>
      <c r="I2419" s="33"/>
      <c r="J2419" s="33"/>
      <c r="K2419" s="33"/>
      <c r="L2419" s="33"/>
    </row>
    <row r="2420" spans="1:12" s="1" customFormat="1" x14ac:dyDescent="0.3">
      <c r="A2420" s="33"/>
      <c r="B2420" s="33"/>
      <c r="C2420" s="33"/>
      <c r="D2420" s="33"/>
      <c r="E2420" s="33"/>
      <c r="F2420" s="33"/>
      <c r="G2420" s="33"/>
      <c r="H2420" s="33"/>
      <c r="I2420" s="33"/>
      <c r="J2420" s="33"/>
      <c r="K2420" s="33"/>
      <c r="L2420" s="33"/>
    </row>
    <row r="2421" spans="1:12" s="1" customFormat="1" x14ac:dyDescent="0.3">
      <c r="A2421" s="33"/>
      <c r="B2421" s="33"/>
      <c r="C2421" s="33"/>
      <c r="D2421" s="33"/>
      <c r="E2421" s="33"/>
      <c r="F2421" s="33"/>
      <c r="G2421" s="33"/>
      <c r="H2421" s="33"/>
      <c r="I2421" s="33"/>
      <c r="J2421" s="33"/>
      <c r="K2421" s="33"/>
      <c r="L2421" s="33"/>
    </row>
    <row r="2422" spans="1:12" s="1" customFormat="1" x14ac:dyDescent="0.3">
      <c r="A2422" s="33"/>
      <c r="B2422" s="33"/>
      <c r="C2422" s="33"/>
      <c r="D2422" s="33"/>
      <c r="E2422" s="33"/>
      <c r="F2422" s="33"/>
      <c r="G2422" s="33"/>
      <c r="H2422" s="33"/>
      <c r="I2422" s="33"/>
      <c r="J2422" s="33"/>
      <c r="K2422" s="33"/>
      <c r="L2422" s="33"/>
    </row>
    <row r="2423" spans="1:12" s="1" customFormat="1" x14ac:dyDescent="0.3">
      <c r="A2423" s="33"/>
      <c r="B2423" s="33"/>
      <c r="C2423" s="33"/>
      <c r="D2423" s="33"/>
      <c r="E2423" s="33"/>
      <c r="F2423" s="33"/>
      <c r="G2423" s="33"/>
      <c r="H2423" s="33"/>
      <c r="I2423" s="33"/>
      <c r="J2423" s="33"/>
      <c r="K2423" s="33"/>
      <c r="L2423" s="33"/>
    </row>
    <row r="2424" spans="1:12" s="1" customFormat="1" x14ac:dyDescent="0.3">
      <c r="A2424" s="33"/>
      <c r="B2424" s="33"/>
      <c r="C2424" s="33"/>
      <c r="D2424" s="33"/>
      <c r="E2424" s="33"/>
      <c r="F2424" s="33"/>
      <c r="G2424" s="33"/>
      <c r="H2424" s="33"/>
      <c r="I2424" s="33"/>
      <c r="J2424" s="33"/>
      <c r="K2424" s="33"/>
      <c r="L2424" s="33"/>
    </row>
    <row r="2425" spans="1:12" s="1" customFormat="1" x14ac:dyDescent="0.3">
      <c r="A2425" s="33"/>
      <c r="B2425" s="33"/>
      <c r="C2425" s="33"/>
      <c r="D2425" s="33"/>
      <c r="E2425" s="33"/>
      <c r="F2425" s="33"/>
      <c r="G2425" s="33"/>
      <c r="H2425" s="33"/>
      <c r="I2425" s="33"/>
      <c r="J2425" s="33"/>
      <c r="K2425" s="33"/>
      <c r="L2425" s="33"/>
    </row>
    <row r="2426" spans="1:12" s="1" customFormat="1" x14ac:dyDescent="0.3">
      <c r="A2426" s="33"/>
      <c r="B2426" s="33"/>
      <c r="C2426" s="33"/>
      <c r="D2426" s="33"/>
      <c r="E2426" s="33"/>
      <c r="F2426" s="33"/>
      <c r="G2426" s="33"/>
      <c r="H2426" s="33"/>
      <c r="I2426" s="33"/>
      <c r="J2426" s="33"/>
      <c r="K2426" s="33"/>
      <c r="L2426" s="33"/>
    </row>
    <row r="2427" spans="1:12" s="1" customFormat="1" x14ac:dyDescent="0.3">
      <c r="A2427" s="33"/>
      <c r="B2427" s="33"/>
      <c r="C2427" s="33"/>
      <c r="D2427" s="33"/>
      <c r="E2427" s="33"/>
      <c r="F2427" s="33"/>
      <c r="G2427" s="33"/>
      <c r="H2427" s="33"/>
      <c r="I2427" s="33"/>
      <c r="J2427" s="33"/>
      <c r="K2427" s="33"/>
      <c r="L2427" s="33"/>
    </row>
    <row r="2428" spans="1:12" s="1" customFormat="1" x14ac:dyDescent="0.3">
      <c r="A2428" s="33"/>
      <c r="B2428" s="33"/>
      <c r="C2428" s="33"/>
      <c r="D2428" s="33"/>
      <c r="E2428" s="33"/>
      <c r="F2428" s="33"/>
      <c r="G2428" s="33"/>
      <c r="H2428" s="33"/>
      <c r="I2428" s="33"/>
      <c r="J2428" s="33"/>
      <c r="K2428" s="33"/>
      <c r="L2428" s="33"/>
    </row>
    <row r="2429" spans="1:12" s="1" customFormat="1" x14ac:dyDescent="0.3">
      <c r="A2429" s="33"/>
      <c r="B2429" s="33"/>
      <c r="C2429" s="33"/>
      <c r="D2429" s="33"/>
      <c r="E2429" s="33"/>
      <c r="F2429" s="33"/>
      <c r="G2429" s="33"/>
      <c r="H2429" s="33"/>
      <c r="I2429" s="33"/>
      <c r="J2429" s="33"/>
      <c r="K2429" s="33"/>
      <c r="L2429" s="33"/>
    </row>
    <row r="2430" spans="1:12" s="1" customFormat="1" x14ac:dyDescent="0.3">
      <c r="A2430" s="33"/>
      <c r="B2430" s="33"/>
      <c r="C2430" s="33"/>
      <c r="D2430" s="33"/>
      <c r="E2430" s="33"/>
      <c r="F2430" s="33"/>
      <c r="G2430" s="33"/>
      <c r="H2430" s="33"/>
      <c r="I2430" s="33"/>
      <c r="J2430" s="33"/>
      <c r="K2430" s="33"/>
      <c r="L2430" s="33"/>
    </row>
    <row r="2431" spans="1:12" s="1" customFormat="1" x14ac:dyDescent="0.3">
      <c r="A2431" s="33"/>
      <c r="B2431" s="33"/>
      <c r="C2431" s="33"/>
      <c r="D2431" s="33"/>
      <c r="E2431" s="33"/>
      <c r="F2431" s="33"/>
      <c r="G2431" s="33"/>
      <c r="H2431" s="33"/>
      <c r="I2431" s="33"/>
      <c r="J2431" s="33"/>
      <c r="K2431" s="33"/>
      <c r="L2431" s="33"/>
    </row>
    <row r="2432" spans="1:12" s="1" customFormat="1" x14ac:dyDescent="0.3">
      <c r="A2432" s="33"/>
      <c r="B2432" s="33"/>
      <c r="C2432" s="33"/>
      <c r="D2432" s="33"/>
      <c r="E2432" s="33"/>
      <c r="F2432" s="33"/>
      <c r="G2432" s="33"/>
      <c r="H2432" s="33"/>
      <c r="I2432" s="33"/>
      <c r="J2432" s="33"/>
      <c r="K2432" s="33"/>
      <c r="L2432" s="33"/>
    </row>
    <row r="2433" spans="1:12" s="1" customFormat="1" x14ac:dyDescent="0.3">
      <c r="A2433" s="33"/>
      <c r="B2433" s="33"/>
      <c r="C2433" s="33"/>
      <c r="D2433" s="33"/>
      <c r="E2433" s="33"/>
      <c r="F2433" s="33"/>
      <c r="G2433" s="33"/>
      <c r="H2433" s="33"/>
      <c r="I2433" s="33"/>
      <c r="J2433" s="33"/>
      <c r="K2433" s="33"/>
      <c r="L2433" s="33"/>
    </row>
    <row r="2434" spans="1:12" s="1" customFormat="1" x14ac:dyDescent="0.3">
      <c r="A2434" s="33"/>
      <c r="B2434" s="33"/>
      <c r="C2434" s="33"/>
      <c r="D2434" s="33"/>
      <c r="E2434" s="33"/>
      <c r="F2434" s="33"/>
      <c r="G2434" s="33"/>
      <c r="H2434" s="33"/>
      <c r="I2434" s="33"/>
      <c r="J2434" s="33"/>
      <c r="K2434" s="33"/>
      <c r="L2434" s="33"/>
    </row>
    <row r="2435" spans="1:12" s="1" customFormat="1" x14ac:dyDescent="0.3">
      <c r="A2435" s="33"/>
      <c r="B2435" s="33"/>
      <c r="C2435" s="33"/>
      <c r="D2435" s="33"/>
      <c r="E2435" s="33"/>
      <c r="F2435" s="33"/>
      <c r="G2435" s="33"/>
      <c r="H2435" s="33"/>
      <c r="I2435" s="33"/>
      <c r="J2435" s="33"/>
      <c r="K2435" s="33"/>
      <c r="L2435" s="33"/>
    </row>
    <row r="2436" spans="1:12" s="1" customFormat="1" x14ac:dyDescent="0.3">
      <c r="A2436" s="33"/>
      <c r="B2436" s="33"/>
      <c r="C2436" s="33"/>
      <c r="D2436" s="33"/>
      <c r="E2436" s="33"/>
      <c r="F2436" s="33"/>
      <c r="G2436" s="33"/>
      <c r="H2436" s="33"/>
      <c r="I2436" s="33"/>
      <c r="J2436" s="33"/>
      <c r="K2436" s="33"/>
      <c r="L2436" s="33"/>
    </row>
    <row r="2437" spans="1:12" s="1" customFormat="1" x14ac:dyDescent="0.3">
      <c r="A2437" s="33"/>
      <c r="B2437" s="33"/>
      <c r="C2437" s="33"/>
      <c r="D2437" s="33"/>
      <c r="E2437" s="33"/>
      <c r="F2437" s="33"/>
      <c r="G2437" s="33"/>
      <c r="H2437" s="33"/>
      <c r="I2437" s="33"/>
      <c r="J2437" s="33"/>
      <c r="K2437" s="33"/>
      <c r="L2437" s="33"/>
    </row>
    <row r="2438" spans="1:12" s="1" customFormat="1" x14ac:dyDescent="0.3">
      <c r="A2438" s="33"/>
      <c r="B2438" s="33"/>
      <c r="C2438" s="33"/>
      <c r="D2438" s="33"/>
      <c r="E2438" s="33"/>
      <c r="F2438" s="33"/>
      <c r="G2438" s="33"/>
      <c r="H2438" s="33"/>
      <c r="I2438" s="33"/>
      <c r="J2438" s="33"/>
      <c r="K2438" s="33"/>
      <c r="L2438" s="33"/>
    </row>
    <row r="2439" spans="1:12" s="1" customFormat="1" x14ac:dyDescent="0.3">
      <c r="A2439" s="33"/>
      <c r="B2439" s="33"/>
      <c r="C2439" s="33"/>
      <c r="D2439" s="33"/>
      <c r="E2439" s="33"/>
      <c r="F2439" s="33"/>
      <c r="G2439" s="33"/>
      <c r="H2439" s="33"/>
      <c r="I2439" s="33"/>
      <c r="J2439" s="33"/>
      <c r="K2439" s="33"/>
      <c r="L2439" s="33"/>
    </row>
    <row r="2440" spans="1:12" s="1" customFormat="1" x14ac:dyDescent="0.3">
      <c r="A2440" s="33"/>
      <c r="B2440" s="33"/>
      <c r="C2440" s="33"/>
      <c r="D2440" s="33"/>
      <c r="E2440" s="33"/>
      <c r="F2440" s="33"/>
      <c r="G2440" s="33"/>
      <c r="H2440" s="33"/>
      <c r="I2440" s="33"/>
      <c r="J2440" s="33"/>
      <c r="K2440" s="33"/>
      <c r="L2440" s="33"/>
    </row>
    <row r="2441" spans="1:12" s="1" customFormat="1" x14ac:dyDescent="0.3">
      <c r="A2441" s="33"/>
      <c r="B2441" s="33"/>
      <c r="C2441" s="33"/>
      <c r="D2441" s="33"/>
      <c r="E2441" s="33"/>
      <c r="F2441" s="33"/>
      <c r="G2441" s="33"/>
      <c r="H2441" s="33"/>
      <c r="I2441" s="33"/>
      <c r="J2441" s="33"/>
      <c r="K2441" s="33"/>
      <c r="L2441" s="33"/>
    </row>
    <row r="2442" spans="1:12" s="1" customFormat="1" x14ac:dyDescent="0.3">
      <c r="A2442" s="33"/>
      <c r="B2442" s="33"/>
      <c r="C2442" s="33"/>
      <c r="D2442" s="33"/>
      <c r="E2442" s="33"/>
      <c r="F2442" s="33"/>
      <c r="G2442" s="33"/>
      <c r="H2442" s="33"/>
      <c r="I2442" s="33"/>
      <c r="J2442" s="33"/>
      <c r="K2442" s="33"/>
      <c r="L2442" s="33"/>
    </row>
    <row r="2443" spans="1:12" s="1" customFormat="1" x14ac:dyDescent="0.3">
      <c r="A2443" s="33"/>
      <c r="B2443" s="33"/>
      <c r="C2443" s="33"/>
      <c r="D2443" s="33"/>
      <c r="E2443" s="33"/>
      <c r="F2443" s="33"/>
      <c r="G2443" s="33"/>
      <c r="H2443" s="33"/>
      <c r="I2443" s="33"/>
      <c r="J2443" s="33"/>
      <c r="K2443" s="33"/>
      <c r="L2443" s="33"/>
    </row>
    <row r="2444" spans="1:12" s="1" customFormat="1" x14ac:dyDescent="0.3">
      <c r="A2444" s="33"/>
      <c r="B2444" s="33"/>
      <c r="C2444" s="33"/>
      <c r="D2444" s="33"/>
      <c r="E2444" s="33"/>
      <c r="F2444" s="33"/>
      <c r="G2444" s="33"/>
      <c r="H2444" s="33"/>
      <c r="I2444" s="33"/>
      <c r="J2444" s="33"/>
      <c r="K2444" s="33"/>
      <c r="L2444" s="33"/>
    </row>
    <row r="2445" spans="1:12" s="1" customFormat="1" x14ac:dyDescent="0.3">
      <c r="A2445" s="33"/>
      <c r="B2445" s="33"/>
      <c r="C2445" s="33"/>
      <c r="D2445" s="33"/>
      <c r="E2445" s="33"/>
      <c r="F2445" s="33"/>
      <c r="G2445" s="33"/>
      <c r="H2445" s="33"/>
      <c r="I2445" s="33"/>
      <c r="J2445" s="33"/>
      <c r="K2445" s="33"/>
      <c r="L2445" s="33"/>
    </row>
    <row r="2446" spans="1:12" s="1" customFormat="1" x14ac:dyDescent="0.3">
      <c r="A2446" s="33"/>
      <c r="B2446" s="33"/>
      <c r="C2446" s="33"/>
      <c r="D2446" s="33"/>
      <c r="E2446" s="33"/>
      <c r="F2446" s="33"/>
      <c r="G2446" s="33"/>
      <c r="H2446" s="33"/>
      <c r="I2446" s="33"/>
      <c r="J2446" s="33"/>
      <c r="K2446" s="33"/>
      <c r="L2446" s="33"/>
    </row>
    <row r="2447" spans="1:12" s="1" customFormat="1" x14ac:dyDescent="0.3">
      <c r="A2447" s="33"/>
      <c r="B2447" s="33"/>
      <c r="C2447" s="33"/>
      <c r="D2447" s="33"/>
      <c r="E2447" s="33"/>
      <c r="F2447" s="33"/>
      <c r="G2447" s="33"/>
      <c r="H2447" s="33"/>
      <c r="I2447" s="33"/>
      <c r="J2447" s="33"/>
      <c r="K2447" s="33"/>
      <c r="L2447" s="33"/>
    </row>
    <row r="2448" spans="1:12" s="1" customFormat="1" x14ac:dyDescent="0.3">
      <c r="A2448" s="33"/>
      <c r="B2448" s="33"/>
      <c r="C2448" s="33"/>
      <c r="D2448" s="33"/>
      <c r="E2448" s="33"/>
      <c r="F2448" s="33"/>
      <c r="G2448" s="33"/>
      <c r="H2448" s="33"/>
      <c r="I2448" s="33"/>
      <c r="J2448" s="33"/>
      <c r="K2448" s="33"/>
      <c r="L2448" s="33"/>
    </row>
    <row r="2449" spans="1:12" s="1" customFormat="1" x14ac:dyDescent="0.3">
      <c r="A2449" s="33"/>
      <c r="B2449" s="33"/>
      <c r="C2449" s="33"/>
      <c r="D2449" s="33"/>
      <c r="E2449" s="33"/>
      <c r="F2449" s="33"/>
      <c r="G2449" s="33"/>
      <c r="H2449" s="33"/>
      <c r="I2449" s="33"/>
      <c r="J2449" s="33"/>
      <c r="K2449" s="33"/>
      <c r="L2449" s="33"/>
    </row>
    <row r="2450" spans="1:12" s="1" customFormat="1" x14ac:dyDescent="0.3">
      <c r="A2450" s="33"/>
      <c r="B2450" s="33"/>
      <c r="C2450" s="33"/>
      <c r="D2450" s="33"/>
      <c r="E2450" s="33"/>
      <c r="F2450" s="33"/>
      <c r="G2450" s="33"/>
      <c r="H2450" s="33"/>
      <c r="I2450" s="33"/>
      <c r="J2450" s="33"/>
      <c r="K2450" s="33"/>
      <c r="L2450" s="33"/>
    </row>
    <row r="2451" spans="1:12" s="1" customFormat="1" x14ac:dyDescent="0.3">
      <c r="A2451" s="33"/>
      <c r="B2451" s="33"/>
      <c r="C2451" s="33"/>
      <c r="D2451" s="33"/>
      <c r="E2451" s="33"/>
      <c r="F2451" s="33"/>
      <c r="G2451" s="33"/>
      <c r="H2451" s="33"/>
      <c r="I2451" s="33"/>
      <c r="J2451" s="33"/>
      <c r="K2451" s="33"/>
      <c r="L2451" s="33"/>
    </row>
    <row r="2452" spans="1:12" s="1" customFormat="1" x14ac:dyDescent="0.3">
      <c r="A2452" s="33"/>
      <c r="B2452" s="33"/>
      <c r="C2452" s="33"/>
      <c r="D2452" s="33"/>
      <c r="E2452" s="33"/>
      <c r="F2452" s="33"/>
      <c r="G2452" s="33"/>
      <c r="H2452" s="33"/>
      <c r="I2452" s="33"/>
      <c r="J2452" s="33"/>
      <c r="K2452" s="33"/>
      <c r="L2452" s="33"/>
    </row>
    <row r="2453" spans="1:12" s="1" customFormat="1" x14ac:dyDescent="0.3">
      <c r="A2453" s="33"/>
      <c r="B2453" s="33"/>
      <c r="C2453" s="33"/>
      <c r="D2453" s="33"/>
      <c r="E2453" s="33"/>
      <c r="F2453" s="33"/>
      <c r="G2453" s="33"/>
      <c r="H2453" s="33"/>
      <c r="I2453" s="33"/>
      <c r="J2453" s="33"/>
      <c r="K2453" s="33"/>
      <c r="L2453" s="33"/>
    </row>
    <row r="2454" spans="1:12" s="1" customFormat="1" x14ac:dyDescent="0.3">
      <c r="A2454" s="33"/>
      <c r="B2454" s="33"/>
      <c r="C2454" s="33"/>
      <c r="D2454" s="33"/>
      <c r="E2454" s="33"/>
      <c r="F2454" s="33"/>
      <c r="G2454" s="33"/>
      <c r="H2454" s="33"/>
      <c r="I2454" s="33"/>
      <c r="J2454" s="33"/>
      <c r="K2454" s="33"/>
      <c r="L2454" s="33"/>
    </row>
    <row r="2455" spans="1:12" s="1" customFormat="1" x14ac:dyDescent="0.3">
      <c r="A2455" s="33"/>
      <c r="B2455" s="33"/>
      <c r="C2455" s="33"/>
      <c r="D2455" s="33"/>
      <c r="E2455" s="33"/>
      <c r="F2455" s="33"/>
      <c r="G2455" s="33"/>
      <c r="H2455" s="33"/>
      <c r="I2455" s="33"/>
      <c r="J2455" s="33"/>
      <c r="K2455" s="33"/>
      <c r="L2455" s="33"/>
    </row>
    <row r="2456" spans="1:12" s="1" customFormat="1" x14ac:dyDescent="0.3">
      <c r="A2456" s="33"/>
      <c r="B2456" s="33"/>
      <c r="C2456" s="33"/>
      <c r="D2456" s="33"/>
      <c r="E2456" s="33"/>
      <c r="F2456" s="33"/>
      <c r="G2456" s="33"/>
      <c r="H2456" s="33"/>
      <c r="I2456" s="33"/>
      <c r="J2456" s="33"/>
      <c r="K2456" s="33"/>
      <c r="L2456" s="33"/>
    </row>
    <row r="2457" spans="1:12" s="1" customFormat="1" x14ac:dyDescent="0.3">
      <c r="A2457" s="33"/>
      <c r="B2457" s="33"/>
      <c r="C2457" s="33"/>
      <c r="D2457" s="33"/>
      <c r="E2457" s="33"/>
      <c r="F2457" s="33"/>
      <c r="G2457" s="33"/>
      <c r="H2457" s="33"/>
      <c r="I2457" s="33"/>
      <c r="J2457" s="33"/>
      <c r="K2457" s="33"/>
      <c r="L2457" s="33"/>
    </row>
    <row r="2458" spans="1:12" s="1" customFormat="1" x14ac:dyDescent="0.3">
      <c r="A2458" s="33"/>
      <c r="B2458" s="33"/>
      <c r="C2458" s="33"/>
      <c r="D2458" s="33"/>
      <c r="E2458" s="33"/>
      <c r="F2458" s="33"/>
      <c r="G2458" s="33"/>
      <c r="H2458" s="33"/>
      <c r="I2458" s="33"/>
      <c r="J2458" s="33"/>
      <c r="K2458" s="33"/>
      <c r="L2458" s="33"/>
    </row>
    <row r="2459" spans="1:12" s="1" customFormat="1" x14ac:dyDescent="0.3">
      <c r="A2459" s="33"/>
      <c r="B2459" s="33"/>
      <c r="C2459" s="33"/>
      <c r="D2459" s="33"/>
      <c r="E2459" s="33"/>
      <c r="F2459" s="33"/>
      <c r="G2459" s="33"/>
      <c r="H2459" s="33"/>
      <c r="I2459" s="33"/>
      <c r="J2459" s="33"/>
      <c r="K2459" s="33"/>
      <c r="L2459" s="33"/>
    </row>
    <row r="2460" spans="1:12" s="1" customFormat="1" x14ac:dyDescent="0.3">
      <c r="A2460" s="33"/>
      <c r="B2460" s="33"/>
      <c r="C2460" s="33"/>
      <c r="D2460" s="33"/>
      <c r="E2460" s="33"/>
      <c r="F2460" s="33"/>
      <c r="G2460" s="33"/>
      <c r="H2460" s="33"/>
      <c r="I2460" s="33"/>
      <c r="J2460" s="33"/>
      <c r="K2460" s="33"/>
      <c r="L2460" s="33"/>
    </row>
    <row r="2461" spans="1:12" s="1" customFormat="1" x14ac:dyDescent="0.3">
      <c r="A2461" s="33"/>
      <c r="B2461" s="33"/>
      <c r="C2461" s="33"/>
      <c r="D2461" s="33"/>
      <c r="E2461" s="33"/>
      <c r="F2461" s="33"/>
      <c r="G2461" s="33"/>
      <c r="H2461" s="33"/>
      <c r="I2461" s="33"/>
      <c r="J2461" s="33"/>
      <c r="K2461" s="33"/>
      <c r="L2461" s="33"/>
    </row>
    <row r="2462" spans="1:12" s="1" customFormat="1" x14ac:dyDescent="0.3">
      <c r="A2462" s="33"/>
      <c r="B2462" s="33"/>
      <c r="C2462" s="33"/>
      <c r="D2462" s="33"/>
      <c r="E2462" s="33"/>
      <c r="F2462" s="33"/>
      <c r="G2462" s="33"/>
      <c r="H2462" s="33"/>
      <c r="I2462" s="33"/>
      <c r="J2462" s="33"/>
      <c r="K2462" s="33"/>
      <c r="L2462" s="33"/>
    </row>
    <row r="2463" spans="1:12" s="1" customFormat="1" x14ac:dyDescent="0.3">
      <c r="A2463" s="33"/>
      <c r="B2463" s="33"/>
      <c r="C2463" s="33"/>
      <c r="D2463" s="33"/>
      <c r="E2463" s="33"/>
      <c r="F2463" s="33"/>
      <c r="G2463" s="33"/>
      <c r="H2463" s="33"/>
      <c r="I2463" s="33"/>
      <c r="J2463" s="33"/>
      <c r="K2463" s="33"/>
      <c r="L2463" s="33"/>
    </row>
    <row r="2464" spans="1:12" s="1" customFormat="1" x14ac:dyDescent="0.3">
      <c r="A2464" s="33"/>
      <c r="B2464" s="33"/>
      <c r="C2464" s="33"/>
      <c r="D2464" s="33"/>
      <c r="E2464" s="33"/>
      <c r="F2464" s="33"/>
      <c r="G2464" s="33"/>
      <c r="H2464" s="33"/>
      <c r="I2464" s="33"/>
      <c r="J2464" s="33"/>
      <c r="K2464" s="33"/>
      <c r="L2464" s="33"/>
    </row>
    <row r="2465" spans="1:12" s="1" customFormat="1" x14ac:dyDescent="0.3">
      <c r="A2465" s="33"/>
      <c r="B2465" s="33"/>
      <c r="C2465" s="33"/>
      <c r="D2465" s="33"/>
      <c r="E2465" s="33"/>
      <c r="F2465" s="33"/>
      <c r="G2465" s="33"/>
      <c r="H2465" s="33"/>
      <c r="I2465" s="33"/>
      <c r="J2465" s="33"/>
      <c r="K2465" s="33"/>
      <c r="L2465" s="33"/>
    </row>
    <row r="2466" spans="1:12" s="1" customFormat="1" x14ac:dyDescent="0.3">
      <c r="A2466" s="33"/>
      <c r="B2466" s="33"/>
      <c r="C2466" s="33"/>
      <c r="D2466" s="33"/>
      <c r="E2466" s="33"/>
      <c r="F2466" s="33"/>
      <c r="G2466" s="33"/>
      <c r="H2466" s="33"/>
      <c r="I2466" s="33"/>
      <c r="J2466" s="33"/>
      <c r="K2466" s="33"/>
      <c r="L2466" s="33"/>
    </row>
    <row r="2467" spans="1:12" s="1" customFormat="1" x14ac:dyDescent="0.3">
      <c r="A2467" s="33"/>
      <c r="B2467" s="33"/>
      <c r="C2467" s="33"/>
      <c r="D2467" s="33"/>
      <c r="E2467" s="33"/>
      <c r="F2467" s="33"/>
      <c r="G2467" s="33"/>
      <c r="H2467" s="33"/>
      <c r="I2467" s="33"/>
      <c r="J2467" s="33"/>
      <c r="K2467" s="33"/>
      <c r="L2467" s="33"/>
    </row>
    <row r="2468" spans="1:12" s="1" customFormat="1" x14ac:dyDescent="0.3">
      <c r="A2468" s="33"/>
      <c r="B2468" s="33"/>
      <c r="C2468" s="33"/>
      <c r="D2468" s="33"/>
      <c r="E2468" s="33"/>
      <c r="F2468" s="33"/>
      <c r="G2468" s="33"/>
      <c r="H2468" s="33"/>
      <c r="I2468" s="33"/>
      <c r="J2468" s="33"/>
      <c r="K2468" s="33"/>
      <c r="L2468" s="33"/>
    </row>
    <row r="2469" spans="1:12" s="1" customFormat="1" x14ac:dyDescent="0.3">
      <c r="A2469" s="33"/>
      <c r="B2469" s="33"/>
      <c r="C2469" s="33"/>
      <c r="D2469" s="33"/>
      <c r="E2469" s="33"/>
      <c r="F2469" s="33"/>
      <c r="G2469" s="33"/>
      <c r="H2469" s="33"/>
      <c r="I2469" s="33"/>
      <c r="J2469" s="33"/>
      <c r="K2469" s="33"/>
      <c r="L2469" s="33"/>
    </row>
    <row r="2470" spans="1:12" s="1" customFormat="1" x14ac:dyDescent="0.3">
      <c r="A2470" s="33"/>
      <c r="B2470" s="33"/>
      <c r="C2470" s="33"/>
      <c r="D2470" s="33"/>
      <c r="E2470" s="33"/>
      <c r="F2470" s="33"/>
      <c r="G2470" s="33"/>
      <c r="H2470" s="33"/>
      <c r="I2470" s="33"/>
      <c r="J2470" s="33"/>
      <c r="K2470" s="33"/>
      <c r="L2470" s="33"/>
    </row>
    <row r="2471" spans="1:12" s="1" customFormat="1" x14ac:dyDescent="0.3">
      <c r="A2471" s="33"/>
      <c r="B2471" s="33"/>
      <c r="C2471" s="33"/>
      <c r="D2471" s="33"/>
      <c r="E2471" s="33"/>
      <c r="F2471" s="33"/>
      <c r="G2471" s="33"/>
      <c r="H2471" s="33"/>
      <c r="I2471" s="33"/>
      <c r="J2471" s="33"/>
      <c r="K2471" s="33"/>
      <c r="L2471" s="33"/>
    </row>
    <row r="2472" spans="1:12" s="1" customFormat="1" x14ac:dyDescent="0.3">
      <c r="A2472" s="33"/>
      <c r="B2472" s="33"/>
      <c r="C2472" s="33"/>
      <c r="D2472" s="33"/>
      <c r="E2472" s="33"/>
      <c r="F2472" s="33"/>
      <c r="G2472" s="33"/>
      <c r="H2472" s="33"/>
      <c r="I2472" s="33"/>
      <c r="J2472" s="33"/>
      <c r="K2472" s="33"/>
      <c r="L2472" s="33"/>
    </row>
    <row r="2473" spans="1:12" s="1" customFormat="1" x14ac:dyDescent="0.3">
      <c r="A2473" s="33"/>
      <c r="B2473" s="33"/>
      <c r="C2473" s="33"/>
      <c r="D2473" s="33"/>
      <c r="E2473" s="33"/>
      <c r="F2473" s="33"/>
      <c r="G2473" s="33"/>
      <c r="H2473" s="33"/>
      <c r="I2473" s="33"/>
      <c r="J2473" s="33"/>
      <c r="K2473" s="33"/>
      <c r="L2473" s="33"/>
    </row>
    <row r="2474" spans="1:12" s="1" customFormat="1" x14ac:dyDescent="0.3">
      <c r="A2474" s="33"/>
      <c r="B2474" s="33"/>
      <c r="C2474" s="33"/>
      <c r="D2474" s="33"/>
      <c r="E2474" s="33"/>
      <c r="F2474" s="33"/>
      <c r="G2474" s="33"/>
      <c r="H2474" s="33"/>
      <c r="I2474" s="33"/>
      <c r="J2474" s="33"/>
      <c r="K2474" s="33"/>
      <c r="L2474" s="33"/>
    </row>
    <row r="2475" spans="1:12" s="1" customFormat="1" x14ac:dyDescent="0.3">
      <c r="A2475" s="33"/>
      <c r="B2475" s="33"/>
      <c r="C2475" s="33"/>
      <c r="D2475" s="33"/>
      <c r="E2475" s="33"/>
      <c r="F2475" s="33"/>
      <c r="G2475" s="33"/>
      <c r="H2475" s="33"/>
      <c r="I2475" s="33"/>
      <c r="J2475" s="33"/>
      <c r="K2475" s="33"/>
      <c r="L2475" s="33"/>
    </row>
    <row r="2476" spans="1:12" s="1" customFormat="1" x14ac:dyDescent="0.3">
      <c r="A2476" s="33"/>
      <c r="B2476" s="33"/>
      <c r="C2476" s="33"/>
      <c r="D2476" s="33"/>
      <c r="E2476" s="33"/>
      <c r="F2476" s="33"/>
      <c r="G2476" s="33"/>
      <c r="H2476" s="33"/>
      <c r="I2476" s="33"/>
      <c r="J2476" s="33"/>
      <c r="K2476" s="33"/>
      <c r="L2476" s="33"/>
    </row>
    <row r="2477" spans="1:12" s="1" customFormat="1" x14ac:dyDescent="0.3">
      <c r="A2477" s="33"/>
      <c r="B2477" s="33"/>
      <c r="C2477" s="33"/>
      <c r="D2477" s="33"/>
      <c r="E2477" s="33"/>
      <c r="F2477" s="33"/>
      <c r="G2477" s="33"/>
      <c r="H2477" s="33"/>
      <c r="I2477" s="33"/>
      <c r="J2477" s="33"/>
      <c r="K2477" s="33"/>
      <c r="L2477" s="33"/>
    </row>
    <row r="2478" spans="1:12" s="1" customFormat="1" x14ac:dyDescent="0.3">
      <c r="A2478" s="33"/>
      <c r="B2478" s="33"/>
      <c r="C2478" s="33"/>
      <c r="D2478" s="33"/>
      <c r="E2478" s="33"/>
      <c r="F2478" s="33"/>
      <c r="G2478" s="33"/>
      <c r="H2478" s="33"/>
      <c r="I2478" s="33"/>
      <c r="J2478" s="33"/>
      <c r="K2478" s="33"/>
      <c r="L2478" s="33"/>
    </row>
    <row r="2479" spans="1:12" s="1" customFormat="1" x14ac:dyDescent="0.3">
      <c r="A2479" s="33"/>
      <c r="B2479" s="33"/>
      <c r="C2479" s="33"/>
      <c r="D2479" s="33"/>
      <c r="E2479" s="33"/>
      <c r="F2479" s="33"/>
      <c r="G2479" s="33"/>
      <c r="H2479" s="33"/>
      <c r="I2479" s="33"/>
      <c r="J2479" s="33"/>
      <c r="K2479" s="33"/>
      <c r="L2479" s="33"/>
    </row>
    <row r="2480" spans="1:12" s="1" customFormat="1" x14ac:dyDescent="0.3">
      <c r="A2480" s="33"/>
      <c r="B2480" s="33"/>
      <c r="C2480" s="33"/>
      <c r="D2480" s="33"/>
      <c r="E2480" s="33"/>
      <c r="F2480" s="33"/>
      <c r="G2480" s="33"/>
      <c r="H2480" s="33"/>
      <c r="I2480" s="33"/>
      <c r="J2480" s="33"/>
      <c r="K2480" s="33"/>
      <c r="L2480" s="33"/>
    </row>
    <row r="2481" spans="1:12" s="1" customFormat="1" x14ac:dyDescent="0.3">
      <c r="A2481" s="33"/>
      <c r="B2481" s="33"/>
      <c r="C2481" s="33"/>
      <c r="D2481" s="33"/>
      <c r="E2481" s="33"/>
      <c r="F2481" s="33"/>
      <c r="G2481" s="33"/>
      <c r="H2481" s="33"/>
      <c r="I2481" s="33"/>
      <c r="J2481" s="33"/>
      <c r="K2481" s="33"/>
      <c r="L2481" s="33"/>
    </row>
    <row r="2482" spans="1:12" s="1" customFormat="1" x14ac:dyDescent="0.3">
      <c r="A2482" s="33"/>
      <c r="B2482" s="33"/>
      <c r="C2482" s="33"/>
      <c r="D2482" s="33"/>
      <c r="E2482" s="33"/>
      <c r="F2482" s="33"/>
      <c r="G2482" s="33"/>
      <c r="H2482" s="33"/>
      <c r="I2482" s="33"/>
      <c r="J2482" s="33"/>
      <c r="K2482" s="33"/>
      <c r="L2482" s="33"/>
    </row>
    <row r="2483" spans="1:12" s="1" customFormat="1" x14ac:dyDescent="0.3">
      <c r="A2483" s="33"/>
      <c r="B2483" s="33"/>
      <c r="C2483" s="33"/>
      <c r="D2483" s="33"/>
      <c r="E2483" s="33"/>
      <c r="F2483" s="33"/>
      <c r="G2483" s="33"/>
      <c r="H2483" s="33"/>
      <c r="I2483" s="33"/>
      <c r="J2483" s="33"/>
      <c r="K2483" s="33"/>
      <c r="L2483" s="33"/>
    </row>
    <row r="2484" spans="1:12" s="1" customFormat="1" x14ac:dyDescent="0.3">
      <c r="A2484" s="33"/>
      <c r="B2484" s="33"/>
      <c r="C2484" s="33"/>
      <c r="D2484" s="33"/>
      <c r="E2484" s="33"/>
      <c r="F2484" s="33"/>
      <c r="G2484" s="33"/>
      <c r="H2484" s="33"/>
      <c r="I2484" s="33"/>
      <c r="J2484" s="33"/>
      <c r="K2484" s="33"/>
      <c r="L2484" s="33"/>
    </row>
    <row r="2485" spans="1:12" s="1" customFormat="1" x14ac:dyDescent="0.3">
      <c r="A2485" s="33"/>
      <c r="B2485" s="33"/>
      <c r="C2485" s="33"/>
      <c r="D2485" s="33"/>
      <c r="E2485" s="33"/>
      <c r="F2485" s="33"/>
      <c r="G2485" s="33"/>
      <c r="H2485" s="33"/>
      <c r="I2485" s="33"/>
      <c r="J2485" s="33"/>
      <c r="K2485" s="33"/>
      <c r="L2485" s="33"/>
    </row>
    <row r="2486" spans="1:12" s="1" customFormat="1" x14ac:dyDescent="0.3">
      <c r="A2486" s="33"/>
      <c r="B2486" s="33"/>
      <c r="C2486" s="33"/>
      <c r="D2486" s="33"/>
      <c r="E2486" s="33"/>
      <c r="F2486" s="33"/>
      <c r="G2486" s="33"/>
      <c r="H2486" s="33"/>
      <c r="I2486" s="33"/>
      <c r="J2486" s="33"/>
      <c r="K2486" s="33"/>
      <c r="L2486" s="33"/>
    </row>
    <row r="2487" spans="1:12" s="1" customFormat="1" x14ac:dyDescent="0.3">
      <c r="A2487" s="33"/>
      <c r="B2487" s="33"/>
      <c r="C2487" s="33"/>
      <c r="D2487" s="33"/>
      <c r="E2487" s="33"/>
      <c r="F2487" s="33"/>
      <c r="G2487" s="33"/>
      <c r="H2487" s="33"/>
      <c r="I2487" s="33"/>
      <c r="J2487" s="33"/>
      <c r="K2487" s="33"/>
      <c r="L2487" s="33"/>
    </row>
    <row r="2488" spans="1:12" s="1" customFormat="1" x14ac:dyDescent="0.3">
      <c r="A2488" s="33"/>
      <c r="B2488" s="33"/>
      <c r="C2488" s="33"/>
      <c r="D2488" s="33"/>
      <c r="E2488" s="33"/>
      <c r="F2488" s="33"/>
      <c r="G2488" s="33"/>
      <c r="H2488" s="33"/>
      <c r="I2488" s="33"/>
      <c r="J2488" s="33"/>
      <c r="K2488" s="33"/>
      <c r="L2488" s="33"/>
    </row>
    <row r="2489" spans="1:12" s="1" customFormat="1" x14ac:dyDescent="0.3">
      <c r="A2489" s="33"/>
      <c r="B2489" s="33"/>
      <c r="C2489" s="33"/>
      <c r="D2489" s="33"/>
      <c r="E2489" s="33"/>
      <c r="F2489" s="33"/>
      <c r="G2489" s="33"/>
      <c r="H2489" s="33"/>
      <c r="I2489" s="33"/>
      <c r="J2489" s="33"/>
      <c r="K2489" s="33"/>
      <c r="L2489" s="33"/>
    </row>
    <row r="2490" spans="1:12" s="1" customFormat="1" x14ac:dyDescent="0.3">
      <c r="A2490" s="33"/>
      <c r="B2490" s="33"/>
      <c r="C2490" s="33"/>
      <c r="D2490" s="33"/>
      <c r="E2490" s="33"/>
      <c r="F2490" s="33"/>
      <c r="G2490" s="33"/>
      <c r="H2490" s="33"/>
      <c r="I2490" s="33"/>
      <c r="J2490" s="33"/>
      <c r="K2490" s="33"/>
      <c r="L2490" s="33"/>
    </row>
    <row r="2491" spans="1:12" s="1" customFormat="1" x14ac:dyDescent="0.3">
      <c r="A2491" s="33"/>
      <c r="B2491" s="33"/>
      <c r="C2491" s="33"/>
      <c r="D2491" s="33"/>
      <c r="E2491" s="33"/>
      <c r="F2491" s="33"/>
      <c r="G2491" s="33"/>
      <c r="H2491" s="33"/>
      <c r="I2491" s="33"/>
      <c r="J2491" s="33"/>
      <c r="K2491" s="33"/>
      <c r="L2491" s="33"/>
    </row>
    <row r="2492" spans="1:12" s="1" customFormat="1" x14ac:dyDescent="0.3">
      <c r="A2492" s="33"/>
      <c r="B2492" s="33"/>
      <c r="C2492" s="33"/>
      <c r="D2492" s="33"/>
      <c r="E2492" s="33"/>
      <c r="F2492" s="33"/>
      <c r="G2492" s="33"/>
      <c r="H2492" s="33"/>
      <c r="I2492" s="33"/>
      <c r="J2492" s="33"/>
      <c r="K2492" s="33"/>
      <c r="L2492" s="33"/>
    </row>
    <row r="2493" spans="1:12" s="1" customFormat="1" x14ac:dyDescent="0.3">
      <c r="A2493" s="33"/>
      <c r="B2493" s="33"/>
      <c r="C2493" s="33"/>
      <c r="D2493" s="33"/>
      <c r="E2493" s="33"/>
      <c r="F2493" s="33"/>
      <c r="G2493" s="33"/>
      <c r="H2493" s="33"/>
      <c r="I2493" s="33"/>
      <c r="J2493" s="33"/>
      <c r="K2493" s="33"/>
      <c r="L2493" s="33"/>
    </row>
    <row r="2494" spans="1:12" s="1" customFormat="1" x14ac:dyDescent="0.3">
      <c r="A2494" s="33"/>
      <c r="B2494" s="33"/>
      <c r="C2494" s="33"/>
      <c r="D2494" s="33"/>
      <c r="E2494" s="33"/>
      <c r="F2494" s="33"/>
      <c r="G2494" s="33"/>
      <c r="H2494" s="33"/>
      <c r="I2494" s="33"/>
      <c r="J2494" s="33"/>
      <c r="K2494" s="33"/>
      <c r="L2494" s="33"/>
    </row>
    <row r="2495" spans="1:12" s="1" customFormat="1" x14ac:dyDescent="0.3">
      <c r="A2495" s="33"/>
      <c r="B2495" s="33"/>
      <c r="C2495" s="33"/>
      <c r="D2495" s="33"/>
      <c r="E2495" s="33"/>
      <c r="F2495" s="33"/>
      <c r="G2495" s="33"/>
      <c r="H2495" s="33"/>
      <c r="I2495" s="33"/>
      <c r="J2495" s="33"/>
      <c r="K2495" s="33"/>
      <c r="L2495" s="33"/>
    </row>
    <row r="2496" spans="1:12" s="1" customFormat="1" x14ac:dyDescent="0.3">
      <c r="A2496" s="33"/>
      <c r="B2496" s="33"/>
      <c r="C2496" s="33"/>
      <c r="D2496" s="33"/>
      <c r="E2496" s="33"/>
      <c r="F2496" s="33"/>
      <c r="G2496" s="33"/>
      <c r="H2496" s="33"/>
      <c r="I2496" s="33"/>
      <c r="J2496" s="33"/>
      <c r="K2496" s="33"/>
      <c r="L2496" s="33"/>
    </row>
    <row r="2497" spans="1:12" s="1" customFormat="1" x14ac:dyDescent="0.3">
      <c r="A2497" s="33"/>
      <c r="B2497" s="33"/>
      <c r="C2497" s="33"/>
      <c r="D2497" s="33"/>
      <c r="E2497" s="33"/>
      <c r="F2497" s="33"/>
      <c r="G2497" s="33"/>
      <c r="H2497" s="33"/>
      <c r="I2497" s="33"/>
      <c r="J2497" s="33"/>
      <c r="K2497" s="33"/>
      <c r="L2497" s="33"/>
    </row>
    <row r="2498" spans="1:12" s="1" customFormat="1" x14ac:dyDescent="0.3">
      <c r="A2498" s="33"/>
      <c r="B2498" s="33"/>
      <c r="C2498" s="33"/>
      <c r="D2498" s="33"/>
      <c r="E2498" s="33"/>
      <c r="F2498" s="33"/>
      <c r="G2498" s="33"/>
      <c r="H2498" s="33"/>
      <c r="I2498" s="33"/>
      <c r="J2498" s="33"/>
      <c r="K2498" s="33"/>
      <c r="L2498" s="33"/>
    </row>
    <row r="2499" spans="1:12" s="1" customFormat="1" x14ac:dyDescent="0.3">
      <c r="A2499" s="33"/>
      <c r="B2499" s="33"/>
      <c r="C2499" s="33"/>
      <c r="D2499" s="33"/>
      <c r="E2499" s="33"/>
      <c r="F2499" s="33"/>
      <c r="G2499" s="33"/>
      <c r="H2499" s="33"/>
      <c r="I2499" s="33"/>
      <c r="J2499" s="33"/>
      <c r="K2499" s="33"/>
      <c r="L2499" s="33"/>
    </row>
    <row r="2500" spans="1:12" s="1" customFormat="1" x14ac:dyDescent="0.3">
      <c r="A2500" s="33"/>
      <c r="B2500" s="33"/>
      <c r="C2500" s="33"/>
      <c r="D2500" s="33"/>
      <c r="E2500" s="33"/>
      <c r="F2500" s="33"/>
      <c r="G2500" s="33"/>
      <c r="H2500" s="33"/>
      <c r="I2500" s="33"/>
      <c r="J2500" s="33"/>
      <c r="K2500" s="33"/>
      <c r="L2500" s="33"/>
    </row>
    <row r="2501" spans="1:12" s="1" customFormat="1" x14ac:dyDescent="0.3">
      <c r="A2501" s="33"/>
      <c r="B2501" s="33"/>
      <c r="C2501" s="33"/>
      <c r="D2501" s="33"/>
      <c r="E2501" s="33"/>
      <c r="F2501" s="33"/>
      <c r="G2501" s="33"/>
      <c r="H2501" s="33"/>
      <c r="I2501" s="33"/>
      <c r="J2501" s="33"/>
      <c r="K2501" s="33"/>
      <c r="L2501" s="33"/>
    </row>
    <row r="2502" spans="1:12" s="1" customFormat="1" x14ac:dyDescent="0.3">
      <c r="A2502" s="33"/>
      <c r="B2502" s="33"/>
      <c r="C2502" s="33"/>
      <c r="D2502" s="33"/>
      <c r="E2502" s="33"/>
      <c r="F2502" s="33"/>
      <c r="G2502" s="33"/>
      <c r="H2502" s="33"/>
      <c r="I2502" s="33"/>
      <c r="J2502" s="33"/>
      <c r="K2502" s="33"/>
      <c r="L2502" s="33"/>
    </row>
    <row r="2503" spans="1:12" s="1" customFormat="1" x14ac:dyDescent="0.3">
      <c r="A2503" s="33"/>
      <c r="B2503" s="33"/>
      <c r="C2503" s="33"/>
      <c r="D2503" s="33"/>
      <c r="E2503" s="33"/>
      <c r="F2503" s="33"/>
      <c r="G2503" s="33"/>
      <c r="H2503" s="33"/>
      <c r="I2503" s="33"/>
      <c r="J2503" s="33"/>
      <c r="K2503" s="33"/>
      <c r="L2503" s="33"/>
    </row>
    <row r="2504" spans="1:12" s="1" customFormat="1" x14ac:dyDescent="0.3">
      <c r="A2504" s="33"/>
      <c r="B2504" s="33"/>
      <c r="C2504" s="33"/>
      <c r="D2504" s="33"/>
      <c r="E2504" s="33"/>
      <c r="F2504" s="33"/>
      <c r="G2504" s="33"/>
      <c r="H2504" s="33"/>
      <c r="I2504" s="33"/>
      <c r="J2504" s="33"/>
      <c r="K2504" s="33"/>
      <c r="L2504" s="33"/>
    </row>
    <row r="2505" spans="1:12" s="1" customFormat="1" x14ac:dyDescent="0.3">
      <c r="A2505" s="33"/>
      <c r="B2505" s="33"/>
      <c r="C2505" s="33"/>
      <c r="D2505" s="33"/>
      <c r="E2505" s="33"/>
      <c r="F2505" s="33"/>
      <c r="G2505" s="33"/>
      <c r="H2505" s="33"/>
      <c r="I2505" s="33"/>
      <c r="J2505" s="33"/>
      <c r="K2505" s="33"/>
      <c r="L2505" s="33"/>
    </row>
    <row r="2506" spans="1:12" s="1" customFormat="1" x14ac:dyDescent="0.3">
      <c r="A2506" s="33"/>
      <c r="B2506" s="33"/>
      <c r="C2506" s="33"/>
      <c r="D2506" s="33"/>
      <c r="E2506" s="33"/>
      <c r="F2506" s="33"/>
      <c r="G2506" s="33"/>
      <c r="H2506" s="33"/>
      <c r="I2506" s="33"/>
      <c r="J2506" s="33"/>
      <c r="K2506" s="33"/>
      <c r="L2506" s="33"/>
    </row>
    <row r="2507" spans="1:12" s="1" customFormat="1" x14ac:dyDescent="0.3">
      <c r="A2507" s="33"/>
      <c r="B2507" s="33"/>
      <c r="C2507" s="33"/>
      <c r="D2507" s="33"/>
      <c r="E2507" s="33"/>
      <c r="F2507" s="33"/>
      <c r="G2507" s="33"/>
      <c r="H2507" s="33"/>
      <c r="I2507" s="33"/>
      <c r="J2507" s="33"/>
      <c r="K2507" s="33"/>
      <c r="L2507" s="33"/>
    </row>
    <row r="2508" spans="1:12" s="1" customFormat="1" x14ac:dyDescent="0.3">
      <c r="A2508" s="33"/>
      <c r="B2508" s="33"/>
      <c r="C2508" s="33"/>
      <c r="D2508" s="33"/>
      <c r="E2508" s="33"/>
      <c r="F2508" s="33"/>
      <c r="G2508" s="33"/>
      <c r="H2508" s="33"/>
      <c r="I2508" s="33"/>
      <c r="J2508" s="33"/>
      <c r="K2508" s="33"/>
      <c r="L2508" s="33"/>
    </row>
    <row r="2509" spans="1:12" s="1" customFormat="1" x14ac:dyDescent="0.3">
      <c r="A2509" s="33"/>
      <c r="B2509" s="33"/>
      <c r="C2509" s="33"/>
      <c r="D2509" s="33"/>
      <c r="E2509" s="33"/>
      <c r="F2509" s="33"/>
      <c r="G2509" s="33"/>
      <c r="H2509" s="33"/>
      <c r="I2509" s="33"/>
      <c r="J2509" s="33"/>
      <c r="K2509" s="33"/>
      <c r="L2509" s="33"/>
    </row>
    <row r="2510" spans="1:12" s="1" customFormat="1" x14ac:dyDescent="0.3">
      <c r="A2510" s="33"/>
      <c r="B2510" s="33"/>
      <c r="C2510" s="33"/>
      <c r="D2510" s="33"/>
      <c r="E2510" s="33"/>
      <c r="F2510" s="33"/>
      <c r="G2510" s="33"/>
      <c r="H2510" s="33"/>
      <c r="I2510" s="33"/>
      <c r="J2510" s="33"/>
      <c r="K2510" s="33"/>
      <c r="L2510" s="33"/>
    </row>
    <row r="2511" spans="1:12" s="1" customFormat="1" x14ac:dyDescent="0.3">
      <c r="A2511" s="33"/>
      <c r="B2511" s="33"/>
      <c r="C2511" s="33"/>
      <c r="D2511" s="33"/>
      <c r="E2511" s="33"/>
      <c r="F2511" s="33"/>
      <c r="G2511" s="33"/>
      <c r="H2511" s="33"/>
      <c r="I2511" s="33"/>
      <c r="J2511" s="33"/>
      <c r="K2511" s="33"/>
      <c r="L2511" s="33"/>
    </row>
    <row r="2512" spans="1:12" s="1" customFormat="1" x14ac:dyDescent="0.3">
      <c r="A2512" s="33"/>
      <c r="B2512" s="33"/>
      <c r="C2512" s="33"/>
      <c r="D2512" s="33"/>
      <c r="E2512" s="33"/>
      <c r="F2512" s="33"/>
      <c r="G2512" s="33"/>
      <c r="H2512" s="33"/>
      <c r="I2512" s="33"/>
      <c r="J2512" s="33"/>
      <c r="K2512" s="33"/>
      <c r="L2512" s="33"/>
    </row>
    <row r="2513" spans="1:12" s="1" customFormat="1" x14ac:dyDescent="0.3">
      <c r="A2513" s="33"/>
      <c r="B2513" s="33"/>
      <c r="C2513" s="33"/>
      <c r="D2513" s="33"/>
      <c r="E2513" s="33"/>
      <c r="F2513" s="33"/>
      <c r="G2513" s="33"/>
      <c r="H2513" s="33"/>
      <c r="I2513" s="33"/>
      <c r="J2513" s="33"/>
      <c r="K2513" s="33"/>
      <c r="L2513" s="33"/>
    </row>
    <row r="2514" spans="1:12" s="1" customFormat="1" x14ac:dyDescent="0.3">
      <c r="A2514" s="33"/>
      <c r="B2514" s="33"/>
      <c r="C2514" s="33"/>
      <c r="D2514" s="33"/>
      <c r="E2514" s="33"/>
      <c r="F2514" s="33"/>
      <c r="G2514" s="33"/>
      <c r="H2514" s="33"/>
      <c r="I2514" s="33"/>
      <c r="J2514" s="33"/>
      <c r="K2514" s="33"/>
      <c r="L2514" s="33"/>
    </row>
    <row r="2515" spans="1:12" s="1" customFormat="1" x14ac:dyDescent="0.3">
      <c r="A2515" s="33"/>
      <c r="B2515" s="33"/>
      <c r="C2515" s="33"/>
      <c r="D2515" s="33"/>
      <c r="E2515" s="33"/>
      <c r="F2515" s="33"/>
      <c r="G2515" s="33"/>
      <c r="H2515" s="33"/>
      <c r="I2515" s="33"/>
      <c r="J2515" s="33"/>
      <c r="K2515" s="33"/>
      <c r="L2515" s="33"/>
    </row>
    <row r="2516" spans="1:12" s="1" customFormat="1" x14ac:dyDescent="0.3">
      <c r="A2516" s="33"/>
      <c r="B2516" s="33"/>
      <c r="C2516" s="33"/>
      <c r="D2516" s="33"/>
      <c r="E2516" s="33"/>
      <c r="F2516" s="33"/>
      <c r="G2516" s="33"/>
      <c r="H2516" s="33"/>
      <c r="I2516" s="33"/>
      <c r="J2516" s="33"/>
      <c r="K2516" s="33"/>
      <c r="L2516" s="33"/>
    </row>
    <row r="2517" spans="1:12" s="1" customFormat="1" x14ac:dyDescent="0.3">
      <c r="A2517" s="33"/>
      <c r="B2517" s="33"/>
      <c r="C2517" s="33"/>
      <c r="D2517" s="33"/>
      <c r="E2517" s="33"/>
      <c r="F2517" s="33"/>
      <c r="G2517" s="33"/>
      <c r="H2517" s="33"/>
      <c r="I2517" s="33"/>
      <c r="J2517" s="33"/>
      <c r="K2517" s="33"/>
      <c r="L2517" s="33"/>
    </row>
    <row r="2518" spans="1:12" s="1" customFormat="1" x14ac:dyDescent="0.3">
      <c r="A2518" s="33"/>
      <c r="B2518" s="33"/>
      <c r="C2518" s="33"/>
      <c r="D2518" s="33"/>
      <c r="E2518" s="33"/>
      <c r="F2518" s="33"/>
      <c r="G2518" s="33"/>
      <c r="H2518" s="33"/>
      <c r="I2518" s="33"/>
      <c r="J2518" s="33"/>
      <c r="K2518" s="33"/>
      <c r="L2518" s="33"/>
    </row>
    <row r="2519" spans="1:12" s="1" customFormat="1" x14ac:dyDescent="0.3">
      <c r="A2519" s="33"/>
      <c r="B2519" s="33"/>
      <c r="C2519" s="33"/>
      <c r="D2519" s="33"/>
      <c r="E2519" s="33"/>
      <c r="F2519" s="33"/>
      <c r="G2519" s="33"/>
      <c r="H2519" s="33"/>
      <c r="I2519" s="33"/>
      <c r="J2519" s="33"/>
      <c r="K2519" s="33"/>
      <c r="L2519" s="33"/>
    </row>
    <row r="2520" spans="1:12" s="1" customFormat="1" x14ac:dyDescent="0.3">
      <c r="A2520" s="33"/>
      <c r="B2520" s="33"/>
      <c r="C2520" s="33"/>
      <c r="D2520" s="33"/>
      <c r="E2520" s="33"/>
      <c r="F2520" s="33"/>
      <c r="G2520" s="33"/>
      <c r="H2520" s="33"/>
      <c r="I2520" s="33"/>
      <c r="J2520" s="33"/>
      <c r="K2520" s="33"/>
      <c r="L2520" s="33"/>
    </row>
    <row r="2521" spans="1:12" s="1" customFormat="1" x14ac:dyDescent="0.3">
      <c r="A2521" s="33"/>
      <c r="B2521" s="33"/>
      <c r="C2521" s="33"/>
      <c r="D2521" s="33"/>
      <c r="E2521" s="33"/>
      <c r="F2521" s="33"/>
      <c r="G2521" s="33"/>
      <c r="H2521" s="33"/>
      <c r="I2521" s="33"/>
      <c r="J2521" s="33"/>
      <c r="K2521" s="33"/>
      <c r="L2521" s="33"/>
    </row>
    <row r="2522" spans="1:12" s="1" customFormat="1" x14ac:dyDescent="0.3">
      <c r="A2522" s="33"/>
      <c r="B2522" s="33"/>
      <c r="C2522" s="33"/>
      <c r="D2522" s="33"/>
      <c r="E2522" s="33"/>
      <c r="F2522" s="33"/>
      <c r="G2522" s="33"/>
      <c r="H2522" s="33"/>
      <c r="I2522" s="33"/>
      <c r="J2522" s="33"/>
      <c r="K2522" s="33"/>
      <c r="L2522" s="33"/>
    </row>
    <row r="2523" spans="1:12" s="1" customFormat="1" x14ac:dyDescent="0.3">
      <c r="A2523" s="33"/>
      <c r="B2523" s="33"/>
      <c r="C2523" s="33"/>
      <c r="D2523" s="33"/>
      <c r="E2523" s="33"/>
      <c r="F2523" s="33"/>
      <c r="G2523" s="33"/>
      <c r="H2523" s="33"/>
      <c r="I2523" s="33"/>
      <c r="J2523" s="33"/>
      <c r="K2523" s="33"/>
      <c r="L2523" s="33"/>
    </row>
    <row r="2524" spans="1:12" s="1" customFormat="1" x14ac:dyDescent="0.3">
      <c r="A2524" s="33"/>
      <c r="B2524" s="33"/>
      <c r="C2524" s="33"/>
      <c r="D2524" s="33"/>
      <c r="E2524" s="33"/>
      <c r="F2524" s="33"/>
      <c r="G2524" s="33"/>
      <c r="H2524" s="33"/>
      <c r="I2524" s="33"/>
      <c r="J2524" s="33"/>
      <c r="K2524" s="33"/>
      <c r="L2524" s="33"/>
    </row>
    <row r="2525" spans="1:12" s="1" customFormat="1" x14ac:dyDescent="0.3">
      <c r="A2525" s="33"/>
      <c r="B2525" s="33"/>
      <c r="C2525" s="33"/>
      <c r="D2525" s="33"/>
      <c r="E2525" s="33"/>
      <c r="F2525" s="33"/>
      <c r="G2525" s="33"/>
      <c r="H2525" s="33"/>
      <c r="I2525" s="33"/>
      <c r="J2525" s="33"/>
      <c r="K2525" s="33"/>
      <c r="L2525" s="33"/>
    </row>
    <row r="2526" spans="1:12" s="1" customFormat="1" x14ac:dyDescent="0.3">
      <c r="A2526" s="33"/>
      <c r="B2526" s="33"/>
      <c r="C2526" s="33"/>
      <c r="D2526" s="33"/>
      <c r="E2526" s="33"/>
      <c r="F2526" s="33"/>
      <c r="G2526" s="33"/>
      <c r="H2526" s="33"/>
      <c r="I2526" s="33"/>
      <c r="J2526" s="33"/>
      <c r="K2526" s="33"/>
      <c r="L2526" s="33"/>
    </row>
    <row r="2527" spans="1:12" s="1" customFormat="1" x14ac:dyDescent="0.3">
      <c r="A2527" s="33"/>
      <c r="B2527" s="33"/>
      <c r="C2527" s="33"/>
      <c r="D2527" s="33"/>
      <c r="E2527" s="33"/>
      <c r="F2527" s="33"/>
      <c r="G2527" s="33"/>
      <c r="H2527" s="33"/>
      <c r="I2527" s="33"/>
      <c r="J2527" s="33"/>
      <c r="K2527" s="33"/>
      <c r="L2527" s="33"/>
    </row>
    <row r="2528" spans="1:12" s="1" customFormat="1" x14ac:dyDescent="0.3">
      <c r="A2528" s="33"/>
      <c r="B2528" s="33"/>
      <c r="C2528" s="33"/>
      <c r="D2528" s="33"/>
      <c r="E2528" s="33"/>
      <c r="F2528" s="33"/>
      <c r="G2528" s="33"/>
      <c r="H2528" s="33"/>
      <c r="I2528" s="33"/>
      <c r="J2528" s="33"/>
      <c r="K2528" s="33"/>
      <c r="L2528" s="33"/>
    </row>
    <row r="2529" spans="1:12" s="1" customFormat="1" x14ac:dyDescent="0.3">
      <c r="A2529" s="33"/>
      <c r="B2529" s="33"/>
      <c r="C2529" s="33"/>
      <c r="D2529" s="33"/>
      <c r="E2529" s="33"/>
      <c r="F2529" s="33"/>
      <c r="G2529" s="33"/>
      <c r="H2529" s="33"/>
      <c r="I2529" s="33"/>
      <c r="J2529" s="33"/>
      <c r="K2529" s="33"/>
      <c r="L2529" s="33"/>
    </row>
  </sheetData>
  <autoFilter ref="A1:L2529" xr:uid="{1925E673-B92D-4842-81BB-10C01394CAF3}">
    <sortState xmlns:xlrd2="http://schemas.microsoft.com/office/spreadsheetml/2017/richdata2" ref="A6:L147">
      <sortCondition descending="1" ref="B1:B17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5FC9-C2BF-45CD-BF29-6A9507C8C123}">
  <dimension ref="A1:E113"/>
  <sheetViews>
    <sheetView workbookViewId="0">
      <pane ySplit="1" topLeftCell="A93" activePane="bottomLeft" state="frozen"/>
      <selection pane="bottomLeft" activeCell="A2" sqref="A2:E113"/>
    </sheetView>
  </sheetViews>
  <sheetFormatPr defaultRowHeight="14.4" x14ac:dyDescent="0.3"/>
  <cols>
    <col min="1" max="1" width="16.88671875" style="33" bestFit="1" customWidth="1"/>
    <col min="2" max="2" width="14.109375" style="33" bestFit="1" customWidth="1"/>
    <col min="3" max="4" width="15.5546875" style="33" bestFit="1" customWidth="1"/>
    <col min="5" max="5" width="17" style="33" bestFit="1" customWidth="1"/>
    <col min="6" max="16384" width="8.88671875" style="33"/>
  </cols>
  <sheetData>
    <row r="1" spans="1:5" x14ac:dyDescent="0.3">
      <c r="A1" s="30" t="s">
        <v>20</v>
      </c>
      <c r="B1" s="30" t="s">
        <v>19</v>
      </c>
      <c r="C1" s="30" t="s">
        <v>21</v>
      </c>
      <c r="D1" s="30" t="s">
        <v>32</v>
      </c>
      <c r="E1" s="30" t="s">
        <v>22</v>
      </c>
    </row>
    <row r="2" spans="1:5" x14ac:dyDescent="0.3">
      <c r="A2" s="33">
        <v>5</v>
      </c>
      <c r="B2" s="33">
        <v>5</v>
      </c>
      <c r="C2" s="33">
        <v>5</v>
      </c>
      <c r="D2" s="33">
        <v>5</v>
      </c>
      <c r="E2" s="33">
        <v>5</v>
      </c>
    </row>
    <row r="3" spans="1:5" x14ac:dyDescent="0.3">
      <c r="A3" s="33">
        <v>3</v>
      </c>
      <c r="B3" s="33">
        <v>5</v>
      </c>
      <c r="C3" s="33">
        <v>5</v>
      </c>
      <c r="D3" s="33">
        <v>5</v>
      </c>
      <c r="E3" s="33">
        <v>5</v>
      </c>
    </row>
    <row r="4" spans="1:5" x14ac:dyDescent="0.3">
      <c r="A4" s="33">
        <v>5</v>
      </c>
      <c r="B4" s="33">
        <v>5</v>
      </c>
      <c r="C4" s="33">
        <v>5</v>
      </c>
      <c r="D4" s="33">
        <v>5</v>
      </c>
      <c r="E4" s="33">
        <v>5</v>
      </c>
    </row>
    <row r="5" spans="1:5" x14ac:dyDescent="0.3">
      <c r="A5" s="33">
        <v>5</v>
      </c>
      <c r="B5" s="33">
        <v>5</v>
      </c>
      <c r="C5" s="33">
        <v>5</v>
      </c>
      <c r="D5" s="33">
        <v>5</v>
      </c>
      <c r="E5" s="33">
        <v>5</v>
      </c>
    </row>
    <row r="6" spans="1:5" x14ac:dyDescent="0.3">
      <c r="A6" s="33">
        <v>5</v>
      </c>
      <c r="B6" s="33">
        <v>5</v>
      </c>
      <c r="C6" s="33">
        <v>5</v>
      </c>
      <c r="D6" s="33">
        <v>5</v>
      </c>
      <c r="E6" s="33">
        <v>5</v>
      </c>
    </row>
    <row r="7" spans="1:5" x14ac:dyDescent="0.3">
      <c r="A7" s="33">
        <v>5</v>
      </c>
      <c r="B7" s="33">
        <v>5</v>
      </c>
      <c r="C7" s="33">
        <v>5</v>
      </c>
      <c r="D7" s="33">
        <v>5</v>
      </c>
      <c r="E7" s="33">
        <v>5</v>
      </c>
    </row>
    <row r="8" spans="1:5" x14ac:dyDescent="0.3">
      <c r="A8" s="33">
        <v>5</v>
      </c>
      <c r="B8" s="33">
        <v>5</v>
      </c>
      <c r="C8" s="33">
        <v>5</v>
      </c>
      <c r="D8" s="33">
        <v>5</v>
      </c>
      <c r="E8" s="33">
        <v>5</v>
      </c>
    </row>
    <row r="9" spans="1:5" x14ac:dyDescent="0.3">
      <c r="A9" s="33">
        <v>5</v>
      </c>
      <c r="B9" s="33">
        <v>5</v>
      </c>
      <c r="C9" s="33">
        <v>4</v>
      </c>
      <c r="D9" s="33">
        <v>5</v>
      </c>
      <c r="E9" s="33">
        <v>4</v>
      </c>
    </row>
    <row r="10" spans="1:5" x14ac:dyDescent="0.3">
      <c r="A10" s="33">
        <v>5</v>
      </c>
      <c r="B10" s="33">
        <v>5</v>
      </c>
      <c r="C10" s="33">
        <v>5</v>
      </c>
      <c r="D10" s="33">
        <v>5</v>
      </c>
      <c r="E10" s="33">
        <v>5</v>
      </c>
    </row>
    <row r="11" spans="1:5" x14ac:dyDescent="0.3">
      <c r="A11" s="33">
        <v>5</v>
      </c>
      <c r="B11" s="33">
        <v>5</v>
      </c>
      <c r="C11" s="33">
        <v>5</v>
      </c>
      <c r="D11" s="33">
        <v>5</v>
      </c>
      <c r="E11" s="33">
        <v>5</v>
      </c>
    </row>
    <row r="12" spans="1:5" x14ac:dyDescent="0.3">
      <c r="A12" s="33">
        <v>5</v>
      </c>
      <c r="B12" s="33">
        <v>5</v>
      </c>
      <c r="C12" s="33">
        <v>5</v>
      </c>
      <c r="D12" s="33">
        <v>5</v>
      </c>
      <c r="E12" s="33">
        <v>5</v>
      </c>
    </row>
    <row r="13" spans="1:5" x14ac:dyDescent="0.3">
      <c r="A13" s="33">
        <v>5</v>
      </c>
      <c r="B13" s="33">
        <v>5</v>
      </c>
      <c r="C13" s="33">
        <v>5</v>
      </c>
      <c r="D13" s="33">
        <v>5</v>
      </c>
      <c r="E13" s="33">
        <v>5</v>
      </c>
    </row>
    <row r="14" spans="1:5" x14ac:dyDescent="0.3">
      <c r="A14" s="33">
        <v>5</v>
      </c>
      <c r="B14" s="33">
        <v>5</v>
      </c>
      <c r="C14" s="33">
        <v>5</v>
      </c>
      <c r="D14" s="33">
        <v>5</v>
      </c>
      <c r="E14" s="33">
        <v>5</v>
      </c>
    </row>
    <row r="15" spans="1:5" x14ac:dyDescent="0.3">
      <c r="A15" s="33">
        <v>5</v>
      </c>
      <c r="B15" s="33">
        <v>5</v>
      </c>
      <c r="C15" s="33">
        <v>5</v>
      </c>
      <c r="D15" s="33">
        <v>5</v>
      </c>
      <c r="E15" s="33">
        <v>5</v>
      </c>
    </row>
    <row r="16" spans="1:5" x14ac:dyDescent="0.3">
      <c r="A16" s="33">
        <v>5</v>
      </c>
      <c r="B16" s="33">
        <v>5</v>
      </c>
      <c r="C16" s="33">
        <v>5</v>
      </c>
      <c r="D16" s="33">
        <v>4</v>
      </c>
      <c r="E16" s="33">
        <v>5</v>
      </c>
    </row>
    <row r="17" spans="1:5" x14ac:dyDescent="0.3">
      <c r="A17" s="33">
        <v>5</v>
      </c>
      <c r="B17" s="33">
        <v>5</v>
      </c>
      <c r="C17" s="33">
        <v>5</v>
      </c>
      <c r="D17" s="33">
        <v>5</v>
      </c>
      <c r="E17" s="33">
        <v>5</v>
      </c>
    </row>
    <row r="18" spans="1:5" x14ac:dyDescent="0.3">
      <c r="A18" s="33">
        <v>5</v>
      </c>
      <c r="B18" s="33">
        <v>5</v>
      </c>
      <c r="C18" s="33">
        <v>5</v>
      </c>
      <c r="D18" s="33">
        <v>5</v>
      </c>
      <c r="E18" s="33">
        <v>5</v>
      </c>
    </row>
    <row r="19" spans="1:5" x14ac:dyDescent="0.3">
      <c r="A19" s="33">
        <v>5</v>
      </c>
      <c r="B19" s="33">
        <v>5</v>
      </c>
      <c r="C19" s="33">
        <v>5</v>
      </c>
      <c r="D19" s="33">
        <v>5</v>
      </c>
      <c r="E19" s="33">
        <v>5</v>
      </c>
    </row>
    <row r="20" spans="1:5" x14ac:dyDescent="0.3">
      <c r="A20" s="33">
        <v>5</v>
      </c>
      <c r="B20" s="33">
        <v>5</v>
      </c>
      <c r="C20" s="33">
        <v>5</v>
      </c>
      <c r="D20" s="33">
        <v>5</v>
      </c>
      <c r="E20" s="33">
        <v>5</v>
      </c>
    </row>
    <row r="21" spans="1:5" x14ac:dyDescent="0.3">
      <c r="A21" s="33">
        <v>5</v>
      </c>
      <c r="B21" s="33">
        <v>5</v>
      </c>
      <c r="C21" s="33">
        <v>5</v>
      </c>
      <c r="D21" s="33">
        <v>5</v>
      </c>
      <c r="E21" s="33">
        <v>5</v>
      </c>
    </row>
    <row r="22" spans="1:5" x14ac:dyDescent="0.3">
      <c r="A22" s="33">
        <v>5</v>
      </c>
      <c r="B22" s="33">
        <v>5</v>
      </c>
      <c r="C22" s="33">
        <v>5</v>
      </c>
      <c r="D22" s="37">
        <v>3</v>
      </c>
      <c r="E22" s="33">
        <v>5</v>
      </c>
    </row>
    <row r="23" spans="1:5" x14ac:dyDescent="0.3">
      <c r="A23" s="33">
        <v>5</v>
      </c>
      <c r="B23" s="33">
        <v>5</v>
      </c>
      <c r="C23" s="33">
        <v>5</v>
      </c>
      <c r="D23" s="33">
        <v>5</v>
      </c>
      <c r="E23" s="33">
        <v>5</v>
      </c>
    </row>
    <row r="24" spans="1:5" x14ac:dyDescent="0.3">
      <c r="A24" s="33">
        <v>5</v>
      </c>
      <c r="B24" s="33">
        <v>5</v>
      </c>
      <c r="C24" s="33">
        <v>5</v>
      </c>
      <c r="D24" s="33">
        <v>5</v>
      </c>
      <c r="E24" s="33">
        <v>5</v>
      </c>
    </row>
    <row r="25" spans="1:5" x14ac:dyDescent="0.3">
      <c r="A25" s="33">
        <v>5</v>
      </c>
      <c r="B25" s="33">
        <v>5</v>
      </c>
      <c r="C25" s="33">
        <v>5</v>
      </c>
      <c r="D25" s="33">
        <v>5</v>
      </c>
      <c r="E25" s="33">
        <v>5</v>
      </c>
    </row>
    <row r="26" spans="1:5" x14ac:dyDescent="0.3">
      <c r="A26" s="33">
        <v>4</v>
      </c>
      <c r="B26" s="33">
        <v>5</v>
      </c>
      <c r="C26" s="33">
        <v>5</v>
      </c>
      <c r="D26" s="33">
        <v>5</v>
      </c>
      <c r="E26" s="33">
        <v>5</v>
      </c>
    </row>
    <row r="27" spans="1:5" x14ac:dyDescent="0.3">
      <c r="A27" s="33">
        <v>5</v>
      </c>
      <c r="B27" s="33">
        <v>5</v>
      </c>
      <c r="C27" s="33">
        <v>5</v>
      </c>
      <c r="D27" s="33">
        <v>4</v>
      </c>
      <c r="E27" s="33">
        <v>5</v>
      </c>
    </row>
    <row r="28" spans="1:5" x14ac:dyDescent="0.3">
      <c r="A28" s="33">
        <v>5</v>
      </c>
      <c r="B28" s="33">
        <v>5</v>
      </c>
      <c r="C28" s="33">
        <v>5</v>
      </c>
      <c r="D28" s="33">
        <v>5</v>
      </c>
      <c r="E28" s="33">
        <v>5</v>
      </c>
    </row>
    <row r="29" spans="1:5" x14ac:dyDescent="0.3">
      <c r="A29" s="33">
        <v>4</v>
      </c>
      <c r="B29" s="33">
        <v>5</v>
      </c>
      <c r="C29" s="33">
        <v>5</v>
      </c>
      <c r="D29" s="33">
        <v>5</v>
      </c>
      <c r="E29" s="33">
        <v>4</v>
      </c>
    </row>
    <row r="30" spans="1:5" x14ac:dyDescent="0.3">
      <c r="A30" s="33">
        <v>5</v>
      </c>
      <c r="B30" s="33">
        <v>5</v>
      </c>
      <c r="C30" s="33">
        <v>5</v>
      </c>
      <c r="D30" s="33">
        <v>5</v>
      </c>
      <c r="E30" s="33">
        <v>5</v>
      </c>
    </row>
    <row r="31" spans="1:5" x14ac:dyDescent="0.3">
      <c r="A31" s="33">
        <v>4</v>
      </c>
      <c r="B31" s="33">
        <v>5</v>
      </c>
      <c r="C31" s="33">
        <v>5</v>
      </c>
      <c r="D31" s="33">
        <v>5</v>
      </c>
      <c r="E31" s="33">
        <v>5</v>
      </c>
    </row>
    <row r="32" spans="1:5" x14ac:dyDescent="0.3">
      <c r="A32" s="33">
        <v>5</v>
      </c>
      <c r="B32" s="33">
        <v>3</v>
      </c>
      <c r="C32" s="33">
        <v>5</v>
      </c>
      <c r="D32" s="33">
        <v>5</v>
      </c>
      <c r="E32" s="33">
        <v>5</v>
      </c>
    </row>
    <row r="33" spans="1:5" x14ac:dyDescent="0.3">
      <c r="A33" s="33">
        <v>5</v>
      </c>
      <c r="B33" s="33">
        <v>5</v>
      </c>
      <c r="C33" s="33">
        <v>5</v>
      </c>
      <c r="D33" s="33">
        <v>5</v>
      </c>
      <c r="E33" s="33">
        <v>5</v>
      </c>
    </row>
    <row r="34" spans="1:5" x14ac:dyDescent="0.3">
      <c r="A34" s="33">
        <v>5</v>
      </c>
      <c r="B34" s="33">
        <v>5</v>
      </c>
      <c r="C34" s="33">
        <v>5</v>
      </c>
      <c r="D34" s="33">
        <v>4</v>
      </c>
      <c r="E34" s="33">
        <v>5</v>
      </c>
    </row>
    <row r="35" spans="1:5" x14ac:dyDescent="0.3">
      <c r="A35" s="33">
        <v>5</v>
      </c>
      <c r="B35" s="33">
        <v>5</v>
      </c>
      <c r="C35" s="33">
        <v>5</v>
      </c>
      <c r="D35" s="33">
        <v>5</v>
      </c>
      <c r="E35" s="33">
        <v>5</v>
      </c>
    </row>
    <row r="36" spans="1:5" x14ac:dyDescent="0.3">
      <c r="A36" s="33">
        <v>5</v>
      </c>
      <c r="B36" s="33">
        <v>5</v>
      </c>
      <c r="C36" s="33">
        <v>5</v>
      </c>
      <c r="D36" s="33">
        <v>5</v>
      </c>
      <c r="E36" s="33">
        <v>5</v>
      </c>
    </row>
    <row r="37" spans="1:5" x14ac:dyDescent="0.3">
      <c r="A37" s="33">
        <v>4</v>
      </c>
      <c r="B37" s="33">
        <v>5</v>
      </c>
      <c r="C37" s="33">
        <v>5</v>
      </c>
      <c r="D37" s="33">
        <v>5</v>
      </c>
      <c r="E37" s="33">
        <v>4</v>
      </c>
    </row>
    <row r="38" spans="1:5" x14ac:dyDescent="0.3">
      <c r="A38" s="33">
        <v>5</v>
      </c>
      <c r="B38" s="33">
        <v>5</v>
      </c>
      <c r="C38" s="33">
        <v>5</v>
      </c>
      <c r="D38" s="33">
        <v>5</v>
      </c>
      <c r="E38" s="33">
        <v>5</v>
      </c>
    </row>
    <row r="39" spans="1:5" x14ac:dyDescent="0.3">
      <c r="A39" s="37">
        <v>4</v>
      </c>
      <c r="B39" s="33">
        <v>5</v>
      </c>
      <c r="C39" s="33">
        <v>5</v>
      </c>
      <c r="D39" s="33">
        <v>5</v>
      </c>
      <c r="E39" s="33">
        <v>5</v>
      </c>
    </row>
    <row r="40" spans="1:5" x14ac:dyDescent="0.3">
      <c r="A40" s="37">
        <v>5</v>
      </c>
      <c r="B40" s="33">
        <v>5</v>
      </c>
      <c r="C40" s="33">
        <v>5</v>
      </c>
      <c r="D40" s="33">
        <v>5</v>
      </c>
      <c r="E40" s="33">
        <v>5</v>
      </c>
    </row>
    <row r="41" spans="1:5" x14ac:dyDescent="0.3">
      <c r="A41" s="33">
        <v>5</v>
      </c>
      <c r="B41" s="33">
        <v>5</v>
      </c>
      <c r="C41" s="33">
        <v>5</v>
      </c>
      <c r="D41" s="33">
        <v>5</v>
      </c>
      <c r="E41" s="33">
        <v>5</v>
      </c>
    </row>
    <row r="42" spans="1:5" x14ac:dyDescent="0.3">
      <c r="A42" s="33">
        <v>5</v>
      </c>
      <c r="B42" s="33">
        <v>5</v>
      </c>
      <c r="C42" s="33">
        <v>5</v>
      </c>
      <c r="D42" s="33">
        <v>5</v>
      </c>
      <c r="E42" s="33">
        <v>5</v>
      </c>
    </row>
    <row r="43" spans="1:5" x14ac:dyDescent="0.3">
      <c r="A43" s="33">
        <v>5</v>
      </c>
      <c r="B43" s="33">
        <v>5</v>
      </c>
      <c r="C43" s="33">
        <v>5</v>
      </c>
      <c r="D43" s="33">
        <v>5</v>
      </c>
      <c r="E43" s="33">
        <v>5</v>
      </c>
    </row>
    <row r="44" spans="1:5" x14ac:dyDescent="0.3">
      <c r="A44" s="33">
        <v>5</v>
      </c>
      <c r="B44" s="33">
        <v>5</v>
      </c>
      <c r="C44" s="33">
        <v>5</v>
      </c>
      <c r="D44" s="33">
        <v>5</v>
      </c>
      <c r="E44" s="33">
        <v>5</v>
      </c>
    </row>
    <row r="45" spans="1:5" x14ac:dyDescent="0.3">
      <c r="A45" s="33">
        <v>5</v>
      </c>
      <c r="B45" s="33">
        <v>5</v>
      </c>
      <c r="C45" s="33">
        <v>5</v>
      </c>
      <c r="D45" s="33">
        <v>5</v>
      </c>
      <c r="E45" s="33">
        <v>5</v>
      </c>
    </row>
    <row r="46" spans="1:5" x14ac:dyDescent="0.3">
      <c r="A46" s="33">
        <v>5</v>
      </c>
      <c r="B46" s="33">
        <v>5</v>
      </c>
      <c r="C46" s="33">
        <v>5</v>
      </c>
      <c r="D46" s="33">
        <v>5</v>
      </c>
      <c r="E46" s="33">
        <v>5</v>
      </c>
    </row>
    <row r="47" spans="1:5" x14ac:dyDescent="0.3">
      <c r="A47" s="33">
        <v>5</v>
      </c>
      <c r="B47" s="33">
        <v>5</v>
      </c>
      <c r="C47" s="33">
        <v>5</v>
      </c>
      <c r="D47" s="33">
        <v>5</v>
      </c>
      <c r="E47" s="33">
        <v>5</v>
      </c>
    </row>
    <row r="48" spans="1:5" x14ac:dyDescent="0.3">
      <c r="A48" s="33">
        <v>4</v>
      </c>
      <c r="B48" s="33">
        <v>5</v>
      </c>
      <c r="C48" s="33">
        <v>5</v>
      </c>
      <c r="D48" s="33">
        <v>5</v>
      </c>
      <c r="E48" s="33">
        <v>5</v>
      </c>
    </row>
    <row r="49" spans="1:5" x14ac:dyDescent="0.3">
      <c r="A49" s="33">
        <v>4</v>
      </c>
      <c r="B49" s="33">
        <v>5</v>
      </c>
      <c r="C49" s="33">
        <v>4</v>
      </c>
      <c r="D49" s="33">
        <v>5</v>
      </c>
      <c r="E49" s="33">
        <v>5</v>
      </c>
    </row>
    <row r="50" spans="1:5" x14ac:dyDescent="0.3">
      <c r="A50" s="33">
        <v>5</v>
      </c>
      <c r="B50" s="33">
        <v>5</v>
      </c>
      <c r="C50" s="33">
        <v>5</v>
      </c>
      <c r="D50" s="33">
        <v>5</v>
      </c>
      <c r="E50" s="33">
        <v>5</v>
      </c>
    </row>
    <row r="51" spans="1:5" x14ac:dyDescent="0.3">
      <c r="A51" s="33">
        <v>5</v>
      </c>
      <c r="B51" s="33">
        <v>5</v>
      </c>
      <c r="C51" s="33">
        <v>5</v>
      </c>
      <c r="D51" s="33">
        <v>5</v>
      </c>
      <c r="E51" s="33">
        <v>5</v>
      </c>
    </row>
    <row r="52" spans="1:5" x14ac:dyDescent="0.3">
      <c r="A52" s="33">
        <v>5</v>
      </c>
      <c r="B52" s="33">
        <v>5</v>
      </c>
      <c r="C52" s="33">
        <v>5</v>
      </c>
      <c r="D52" s="33">
        <v>5</v>
      </c>
      <c r="E52" s="33">
        <v>5</v>
      </c>
    </row>
    <row r="53" spans="1:5" x14ac:dyDescent="0.3">
      <c r="A53" s="33">
        <v>5</v>
      </c>
      <c r="B53" s="33">
        <v>5</v>
      </c>
      <c r="C53" s="33">
        <v>5</v>
      </c>
      <c r="D53" s="33">
        <v>5</v>
      </c>
      <c r="E53" s="33">
        <v>5</v>
      </c>
    </row>
    <row r="54" spans="1:5" x14ac:dyDescent="0.3">
      <c r="A54" s="33">
        <v>5</v>
      </c>
      <c r="B54" s="33">
        <v>5</v>
      </c>
      <c r="C54" s="33">
        <v>5</v>
      </c>
      <c r="D54" s="33">
        <v>5</v>
      </c>
      <c r="E54" s="33">
        <v>5</v>
      </c>
    </row>
    <row r="55" spans="1:5" x14ac:dyDescent="0.3">
      <c r="A55" s="33">
        <v>5</v>
      </c>
      <c r="B55" s="33">
        <v>5</v>
      </c>
      <c r="C55" s="33">
        <v>5</v>
      </c>
      <c r="D55" s="33">
        <v>5</v>
      </c>
      <c r="E55" s="33">
        <v>5</v>
      </c>
    </row>
    <row r="56" spans="1:5" x14ac:dyDescent="0.3">
      <c r="A56" s="33">
        <v>5</v>
      </c>
      <c r="B56" s="33">
        <v>5</v>
      </c>
      <c r="C56" s="33">
        <v>5</v>
      </c>
      <c r="D56" s="33">
        <v>5</v>
      </c>
      <c r="E56" s="33">
        <v>5</v>
      </c>
    </row>
    <row r="57" spans="1:5" x14ac:dyDescent="0.3">
      <c r="A57" s="33">
        <v>5</v>
      </c>
      <c r="B57" s="33">
        <v>5</v>
      </c>
      <c r="C57" s="33">
        <v>5</v>
      </c>
      <c r="D57" s="33">
        <v>4</v>
      </c>
      <c r="E57" s="33">
        <v>5</v>
      </c>
    </row>
    <row r="58" spans="1:5" x14ac:dyDescent="0.3">
      <c r="A58" s="33">
        <v>5</v>
      </c>
      <c r="B58" s="33">
        <v>5</v>
      </c>
      <c r="C58" s="33">
        <v>5</v>
      </c>
      <c r="D58" s="33">
        <v>5</v>
      </c>
      <c r="E58" s="33">
        <v>5</v>
      </c>
    </row>
    <row r="59" spans="1:5" x14ac:dyDescent="0.3">
      <c r="A59" s="33">
        <v>5</v>
      </c>
      <c r="B59" s="33">
        <v>5</v>
      </c>
      <c r="C59" s="33">
        <v>5</v>
      </c>
      <c r="D59" s="33">
        <v>5</v>
      </c>
      <c r="E59" s="33">
        <v>5</v>
      </c>
    </row>
    <row r="60" spans="1:5" x14ac:dyDescent="0.3">
      <c r="A60" s="33">
        <v>5</v>
      </c>
      <c r="B60" s="33">
        <v>5</v>
      </c>
      <c r="C60" s="33">
        <v>5</v>
      </c>
      <c r="D60" s="33">
        <v>5</v>
      </c>
      <c r="E60" s="33">
        <v>5</v>
      </c>
    </row>
    <row r="61" spans="1:5" x14ac:dyDescent="0.3">
      <c r="A61" s="33">
        <v>5</v>
      </c>
      <c r="B61" s="33">
        <v>5</v>
      </c>
      <c r="C61" s="33">
        <v>5</v>
      </c>
      <c r="D61" s="33">
        <v>5</v>
      </c>
      <c r="E61" s="33">
        <v>5</v>
      </c>
    </row>
    <row r="62" spans="1:5" x14ac:dyDescent="0.3">
      <c r="A62" s="33">
        <v>5</v>
      </c>
      <c r="B62" s="33">
        <v>5</v>
      </c>
      <c r="C62" s="33">
        <v>5</v>
      </c>
      <c r="D62" s="33">
        <v>5</v>
      </c>
      <c r="E62" s="33">
        <v>5</v>
      </c>
    </row>
    <row r="63" spans="1:5" x14ac:dyDescent="0.3">
      <c r="A63" s="33">
        <v>5</v>
      </c>
      <c r="B63" s="33">
        <v>5</v>
      </c>
      <c r="C63" s="33">
        <v>5</v>
      </c>
    </row>
    <row r="64" spans="1:5" x14ac:dyDescent="0.3">
      <c r="A64" s="33">
        <v>5</v>
      </c>
      <c r="B64" s="33">
        <v>5</v>
      </c>
      <c r="C64" s="33">
        <v>5</v>
      </c>
    </row>
    <row r="65" spans="2:3" x14ac:dyDescent="0.3">
      <c r="B65" s="33">
        <v>5</v>
      </c>
      <c r="C65" s="33">
        <v>5</v>
      </c>
    </row>
    <row r="66" spans="2:3" x14ac:dyDescent="0.3">
      <c r="B66" s="33">
        <v>5</v>
      </c>
      <c r="C66" s="33">
        <v>5</v>
      </c>
    </row>
    <row r="67" spans="2:3" x14ac:dyDescent="0.3">
      <c r="B67" s="33">
        <v>5</v>
      </c>
      <c r="C67" s="33">
        <v>5</v>
      </c>
    </row>
    <row r="68" spans="2:3" x14ac:dyDescent="0.3">
      <c r="B68" s="33">
        <v>5</v>
      </c>
      <c r="C68" s="33">
        <v>5</v>
      </c>
    </row>
    <row r="69" spans="2:3" x14ac:dyDescent="0.3">
      <c r="B69" s="33">
        <v>5</v>
      </c>
      <c r="C69" s="33">
        <v>5</v>
      </c>
    </row>
    <row r="70" spans="2:3" x14ac:dyDescent="0.3">
      <c r="B70" s="33">
        <v>5</v>
      </c>
      <c r="C70" s="33">
        <v>5</v>
      </c>
    </row>
    <row r="71" spans="2:3" x14ac:dyDescent="0.3">
      <c r="B71" s="33">
        <v>5</v>
      </c>
      <c r="C71" s="33">
        <v>5</v>
      </c>
    </row>
    <row r="72" spans="2:3" x14ac:dyDescent="0.3">
      <c r="B72" s="33">
        <v>5</v>
      </c>
    </row>
    <row r="73" spans="2:3" x14ac:dyDescent="0.3">
      <c r="B73" s="33">
        <v>5</v>
      </c>
    </row>
    <row r="74" spans="2:3" x14ac:dyDescent="0.3">
      <c r="B74" s="33">
        <v>4</v>
      </c>
    </row>
    <row r="75" spans="2:3" x14ac:dyDescent="0.3">
      <c r="B75" s="33">
        <v>4</v>
      </c>
    </row>
    <row r="76" spans="2:3" x14ac:dyDescent="0.3">
      <c r="B76" s="33">
        <v>5</v>
      </c>
    </row>
    <row r="77" spans="2:3" x14ac:dyDescent="0.3">
      <c r="B77" s="33">
        <v>5</v>
      </c>
    </row>
    <row r="78" spans="2:3" x14ac:dyDescent="0.3">
      <c r="B78" s="33">
        <v>5</v>
      </c>
    </row>
    <row r="79" spans="2:3" x14ac:dyDescent="0.3">
      <c r="B79" s="33">
        <v>5</v>
      </c>
    </row>
    <row r="80" spans="2:3" x14ac:dyDescent="0.3">
      <c r="B80" s="33">
        <v>5</v>
      </c>
    </row>
    <row r="81" spans="2:2" x14ac:dyDescent="0.3">
      <c r="B81" s="33">
        <v>5</v>
      </c>
    </row>
    <row r="82" spans="2:2" x14ac:dyDescent="0.3">
      <c r="B82" s="33">
        <v>4</v>
      </c>
    </row>
    <row r="83" spans="2:2" x14ac:dyDescent="0.3">
      <c r="B83" s="33">
        <v>5</v>
      </c>
    </row>
    <row r="84" spans="2:2" x14ac:dyDescent="0.3">
      <c r="B84" s="33">
        <v>5</v>
      </c>
    </row>
    <row r="85" spans="2:2" x14ac:dyDescent="0.3">
      <c r="B85" s="33">
        <v>5</v>
      </c>
    </row>
    <row r="86" spans="2:2" x14ac:dyDescent="0.3">
      <c r="B86" s="33">
        <v>5</v>
      </c>
    </row>
    <row r="87" spans="2:2" x14ac:dyDescent="0.3">
      <c r="B87" s="33">
        <v>5</v>
      </c>
    </row>
    <row r="88" spans="2:2" x14ac:dyDescent="0.3">
      <c r="B88" s="33">
        <v>5</v>
      </c>
    </row>
    <row r="89" spans="2:2" x14ac:dyDescent="0.3">
      <c r="B89" s="33">
        <v>5</v>
      </c>
    </row>
    <row r="90" spans="2:2" x14ac:dyDescent="0.3">
      <c r="B90" s="33">
        <v>5</v>
      </c>
    </row>
    <row r="91" spans="2:2" x14ac:dyDescent="0.3">
      <c r="B91" s="33">
        <v>5</v>
      </c>
    </row>
    <row r="92" spans="2:2" x14ac:dyDescent="0.3">
      <c r="B92" s="33">
        <v>5</v>
      </c>
    </row>
    <row r="93" spans="2:2" x14ac:dyDescent="0.3">
      <c r="B93" s="33">
        <v>5</v>
      </c>
    </row>
    <row r="94" spans="2:2" x14ac:dyDescent="0.3">
      <c r="B94" s="33">
        <v>5</v>
      </c>
    </row>
    <row r="95" spans="2:2" x14ac:dyDescent="0.3">
      <c r="B95" s="33">
        <v>5</v>
      </c>
    </row>
    <row r="96" spans="2:2" x14ac:dyDescent="0.3">
      <c r="B96" s="33">
        <v>5</v>
      </c>
    </row>
    <row r="97" spans="2:2" x14ac:dyDescent="0.3">
      <c r="B97" s="33">
        <v>5</v>
      </c>
    </row>
    <row r="98" spans="2:2" x14ac:dyDescent="0.3">
      <c r="B98" s="33">
        <v>5</v>
      </c>
    </row>
    <row r="99" spans="2:2" x14ac:dyDescent="0.3">
      <c r="B99" s="33">
        <v>5</v>
      </c>
    </row>
    <row r="100" spans="2:2" x14ac:dyDescent="0.3">
      <c r="B100" s="33">
        <v>5</v>
      </c>
    </row>
    <row r="101" spans="2:2" x14ac:dyDescent="0.3">
      <c r="B101" s="33">
        <v>5</v>
      </c>
    </row>
    <row r="102" spans="2:2" x14ac:dyDescent="0.3">
      <c r="B102" s="33">
        <v>5</v>
      </c>
    </row>
    <row r="103" spans="2:2" x14ac:dyDescent="0.3">
      <c r="B103" s="33">
        <v>5</v>
      </c>
    </row>
    <row r="104" spans="2:2" x14ac:dyDescent="0.3">
      <c r="B104" s="33">
        <v>5</v>
      </c>
    </row>
    <row r="105" spans="2:2" x14ac:dyDescent="0.3">
      <c r="B105" s="33">
        <v>5</v>
      </c>
    </row>
    <row r="106" spans="2:2" x14ac:dyDescent="0.3">
      <c r="B106" s="33">
        <v>5</v>
      </c>
    </row>
    <row r="107" spans="2:2" x14ac:dyDescent="0.3">
      <c r="B107" s="33">
        <v>5</v>
      </c>
    </row>
    <row r="108" spans="2:2" x14ac:dyDescent="0.3">
      <c r="B108" s="33">
        <v>5</v>
      </c>
    </row>
    <row r="109" spans="2:2" x14ac:dyDescent="0.3">
      <c r="B109" s="33">
        <v>5</v>
      </c>
    </row>
    <row r="110" spans="2:2" x14ac:dyDescent="0.3">
      <c r="B110" s="33">
        <v>5</v>
      </c>
    </row>
    <row r="111" spans="2:2" x14ac:dyDescent="0.3">
      <c r="B111" s="33">
        <v>5</v>
      </c>
    </row>
    <row r="112" spans="2:2" x14ac:dyDescent="0.3">
      <c r="B112" s="33">
        <v>5</v>
      </c>
    </row>
    <row r="113" spans="2:2" x14ac:dyDescent="0.3">
      <c r="B113" s="33">
        <v>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E7FF-DBE8-4933-83A4-3D94860404F9}">
  <dimension ref="A1:I24"/>
  <sheetViews>
    <sheetView zoomScale="81" zoomScaleNormal="115" workbookViewId="0">
      <selection activeCell="C19" sqref="C19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189</v>
      </c>
      <c r="C2" s="20">
        <f>B15+C15</f>
        <v>70</v>
      </c>
      <c r="D2" s="21">
        <f>C2/B2</f>
        <v>0.37037037037037035</v>
      </c>
      <c r="E2" s="27">
        <f>AVERAGE('Notas Jan'!$A$2:$A$111)</f>
        <v>4.8571428571428568</v>
      </c>
      <c r="F2" s="27"/>
      <c r="G2" s="31">
        <f>E2-F2</f>
        <v>4.8571428571428568</v>
      </c>
      <c r="H2" s="1"/>
      <c r="I2" s="38">
        <f>G2*C2</f>
        <v>340</v>
      </c>
    </row>
    <row r="3" spans="1:9" x14ac:dyDescent="0.3">
      <c r="A3" s="5" t="s">
        <v>19</v>
      </c>
      <c r="B3" s="6">
        <f>D16+E16+F16</f>
        <v>339</v>
      </c>
      <c r="C3" s="6">
        <f>B16+C16</f>
        <v>124</v>
      </c>
      <c r="D3" s="35">
        <f>C3/B3</f>
        <v>0.36578171091445427</v>
      </c>
      <c r="E3" s="8">
        <f>AVERAGE('Notas Jan'!$B$2:$B$111)</f>
        <v>4.9545454545454541</v>
      </c>
      <c r="F3" s="8"/>
      <c r="G3" s="32">
        <f t="shared" ref="G3:G6" si="0">E3-F3</f>
        <v>4.9545454545454541</v>
      </c>
      <c r="H3" s="1"/>
      <c r="I3" s="23">
        <f>G3*C3</f>
        <v>614.36363636363626</v>
      </c>
    </row>
    <row r="4" spans="1:9" x14ac:dyDescent="0.3">
      <c r="A4" s="19" t="s">
        <v>21</v>
      </c>
      <c r="B4" s="20">
        <f t="shared" ref="B4:B6" si="1">D17+E17+F17</f>
        <v>357</v>
      </c>
      <c r="C4" s="20">
        <f>B17+C17</f>
        <v>77</v>
      </c>
      <c r="D4" s="21">
        <f>C4/B4</f>
        <v>0.21568627450980393</v>
      </c>
      <c r="E4" s="27">
        <f>AVERAGE('Notas Jan'!$C$2:$C$111)</f>
        <v>4.9714285714285715</v>
      </c>
      <c r="F4" s="27"/>
      <c r="G4" s="31">
        <f t="shared" si="0"/>
        <v>4.9714285714285715</v>
      </c>
      <c r="H4" s="1"/>
      <c r="I4" s="38">
        <f t="shared" ref="I4:I6" si="2">G4*C4</f>
        <v>382.8</v>
      </c>
    </row>
    <row r="5" spans="1:9" x14ac:dyDescent="0.3">
      <c r="A5" s="5" t="s">
        <v>32</v>
      </c>
      <c r="B5" s="6">
        <f t="shared" si="1"/>
        <v>354</v>
      </c>
      <c r="C5" s="6">
        <f>B18+C18</f>
        <v>74</v>
      </c>
      <c r="D5" s="35">
        <f>C5/B5</f>
        <v>0.20903954802259886</v>
      </c>
      <c r="E5" s="8">
        <f>AVERAGE('Notas Jan'!$D$2:$D$111)</f>
        <v>4.9016393442622954</v>
      </c>
      <c r="F5" s="8"/>
      <c r="G5" s="32">
        <f t="shared" si="0"/>
        <v>4.9016393442622954</v>
      </c>
      <c r="H5" s="1"/>
      <c r="I5" s="38">
        <f t="shared" si="2"/>
        <v>362.72131147540983</v>
      </c>
    </row>
    <row r="6" spans="1:9" x14ac:dyDescent="0.3">
      <c r="A6" s="19" t="s">
        <v>22</v>
      </c>
      <c r="B6" s="20">
        <f t="shared" si="1"/>
        <v>325</v>
      </c>
      <c r="C6" s="20">
        <f>B19+C19</f>
        <v>76</v>
      </c>
      <c r="D6" s="21">
        <f>C6/B6</f>
        <v>0.23384615384615384</v>
      </c>
      <c r="E6" s="27">
        <f>AVERAGE('Notas Jan'!$E$2:$E$111)</f>
        <v>4.9508196721311473</v>
      </c>
      <c r="F6" s="27"/>
      <c r="G6" s="31">
        <f t="shared" si="0"/>
        <v>4.9508196721311473</v>
      </c>
      <c r="H6" s="1"/>
      <c r="I6" s="38">
        <f t="shared" si="2"/>
        <v>376.26229508196718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8"/>
    </row>
    <row r="8" spans="1:9" x14ac:dyDescent="0.3">
      <c r="A8" s="1"/>
      <c r="B8" s="1"/>
      <c r="C8" s="1"/>
      <c r="D8" s="9"/>
      <c r="E8" s="1"/>
      <c r="F8" s="28"/>
      <c r="G8" s="13"/>
      <c r="H8" s="1"/>
      <c r="I8" s="1"/>
    </row>
    <row r="9" spans="1:9" x14ac:dyDescent="0.3">
      <c r="A9" s="14" t="s">
        <v>16</v>
      </c>
      <c r="B9" s="14">
        <f>SUM(B2:B7)</f>
        <v>1564</v>
      </c>
      <c r="C9" s="14">
        <f>SUM(C2:C7)</f>
        <v>421</v>
      </c>
      <c r="D9" s="15">
        <f>C9/B9</f>
        <v>0.26918158567774936</v>
      </c>
      <c r="E9" s="16">
        <f>AVERAGE(E2:E7)</f>
        <v>4.9271151799020654</v>
      </c>
      <c r="F9" s="16"/>
      <c r="G9" s="17">
        <f>E9-F9</f>
        <v>4.9271151799020654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COUNTIFS(Jan!$B$2:$B$3000,"PSYSTEM_1005",Jan!$E$2:$E$3000,"&gt;100",Jan!$L$2:$L$3000,"&gt;0")</f>
        <v>11</v>
      </c>
      <c r="C15" s="1">
        <f>COUNTIFS(Jan!$C$2:$C$3000,"PSYSTEM_1005",Jan!$E$2:$E$3000,"&gt;100",Jan!$L$2:$L$3000,"&gt;0")+G15</f>
        <v>59</v>
      </c>
      <c r="D15" s="1">
        <f>COUNTIFS(Jan!$B$2:$B$3000,"PSYSTEM_1005",Jan!$E$2:$E$3000,"&gt;100")</f>
        <v>29</v>
      </c>
      <c r="E15" s="1">
        <f>COUNTIFS(Jan!$C$2:$C$3000,"PSYSTEM_1005",Jan!$E$2:$E$3000,"&gt;100")</f>
        <v>120</v>
      </c>
      <c r="F15" s="1">
        <v>40</v>
      </c>
      <c r="G15" s="33">
        <v>7</v>
      </c>
    </row>
    <row r="16" spans="1:9" x14ac:dyDescent="0.3">
      <c r="A16" s="5" t="s">
        <v>19</v>
      </c>
      <c r="B16" s="1">
        <f>COUNTIFS(Jan!$B$2:$B$3000,"PSYSTEM_1002",Jan!$E$2:$E$3000,"&gt;100",Jan!$L$2:$L$3000,"&gt;0")</f>
        <v>12</v>
      </c>
      <c r="C16" s="1">
        <f>COUNTIFS(Jan!$C$2:$C$3000,"PSYSTEM_1002",Jan!$E$2:$E$3000,"&gt;100",Jan!$L$2:$L$3000,"&gt;0")+G16</f>
        <v>112</v>
      </c>
      <c r="D16" s="1">
        <f>COUNTIFS(Jan!$B$2:$B$3000,"PSYSTEM_1002",Jan!$E$2:$E$3000,"&gt;100")</f>
        <v>51</v>
      </c>
      <c r="E16" s="1">
        <f>COUNTIFS(Jan!$C$2:$C$3000,"PSYSTEM_1002",Jan!$E$2:$E$3000,"&gt;100")</f>
        <v>215</v>
      </c>
      <c r="F16" s="33">
        <v>73</v>
      </c>
      <c r="G16" s="33">
        <v>12</v>
      </c>
    </row>
    <row r="17" spans="1:9" x14ac:dyDescent="0.3">
      <c r="A17" s="19" t="s">
        <v>21</v>
      </c>
      <c r="B17" s="1">
        <f>COUNTIFS(Jan!$B$2:$B$3000,"PSYSTEM_1004",Jan!$E$2:$E$3000,"&gt;100",Jan!$L$2:$L$3000,"&gt;0")</f>
        <v>5</v>
      </c>
      <c r="C17" s="1">
        <f>COUNTIFS(Jan!$C$2:$C$3000,"PSYSTEM_1004",Jan!$E$2:$E$3000,"&gt;100",Jan!$L$2:$L$3000,"&gt;0")+G17</f>
        <v>72</v>
      </c>
      <c r="D17" s="1">
        <f>COUNTIFS(Jan!$B$2:$B$3000,"PSYSTEM_1004",Jan!$E$2:$E$3000,"&gt;100")</f>
        <v>31</v>
      </c>
      <c r="E17" s="1">
        <f>COUNTIFS(Jan!$C$2:$C$3000,"PSYSTEM_1004",Jan!$E$2:$E$3000,"&gt;100")</f>
        <v>244</v>
      </c>
      <c r="F17" s="1">
        <v>82</v>
      </c>
      <c r="G17" s="33">
        <v>7</v>
      </c>
    </row>
    <row r="18" spans="1:9" x14ac:dyDescent="0.3">
      <c r="A18" s="5" t="s">
        <v>32</v>
      </c>
      <c r="B18" s="1">
        <f>COUNTIFS(Jan!$B$2:$B$3000,"PSYSTEM_1013",Jan!$E$2:$E$3000,"&gt;100",Jan!$L$2:$L$3000,"&gt;0")</f>
        <v>9</v>
      </c>
      <c r="C18" s="1">
        <f>COUNTIFS(Jan!$C$2:$C$3000,"PSYSTEM_1013",Jan!$E$2:$E$3000,"&gt;100",Jan!$L$2:$L$3000,"&gt;0")+G18</f>
        <v>65</v>
      </c>
      <c r="D18" s="1">
        <f>COUNTIFS(Jan!$B$2:$B$3000,"PSYSTEM_1013",Jan!$E$2:$E$3000,"&gt;100")</f>
        <v>46</v>
      </c>
      <c r="E18" s="1">
        <f>COUNTIFS(Jan!$C$2:$C$3000,"PSYSTEM_1013",Jan!$E$2:$E$3000,"&gt;100")</f>
        <v>217</v>
      </c>
      <c r="F18" s="1">
        <v>91</v>
      </c>
      <c r="G18" s="1">
        <v>13</v>
      </c>
      <c r="H18" s="1"/>
      <c r="I18" s="1"/>
    </row>
    <row r="19" spans="1:9" x14ac:dyDescent="0.3">
      <c r="A19" s="19" t="s">
        <v>22</v>
      </c>
      <c r="B19" s="1">
        <f>COUNTIFS(Jan!$B$2:$B$3000,"PSYSTEM_1001",Jan!$E$2:$E$3000,"&gt;100",Jan!$L$2:$L$3000,"&gt;0")</f>
        <v>5</v>
      </c>
      <c r="C19" s="1">
        <f>COUNTIFS(Jan!$C$2:$C$3000,"PSYSTEM_1001",Jan!$E$2:$E$3000,"&gt;100",Jan!$L$2:$L$3000,"&gt;0")+G19</f>
        <v>71</v>
      </c>
      <c r="D19" s="1">
        <f>COUNTIFS(Jan!$B$2:$B$3000,"PSYSTEM_1001",Jan!$E$2:$E$3000,"&gt;100")</f>
        <v>46</v>
      </c>
      <c r="E19" s="1">
        <f>COUNTIFS(Jan!$C$2:$C$3000,"PSYSTEM_1001",Jan!$E$2:$E$3000,"&gt;100")</f>
        <v>190</v>
      </c>
      <c r="F19" s="1">
        <v>89</v>
      </c>
      <c r="G19" s="1">
        <v>15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678C-0164-4351-85D0-2C961208C5AC}">
  <sheetPr filterMode="1"/>
  <dimension ref="A1:M3100"/>
  <sheetViews>
    <sheetView topLeftCell="A27" zoomScale="87" workbookViewId="0">
      <selection activeCell="L27" sqref="L27:L3095"/>
    </sheetView>
  </sheetViews>
  <sheetFormatPr defaultColWidth="8.88671875" defaultRowHeight="14.4" x14ac:dyDescent="0.3"/>
  <cols>
    <col min="1" max="1" width="23.109375" style="33" customWidth="1"/>
    <col min="2" max="2" width="18.44140625" style="33" bestFit="1" customWidth="1"/>
    <col min="3" max="3" width="13.44140625" style="33" bestFit="1" customWidth="1"/>
    <col min="4" max="4" width="11" style="33" bestFit="1" customWidth="1"/>
    <col min="5" max="5" width="14" style="33" bestFit="1" customWidth="1"/>
    <col min="6" max="6" width="9.6640625" style="33" bestFit="1" customWidth="1"/>
    <col min="7" max="7" width="12.109375" style="33" bestFit="1" customWidth="1"/>
    <col min="8" max="8" width="25.33203125" style="33" bestFit="1" customWidth="1"/>
    <col min="9" max="9" width="14.5546875" style="33" bestFit="1" customWidth="1"/>
    <col min="10" max="10" width="26.109375" style="33" bestFit="1" customWidth="1"/>
    <col min="11" max="11" width="19.5546875" style="33" bestFit="1" customWidth="1"/>
    <col min="12" max="12" width="9.6640625" style="33" bestFit="1" customWidth="1"/>
    <col min="13" max="16384" width="8.88671875" style="33"/>
  </cols>
  <sheetData>
    <row r="1" spans="1:12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</row>
    <row r="2" spans="1:12" hidden="1" x14ac:dyDescent="0.3">
      <c r="A2" s="39">
        <v>46081.444201388891</v>
      </c>
      <c r="B2" s="33">
        <v>4435226025</v>
      </c>
      <c r="C2" s="33">
        <v>4430265054</v>
      </c>
      <c r="D2" s="33">
        <v>4430265054</v>
      </c>
      <c r="E2" s="33">
        <v>18</v>
      </c>
      <c r="F2" s="33">
        <v>17</v>
      </c>
      <c r="G2" s="33" t="s">
        <v>3449</v>
      </c>
      <c r="H2" s="33" t="s">
        <v>5087</v>
      </c>
      <c r="I2" s="33" t="s">
        <v>39</v>
      </c>
      <c r="J2" s="33" t="s">
        <v>3451</v>
      </c>
    </row>
    <row r="3" spans="1:12" hidden="1" x14ac:dyDescent="0.3">
      <c r="A3" s="39">
        <v>46081.423425925925</v>
      </c>
      <c r="B3" s="33">
        <v>35998295948</v>
      </c>
      <c r="C3" s="33">
        <v>4430265054</v>
      </c>
      <c r="D3" s="33">
        <v>4430265054</v>
      </c>
      <c r="E3" s="33">
        <v>18</v>
      </c>
      <c r="F3" s="33">
        <v>18</v>
      </c>
      <c r="G3" s="33" t="s">
        <v>3449</v>
      </c>
      <c r="H3" s="33" t="s">
        <v>5088</v>
      </c>
      <c r="I3" s="33" t="s">
        <v>39</v>
      </c>
      <c r="J3" s="33" t="s">
        <v>3451</v>
      </c>
    </row>
    <row r="4" spans="1:12" hidden="1" x14ac:dyDescent="0.3">
      <c r="A4" s="39">
        <v>46080.742013888892</v>
      </c>
      <c r="B4" s="33">
        <v>4432272377</v>
      </c>
      <c r="C4" s="33" t="s">
        <v>42</v>
      </c>
      <c r="D4" s="33">
        <v>4430265054</v>
      </c>
      <c r="E4" s="33">
        <v>421</v>
      </c>
      <c r="F4" s="33">
        <v>334</v>
      </c>
      <c r="G4" s="33" t="s">
        <v>38</v>
      </c>
      <c r="H4" s="33" t="s">
        <v>3447</v>
      </c>
      <c r="I4" s="33" t="s">
        <v>39</v>
      </c>
      <c r="J4" s="33" t="s">
        <v>40</v>
      </c>
      <c r="K4" s="33" t="s">
        <v>41</v>
      </c>
    </row>
    <row r="5" spans="1:12" hidden="1" x14ac:dyDescent="0.3">
      <c r="A5" s="39">
        <v>46080.735590277778</v>
      </c>
      <c r="B5" s="33" t="s">
        <v>44</v>
      </c>
      <c r="C5" s="33">
        <v>4432677399</v>
      </c>
      <c r="E5" s="33">
        <v>97</v>
      </c>
      <c r="F5" s="33">
        <v>0</v>
      </c>
      <c r="G5" s="33" t="s">
        <v>47</v>
      </c>
      <c r="H5" s="33" t="s">
        <v>5089</v>
      </c>
      <c r="I5" s="33" t="s">
        <v>46</v>
      </c>
      <c r="J5" s="33" t="s">
        <v>40</v>
      </c>
    </row>
    <row r="6" spans="1:12" hidden="1" x14ac:dyDescent="0.3">
      <c r="A6" s="39">
        <v>46080.735497685186</v>
      </c>
      <c r="B6" s="33" t="s">
        <v>44</v>
      </c>
      <c r="C6" s="33">
        <v>4432677399</v>
      </c>
      <c r="E6" s="33">
        <v>5</v>
      </c>
      <c r="F6" s="33">
        <v>0</v>
      </c>
      <c r="G6" s="33" t="s">
        <v>47</v>
      </c>
      <c r="H6" s="33" t="s">
        <v>5090</v>
      </c>
      <c r="I6" s="33" t="s">
        <v>46</v>
      </c>
      <c r="J6" s="33" t="s">
        <v>40</v>
      </c>
    </row>
    <row r="7" spans="1:12" hidden="1" x14ac:dyDescent="0.3">
      <c r="A7" s="39">
        <v>46080.732094907406</v>
      </c>
      <c r="B7" s="33" t="s">
        <v>37</v>
      </c>
      <c r="C7" s="33">
        <v>93995233136</v>
      </c>
      <c r="E7" s="33">
        <v>3</v>
      </c>
      <c r="F7" s="33">
        <v>0</v>
      </c>
      <c r="G7" s="33" t="s">
        <v>47</v>
      </c>
      <c r="H7" s="33" t="s">
        <v>5091</v>
      </c>
      <c r="I7" s="33" t="s">
        <v>46</v>
      </c>
      <c r="J7" s="33" t="s">
        <v>40</v>
      </c>
    </row>
    <row r="8" spans="1:12" hidden="1" x14ac:dyDescent="0.3">
      <c r="A8" s="39">
        <v>46080.731805555559</v>
      </c>
      <c r="B8" s="33" t="s">
        <v>37</v>
      </c>
      <c r="C8" s="33">
        <v>93995233136</v>
      </c>
      <c r="E8" s="33">
        <v>12</v>
      </c>
      <c r="F8" s="33">
        <v>0</v>
      </c>
      <c r="G8" s="33" t="s">
        <v>47</v>
      </c>
      <c r="H8" s="33" t="s">
        <v>5092</v>
      </c>
      <c r="I8" s="33" t="s">
        <v>46</v>
      </c>
      <c r="J8" s="33" t="s">
        <v>40</v>
      </c>
    </row>
    <row r="9" spans="1:12" hidden="1" x14ac:dyDescent="0.3">
      <c r="A9" s="39">
        <v>46080.731099537035</v>
      </c>
      <c r="B9" s="33">
        <v>41996175686</v>
      </c>
      <c r="C9" s="33" t="s">
        <v>45</v>
      </c>
      <c r="D9" s="33">
        <v>4430265054</v>
      </c>
      <c r="E9" s="33">
        <v>256</v>
      </c>
      <c r="F9" s="33">
        <v>146</v>
      </c>
      <c r="G9" s="33" t="s">
        <v>38</v>
      </c>
      <c r="H9" s="33" t="s">
        <v>3448</v>
      </c>
      <c r="I9" s="33" t="s">
        <v>39</v>
      </c>
      <c r="J9" s="33" t="s">
        <v>40</v>
      </c>
      <c r="K9" s="33" t="s">
        <v>41</v>
      </c>
      <c r="L9" s="33">
        <v>5</v>
      </c>
    </row>
    <row r="10" spans="1:12" hidden="1" x14ac:dyDescent="0.3">
      <c r="A10" s="39">
        <v>46080.728900462964</v>
      </c>
      <c r="B10" s="33">
        <v>44997749003</v>
      </c>
      <c r="C10" s="33">
        <v>4430265054</v>
      </c>
      <c r="D10" s="33">
        <v>4430265054</v>
      </c>
      <c r="E10" s="33">
        <v>73</v>
      </c>
      <c r="F10" s="33">
        <v>72</v>
      </c>
      <c r="G10" s="33" t="s">
        <v>3449</v>
      </c>
      <c r="H10" s="33" t="s">
        <v>3450</v>
      </c>
      <c r="I10" s="33" t="s">
        <v>39</v>
      </c>
      <c r="J10" s="33" t="s">
        <v>3451</v>
      </c>
      <c r="K10" s="33" t="s">
        <v>41</v>
      </c>
    </row>
    <row r="11" spans="1:12" hidden="1" x14ac:dyDescent="0.3">
      <c r="A11" s="39">
        <v>46080.72</v>
      </c>
      <c r="B11" s="33" t="s">
        <v>37</v>
      </c>
      <c r="C11" s="33">
        <v>44999807675</v>
      </c>
      <c r="E11" s="33">
        <v>9</v>
      </c>
      <c r="F11" s="33">
        <v>0</v>
      </c>
      <c r="G11" s="33" t="s">
        <v>47</v>
      </c>
      <c r="H11" s="33" t="s">
        <v>5093</v>
      </c>
      <c r="I11" s="33" t="s">
        <v>46</v>
      </c>
      <c r="J11" s="33" t="s">
        <v>40</v>
      </c>
    </row>
    <row r="12" spans="1:12" hidden="1" x14ac:dyDescent="0.3">
      <c r="A12" s="39">
        <v>46080.719942129632</v>
      </c>
      <c r="B12" s="33" t="s">
        <v>45</v>
      </c>
      <c r="C12" s="33">
        <v>44997311122</v>
      </c>
      <c r="E12" s="33">
        <v>40</v>
      </c>
      <c r="F12" s="33">
        <v>27</v>
      </c>
      <c r="G12" s="33" t="s">
        <v>38</v>
      </c>
      <c r="H12" s="33" t="s">
        <v>5094</v>
      </c>
      <c r="I12" s="33" t="s">
        <v>46</v>
      </c>
      <c r="J12" s="33" t="s">
        <v>40</v>
      </c>
    </row>
    <row r="13" spans="1:12" hidden="1" x14ac:dyDescent="0.3">
      <c r="A13" s="39">
        <v>46080.719687500001</v>
      </c>
      <c r="B13" s="33" t="s">
        <v>37</v>
      </c>
      <c r="C13" s="33">
        <v>44999807675</v>
      </c>
      <c r="E13" s="33">
        <v>15</v>
      </c>
      <c r="F13" s="33">
        <v>0</v>
      </c>
      <c r="G13" s="33" t="s">
        <v>47</v>
      </c>
      <c r="H13" s="33" t="s">
        <v>5095</v>
      </c>
      <c r="I13" s="33" t="s">
        <v>46</v>
      </c>
      <c r="J13" s="33" t="s">
        <v>40</v>
      </c>
    </row>
    <row r="14" spans="1:12" hidden="1" x14ac:dyDescent="0.3">
      <c r="A14" s="39">
        <v>46080.718472222223</v>
      </c>
      <c r="B14" s="33" t="s">
        <v>37</v>
      </c>
      <c r="C14" s="33">
        <v>4432226677</v>
      </c>
      <c r="E14" s="33">
        <v>5</v>
      </c>
      <c r="F14" s="33">
        <v>0</v>
      </c>
      <c r="G14" s="33" t="s">
        <v>47</v>
      </c>
      <c r="H14" s="33" t="s">
        <v>5096</v>
      </c>
      <c r="I14" s="33" t="s">
        <v>46</v>
      </c>
      <c r="J14" s="33" t="s">
        <v>40</v>
      </c>
    </row>
    <row r="15" spans="1:12" hidden="1" x14ac:dyDescent="0.3">
      <c r="A15" s="39">
        <v>46080.715879629628</v>
      </c>
      <c r="B15" s="33" t="s">
        <v>44</v>
      </c>
      <c r="C15" s="33">
        <v>4436351818</v>
      </c>
      <c r="E15" s="33">
        <v>407</v>
      </c>
      <c r="F15" s="33">
        <v>389</v>
      </c>
      <c r="G15" s="33" t="s">
        <v>38</v>
      </c>
      <c r="H15" s="33" t="s">
        <v>5097</v>
      </c>
      <c r="I15" s="33" t="s">
        <v>46</v>
      </c>
      <c r="J15" s="33" t="s">
        <v>40</v>
      </c>
    </row>
    <row r="16" spans="1:12" hidden="1" x14ac:dyDescent="0.3">
      <c r="A16" s="39">
        <v>46080.715833333335</v>
      </c>
      <c r="B16" s="33" t="s">
        <v>44</v>
      </c>
      <c r="C16" s="33">
        <v>4436351818</v>
      </c>
      <c r="E16" s="33">
        <v>1</v>
      </c>
      <c r="F16" s="33">
        <v>0</v>
      </c>
      <c r="G16" s="33" t="s">
        <v>47</v>
      </c>
      <c r="H16" s="33" t="s">
        <v>5098</v>
      </c>
      <c r="I16" s="33" t="s">
        <v>46</v>
      </c>
      <c r="J16" s="33" t="s">
        <v>40</v>
      </c>
    </row>
    <row r="17" spans="1:12" hidden="1" x14ac:dyDescent="0.3">
      <c r="A17" s="39">
        <v>46080.715775462966</v>
      </c>
      <c r="B17" s="33" t="s">
        <v>44</v>
      </c>
      <c r="C17" s="33">
        <v>4436351818</v>
      </c>
      <c r="E17" s="33">
        <v>4</v>
      </c>
      <c r="F17" s="33">
        <v>0</v>
      </c>
      <c r="G17" s="33" t="s">
        <v>47</v>
      </c>
      <c r="H17" s="33" t="s">
        <v>5099</v>
      </c>
      <c r="I17" s="33" t="s">
        <v>46</v>
      </c>
      <c r="J17" s="33" t="s">
        <v>40</v>
      </c>
    </row>
    <row r="18" spans="1:12" hidden="1" x14ac:dyDescent="0.3">
      <c r="A18" s="39">
        <v>46080.71570601852</v>
      </c>
      <c r="B18" s="33" t="s">
        <v>44</v>
      </c>
      <c r="C18" s="33">
        <v>4436351818</v>
      </c>
      <c r="E18" s="33">
        <v>6</v>
      </c>
      <c r="F18" s="33">
        <v>0</v>
      </c>
      <c r="G18" s="33" t="s">
        <v>47</v>
      </c>
      <c r="H18" s="33" t="s">
        <v>5100</v>
      </c>
      <c r="I18" s="33" t="s">
        <v>46</v>
      </c>
      <c r="J18" s="33" t="s">
        <v>40</v>
      </c>
    </row>
    <row r="19" spans="1:12" hidden="1" x14ac:dyDescent="0.3">
      <c r="A19" s="39">
        <v>46080.714722222219</v>
      </c>
      <c r="B19" s="33" t="s">
        <v>44</v>
      </c>
      <c r="C19" s="33">
        <v>44999689445</v>
      </c>
      <c r="E19" s="33">
        <v>35</v>
      </c>
      <c r="F19" s="33">
        <v>0</v>
      </c>
      <c r="G19" s="33" t="s">
        <v>47</v>
      </c>
      <c r="H19" s="33" t="s">
        <v>5101</v>
      </c>
      <c r="I19" s="33" t="s">
        <v>46</v>
      </c>
      <c r="J19" s="33" t="s">
        <v>40</v>
      </c>
    </row>
    <row r="20" spans="1:12" hidden="1" x14ac:dyDescent="0.3">
      <c r="A20" s="39">
        <v>46080.714189814818</v>
      </c>
      <c r="B20" s="33" t="s">
        <v>43</v>
      </c>
      <c r="C20" s="33">
        <v>4430191465</v>
      </c>
      <c r="E20" s="33">
        <v>66</v>
      </c>
      <c r="F20" s="33">
        <v>46</v>
      </c>
      <c r="G20" s="33" t="s">
        <v>38</v>
      </c>
      <c r="H20" s="33" t="s">
        <v>5102</v>
      </c>
      <c r="I20" s="33" t="s">
        <v>46</v>
      </c>
      <c r="J20" s="33" t="s">
        <v>40</v>
      </c>
    </row>
    <row r="21" spans="1:12" hidden="1" x14ac:dyDescent="0.3">
      <c r="A21" s="39">
        <v>46080.714143518519</v>
      </c>
      <c r="B21" s="33" t="s">
        <v>43</v>
      </c>
      <c r="C21" s="33">
        <v>4430191465</v>
      </c>
      <c r="E21" s="33">
        <v>2</v>
      </c>
      <c r="F21" s="33">
        <v>0</v>
      </c>
      <c r="G21" s="33" t="s">
        <v>47</v>
      </c>
      <c r="H21" s="33" t="s">
        <v>5103</v>
      </c>
      <c r="I21" s="33" t="s">
        <v>46</v>
      </c>
      <c r="J21" s="33" t="s">
        <v>40</v>
      </c>
    </row>
    <row r="22" spans="1:12" hidden="1" x14ac:dyDescent="0.3">
      <c r="A22" s="39">
        <v>46080.714050925926</v>
      </c>
      <c r="B22" s="33" t="s">
        <v>44</v>
      </c>
      <c r="C22" s="33">
        <v>44999689445</v>
      </c>
      <c r="E22" s="33">
        <v>55</v>
      </c>
      <c r="F22" s="33">
        <v>19</v>
      </c>
      <c r="G22" s="33" t="s">
        <v>38</v>
      </c>
      <c r="H22" s="33" t="s">
        <v>5104</v>
      </c>
      <c r="I22" s="33" t="s">
        <v>46</v>
      </c>
      <c r="J22" s="33" t="s">
        <v>40</v>
      </c>
    </row>
    <row r="23" spans="1:12" hidden="1" x14ac:dyDescent="0.3">
      <c r="A23" s="39">
        <v>46080.711053240739</v>
      </c>
      <c r="B23" s="33">
        <v>1128897100</v>
      </c>
      <c r="C23" s="33" t="s">
        <v>48</v>
      </c>
      <c r="D23" s="33">
        <v>4430265054</v>
      </c>
      <c r="E23" s="33">
        <v>129</v>
      </c>
      <c r="F23" s="33">
        <v>103</v>
      </c>
      <c r="G23" s="33" t="s">
        <v>38</v>
      </c>
      <c r="H23" s="33" t="s">
        <v>3452</v>
      </c>
      <c r="I23" s="33" t="s">
        <v>39</v>
      </c>
      <c r="J23" s="33" t="s">
        <v>40</v>
      </c>
      <c r="K23" s="33" t="s">
        <v>41</v>
      </c>
    </row>
    <row r="24" spans="1:12" hidden="1" x14ac:dyDescent="0.3">
      <c r="A24" s="39">
        <v>46080.709756944445</v>
      </c>
      <c r="B24" s="33">
        <v>1733231449</v>
      </c>
      <c r="C24" s="33" t="s">
        <v>37</v>
      </c>
      <c r="D24" s="33">
        <v>4430265054</v>
      </c>
      <c r="E24" s="33">
        <v>227</v>
      </c>
      <c r="F24" s="33">
        <v>195</v>
      </c>
      <c r="G24" s="33" t="s">
        <v>38</v>
      </c>
      <c r="H24" s="33" t="s">
        <v>3453</v>
      </c>
      <c r="I24" s="33" t="s">
        <v>39</v>
      </c>
      <c r="J24" s="33" t="s">
        <v>40</v>
      </c>
      <c r="K24" s="33" t="s">
        <v>41</v>
      </c>
      <c r="L24" s="33">
        <v>5</v>
      </c>
    </row>
    <row r="25" spans="1:12" hidden="1" x14ac:dyDescent="0.3">
      <c r="A25" s="39">
        <v>46080.701956018522</v>
      </c>
      <c r="B25" s="33">
        <v>44997749003</v>
      </c>
      <c r="C25" s="33" t="s">
        <v>48</v>
      </c>
      <c r="D25" s="33">
        <v>4430265054</v>
      </c>
      <c r="E25" s="33">
        <v>132</v>
      </c>
      <c r="F25" s="33">
        <v>131</v>
      </c>
      <c r="G25" s="33" t="s">
        <v>38</v>
      </c>
      <c r="H25" s="33" t="s">
        <v>3454</v>
      </c>
      <c r="I25" s="33" t="s">
        <v>39</v>
      </c>
      <c r="J25" s="33" t="s">
        <v>40</v>
      </c>
      <c r="K25" s="33" t="s">
        <v>41</v>
      </c>
    </row>
    <row r="26" spans="1:12" hidden="1" x14ac:dyDescent="0.3">
      <c r="A26" s="39">
        <v>46080.701817129629</v>
      </c>
      <c r="B26" s="33">
        <v>96981080303</v>
      </c>
      <c r="C26" s="33" t="s">
        <v>43</v>
      </c>
      <c r="D26" s="33">
        <v>4430265054</v>
      </c>
      <c r="E26" s="33">
        <v>607</v>
      </c>
      <c r="F26" s="33">
        <v>547</v>
      </c>
      <c r="G26" s="33" t="s">
        <v>38</v>
      </c>
      <c r="H26" s="33" t="s">
        <v>3455</v>
      </c>
      <c r="I26" s="33" t="s">
        <v>39</v>
      </c>
      <c r="J26" s="33" t="s">
        <v>40</v>
      </c>
      <c r="K26" s="33" t="s">
        <v>41</v>
      </c>
    </row>
    <row r="27" spans="1:12" x14ac:dyDescent="0.3">
      <c r="A27" s="39">
        <v>46080.694293981483</v>
      </c>
      <c r="B27" s="33">
        <v>11916079448</v>
      </c>
      <c r="C27" s="33" t="s">
        <v>44</v>
      </c>
      <c r="D27" s="33">
        <v>4430265054</v>
      </c>
      <c r="E27" s="33">
        <v>1078</v>
      </c>
      <c r="F27" s="33">
        <v>954</v>
      </c>
      <c r="G27" s="33" t="s">
        <v>38</v>
      </c>
      <c r="H27" s="33" t="s">
        <v>3456</v>
      </c>
      <c r="I27" s="33" t="s">
        <v>39</v>
      </c>
      <c r="J27" s="33" t="s">
        <v>40</v>
      </c>
      <c r="K27" s="33" t="s">
        <v>41</v>
      </c>
      <c r="L27" s="33">
        <v>5</v>
      </c>
    </row>
    <row r="28" spans="1:12" hidden="1" x14ac:dyDescent="0.3">
      <c r="A28" s="39">
        <v>46080.69263888889</v>
      </c>
      <c r="B28" s="33" t="s">
        <v>48</v>
      </c>
      <c r="C28" s="33">
        <v>4430182968</v>
      </c>
      <c r="E28" s="33">
        <v>298</v>
      </c>
      <c r="F28" s="33">
        <v>291</v>
      </c>
      <c r="G28" s="33" t="s">
        <v>38</v>
      </c>
      <c r="H28" s="33" t="s">
        <v>5105</v>
      </c>
      <c r="I28" s="33" t="s">
        <v>46</v>
      </c>
      <c r="J28" s="33" t="s">
        <v>40</v>
      </c>
    </row>
    <row r="29" spans="1:12" hidden="1" x14ac:dyDescent="0.3">
      <c r="A29" s="39">
        <v>46080.692488425928</v>
      </c>
      <c r="B29" s="33" t="s">
        <v>48</v>
      </c>
      <c r="C29" s="33">
        <v>4430182968</v>
      </c>
      <c r="E29" s="33">
        <v>2</v>
      </c>
      <c r="F29" s="33">
        <v>0</v>
      </c>
      <c r="G29" s="33" t="s">
        <v>47</v>
      </c>
      <c r="H29" s="33" t="s">
        <v>5106</v>
      </c>
      <c r="I29" s="33" t="s">
        <v>46</v>
      </c>
      <c r="J29" s="33" t="s">
        <v>40</v>
      </c>
    </row>
    <row r="30" spans="1:12" hidden="1" x14ac:dyDescent="0.3">
      <c r="A30" s="39">
        <v>46080.692418981482</v>
      </c>
      <c r="B30" s="33" t="s">
        <v>48</v>
      </c>
      <c r="C30" s="33">
        <v>4030182968</v>
      </c>
      <c r="E30" s="33">
        <v>3</v>
      </c>
      <c r="F30" s="33">
        <v>0</v>
      </c>
      <c r="G30" s="33" t="s">
        <v>47</v>
      </c>
      <c r="H30" s="33" t="s">
        <v>5107</v>
      </c>
      <c r="I30" s="33" t="s">
        <v>46</v>
      </c>
      <c r="J30" s="33" t="s">
        <v>40</v>
      </c>
    </row>
    <row r="31" spans="1:12" hidden="1" x14ac:dyDescent="0.3">
      <c r="A31" s="39">
        <v>46080.689976851849</v>
      </c>
      <c r="B31" s="33">
        <v>4334226481</v>
      </c>
      <c r="C31" s="33" t="s">
        <v>44</v>
      </c>
      <c r="D31" s="33">
        <v>4430265054</v>
      </c>
      <c r="E31" s="33">
        <v>374</v>
      </c>
      <c r="F31" s="33">
        <v>279</v>
      </c>
      <c r="G31" s="33" t="s">
        <v>38</v>
      </c>
      <c r="H31" s="33" t="s">
        <v>3457</v>
      </c>
      <c r="I31" s="33" t="s">
        <v>39</v>
      </c>
      <c r="J31" s="33" t="s">
        <v>40</v>
      </c>
      <c r="K31" s="33" t="s">
        <v>41</v>
      </c>
    </row>
    <row r="32" spans="1:12" hidden="1" x14ac:dyDescent="0.3">
      <c r="A32" s="39">
        <v>46080.687743055554</v>
      </c>
      <c r="B32" s="33">
        <v>4439001698</v>
      </c>
      <c r="C32" s="33" t="s">
        <v>42</v>
      </c>
      <c r="D32" s="33">
        <v>4430265054</v>
      </c>
      <c r="E32" s="33">
        <v>2075</v>
      </c>
      <c r="F32" s="33">
        <v>2016</v>
      </c>
      <c r="G32" s="33" t="s">
        <v>38</v>
      </c>
      <c r="H32" s="33" t="s">
        <v>3458</v>
      </c>
      <c r="I32" s="33" t="s">
        <v>39</v>
      </c>
      <c r="J32" s="33" t="s">
        <v>40</v>
      </c>
      <c r="K32" s="33" t="s">
        <v>41</v>
      </c>
      <c r="L32" s="33">
        <v>5</v>
      </c>
    </row>
    <row r="33" spans="1:11" hidden="1" x14ac:dyDescent="0.3">
      <c r="A33" s="39">
        <v>46080.684606481482</v>
      </c>
      <c r="B33" s="33">
        <v>44999215148</v>
      </c>
      <c r="C33" s="33" t="s">
        <v>42</v>
      </c>
      <c r="D33" s="33">
        <v>4430265054</v>
      </c>
      <c r="E33" s="33">
        <v>139</v>
      </c>
      <c r="F33" s="33">
        <v>44</v>
      </c>
      <c r="G33" s="33" t="s">
        <v>38</v>
      </c>
      <c r="H33" s="33" t="s">
        <v>3459</v>
      </c>
      <c r="I33" s="33" t="s">
        <v>39</v>
      </c>
      <c r="J33" s="33" t="s">
        <v>40</v>
      </c>
      <c r="K33" s="33" t="s">
        <v>41</v>
      </c>
    </row>
    <row r="34" spans="1:11" hidden="1" x14ac:dyDescent="0.3">
      <c r="A34" s="39">
        <v>46080.681967592594</v>
      </c>
      <c r="B34" s="33">
        <v>44999215148</v>
      </c>
      <c r="C34" s="33" t="s">
        <v>37</v>
      </c>
      <c r="D34" s="33">
        <v>4430265054</v>
      </c>
      <c r="E34" s="33">
        <v>155</v>
      </c>
      <c r="F34" s="33">
        <v>132</v>
      </c>
      <c r="G34" s="33" t="s">
        <v>38</v>
      </c>
      <c r="H34" s="33" t="s">
        <v>3460</v>
      </c>
      <c r="I34" s="33" t="s">
        <v>39</v>
      </c>
      <c r="J34" s="33" t="s">
        <v>40</v>
      </c>
      <c r="K34" s="33" t="s">
        <v>41</v>
      </c>
    </row>
    <row r="35" spans="1:11" hidden="1" x14ac:dyDescent="0.3">
      <c r="A35" s="39">
        <v>46080.678194444445</v>
      </c>
      <c r="B35" s="33" t="s">
        <v>43</v>
      </c>
      <c r="C35" s="33">
        <v>44988067937</v>
      </c>
      <c r="E35" s="33">
        <v>39</v>
      </c>
      <c r="F35" s="33">
        <v>0</v>
      </c>
      <c r="G35" s="33" t="s">
        <v>47</v>
      </c>
      <c r="H35" s="33" t="s">
        <v>5108</v>
      </c>
      <c r="I35" s="33" t="s">
        <v>46</v>
      </c>
      <c r="J35" s="33" t="s">
        <v>40</v>
      </c>
    </row>
    <row r="36" spans="1:11" hidden="1" x14ac:dyDescent="0.3">
      <c r="A36" s="39">
        <v>46080.678124999999</v>
      </c>
      <c r="B36" s="33" t="s">
        <v>43</v>
      </c>
      <c r="C36" s="33">
        <v>44988067937</v>
      </c>
      <c r="E36" s="33">
        <v>5</v>
      </c>
      <c r="F36" s="33">
        <v>0</v>
      </c>
      <c r="G36" s="33" t="s">
        <v>47</v>
      </c>
      <c r="H36" s="33" t="s">
        <v>5109</v>
      </c>
      <c r="I36" s="33" t="s">
        <v>46</v>
      </c>
      <c r="J36" s="33" t="s">
        <v>40</v>
      </c>
    </row>
    <row r="37" spans="1:11" hidden="1" x14ac:dyDescent="0.3">
      <c r="A37" s="39">
        <v>46080.675555555557</v>
      </c>
      <c r="B37" s="33">
        <v>12997220975</v>
      </c>
      <c r="C37" s="33" t="s">
        <v>44</v>
      </c>
      <c r="D37" s="33">
        <v>4430265054</v>
      </c>
      <c r="E37" s="33">
        <v>506</v>
      </c>
      <c r="F37" s="33">
        <v>424</v>
      </c>
      <c r="G37" s="33" t="s">
        <v>38</v>
      </c>
      <c r="H37" s="33" t="s">
        <v>3461</v>
      </c>
      <c r="I37" s="33" t="s">
        <v>39</v>
      </c>
      <c r="J37" s="33" t="s">
        <v>40</v>
      </c>
      <c r="K37" s="33" t="s">
        <v>41</v>
      </c>
    </row>
    <row r="38" spans="1:11" hidden="1" x14ac:dyDescent="0.3">
      <c r="A38" s="39">
        <v>46080.671990740739</v>
      </c>
      <c r="B38" s="33">
        <v>6234347959</v>
      </c>
      <c r="C38" s="33" t="s">
        <v>42</v>
      </c>
      <c r="D38" s="33">
        <v>4430265054</v>
      </c>
      <c r="E38" s="33">
        <v>724</v>
      </c>
      <c r="F38" s="33">
        <v>588</v>
      </c>
      <c r="G38" s="33" t="s">
        <v>38</v>
      </c>
      <c r="H38" s="33" t="s">
        <v>3462</v>
      </c>
      <c r="I38" s="33" t="s">
        <v>39</v>
      </c>
      <c r="J38" s="33" t="s">
        <v>40</v>
      </c>
      <c r="K38" s="33" t="s">
        <v>41</v>
      </c>
    </row>
    <row r="39" spans="1:11" hidden="1" x14ac:dyDescent="0.3">
      <c r="A39" s="39">
        <v>46080.671689814815</v>
      </c>
      <c r="B39" s="33">
        <v>4134348913</v>
      </c>
      <c r="C39" s="33">
        <v>4531273172</v>
      </c>
      <c r="D39" s="33">
        <v>4531273172</v>
      </c>
      <c r="E39" s="33">
        <v>9</v>
      </c>
      <c r="F39" s="33">
        <v>8</v>
      </c>
      <c r="G39" s="33" t="s">
        <v>3449</v>
      </c>
      <c r="H39" s="33" t="s">
        <v>5110</v>
      </c>
      <c r="I39" s="33" t="s">
        <v>39</v>
      </c>
      <c r="J39" s="33" t="s">
        <v>3451</v>
      </c>
    </row>
    <row r="40" spans="1:11" hidden="1" x14ac:dyDescent="0.3">
      <c r="A40" s="39">
        <v>46080.664907407408</v>
      </c>
      <c r="B40" s="33">
        <v>4432325260</v>
      </c>
      <c r="C40" s="33">
        <v>4430265054</v>
      </c>
      <c r="D40" s="33">
        <v>4430265054</v>
      </c>
      <c r="E40" s="33">
        <v>6</v>
      </c>
      <c r="F40" s="33">
        <v>6</v>
      </c>
      <c r="G40" s="33" t="s">
        <v>3449</v>
      </c>
      <c r="H40" s="33" t="s">
        <v>5111</v>
      </c>
      <c r="I40" s="33" t="s">
        <v>39</v>
      </c>
      <c r="J40" s="33" t="s">
        <v>3451</v>
      </c>
    </row>
    <row r="41" spans="1:11" hidden="1" x14ac:dyDescent="0.3">
      <c r="A41" s="39">
        <v>46080.664571759262</v>
      </c>
      <c r="B41" s="33">
        <v>4430145172</v>
      </c>
      <c r="C41" s="33" t="s">
        <v>48</v>
      </c>
      <c r="D41" s="33">
        <v>4430265054</v>
      </c>
      <c r="E41" s="33">
        <v>367</v>
      </c>
      <c r="F41" s="33">
        <v>335</v>
      </c>
      <c r="G41" s="33" t="s">
        <v>38</v>
      </c>
      <c r="H41" s="33" t="s">
        <v>3463</v>
      </c>
      <c r="I41" s="33" t="s">
        <v>39</v>
      </c>
      <c r="J41" s="33" t="s">
        <v>40</v>
      </c>
      <c r="K41" s="33" t="s">
        <v>41</v>
      </c>
    </row>
    <row r="42" spans="1:11" hidden="1" x14ac:dyDescent="0.3">
      <c r="A42" s="39">
        <v>46080.664282407408</v>
      </c>
      <c r="B42" s="33">
        <v>4436311970</v>
      </c>
      <c r="C42" s="33" t="s">
        <v>45</v>
      </c>
      <c r="D42" s="33">
        <v>4430265054</v>
      </c>
      <c r="E42" s="33">
        <v>585</v>
      </c>
      <c r="F42" s="33">
        <v>490</v>
      </c>
      <c r="G42" s="33" t="s">
        <v>38</v>
      </c>
      <c r="H42" s="33" t="s">
        <v>3464</v>
      </c>
      <c r="I42" s="33" t="s">
        <v>39</v>
      </c>
      <c r="J42" s="33" t="s">
        <v>40</v>
      </c>
      <c r="K42" s="33" t="s">
        <v>41</v>
      </c>
    </row>
    <row r="43" spans="1:11" hidden="1" x14ac:dyDescent="0.3">
      <c r="A43" s="39">
        <v>46080.664120370369</v>
      </c>
      <c r="B43" s="33">
        <v>4436372125</v>
      </c>
      <c r="C43" s="33">
        <v>4430265054</v>
      </c>
      <c r="D43" s="33">
        <v>4430265054</v>
      </c>
      <c r="E43" s="33">
        <v>4</v>
      </c>
      <c r="F43" s="33">
        <v>3</v>
      </c>
      <c r="G43" s="33" t="s">
        <v>3449</v>
      </c>
      <c r="H43" s="33" t="s">
        <v>5112</v>
      </c>
      <c r="I43" s="33" t="s">
        <v>39</v>
      </c>
      <c r="J43" s="33" t="s">
        <v>3451</v>
      </c>
    </row>
    <row r="44" spans="1:11" hidden="1" x14ac:dyDescent="0.3">
      <c r="A44" s="39">
        <v>46080.662048611113</v>
      </c>
      <c r="B44" s="33">
        <v>4430284942</v>
      </c>
      <c r="C44" s="33" t="s">
        <v>43</v>
      </c>
      <c r="D44" s="33">
        <v>4430265054</v>
      </c>
      <c r="E44" s="33">
        <v>1213</v>
      </c>
      <c r="F44" s="33">
        <v>1137</v>
      </c>
      <c r="G44" s="33" t="s">
        <v>38</v>
      </c>
      <c r="H44" s="33" t="s">
        <v>3465</v>
      </c>
      <c r="I44" s="33" t="s">
        <v>39</v>
      </c>
      <c r="J44" s="33" t="s">
        <v>40</v>
      </c>
      <c r="K44" s="33" t="s">
        <v>41</v>
      </c>
    </row>
    <row r="45" spans="1:11" hidden="1" x14ac:dyDescent="0.3">
      <c r="A45" s="39">
        <v>46080.661365740743</v>
      </c>
      <c r="B45" s="33">
        <v>43999388040</v>
      </c>
      <c r="C45" s="33" t="s">
        <v>45</v>
      </c>
      <c r="D45" s="33">
        <v>4430265054</v>
      </c>
      <c r="E45" s="33">
        <v>292</v>
      </c>
      <c r="F45" s="33">
        <v>230</v>
      </c>
      <c r="G45" s="33" t="s">
        <v>38</v>
      </c>
      <c r="H45" s="33" t="s">
        <v>3466</v>
      </c>
      <c r="I45" s="33" t="s">
        <v>39</v>
      </c>
      <c r="J45" s="33" t="s">
        <v>40</v>
      </c>
      <c r="K45" s="33" t="s">
        <v>41</v>
      </c>
    </row>
    <row r="46" spans="1:11" hidden="1" x14ac:dyDescent="0.3">
      <c r="A46" s="39">
        <v>46080.647499999999</v>
      </c>
      <c r="B46" s="33">
        <v>4121170382</v>
      </c>
      <c r="C46" s="33">
        <v>4531273154</v>
      </c>
      <c r="D46" s="33">
        <v>4531273154</v>
      </c>
      <c r="E46" s="33">
        <v>9</v>
      </c>
      <c r="F46" s="33">
        <v>8</v>
      </c>
      <c r="G46" s="33" t="s">
        <v>3449</v>
      </c>
      <c r="H46" s="33" t="s">
        <v>5113</v>
      </c>
      <c r="I46" s="33" t="s">
        <v>39</v>
      </c>
      <c r="J46" s="33" t="s">
        <v>3451</v>
      </c>
    </row>
    <row r="47" spans="1:11" hidden="1" x14ac:dyDescent="0.3">
      <c r="A47" s="39">
        <v>46080.64671296296</v>
      </c>
      <c r="B47" s="33">
        <v>44991381017</v>
      </c>
      <c r="C47" s="33" t="s">
        <v>43</v>
      </c>
      <c r="D47" s="33">
        <v>4430265054</v>
      </c>
      <c r="E47" s="33">
        <v>506</v>
      </c>
      <c r="F47" s="33">
        <v>422</v>
      </c>
      <c r="G47" s="33" t="s">
        <v>38</v>
      </c>
      <c r="H47" s="33" t="s">
        <v>3467</v>
      </c>
      <c r="I47" s="33" t="s">
        <v>39</v>
      </c>
      <c r="J47" s="33" t="s">
        <v>40</v>
      </c>
      <c r="K47" s="33" t="s">
        <v>41</v>
      </c>
    </row>
    <row r="48" spans="1:11" hidden="1" x14ac:dyDescent="0.3">
      <c r="A48" s="39">
        <v>46080.645439814813</v>
      </c>
      <c r="B48" s="33">
        <v>44999976008</v>
      </c>
      <c r="C48" s="33" t="s">
        <v>48</v>
      </c>
      <c r="D48" s="33">
        <v>4430265054</v>
      </c>
      <c r="E48" s="33">
        <v>192</v>
      </c>
      <c r="F48" s="33">
        <v>151</v>
      </c>
      <c r="G48" s="33" t="s">
        <v>38</v>
      </c>
      <c r="H48" s="33" t="s">
        <v>3468</v>
      </c>
      <c r="I48" s="33" t="s">
        <v>39</v>
      </c>
      <c r="J48" s="33" t="s">
        <v>40</v>
      </c>
      <c r="K48" s="33" t="s">
        <v>41</v>
      </c>
    </row>
    <row r="49" spans="1:12" hidden="1" x14ac:dyDescent="0.3">
      <c r="A49" s="39">
        <v>46080.644259259258</v>
      </c>
      <c r="B49" s="33" t="s">
        <v>3627</v>
      </c>
      <c r="C49" s="33">
        <v>48991419713</v>
      </c>
      <c r="E49" s="33">
        <v>17</v>
      </c>
      <c r="F49" s="33">
        <v>10</v>
      </c>
      <c r="G49" s="33" t="s">
        <v>38</v>
      </c>
      <c r="H49" s="33" t="s">
        <v>5114</v>
      </c>
      <c r="I49" s="33" t="s">
        <v>46</v>
      </c>
      <c r="J49" s="33" t="s">
        <v>3629</v>
      </c>
    </row>
    <row r="50" spans="1:12" hidden="1" x14ac:dyDescent="0.3">
      <c r="A50" s="39">
        <v>46080.643599537034</v>
      </c>
      <c r="B50" s="33">
        <v>6234347959</v>
      </c>
      <c r="C50" s="33" t="s">
        <v>45</v>
      </c>
      <c r="D50" s="33">
        <v>4430265054</v>
      </c>
      <c r="E50" s="33">
        <v>782</v>
      </c>
      <c r="F50" s="33">
        <v>747</v>
      </c>
      <c r="G50" s="33" t="s">
        <v>38</v>
      </c>
      <c r="H50" s="33" t="s">
        <v>3469</v>
      </c>
      <c r="I50" s="33" t="s">
        <v>39</v>
      </c>
      <c r="J50" s="33" t="s">
        <v>40</v>
      </c>
      <c r="K50" s="33" t="s">
        <v>41</v>
      </c>
    </row>
    <row r="51" spans="1:12" x14ac:dyDescent="0.3">
      <c r="A51" s="39">
        <v>46080.642650462964</v>
      </c>
      <c r="B51" s="33">
        <v>11998030658</v>
      </c>
      <c r="C51" s="33" t="s">
        <v>44</v>
      </c>
      <c r="D51" s="33">
        <v>4430265054</v>
      </c>
      <c r="E51" s="33">
        <v>2063</v>
      </c>
      <c r="F51" s="33">
        <v>2045</v>
      </c>
      <c r="G51" s="33" t="s">
        <v>38</v>
      </c>
      <c r="H51" s="33" t="s">
        <v>3470</v>
      </c>
      <c r="I51" s="33" t="s">
        <v>39</v>
      </c>
      <c r="J51" s="33" t="s">
        <v>40</v>
      </c>
      <c r="K51" s="33" t="s">
        <v>41</v>
      </c>
      <c r="L51" s="33">
        <v>5</v>
      </c>
    </row>
    <row r="52" spans="1:12" hidden="1" x14ac:dyDescent="0.3">
      <c r="A52" s="39">
        <v>46080.642557870371</v>
      </c>
      <c r="B52" s="33">
        <v>4121170361</v>
      </c>
      <c r="C52" s="33">
        <v>4531273168</v>
      </c>
      <c r="D52" s="33">
        <v>4531273168</v>
      </c>
      <c r="E52" s="33">
        <v>8</v>
      </c>
      <c r="F52" s="33">
        <v>8</v>
      </c>
      <c r="G52" s="33" t="s">
        <v>3449</v>
      </c>
      <c r="H52" s="33" t="s">
        <v>5115</v>
      </c>
      <c r="I52" s="33" t="s">
        <v>39</v>
      </c>
      <c r="J52" s="33" t="s">
        <v>3451</v>
      </c>
    </row>
    <row r="53" spans="1:12" hidden="1" x14ac:dyDescent="0.3">
      <c r="A53" s="39">
        <v>46080.641331018516</v>
      </c>
      <c r="B53" s="33" t="s">
        <v>3627</v>
      </c>
      <c r="C53" s="33">
        <v>51995152660</v>
      </c>
      <c r="E53" s="33">
        <v>6</v>
      </c>
      <c r="F53" s="33">
        <v>0</v>
      </c>
      <c r="G53" s="33" t="s">
        <v>47</v>
      </c>
      <c r="H53" s="33" t="s">
        <v>5116</v>
      </c>
      <c r="I53" s="33" t="s">
        <v>46</v>
      </c>
      <c r="J53" s="33" t="s">
        <v>3629</v>
      </c>
    </row>
    <row r="54" spans="1:12" hidden="1" x14ac:dyDescent="0.3">
      <c r="A54" s="39">
        <v>46080.64099537037</v>
      </c>
      <c r="B54" s="33">
        <v>44991388221</v>
      </c>
      <c r="C54" s="33" t="s">
        <v>42</v>
      </c>
      <c r="D54" s="33">
        <v>4430265054</v>
      </c>
      <c r="E54" s="33">
        <v>894</v>
      </c>
      <c r="F54" s="33">
        <v>871</v>
      </c>
      <c r="G54" s="33" t="s">
        <v>38</v>
      </c>
      <c r="H54" s="33" t="s">
        <v>3471</v>
      </c>
      <c r="I54" s="33" t="s">
        <v>39</v>
      </c>
      <c r="J54" s="33" t="s">
        <v>40</v>
      </c>
      <c r="K54" s="33" t="s">
        <v>41</v>
      </c>
      <c r="L54" s="33">
        <v>5</v>
      </c>
    </row>
    <row r="55" spans="1:12" hidden="1" x14ac:dyDescent="0.3">
      <c r="A55" s="39">
        <v>46080.639236111114</v>
      </c>
      <c r="B55" s="33">
        <v>11916079448</v>
      </c>
      <c r="C55" s="33" t="s">
        <v>37</v>
      </c>
      <c r="D55" s="33">
        <v>4430265054</v>
      </c>
      <c r="E55" s="33">
        <v>2452</v>
      </c>
      <c r="F55" s="33">
        <v>2333</v>
      </c>
      <c r="G55" s="33" t="s">
        <v>38</v>
      </c>
      <c r="H55" s="33" t="s">
        <v>3472</v>
      </c>
      <c r="I55" s="33" t="s">
        <v>39</v>
      </c>
      <c r="J55" s="33" t="s">
        <v>40</v>
      </c>
      <c r="K55" s="33" t="s">
        <v>41</v>
      </c>
      <c r="L55" s="33">
        <v>5</v>
      </c>
    </row>
    <row r="56" spans="1:12" hidden="1" x14ac:dyDescent="0.3">
      <c r="A56" s="39">
        <v>46080.639155092591</v>
      </c>
      <c r="B56" s="33" t="s">
        <v>43</v>
      </c>
      <c r="C56" s="33">
        <v>4430162376</v>
      </c>
      <c r="E56" s="33">
        <v>670</v>
      </c>
      <c r="F56" s="33">
        <v>656</v>
      </c>
      <c r="G56" s="33" t="s">
        <v>38</v>
      </c>
      <c r="H56" s="33" t="s">
        <v>5117</v>
      </c>
      <c r="I56" s="33" t="s">
        <v>46</v>
      </c>
      <c r="J56" s="33" t="s">
        <v>40</v>
      </c>
    </row>
    <row r="57" spans="1:12" hidden="1" x14ac:dyDescent="0.3">
      <c r="A57" s="39">
        <v>46080.636666666665</v>
      </c>
      <c r="B57" s="33" t="s">
        <v>3627</v>
      </c>
      <c r="C57" s="33">
        <v>1136702200</v>
      </c>
      <c r="E57" s="33">
        <v>34</v>
      </c>
      <c r="F57" s="33">
        <v>32</v>
      </c>
      <c r="G57" s="33" t="s">
        <v>38</v>
      </c>
      <c r="H57" s="33" t="s">
        <v>5118</v>
      </c>
      <c r="I57" s="33" t="s">
        <v>46</v>
      </c>
      <c r="J57" s="33" t="s">
        <v>3629</v>
      </c>
    </row>
    <row r="58" spans="1:12" hidden="1" x14ac:dyDescent="0.3">
      <c r="A58" s="39">
        <v>46080.636608796296</v>
      </c>
      <c r="B58" s="33" t="s">
        <v>43</v>
      </c>
      <c r="C58" s="33">
        <v>4430284942</v>
      </c>
      <c r="E58" s="33">
        <v>63</v>
      </c>
      <c r="F58" s="33">
        <v>51</v>
      </c>
      <c r="G58" s="33" t="s">
        <v>38</v>
      </c>
      <c r="H58" s="33" t="s">
        <v>5119</v>
      </c>
      <c r="I58" s="33" t="s">
        <v>46</v>
      </c>
      <c r="J58" s="33" t="s">
        <v>40</v>
      </c>
    </row>
    <row r="59" spans="1:12" hidden="1" x14ac:dyDescent="0.3">
      <c r="A59" s="39">
        <v>46080.630509259259</v>
      </c>
      <c r="B59" s="33">
        <v>47999760576</v>
      </c>
      <c r="C59" s="33" t="s">
        <v>42</v>
      </c>
      <c r="D59" s="33">
        <v>4430265054</v>
      </c>
      <c r="E59" s="33">
        <v>161</v>
      </c>
      <c r="F59" s="33">
        <v>47</v>
      </c>
      <c r="G59" s="33" t="s">
        <v>38</v>
      </c>
      <c r="H59" s="33" t="s">
        <v>3473</v>
      </c>
      <c r="I59" s="33" t="s">
        <v>39</v>
      </c>
      <c r="J59" s="33" t="s">
        <v>40</v>
      </c>
      <c r="K59" s="33" t="s">
        <v>41</v>
      </c>
    </row>
    <row r="60" spans="1:12" hidden="1" x14ac:dyDescent="0.3">
      <c r="A60" s="39">
        <v>46080.630497685182</v>
      </c>
      <c r="B60" s="33" t="s">
        <v>45</v>
      </c>
      <c r="C60" s="33">
        <v>47999760576</v>
      </c>
      <c r="E60" s="33">
        <v>587</v>
      </c>
      <c r="F60" s="33">
        <v>571</v>
      </c>
      <c r="G60" s="33" t="s">
        <v>38</v>
      </c>
      <c r="H60" s="33" t="s">
        <v>5120</v>
      </c>
      <c r="I60" s="33" t="s">
        <v>46</v>
      </c>
      <c r="J60" s="33" t="s">
        <v>40</v>
      </c>
      <c r="L60" s="33">
        <v>5</v>
      </c>
    </row>
    <row r="61" spans="1:12" hidden="1" x14ac:dyDescent="0.3">
      <c r="A61" s="39">
        <v>46080.630289351851</v>
      </c>
      <c r="B61" s="33" t="s">
        <v>3627</v>
      </c>
      <c r="C61" s="33">
        <v>64981293787</v>
      </c>
      <c r="E61" s="33">
        <v>14</v>
      </c>
      <c r="F61" s="33">
        <v>3</v>
      </c>
      <c r="G61" s="33" t="s">
        <v>38</v>
      </c>
      <c r="H61" s="33" t="s">
        <v>5121</v>
      </c>
      <c r="I61" s="33" t="s">
        <v>46</v>
      </c>
      <c r="J61" s="33" t="s">
        <v>3629</v>
      </c>
    </row>
    <row r="62" spans="1:12" hidden="1" x14ac:dyDescent="0.3">
      <c r="A62" s="39">
        <v>46080.629131944443</v>
      </c>
      <c r="B62" s="33">
        <v>4124410566</v>
      </c>
      <c r="C62" s="33">
        <v>4430265054</v>
      </c>
      <c r="D62" s="33">
        <v>4430265054</v>
      </c>
      <c r="E62" s="33">
        <v>6</v>
      </c>
      <c r="F62" s="33">
        <v>5</v>
      </c>
      <c r="G62" s="33" t="s">
        <v>3449</v>
      </c>
      <c r="H62" s="33" t="s">
        <v>5122</v>
      </c>
      <c r="I62" s="33" t="s">
        <v>39</v>
      </c>
      <c r="J62" s="33" t="s">
        <v>3451</v>
      </c>
    </row>
    <row r="63" spans="1:12" hidden="1" x14ac:dyDescent="0.3">
      <c r="A63" s="39">
        <v>46080.627222222225</v>
      </c>
      <c r="B63" s="33">
        <v>47999760576</v>
      </c>
      <c r="C63" s="33" t="s">
        <v>45</v>
      </c>
      <c r="D63" s="33">
        <v>4430265054</v>
      </c>
      <c r="E63" s="33">
        <v>270</v>
      </c>
      <c r="F63" s="33">
        <v>211</v>
      </c>
      <c r="G63" s="33" t="s">
        <v>38</v>
      </c>
      <c r="H63" s="33" t="s">
        <v>3474</v>
      </c>
      <c r="I63" s="33" t="s">
        <v>39</v>
      </c>
      <c r="J63" s="33" t="s">
        <v>40</v>
      </c>
      <c r="K63" s="33" t="s">
        <v>41</v>
      </c>
    </row>
    <row r="64" spans="1:12" hidden="1" x14ac:dyDescent="0.3">
      <c r="A64" s="39">
        <v>46080.62599537037</v>
      </c>
      <c r="B64" s="33">
        <v>4430279000</v>
      </c>
      <c r="C64" s="33" t="s">
        <v>42</v>
      </c>
      <c r="D64" s="33">
        <v>4430265054</v>
      </c>
      <c r="E64" s="33">
        <v>257</v>
      </c>
      <c r="F64" s="33">
        <v>234</v>
      </c>
      <c r="G64" s="33" t="s">
        <v>38</v>
      </c>
      <c r="H64" s="33" t="s">
        <v>3475</v>
      </c>
      <c r="I64" s="33" t="s">
        <v>39</v>
      </c>
      <c r="J64" s="33" t="s">
        <v>40</v>
      </c>
      <c r="K64" s="33" t="s">
        <v>41</v>
      </c>
    </row>
    <row r="65" spans="1:12" hidden="1" x14ac:dyDescent="0.3">
      <c r="A65" s="39">
        <v>46080.624189814815</v>
      </c>
      <c r="B65" s="33" t="s">
        <v>37</v>
      </c>
      <c r="C65" s="33">
        <v>4430315534</v>
      </c>
      <c r="E65" s="33">
        <v>466</v>
      </c>
      <c r="F65" s="33">
        <v>445</v>
      </c>
      <c r="G65" s="33" t="s">
        <v>38</v>
      </c>
      <c r="H65" s="33" t="s">
        <v>5123</v>
      </c>
      <c r="I65" s="33" t="s">
        <v>46</v>
      </c>
      <c r="J65" s="33" t="s">
        <v>40</v>
      </c>
    </row>
    <row r="66" spans="1:12" hidden="1" x14ac:dyDescent="0.3">
      <c r="A66" s="39">
        <v>46080.624108796299</v>
      </c>
      <c r="B66" s="33" t="s">
        <v>37</v>
      </c>
      <c r="C66" s="33">
        <v>4430315534</v>
      </c>
      <c r="E66" s="33">
        <v>5</v>
      </c>
      <c r="F66" s="33">
        <v>0</v>
      </c>
      <c r="G66" s="33" t="s">
        <v>47</v>
      </c>
      <c r="H66" s="33" t="s">
        <v>5124</v>
      </c>
      <c r="I66" s="33" t="s">
        <v>46</v>
      </c>
      <c r="J66" s="33" t="s">
        <v>40</v>
      </c>
    </row>
    <row r="67" spans="1:12" hidden="1" x14ac:dyDescent="0.3">
      <c r="A67" s="39">
        <v>46080.623206018521</v>
      </c>
      <c r="B67" s="33" t="s">
        <v>3627</v>
      </c>
      <c r="C67" s="33">
        <v>21998526496</v>
      </c>
      <c r="E67" s="33">
        <v>30</v>
      </c>
      <c r="F67" s="33">
        <v>11</v>
      </c>
      <c r="G67" s="33" t="s">
        <v>38</v>
      </c>
      <c r="H67" s="33" t="s">
        <v>5125</v>
      </c>
      <c r="I67" s="33" t="s">
        <v>46</v>
      </c>
      <c r="J67" s="33" t="s">
        <v>3629</v>
      </c>
    </row>
    <row r="68" spans="1:12" hidden="1" x14ac:dyDescent="0.3">
      <c r="A68" s="39">
        <v>46080.619606481479</v>
      </c>
      <c r="B68" s="33" t="s">
        <v>48</v>
      </c>
      <c r="C68" s="33">
        <v>4430182968</v>
      </c>
      <c r="E68" s="33">
        <v>55</v>
      </c>
      <c r="F68" s="33">
        <v>46</v>
      </c>
      <c r="G68" s="33" t="s">
        <v>38</v>
      </c>
      <c r="H68" s="33" t="s">
        <v>5126</v>
      </c>
      <c r="I68" s="33" t="s">
        <v>46</v>
      </c>
      <c r="J68" s="33" t="s">
        <v>40</v>
      </c>
    </row>
    <row r="69" spans="1:12" hidden="1" x14ac:dyDescent="0.3">
      <c r="A69" s="39">
        <v>46080.618587962963</v>
      </c>
      <c r="B69" s="33">
        <v>4430315534</v>
      </c>
      <c r="C69" s="33" t="s">
        <v>37</v>
      </c>
      <c r="D69" s="33">
        <v>4430265054</v>
      </c>
      <c r="E69" s="33">
        <v>446</v>
      </c>
      <c r="F69" s="33">
        <v>423</v>
      </c>
      <c r="G69" s="33" t="s">
        <v>38</v>
      </c>
      <c r="H69" s="33" t="s">
        <v>3476</v>
      </c>
      <c r="I69" s="33" t="s">
        <v>39</v>
      </c>
      <c r="J69" s="33" t="s">
        <v>40</v>
      </c>
      <c r="K69" s="33" t="s">
        <v>41</v>
      </c>
    </row>
    <row r="70" spans="1:12" hidden="1" x14ac:dyDescent="0.3">
      <c r="A70" s="39">
        <v>46080.618414351855</v>
      </c>
      <c r="B70" s="33" t="s">
        <v>48</v>
      </c>
      <c r="C70" s="33">
        <v>4430195866</v>
      </c>
      <c r="E70" s="33">
        <v>3</v>
      </c>
      <c r="F70" s="33">
        <v>0</v>
      </c>
      <c r="G70" s="33" t="s">
        <v>47</v>
      </c>
      <c r="H70" s="33" t="s">
        <v>5127</v>
      </c>
      <c r="I70" s="33" t="s">
        <v>46</v>
      </c>
      <c r="J70" s="33" t="s">
        <v>40</v>
      </c>
    </row>
    <row r="71" spans="1:12" hidden="1" x14ac:dyDescent="0.3">
      <c r="A71" s="39">
        <v>46080.616203703707</v>
      </c>
      <c r="B71" s="33">
        <v>43999317663</v>
      </c>
      <c r="C71" s="33" t="s">
        <v>44</v>
      </c>
      <c r="D71" s="33">
        <v>4430265054</v>
      </c>
      <c r="E71" s="33">
        <v>111</v>
      </c>
      <c r="F71" s="33">
        <v>74</v>
      </c>
      <c r="G71" s="33" t="s">
        <v>38</v>
      </c>
      <c r="H71" s="33" t="s">
        <v>3477</v>
      </c>
      <c r="I71" s="33" t="s">
        <v>39</v>
      </c>
      <c r="J71" s="33" t="s">
        <v>40</v>
      </c>
      <c r="K71" s="33" t="s">
        <v>41</v>
      </c>
    </row>
    <row r="72" spans="1:12" hidden="1" x14ac:dyDescent="0.3">
      <c r="A72" s="39">
        <v>46080.613796296297</v>
      </c>
      <c r="B72" s="33">
        <v>4134348917</v>
      </c>
      <c r="C72" s="33">
        <v>4531273171</v>
      </c>
      <c r="D72" s="33">
        <v>4531273171</v>
      </c>
      <c r="E72" s="33">
        <v>9</v>
      </c>
      <c r="F72" s="33">
        <v>8</v>
      </c>
      <c r="G72" s="33" t="s">
        <v>3449</v>
      </c>
      <c r="H72" s="33" t="s">
        <v>5128</v>
      </c>
      <c r="I72" s="33" t="s">
        <v>39</v>
      </c>
      <c r="J72" s="33" t="s">
        <v>3451</v>
      </c>
    </row>
    <row r="73" spans="1:12" hidden="1" x14ac:dyDescent="0.3">
      <c r="A73" s="39">
        <v>46080.61378472222</v>
      </c>
      <c r="B73" s="33">
        <v>44991388221</v>
      </c>
      <c r="C73" s="33" t="s">
        <v>45</v>
      </c>
      <c r="D73" s="33">
        <v>4430265054</v>
      </c>
      <c r="E73" s="33">
        <v>571</v>
      </c>
      <c r="F73" s="33">
        <v>520</v>
      </c>
      <c r="G73" s="33" t="s">
        <v>38</v>
      </c>
      <c r="H73" s="33" t="s">
        <v>3478</v>
      </c>
      <c r="I73" s="33" t="s">
        <v>39</v>
      </c>
      <c r="J73" s="33" t="s">
        <v>40</v>
      </c>
      <c r="K73" s="33" t="s">
        <v>41</v>
      </c>
      <c r="L73" s="33">
        <v>5</v>
      </c>
    </row>
    <row r="74" spans="1:12" hidden="1" x14ac:dyDescent="0.3">
      <c r="A74" s="39">
        <v>46080.611747685187</v>
      </c>
      <c r="B74" s="33">
        <v>44991566223</v>
      </c>
      <c r="C74" s="33" t="s">
        <v>43</v>
      </c>
      <c r="D74" s="33">
        <v>4430265054</v>
      </c>
      <c r="E74" s="33">
        <v>1476</v>
      </c>
      <c r="F74" s="33">
        <v>1412</v>
      </c>
      <c r="G74" s="33" t="s">
        <v>38</v>
      </c>
      <c r="H74" s="33" t="s">
        <v>3479</v>
      </c>
      <c r="I74" s="33" t="s">
        <v>39</v>
      </c>
      <c r="J74" s="33" t="s">
        <v>40</v>
      </c>
      <c r="K74" s="33" t="s">
        <v>41</v>
      </c>
    </row>
    <row r="75" spans="1:12" hidden="1" x14ac:dyDescent="0.3">
      <c r="A75" s="39">
        <v>46080.605729166666</v>
      </c>
      <c r="B75" s="33">
        <v>1143744993</v>
      </c>
      <c r="C75" s="33" t="s">
        <v>45</v>
      </c>
      <c r="D75" s="33">
        <v>4431268225</v>
      </c>
      <c r="E75" s="33">
        <v>306</v>
      </c>
      <c r="F75" s="33">
        <v>282</v>
      </c>
      <c r="G75" s="33" t="s">
        <v>38</v>
      </c>
      <c r="H75" s="33" t="s">
        <v>3480</v>
      </c>
      <c r="I75" s="33" t="s">
        <v>39</v>
      </c>
      <c r="J75" s="33" t="s">
        <v>40</v>
      </c>
      <c r="K75" s="33" t="s">
        <v>41</v>
      </c>
    </row>
    <row r="76" spans="1:12" hidden="1" x14ac:dyDescent="0.3">
      <c r="A76" s="39">
        <v>46080.599687499998</v>
      </c>
      <c r="B76" s="33">
        <v>11968566553</v>
      </c>
      <c r="C76" s="33" t="s">
        <v>44</v>
      </c>
      <c r="D76" s="33">
        <v>4431268225</v>
      </c>
      <c r="E76" s="33">
        <v>113</v>
      </c>
      <c r="F76" s="33">
        <v>74</v>
      </c>
      <c r="G76" s="33" t="s">
        <v>38</v>
      </c>
      <c r="H76" s="33" t="s">
        <v>3481</v>
      </c>
      <c r="I76" s="33" t="s">
        <v>39</v>
      </c>
      <c r="J76" s="33" t="s">
        <v>40</v>
      </c>
      <c r="K76" s="33" t="s">
        <v>41</v>
      </c>
    </row>
    <row r="77" spans="1:12" hidden="1" x14ac:dyDescent="0.3">
      <c r="A77" s="39">
        <v>46080.598877314813</v>
      </c>
      <c r="B77" s="33" t="s">
        <v>48</v>
      </c>
      <c r="C77" s="33">
        <v>15997113760</v>
      </c>
      <c r="E77" s="33">
        <v>332</v>
      </c>
      <c r="F77" s="33">
        <v>319</v>
      </c>
      <c r="G77" s="33" t="s">
        <v>38</v>
      </c>
      <c r="H77" s="33" t="s">
        <v>5129</v>
      </c>
      <c r="I77" s="33" t="s">
        <v>46</v>
      </c>
      <c r="J77" s="33" t="s">
        <v>40</v>
      </c>
    </row>
    <row r="78" spans="1:12" hidden="1" x14ac:dyDescent="0.3">
      <c r="A78" s="39">
        <v>46080.597951388889</v>
      </c>
      <c r="B78" s="33">
        <v>64992243831</v>
      </c>
      <c r="C78" s="33" t="s">
        <v>37</v>
      </c>
      <c r="D78" s="33">
        <v>4430265054</v>
      </c>
      <c r="E78" s="33">
        <v>731</v>
      </c>
      <c r="F78" s="33">
        <v>677</v>
      </c>
      <c r="G78" s="33" t="s">
        <v>38</v>
      </c>
      <c r="H78" s="33" t="s">
        <v>3482</v>
      </c>
      <c r="I78" s="33" t="s">
        <v>39</v>
      </c>
      <c r="J78" s="33" t="s">
        <v>40</v>
      </c>
      <c r="K78" s="33" t="s">
        <v>41</v>
      </c>
      <c r="L78" s="33">
        <v>5</v>
      </c>
    </row>
    <row r="79" spans="1:12" hidden="1" x14ac:dyDescent="0.3">
      <c r="A79" s="39">
        <v>46080.597349537034</v>
      </c>
      <c r="B79" s="33">
        <v>4121170324</v>
      </c>
      <c r="C79" s="33">
        <v>4431268238</v>
      </c>
      <c r="D79" s="33">
        <v>4431268238</v>
      </c>
      <c r="E79" s="33">
        <v>8</v>
      </c>
      <c r="F79" s="33">
        <v>8</v>
      </c>
      <c r="G79" s="33" t="s">
        <v>3449</v>
      </c>
      <c r="H79" s="33" t="s">
        <v>5130</v>
      </c>
      <c r="I79" s="33" t="s">
        <v>39</v>
      </c>
      <c r="J79" s="33" t="s">
        <v>3451</v>
      </c>
    </row>
    <row r="80" spans="1:12" hidden="1" x14ac:dyDescent="0.3">
      <c r="A80" s="39">
        <v>46080.594270833331</v>
      </c>
      <c r="B80" s="33" t="s">
        <v>42</v>
      </c>
      <c r="C80" s="33">
        <v>6434533677</v>
      </c>
      <c r="E80" s="33">
        <v>2072</v>
      </c>
      <c r="F80" s="33">
        <v>2066</v>
      </c>
      <c r="G80" s="33" t="s">
        <v>38</v>
      </c>
      <c r="H80" s="33" t="s">
        <v>5131</v>
      </c>
      <c r="I80" s="33" t="s">
        <v>46</v>
      </c>
      <c r="J80" s="33" t="s">
        <v>40</v>
      </c>
      <c r="L80" s="33">
        <v>5</v>
      </c>
    </row>
    <row r="81" spans="1:11" hidden="1" x14ac:dyDescent="0.3">
      <c r="A81" s="39">
        <v>46080.594166666669</v>
      </c>
      <c r="B81" s="33">
        <v>44999629349</v>
      </c>
      <c r="C81" s="33" t="s">
        <v>43</v>
      </c>
      <c r="D81" s="33">
        <v>4430265054</v>
      </c>
      <c r="E81" s="33">
        <v>922</v>
      </c>
      <c r="F81" s="33">
        <v>858</v>
      </c>
      <c r="G81" s="33" t="s">
        <v>38</v>
      </c>
      <c r="H81" s="33" t="s">
        <v>3483</v>
      </c>
      <c r="I81" s="33" t="s">
        <v>39</v>
      </c>
      <c r="J81" s="33" t="s">
        <v>40</v>
      </c>
      <c r="K81" s="33" t="s">
        <v>41</v>
      </c>
    </row>
    <row r="82" spans="1:11" hidden="1" x14ac:dyDescent="0.3">
      <c r="A82" s="39">
        <v>46080.591562499998</v>
      </c>
      <c r="B82" s="33">
        <v>44999689445</v>
      </c>
      <c r="C82" s="33" t="s">
        <v>44</v>
      </c>
      <c r="D82" s="33">
        <v>4430265054</v>
      </c>
      <c r="E82" s="33">
        <v>398</v>
      </c>
      <c r="F82" s="33">
        <v>359</v>
      </c>
      <c r="G82" s="33" t="s">
        <v>38</v>
      </c>
      <c r="H82" s="33" t="s">
        <v>3484</v>
      </c>
      <c r="I82" s="33" t="s">
        <v>39</v>
      </c>
      <c r="J82" s="33" t="s">
        <v>40</v>
      </c>
      <c r="K82" s="33" t="s">
        <v>41</v>
      </c>
    </row>
    <row r="83" spans="1:11" hidden="1" x14ac:dyDescent="0.3">
      <c r="A83" s="39">
        <v>46080.584629629629</v>
      </c>
      <c r="B83" s="33">
        <v>44999387742</v>
      </c>
      <c r="C83" s="33" t="s">
        <v>45</v>
      </c>
      <c r="D83" s="33">
        <v>4430265054</v>
      </c>
      <c r="E83" s="33">
        <v>625</v>
      </c>
      <c r="F83" s="33">
        <v>595</v>
      </c>
      <c r="G83" s="33" t="s">
        <v>38</v>
      </c>
      <c r="H83" s="33" t="s">
        <v>3485</v>
      </c>
      <c r="I83" s="33" t="s">
        <v>39</v>
      </c>
      <c r="J83" s="33" t="s">
        <v>40</v>
      </c>
      <c r="K83" s="33" t="s">
        <v>41</v>
      </c>
    </row>
    <row r="84" spans="1:11" hidden="1" x14ac:dyDescent="0.3">
      <c r="A84" s="39">
        <v>46080.583472222221</v>
      </c>
      <c r="B84" s="33" t="s">
        <v>37</v>
      </c>
      <c r="C84" s="33">
        <v>44999938742</v>
      </c>
      <c r="E84" s="33">
        <v>7</v>
      </c>
      <c r="F84" s="33">
        <v>0</v>
      </c>
      <c r="G84" s="33" t="s">
        <v>47</v>
      </c>
      <c r="H84" s="33" t="s">
        <v>5132</v>
      </c>
      <c r="I84" s="33" t="s">
        <v>46</v>
      </c>
      <c r="J84" s="33" t="s">
        <v>40</v>
      </c>
    </row>
    <row r="85" spans="1:11" hidden="1" x14ac:dyDescent="0.3">
      <c r="A85" s="39">
        <v>46080.583298611113</v>
      </c>
      <c r="B85" s="33" t="s">
        <v>37</v>
      </c>
      <c r="C85" s="33">
        <v>44999938742</v>
      </c>
      <c r="E85" s="33">
        <v>8</v>
      </c>
      <c r="F85" s="33">
        <v>0</v>
      </c>
      <c r="G85" s="33" t="s">
        <v>47</v>
      </c>
      <c r="H85" s="33" t="s">
        <v>5133</v>
      </c>
      <c r="I85" s="33" t="s">
        <v>46</v>
      </c>
      <c r="J85" s="33" t="s">
        <v>40</v>
      </c>
    </row>
    <row r="86" spans="1:11" hidden="1" x14ac:dyDescent="0.3">
      <c r="A86" s="39">
        <v>46080.583113425928</v>
      </c>
      <c r="B86" s="33" t="s">
        <v>37</v>
      </c>
      <c r="C86" s="33">
        <v>44999938742</v>
      </c>
      <c r="E86" s="33">
        <v>6</v>
      </c>
      <c r="F86" s="33">
        <v>0</v>
      </c>
      <c r="G86" s="33" t="s">
        <v>47</v>
      </c>
      <c r="H86" s="33" t="s">
        <v>5134</v>
      </c>
      <c r="I86" s="33" t="s">
        <v>46</v>
      </c>
      <c r="J86" s="33" t="s">
        <v>40</v>
      </c>
    </row>
    <row r="87" spans="1:11" hidden="1" x14ac:dyDescent="0.3">
      <c r="A87" s="39">
        <v>46080.582986111112</v>
      </c>
      <c r="B87" s="33" t="s">
        <v>37</v>
      </c>
      <c r="C87" s="33">
        <v>44999938742</v>
      </c>
      <c r="E87" s="33">
        <v>16</v>
      </c>
      <c r="F87" s="33">
        <v>12</v>
      </c>
      <c r="G87" s="33" t="s">
        <v>38</v>
      </c>
      <c r="H87" s="33" t="s">
        <v>5135</v>
      </c>
      <c r="I87" s="33" t="s">
        <v>46</v>
      </c>
      <c r="J87" s="33" t="s">
        <v>40</v>
      </c>
    </row>
    <row r="88" spans="1:11" hidden="1" x14ac:dyDescent="0.3">
      <c r="A88" s="39">
        <v>46080.582106481481</v>
      </c>
      <c r="B88" s="33" t="s">
        <v>37</v>
      </c>
      <c r="C88" s="33">
        <v>44999676705</v>
      </c>
      <c r="E88" s="33">
        <v>45</v>
      </c>
      <c r="F88" s="33">
        <v>21</v>
      </c>
      <c r="G88" s="33" t="s">
        <v>38</v>
      </c>
      <c r="H88" s="33" t="s">
        <v>5136</v>
      </c>
      <c r="I88" s="33" t="s">
        <v>46</v>
      </c>
      <c r="J88" s="33" t="s">
        <v>40</v>
      </c>
    </row>
    <row r="89" spans="1:11" hidden="1" x14ac:dyDescent="0.3">
      <c r="A89" s="39">
        <v>46080.578981481478</v>
      </c>
      <c r="B89" s="33" t="s">
        <v>48</v>
      </c>
      <c r="C89" s="33">
        <v>12997346335</v>
      </c>
      <c r="E89" s="33">
        <v>1622</v>
      </c>
      <c r="F89" s="33">
        <v>1610</v>
      </c>
      <c r="G89" s="33" t="s">
        <v>38</v>
      </c>
      <c r="H89" s="33" t="s">
        <v>5137</v>
      </c>
      <c r="I89" s="33" t="s">
        <v>46</v>
      </c>
      <c r="J89" s="33" t="s">
        <v>40</v>
      </c>
    </row>
    <row r="90" spans="1:11" hidden="1" x14ac:dyDescent="0.3">
      <c r="A90" s="39">
        <v>46080.576874999999</v>
      </c>
      <c r="B90" s="33" t="s">
        <v>48</v>
      </c>
      <c r="C90" s="33">
        <v>12997346335</v>
      </c>
      <c r="E90" s="33">
        <v>142</v>
      </c>
      <c r="F90" s="33">
        <v>131</v>
      </c>
      <c r="G90" s="33" t="s">
        <v>38</v>
      </c>
      <c r="H90" s="33" t="s">
        <v>5138</v>
      </c>
      <c r="I90" s="33" t="s">
        <v>46</v>
      </c>
      <c r="J90" s="33" t="s">
        <v>40</v>
      </c>
    </row>
    <row r="91" spans="1:11" hidden="1" x14ac:dyDescent="0.3">
      <c r="A91" s="39">
        <v>46080.576840277776</v>
      </c>
      <c r="B91" s="33" t="s">
        <v>3627</v>
      </c>
      <c r="C91" s="33">
        <v>68999256881</v>
      </c>
      <c r="E91" s="33">
        <v>19</v>
      </c>
      <c r="F91" s="33">
        <v>7</v>
      </c>
      <c r="G91" s="33" t="s">
        <v>38</v>
      </c>
      <c r="H91" s="33" t="s">
        <v>5139</v>
      </c>
      <c r="I91" s="33" t="s">
        <v>46</v>
      </c>
      <c r="J91" s="33" t="s">
        <v>3629</v>
      </c>
    </row>
    <row r="92" spans="1:11" hidden="1" x14ac:dyDescent="0.3">
      <c r="A92" s="39">
        <v>46080.576828703706</v>
      </c>
      <c r="B92" s="33" t="s">
        <v>43</v>
      </c>
      <c r="C92" s="33">
        <v>4432265534</v>
      </c>
      <c r="E92" s="33">
        <v>230</v>
      </c>
      <c r="F92" s="33">
        <v>219</v>
      </c>
      <c r="G92" s="33" t="s">
        <v>38</v>
      </c>
      <c r="H92" s="33" t="s">
        <v>5140</v>
      </c>
      <c r="I92" s="33" t="s">
        <v>46</v>
      </c>
      <c r="J92" s="33" t="s">
        <v>40</v>
      </c>
    </row>
    <row r="93" spans="1:11" hidden="1" x14ac:dyDescent="0.3">
      <c r="A93" s="39">
        <v>46080.573865740742</v>
      </c>
      <c r="B93" s="33" t="s">
        <v>43</v>
      </c>
      <c r="C93" s="33">
        <v>4432265534</v>
      </c>
      <c r="E93" s="33">
        <v>184</v>
      </c>
      <c r="F93" s="33">
        <v>163</v>
      </c>
      <c r="G93" s="33" t="s">
        <v>38</v>
      </c>
      <c r="H93" s="33" t="s">
        <v>5141</v>
      </c>
      <c r="I93" s="33" t="s">
        <v>46</v>
      </c>
      <c r="J93" s="33" t="s">
        <v>40</v>
      </c>
    </row>
    <row r="94" spans="1:11" hidden="1" x14ac:dyDescent="0.3">
      <c r="A94" s="39">
        <v>46080.573796296296</v>
      </c>
      <c r="B94" s="33" t="s">
        <v>43</v>
      </c>
      <c r="C94" s="33">
        <v>4432265534</v>
      </c>
      <c r="E94" s="33">
        <v>5</v>
      </c>
      <c r="F94" s="33">
        <v>0</v>
      </c>
      <c r="G94" s="33" t="s">
        <v>47</v>
      </c>
      <c r="H94" s="33" t="s">
        <v>5142</v>
      </c>
      <c r="I94" s="33" t="s">
        <v>46</v>
      </c>
      <c r="J94" s="33" t="s">
        <v>40</v>
      </c>
    </row>
    <row r="95" spans="1:11" hidden="1" x14ac:dyDescent="0.3">
      <c r="A95" s="39">
        <v>46080.573611111111</v>
      </c>
      <c r="B95" s="33" t="s">
        <v>3627</v>
      </c>
      <c r="C95" s="33">
        <v>22998879389</v>
      </c>
      <c r="E95" s="33">
        <v>17</v>
      </c>
      <c r="F95" s="33">
        <v>7</v>
      </c>
      <c r="G95" s="33" t="s">
        <v>38</v>
      </c>
      <c r="H95" s="33" t="s">
        <v>5143</v>
      </c>
      <c r="I95" s="33" t="s">
        <v>46</v>
      </c>
      <c r="J95" s="33" t="s">
        <v>3629</v>
      </c>
    </row>
    <row r="96" spans="1:11" hidden="1" x14ac:dyDescent="0.3">
      <c r="A96" s="39">
        <v>46080.571840277778</v>
      </c>
      <c r="B96" s="33">
        <v>12997346335</v>
      </c>
      <c r="C96" s="33" t="s">
        <v>48</v>
      </c>
      <c r="D96" s="33">
        <v>4430265054</v>
      </c>
      <c r="E96" s="33">
        <v>326</v>
      </c>
      <c r="F96" s="33">
        <v>219</v>
      </c>
      <c r="G96" s="33" t="s">
        <v>38</v>
      </c>
      <c r="H96" s="33" t="s">
        <v>3486</v>
      </c>
      <c r="I96" s="33" t="s">
        <v>39</v>
      </c>
      <c r="J96" s="33" t="s">
        <v>40</v>
      </c>
      <c r="K96" s="33" t="s">
        <v>41</v>
      </c>
    </row>
    <row r="97" spans="1:12" hidden="1" x14ac:dyDescent="0.3">
      <c r="A97" s="39">
        <v>46080.566527777781</v>
      </c>
      <c r="B97" s="33">
        <v>44999689445</v>
      </c>
      <c r="C97" s="33" t="s">
        <v>44</v>
      </c>
      <c r="D97" s="33">
        <v>4430265054</v>
      </c>
      <c r="E97" s="33">
        <v>1081</v>
      </c>
      <c r="F97" s="33">
        <v>1032</v>
      </c>
      <c r="G97" s="33" t="s">
        <v>38</v>
      </c>
      <c r="H97" s="33" t="s">
        <v>3487</v>
      </c>
      <c r="I97" s="33" t="s">
        <v>39</v>
      </c>
      <c r="J97" s="33" t="s">
        <v>40</v>
      </c>
      <c r="K97" s="33" t="s">
        <v>41</v>
      </c>
    </row>
    <row r="98" spans="1:12" hidden="1" x14ac:dyDescent="0.3">
      <c r="A98" s="39">
        <v>46080.565347222226</v>
      </c>
      <c r="B98" s="33" t="s">
        <v>48</v>
      </c>
      <c r="C98" s="33">
        <v>15997113760</v>
      </c>
      <c r="E98" s="33">
        <v>115</v>
      </c>
      <c r="F98" s="33">
        <v>93</v>
      </c>
      <c r="G98" s="33" t="s">
        <v>38</v>
      </c>
      <c r="H98" s="33" t="s">
        <v>5144</v>
      </c>
      <c r="I98" s="33" t="s">
        <v>46</v>
      </c>
      <c r="J98" s="33" t="s">
        <v>40</v>
      </c>
    </row>
    <row r="99" spans="1:12" hidden="1" x14ac:dyDescent="0.3">
      <c r="A99" s="39">
        <v>46080.562881944446</v>
      </c>
      <c r="B99" s="33">
        <v>4432265534</v>
      </c>
      <c r="C99" s="33" t="s">
        <v>45</v>
      </c>
      <c r="D99" s="33">
        <v>4430265054</v>
      </c>
      <c r="E99" s="33">
        <v>420</v>
      </c>
      <c r="F99" s="33">
        <v>344</v>
      </c>
      <c r="G99" s="33" t="s">
        <v>38</v>
      </c>
      <c r="H99" s="33" t="s">
        <v>3488</v>
      </c>
      <c r="I99" s="33" t="s">
        <v>39</v>
      </c>
      <c r="J99" s="33" t="s">
        <v>40</v>
      </c>
      <c r="K99" s="33" t="s">
        <v>41</v>
      </c>
    </row>
    <row r="100" spans="1:12" hidden="1" x14ac:dyDescent="0.3">
      <c r="A100" s="39">
        <v>46080.492337962962</v>
      </c>
      <c r="B100" s="33">
        <v>4134348940</v>
      </c>
      <c r="C100" s="33">
        <v>4531273172</v>
      </c>
      <c r="D100" s="33">
        <v>4531273172</v>
      </c>
      <c r="E100" s="33">
        <v>9</v>
      </c>
      <c r="F100" s="33">
        <v>8</v>
      </c>
      <c r="G100" s="33" t="s">
        <v>3449</v>
      </c>
      <c r="H100" s="33" t="s">
        <v>5145</v>
      </c>
      <c r="I100" s="33" t="s">
        <v>39</v>
      </c>
      <c r="J100" s="33" t="s">
        <v>3451</v>
      </c>
    </row>
    <row r="101" spans="1:12" hidden="1" x14ac:dyDescent="0.3">
      <c r="A101" s="39">
        <v>46080.489965277775</v>
      </c>
      <c r="B101" s="33">
        <v>44998636008</v>
      </c>
      <c r="C101" s="33" t="s">
        <v>44</v>
      </c>
      <c r="D101" s="33">
        <v>4430265054</v>
      </c>
      <c r="E101" s="33">
        <v>207</v>
      </c>
      <c r="F101" s="33">
        <v>100</v>
      </c>
      <c r="G101" s="33" t="s">
        <v>38</v>
      </c>
      <c r="H101" s="33" t="s">
        <v>3489</v>
      </c>
      <c r="I101" s="33" t="s">
        <v>39</v>
      </c>
      <c r="J101" s="33" t="s">
        <v>40</v>
      </c>
      <c r="K101" s="33" t="s">
        <v>41</v>
      </c>
    </row>
    <row r="102" spans="1:12" hidden="1" x14ac:dyDescent="0.3">
      <c r="A102" s="39">
        <v>46080.488506944443</v>
      </c>
      <c r="B102" s="33">
        <v>44998636008</v>
      </c>
      <c r="C102" s="33">
        <v>4430265054</v>
      </c>
      <c r="D102" s="33">
        <v>4430265054</v>
      </c>
      <c r="E102" s="33">
        <v>65</v>
      </c>
      <c r="F102" s="33">
        <v>65</v>
      </c>
      <c r="G102" s="33" t="s">
        <v>3449</v>
      </c>
      <c r="H102" s="33" t="s">
        <v>3490</v>
      </c>
      <c r="I102" s="33" t="s">
        <v>39</v>
      </c>
      <c r="J102" s="33" t="s">
        <v>3451</v>
      </c>
      <c r="K102" s="33" t="s">
        <v>41</v>
      </c>
    </row>
    <row r="103" spans="1:12" hidden="1" x14ac:dyDescent="0.3">
      <c r="A103" s="39">
        <v>46080.48846064815</v>
      </c>
      <c r="B103" s="33" t="s">
        <v>3627</v>
      </c>
      <c r="C103" s="33">
        <v>6436411331</v>
      </c>
      <c r="E103" s="33">
        <v>10</v>
      </c>
      <c r="F103" s="33">
        <v>0</v>
      </c>
      <c r="G103" s="33" t="s">
        <v>47</v>
      </c>
      <c r="H103" s="33" t="s">
        <v>5146</v>
      </c>
      <c r="I103" s="33" t="s">
        <v>46</v>
      </c>
      <c r="J103" s="33" t="s">
        <v>3629</v>
      </c>
    </row>
    <row r="104" spans="1:12" hidden="1" x14ac:dyDescent="0.3">
      <c r="A104" s="39">
        <v>46080.486388888887</v>
      </c>
      <c r="B104" s="33">
        <v>6234347959</v>
      </c>
      <c r="C104" s="33" t="s">
        <v>45</v>
      </c>
      <c r="D104" s="33">
        <v>4430265054</v>
      </c>
      <c r="E104" s="33">
        <v>393</v>
      </c>
      <c r="F104" s="33">
        <v>312</v>
      </c>
      <c r="G104" s="33" t="s">
        <v>38</v>
      </c>
      <c r="H104" s="33" t="s">
        <v>3491</v>
      </c>
      <c r="I104" s="33" t="s">
        <v>39</v>
      </c>
      <c r="J104" s="33" t="s">
        <v>40</v>
      </c>
      <c r="K104" s="33" t="s">
        <v>41</v>
      </c>
    </row>
    <row r="105" spans="1:12" hidden="1" x14ac:dyDescent="0.3">
      <c r="A105" s="39">
        <v>46080.481238425928</v>
      </c>
      <c r="B105" s="33">
        <v>4121170324</v>
      </c>
      <c r="C105" s="33">
        <v>4531273154</v>
      </c>
      <c r="D105" s="33">
        <v>4531273154</v>
      </c>
      <c r="E105" s="33">
        <v>9</v>
      </c>
      <c r="F105" s="33">
        <v>8</v>
      </c>
      <c r="G105" s="33" t="s">
        <v>3449</v>
      </c>
      <c r="H105" s="33" t="s">
        <v>5147</v>
      </c>
      <c r="I105" s="33" t="s">
        <v>39</v>
      </c>
      <c r="J105" s="33" t="s">
        <v>3451</v>
      </c>
    </row>
    <row r="106" spans="1:12" hidden="1" x14ac:dyDescent="0.3">
      <c r="A106" s="39">
        <v>46080.478993055556</v>
      </c>
      <c r="B106" s="33">
        <v>11990144272</v>
      </c>
      <c r="C106" s="33" t="s">
        <v>37</v>
      </c>
      <c r="D106" s="33">
        <v>4431268225</v>
      </c>
      <c r="E106" s="33">
        <v>259</v>
      </c>
      <c r="F106" s="33">
        <v>196</v>
      </c>
      <c r="G106" s="33" t="s">
        <v>38</v>
      </c>
      <c r="H106" s="33" t="s">
        <v>3492</v>
      </c>
      <c r="I106" s="33" t="s">
        <v>39</v>
      </c>
      <c r="J106" s="33" t="s">
        <v>40</v>
      </c>
      <c r="K106" s="33" t="s">
        <v>41</v>
      </c>
      <c r="L106" s="33">
        <v>5</v>
      </c>
    </row>
    <row r="107" spans="1:12" hidden="1" x14ac:dyDescent="0.3">
      <c r="A107" s="39">
        <v>46080.477743055555</v>
      </c>
      <c r="B107" s="33">
        <v>45999334612</v>
      </c>
      <c r="C107" s="33" t="s">
        <v>45</v>
      </c>
      <c r="D107" s="33">
        <v>4430265054</v>
      </c>
      <c r="E107" s="33">
        <v>406</v>
      </c>
      <c r="F107" s="33">
        <v>377</v>
      </c>
      <c r="G107" s="33" t="s">
        <v>38</v>
      </c>
      <c r="H107" s="33" t="s">
        <v>3493</v>
      </c>
      <c r="I107" s="33" t="s">
        <v>39</v>
      </c>
      <c r="J107" s="33" t="s">
        <v>40</v>
      </c>
      <c r="K107" s="33" t="s">
        <v>41</v>
      </c>
      <c r="L107" s="33">
        <v>5</v>
      </c>
    </row>
    <row r="108" spans="1:12" hidden="1" x14ac:dyDescent="0.3">
      <c r="A108" s="39">
        <v>46080.466435185182</v>
      </c>
      <c r="B108" s="33" t="s">
        <v>45</v>
      </c>
      <c r="C108" s="33">
        <v>4436249360</v>
      </c>
      <c r="E108" s="33">
        <v>353</v>
      </c>
      <c r="F108" s="33">
        <v>336</v>
      </c>
      <c r="G108" s="33" t="s">
        <v>38</v>
      </c>
      <c r="H108" s="33" t="s">
        <v>5148</v>
      </c>
      <c r="I108" s="33" t="s">
        <v>46</v>
      </c>
      <c r="J108" s="33" t="s">
        <v>40</v>
      </c>
    </row>
    <row r="109" spans="1:12" hidden="1" x14ac:dyDescent="0.3">
      <c r="A109" s="39">
        <v>46080.466377314813</v>
      </c>
      <c r="B109" s="33" t="s">
        <v>45</v>
      </c>
      <c r="C109" s="33">
        <v>4436249360</v>
      </c>
      <c r="E109" s="33">
        <v>3</v>
      </c>
      <c r="F109" s="33">
        <v>0</v>
      </c>
      <c r="G109" s="33" t="s">
        <v>47</v>
      </c>
      <c r="H109" s="33" t="s">
        <v>5149</v>
      </c>
      <c r="I109" s="33" t="s">
        <v>46</v>
      </c>
      <c r="J109" s="33" t="s">
        <v>40</v>
      </c>
    </row>
    <row r="110" spans="1:12" hidden="1" x14ac:dyDescent="0.3">
      <c r="A110" s="39">
        <v>46080.464837962965</v>
      </c>
      <c r="B110" s="33">
        <v>4436351835</v>
      </c>
      <c r="C110" s="33" t="s">
        <v>42</v>
      </c>
      <c r="D110" s="33">
        <v>4430265054</v>
      </c>
      <c r="E110" s="33">
        <v>562</v>
      </c>
      <c r="F110" s="33">
        <v>449</v>
      </c>
      <c r="G110" s="33" t="s">
        <v>38</v>
      </c>
      <c r="H110" s="33" t="s">
        <v>3494</v>
      </c>
      <c r="I110" s="33" t="s">
        <v>39</v>
      </c>
      <c r="J110" s="33" t="s">
        <v>40</v>
      </c>
      <c r="K110" s="33" t="s">
        <v>41</v>
      </c>
      <c r="L110" s="33">
        <v>5</v>
      </c>
    </row>
    <row r="111" spans="1:12" hidden="1" x14ac:dyDescent="0.3">
      <c r="A111" s="39">
        <v>46080.459780092591</v>
      </c>
      <c r="B111" s="33">
        <v>17981577787</v>
      </c>
      <c r="C111" s="33">
        <v>4430265054</v>
      </c>
      <c r="D111" s="33">
        <v>4430265054</v>
      </c>
      <c r="E111" s="33">
        <v>43</v>
      </c>
      <c r="F111" s="33">
        <v>43</v>
      </c>
      <c r="G111" s="33" t="s">
        <v>3449</v>
      </c>
      <c r="H111" s="33" t="s">
        <v>3495</v>
      </c>
      <c r="I111" s="33" t="s">
        <v>39</v>
      </c>
      <c r="J111" s="33" t="s">
        <v>3451</v>
      </c>
      <c r="K111" s="33" t="s">
        <v>41</v>
      </c>
    </row>
    <row r="112" spans="1:12" hidden="1" x14ac:dyDescent="0.3">
      <c r="A112" s="39">
        <v>46080.457627314812</v>
      </c>
      <c r="B112" s="33" t="s">
        <v>42</v>
      </c>
      <c r="C112" s="33">
        <v>4430141533</v>
      </c>
      <c r="E112" s="33">
        <v>1</v>
      </c>
      <c r="F112" s="33">
        <v>0</v>
      </c>
      <c r="G112" s="33" t="s">
        <v>47</v>
      </c>
      <c r="H112" s="33" t="s">
        <v>5150</v>
      </c>
      <c r="I112" s="33" t="s">
        <v>46</v>
      </c>
      <c r="J112" s="33" t="s">
        <v>40</v>
      </c>
    </row>
    <row r="113" spans="1:12" hidden="1" x14ac:dyDescent="0.3">
      <c r="A113" s="39">
        <v>46080.457546296297</v>
      </c>
      <c r="B113" s="33" t="s">
        <v>42</v>
      </c>
      <c r="C113" s="33">
        <v>4430141533</v>
      </c>
      <c r="E113" s="33">
        <v>1</v>
      </c>
      <c r="F113" s="33">
        <v>0</v>
      </c>
      <c r="G113" s="33" t="s">
        <v>47</v>
      </c>
      <c r="H113" s="33" t="s">
        <v>5151</v>
      </c>
      <c r="I113" s="33" t="s">
        <v>46</v>
      </c>
      <c r="J113" s="33" t="s">
        <v>40</v>
      </c>
    </row>
    <row r="114" spans="1:12" hidden="1" x14ac:dyDescent="0.3">
      <c r="A114" s="39">
        <v>46080.457476851851</v>
      </c>
      <c r="B114" s="33" t="s">
        <v>42</v>
      </c>
      <c r="C114" s="33">
        <v>4430141533</v>
      </c>
      <c r="E114" s="33">
        <v>3</v>
      </c>
      <c r="F114" s="33">
        <v>0</v>
      </c>
      <c r="G114" s="33" t="s">
        <v>47</v>
      </c>
      <c r="H114" s="33" t="s">
        <v>5152</v>
      </c>
      <c r="I114" s="33" t="s">
        <v>46</v>
      </c>
      <c r="J114" s="33" t="s">
        <v>40</v>
      </c>
    </row>
    <row r="115" spans="1:12" hidden="1" x14ac:dyDescent="0.3">
      <c r="A115" s="39">
        <v>46080.457465277781</v>
      </c>
      <c r="B115" s="33">
        <v>4430141533</v>
      </c>
      <c r="C115" s="33" t="s">
        <v>42</v>
      </c>
      <c r="D115" s="33">
        <v>4430265054</v>
      </c>
      <c r="E115" s="33">
        <v>215</v>
      </c>
      <c r="F115" s="33">
        <v>197</v>
      </c>
      <c r="G115" s="33" t="s">
        <v>38</v>
      </c>
      <c r="H115" s="33" t="s">
        <v>3496</v>
      </c>
      <c r="I115" s="33" t="s">
        <v>39</v>
      </c>
      <c r="J115" s="33" t="s">
        <v>40</v>
      </c>
      <c r="K115" s="33" t="s">
        <v>41</v>
      </c>
    </row>
    <row r="116" spans="1:12" hidden="1" x14ac:dyDescent="0.3">
      <c r="A116" s="39">
        <v>46080.456273148149</v>
      </c>
      <c r="B116" s="33">
        <v>4432269849</v>
      </c>
      <c r="C116" s="33" t="s">
        <v>43</v>
      </c>
      <c r="D116" s="33">
        <v>4430265054</v>
      </c>
      <c r="E116" s="33">
        <v>599</v>
      </c>
      <c r="F116" s="33">
        <v>556</v>
      </c>
      <c r="G116" s="33" t="s">
        <v>38</v>
      </c>
      <c r="H116" s="33" t="s">
        <v>3497</v>
      </c>
      <c r="I116" s="33" t="s">
        <v>39</v>
      </c>
      <c r="J116" s="33" t="s">
        <v>40</v>
      </c>
      <c r="K116" s="33" t="s">
        <v>41</v>
      </c>
      <c r="L116" s="33">
        <v>5</v>
      </c>
    </row>
    <row r="117" spans="1:12" hidden="1" x14ac:dyDescent="0.3">
      <c r="A117" s="39">
        <v>46080.455370370371</v>
      </c>
      <c r="B117" s="33">
        <v>4430318516</v>
      </c>
      <c r="C117" s="33" t="s">
        <v>37</v>
      </c>
      <c r="D117" s="33">
        <v>4430265054</v>
      </c>
      <c r="E117" s="33">
        <v>969</v>
      </c>
      <c r="F117" s="33">
        <v>881</v>
      </c>
      <c r="G117" s="33" t="s">
        <v>38</v>
      </c>
      <c r="H117" s="33" t="s">
        <v>3498</v>
      </c>
      <c r="I117" s="33" t="s">
        <v>39</v>
      </c>
      <c r="J117" s="33" t="s">
        <v>40</v>
      </c>
      <c r="K117" s="33" t="s">
        <v>41</v>
      </c>
      <c r="L117" s="33">
        <v>5</v>
      </c>
    </row>
    <row r="118" spans="1:12" hidden="1" x14ac:dyDescent="0.3">
      <c r="A118" s="39">
        <v>46080.455370370371</v>
      </c>
      <c r="B118" s="33">
        <v>4430141533</v>
      </c>
      <c r="C118" s="33" t="s">
        <v>42</v>
      </c>
      <c r="D118" s="33">
        <v>4430265054</v>
      </c>
      <c r="E118" s="33">
        <v>120</v>
      </c>
      <c r="F118" s="33">
        <v>99</v>
      </c>
      <c r="G118" s="33" t="s">
        <v>38</v>
      </c>
      <c r="H118" s="33" t="s">
        <v>3499</v>
      </c>
      <c r="I118" s="33" t="s">
        <v>39</v>
      </c>
      <c r="J118" s="33" t="s">
        <v>40</v>
      </c>
      <c r="K118" s="33" t="s">
        <v>41</v>
      </c>
    </row>
    <row r="119" spans="1:12" hidden="1" x14ac:dyDescent="0.3">
      <c r="A119" s="39">
        <v>46080.453680555554</v>
      </c>
      <c r="B119" s="33">
        <v>17981577787</v>
      </c>
      <c r="C119" s="33">
        <v>4430265054</v>
      </c>
      <c r="D119" s="33">
        <v>4430265054</v>
      </c>
      <c r="E119" s="33">
        <v>48</v>
      </c>
      <c r="F119" s="33">
        <v>47</v>
      </c>
      <c r="G119" s="33" t="s">
        <v>3449</v>
      </c>
      <c r="H119" s="33" t="s">
        <v>3500</v>
      </c>
      <c r="I119" s="33" t="s">
        <v>39</v>
      </c>
      <c r="J119" s="33" t="s">
        <v>3451</v>
      </c>
      <c r="K119" s="33" t="s">
        <v>41</v>
      </c>
    </row>
    <row r="120" spans="1:12" hidden="1" x14ac:dyDescent="0.3">
      <c r="A120" s="39">
        <v>46080.452025462961</v>
      </c>
      <c r="B120" s="33">
        <v>4334232912</v>
      </c>
      <c r="C120" s="33" t="s">
        <v>45</v>
      </c>
      <c r="D120" s="33">
        <v>4430265054</v>
      </c>
      <c r="E120" s="33">
        <v>825</v>
      </c>
      <c r="F120" s="33">
        <v>767</v>
      </c>
      <c r="G120" s="33" t="s">
        <v>38</v>
      </c>
      <c r="H120" s="33" t="s">
        <v>3501</v>
      </c>
      <c r="I120" s="33" t="s">
        <v>39</v>
      </c>
      <c r="J120" s="33" t="s">
        <v>40</v>
      </c>
      <c r="K120" s="33" t="s">
        <v>41</v>
      </c>
      <c r="L120" s="33">
        <v>5</v>
      </c>
    </row>
    <row r="121" spans="1:12" hidden="1" x14ac:dyDescent="0.3">
      <c r="A121" s="39">
        <v>46080.451504629629</v>
      </c>
      <c r="B121" s="33" t="s">
        <v>3627</v>
      </c>
      <c r="C121" s="33">
        <v>45988224299</v>
      </c>
      <c r="E121" s="33">
        <v>42</v>
      </c>
      <c r="F121" s="33">
        <v>3</v>
      </c>
      <c r="G121" s="33" t="s">
        <v>38</v>
      </c>
      <c r="H121" s="33" t="s">
        <v>5153</v>
      </c>
      <c r="I121" s="33" t="s">
        <v>46</v>
      </c>
      <c r="J121" s="33" t="s">
        <v>3629</v>
      </c>
    </row>
    <row r="122" spans="1:12" hidden="1" x14ac:dyDescent="0.3">
      <c r="A122" s="39">
        <v>46080.449652777781</v>
      </c>
      <c r="B122" s="33" t="s">
        <v>3627</v>
      </c>
      <c r="C122" s="33">
        <v>31999748670</v>
      </c>
      <c r="E122" s="33">
        <v>18</v>
      </c>
      <c r="F122" s="33">
        <v>9</v>
      </c>
      <c r="G122" s="33" t="s">
        <v>38</v>
      </c>
      <c r="H122" s="33" t="s">
        <v>5154</v>
      </c>
      <c r="I122" s="33" t="s">
        <v>46</v>
      </c>
      <c r="J122" s="33" t="s">
        <v>3629</v>
      </c>
    </row>
    <row r="123" spans="1:12" hidden="1" x14ac:dyDescent="0.3">
      <c r="A123" s="39">
        <v>46080.44872685185</v>
      </c>
      <c r="B123" s="33" t="s">
        <v>3627</v>
      </c>
      <c r="C123" s="33">
        <v>12996292210</v>
      </c>
      <c r="E123" s="33">
        <v>10</v>
      </c>
      <c r="F123" s="33">
        <v>0</v>
      </c>
      <c r="G123" s="33" t="s">
        <v>47</v>
      </c>
      <c r="H123" s="33" t="s">
        <v>5155</v>
      </c>
      <c r="I123" s="33" t="s">
        <v>46</v>
      </c>
      <c r="J123" s="33" t="s">
        <v>3629</v>
      </c>
    </row>
    <row r="124" spans="1:12" hidden="1" x14ac:dyDescent="0.3">
      <c r="A124" s="39">
        <v>46080.443761574075</v>
      </c>
      <c r="B124" s="33">
        <v>4121170385</v>
      </c>
      <c r="C124" s="33">
        <v>4531273168</v>
      </c>
      <c r="D124" s="33">
        <v>4531273168</v>
      </c>
      <c r="E124" s="33">
        <v>8</v>
      </c>
      <c r="F124" s="33">
        <v>8</v>
      </c>
      <c r="G124" s="33" t="s">
        <v>3449</v>
      </c>
      <c r="H124" s="33" t="s">
        <v>5156</v>
      </c>
      <c r="I124" s="33" t="s">
        <v>39</v>
      </c>
      <c r="J124" s="33" t="s">
        <v>3451</v>
      </c>
    </row>
    <row r="125" spans="1:12" hidden="1" x14ac:dyDescent="0.3">
      <c r="A125" s="39">
        <v>46080.438402777778</v>
      </c>
      <c r="B125" s="33" t="s">
        <v>3627</v>
      </c>
      <c r="C125" s="33">
        <v>51996844476</v>
      </c>
      <c r="E125" s="33">
        <v>22</v>
      </c>
      <c r="F125" s="33">
        <v>2</v>
      </c>
      <c r="G125" s="33" t="s">
        <v>38</v>
      </c>
      <c r="H125" s="33" t="s">
        <v>5157</v>
      </c>
      <c r="I125" s="33" t="s">
        <v>46</v>
      </c>
      <c r="J125" s="33" t="s">
        <v>3629</v>
      </c>
    </row>
    <row r="126" spans="1:12" hidden="1" x14ac:dyDescent="0.3">
      <c r="A126" s="39">
        <v>46080.434699074074</v>
      </c>
      <c r="B126" s="33">
        <v>4121170343</v>
      </c>
      <c r="C126" s="33">
        <v>4531273171</v>
      </c>
      <c r="D126" s="33">
        <v>4531273171</v>
      </c>
      <c r="E126" s="33">
        <v>9</v>
      </c>
      <c r="F126" s="33">
        <v>8</v>
      </c>
      <c r="G126" s="33" t="s">
        <v>3449</v>
      </c>
      <c r="H126" s="33" t="s">
        <v>5158</v>
      </c>
      <c r="I126" s="33" t="s">
        <v>39</v>
      </c>
      <c r="J126" s="33" t="s">
        <v>3451</v>
      </c>
    </row>
    <row r="127" spans="1:12" hidden="1" x14ac:dyDescent="0.3">
      <c r="A127" s="39">
        <v>46080.433564814812</v>
      </c>
      <c r="B127" s="33">
        <v>6234347959</v>
      </c>
      <c r="C127" s="33" t="s">
        <v>42</v>
      </c>
      <c r="D127" s="33">
        <v>4430265054</v>
      </c>
      <c r="E127" s="33">
        <v>340</v>
      </c>
      <c r="F127" s="33">
        <v>249</v>
      </c>
      <c r="G127" s="33" t="s">
        <v>38</v>
      </c>
      <c r="H127" s="33" t="s">
        <v>3502</v>
      </c>
      <c r="I127" s="33" t="s">
        <v>39</v>
      </c>
      <c r="J127" s="33" t="s">
        <v>40</v>
      </c>
      <c r="K127" s="33" t="s">
        <v>41</v>
      </c>
      <c r="L127" s="33">
        <v>5</v>
      </c>
    </row>
    <row r="128" spans="1:12" hidden="1" x14ac:dyDescent="0.3">
      <c r="A128" s="39">
        <v>46080.431967592594</v>
      </c>
      <c r="B128" s="33">
        <v>4121170361</v>
      </c>
      <c r="C128" s="33">
        <v>4431268238</v>
      </c>
      <c r="D128" s="33">
        <v>4431268238</v>
      </c>
      <c r="E128" s="33">
        <v>9</v>
      </c>
      <c r="F128" s="33">
        <v>8</v>
      </c>
      <c r="G128" s="33" t="s">
        <v>3449</v>
      </c>
      <c r="H128" s="33" t="s">
        <v>5159</v>
      </c>
      <c r="I128" s="33" t="s">
        <v>39</v>
      </c>
      <c r="J128" s="33" t="s">
        <v>3451</v>
      </c>
    </row>
    <row r="129" spans="1:11" hidden="1" x14ac:dyDescent="0.3">
      <c r="A129" s="39">
        <v>46080.431331018517</v>
      </c>
      <c r="B129" s="33" t="s">
        <v>37</v>
      </c>
      <c r="C129" s="33">
        <v>4434221055</v>
      </c>
      <c r="E129" s="33">
        <v>1017</v>
      </c>
      <c r="F129" s="33">
        <v>996</v>
      </c>
      <c r="G129" s="33" t="s">
        <v>38</v>
      </c>
      <c r="H129" s="33" t="s">
        <v>5160</v>
      </c>
      <c r="I129" s="33" t="s">
        <v>46</v>
      </c>
      <c r="J129" s="33" t="s">
        <v>40</v>
      </c>
    </row>
    <row r="130" spans="1:11" hidden="1" x14ac:dyDescent="0.3">
      <c r="A130" s="39">
        <v>46080.431261574071</v>
      </c>
      <c r="B130" s="33" t="s">
        <v>37</v>
      </c>
      <c r="C130" s="33">
        <v>4434221055</v>
      </c>
      <c r="E130" s="33">
        <v>3</v>
      </c>
      <c r="F130" s="33">
        <v>0</v>
      </c>
      <c r="G130" s="33" t="s">
        <v>47</v>
      </c>
      <c r="H130" s="33" t="s">
        <v>5161</v>
      </c>
      <c r="I130" s="33" t="s">
        <v>46</v>
      </c>
      <c r="J130" s="33" t="s">
        <v>40</v>
      </c>
    </row>
    <row r="131" spans="1:11" hidden="1" x14ac:dyDescent="0.3">
      <c r="A131" s="39">
        <v>46080.431041666663</v>
      </c>
      <c r="B131" s="33" t="s">
        <v>37</v>
      </c>
      <c r="C131" s="33">
        <v>4434221055</v>
      </c>
      <c r="E131" s="33">
        <v>3</v>
      </c>
      <c r="F131" s="33">
        <v>0</v>
      </c>
      <c r="G131" s="33" t="s">
        <v>47</v>
      </c>
      <c r="H131" s="33" t="s">
        <v>5162</v>
      </c>
      <c r="I131" s="33" t="s">
        <v>46</v>
      </c>
      <c r="J131" s="33" t="s">
        <v>40</v>
      </c>
    </row>
    <row r="132" spans="1:11" hidden="1" x14ac:dyDescent="0.3">
      <c r="A132" s="39">
        <v>46080.428541666668</v>
      </c>
      <c r="B132" s="33" t="s">
        <v>3627</v>
      </c>
      <c r="C132" s="33">
        <v>11965099613</v>
      </c>
      <c r="E132" s="33">
        <v>23</v>
      </c>
      <c r="F132" s="33">
        <v>0</v>
      </c>
      <c r="G132" s="33" t="s">
        <v>38</v>
      </c>
      <c r="H132" s="33" t="s">
        <v>5163</v>
      </c>
      <c r="I132" s="33" t="s">
        <v>46</v>
      </c>
      <c r="J132" s="33" t="s">
        <v>3629</v>
      </c>
    </row>
    <row r="133" spans="1:11" hidden="1" x14ac:dyDescent="0.3">
      <c r="A133" s="39">
        <v>46080.427800925929</v>
      </c>
      <c r="B133" s="33" t="s">
        <v>3627</v>
      </c>
      <c r="C133" s="33">
        <v>41987855658</v>
      </c>
      <c r="E133" s="33">
        <v>4</v>
      </c>
      <c r="F133" s="33">
        <v>0</v>
      </c>
      <c r="G133" s="33" t="s">
        <v>47</v>
      </c>
      <c r="H133" s="33" t="s">
        <v>5164</v>
      </c>
      <c r="I133" s="33" t="s">
        <v>46</v>
      </c>
      <c r="J133" s="33" t="s">
        <v>3629</v>
      </c>
    </row>
    <row r="134" spans="1:11" hidden="1" x14ac:dyDescent="0.3">
      <c r="A134" s="39">
        <v>46080.421180555553</v>
      </c>
      <c r="B134" s="33" t="s">
        <v>37</v>
      </c>
      <c r="C134" s="33">
        <v>4434221055</v>
      </c>
      <c r="E134" s="33">
        <v>4</v>
      </c>
      <c r="F134" s="33">
        <v>0</v>
      </c>
      <c r="G134" s="33" t="s">
        <v>47</v>
      </c>
      <c r="H134" s="33" t="s">
        <v>5165</v>
      </c>
      <c r="I134" s="33" t="s">
        <v>46</v>
      </c>
      <c r="J134" s="33" t="s">
        <v>40</v>
      </c>
    </row>
    <row r="135" spans="1:11" hidden="1" x14ac:dyDescent="0.3">
      <c r="A135" s="39">
        <v>46080.421053240738</v>
      </c>
      <c r="B135" s="33" t="s">
        <v>37</v>
      </c>
      <c r="C135" s="33">
        <v>44997571961</v>
      </c>
      <c r="E135" s="33">
        <v>4</v>
      </c>
      <c r="F135" s="33">
        <v>0</v>
      </c>
      <c r="G135" s="33" t="s">
        <v>47</v>
      </c>
      <c r="H135" s="33" t="s">
        <v>5166</v>
      </c>
      <c r="I135" s="33" t="s">
        <v>46</v>
      </c>
      <c r="J135" s="33" t="s">
        <v>40</v>
      </c>
    </row>
    <row r="136" spans="1:11" hidden="1" x14ac:dyDescent="0.3">
      <c r="A136" s="39">
        <v>46080.420671296299</v>
      </c>
      <c r="B136" s="33">
        <v>44991484476</v>
      </c>
      <c r="C136" s="33" t="s">
        <v>43</v>
      </c>
      <c r="D136" s="33">
        <v>4430265054</v>
      </c>
      <c r="E136" s="33">
        <v>236</v>
      </c>
      <c r="F136" s="33">
        <v>145</v>
      </c>
      <c r="G136" s="33" t="s">
        <v>38</v>
      </c>
      <c r="H136" s="33" t="s">
        <v>3503</v>
      </c>
      <c r="I136" s="33" t="s">
        <v>39</v>
      </c>
      <c r="J136" s="33" t="s">
        <v>40</v>
      </c>
      <c r="K136" s="33" t="s">
        <v>41</v>
      </c>
    </row>
    <row r="137" spans="1:11" hidden="1" x14ac:dyDescent="0.3">
      <c r="A137" s="39">
        <v>46080.419965277775</v>
      </c>
      <c r="B137" s="33" t="s">
        <v>37</v>
      </c>
      <c r="C137" s="33">
        <v>44997571961</v>
      </c>
      <c r="E137" s="33">
        <v>13</v>
      </c>
      <c r="F137" s="33">
        <v>0</v>
      </c>
      <c r="G137" s="33" t="s">
        <v>47</v>
      </c>
      <c r="H137" s="33" t="s">
        <v>5167</v>
      </c>
      <c r="I137" s="33" t="s">
        <v>46</v>
      </c>
      <c r="J137" s="33" t="s">
        <v>40</v>
      </c>
    </row>
    <row r="138" spans="1:11" hidden="1" x14ac:dyDescent="0.3">
      <c r="A138" s="39">
        <v>46080.419664351852</v>
      </c>
      <c r="B138" s="33" t="s">
        <v>37</v>
      </c>
      <c r="C138" s="33">
        <v>44997571961</v>
      </c>
      <c r="E138" s="33">
        <v>23</v>
      </c>
      <c r="F138" s="33">
        <v>0</v>
      </c>
      <c r="G138" s="33" t="s">
        <v>47</v>
      </c>
      <c r="H138" s="33" t="s">
        <v>5168</v>
      </c>
      <c r="I138" s="33" t="s">
        <v>46</v>
      </c>
      <c r="J138" s="33" t="s">
        <v>40</v>
      </c>
    </row>
    <row r="139" spans="1:11" hidden="1" x14ac:dyDescent="0.3">
      <c r="A139" s="39">
        <v>46080.419606481482</v>
      </c>
      <c r="B139" s="33" t="s">
        <v>37</v>
      </c>
      <c r="C139" s="33">
        <v>44997571961</v>
      </c>
      <c r="E139" s="33">
        <v>3</v>
      </c>
      <c r="F139" s="33">
        <v>0</v>
      </c>
      <c r="G139" s="33" t="s">
        <v>47</v>
      </c>
      <c r="H139" s="33" t="s">
        <v>5169</v>
      </c>
      <c r="I139" s="33" t="s">
        <v>46</v>
      </c>
      <c r="J139" s="33" t="s">
        <v>40</v>
      </c>
    </row>
    <row r="140" spans="1:11" hidden="1" x14ac:dyDescent="0.3">
      <c r="A140" s="39">
        <v>46080.419212962966</v>
      </c>
      <c r="B140" s="33">
        <v>6234347959</v>
      </c>
      <c r="C140" s="33" t="s">
        <v>44</v>
      </c>
      <c r="D140" s="33">
        <v>4430265054</v>
      </c>
      <c r="E140" s="33">
        <v>147</v>
      </c>
      <c r="F140" s="33">
        <v>92</v>
      </c>
      <c r="G140" s="33" t="s">
        <v>38</v>
      </c>
      <c r="H140" s="33" t="s">
        <v>3504</v>
      </c>
      <c r="I140" s="33" t="s">
        <v>39</v>
      </c>
      <c r="J140" s="33" t="s">
        <v>40</v>
      </c>
      <c r="K140" s="33" t="s">
        <v>41</v>
      </c>
    </row>
    <row r="141" spans="1:11" hidden="1" x14ac:dyDescent="0.3">
      <c r="A141" s="39">
        <v>46080.419166666667</v>
      </c>
      <c r="B141" s="33" t="s">
        <v>37</v>
      </c>
      <c r="C141" s="33">
        <v>44997571961</v>
      </c>
      <c r="E141" s="33">
        <v>14</v>
      </c>
      <c r="F141" s="33">
        <v>0</v>
      </c>
      <c r="G141" s="33" t="s">
        <v>47</v>
      </c>
      <c r="H141" s="33" t="s">
        <v>5170</v>
      </c>
      <c r="I141" s="33" t="s">
        <v>46</v>
      </c>
      <c r="J141" s="33" t="s">
        <v>40</v>
      </c>
    </row>
    <row r="142" spans="1:11" hidden="1" x14ac:dyDescent="0.3">
      <c r="A142" s="39">
        <v>46080.41883101852</v>
      </c>
      <c r="B142" s="33" t="s">
        <v>37</v>
      </c>
      <c r="C142" s="33">
        <v>44997571961</v>
      </c>
      <c r="E142" s="33">
        <v>17</v>
      </c>
      <c r="F142" s="33">
        <v>0</v>
      </c>
      <c r="G142" s="33" t="s">
        <v>47</v>
      </c>
      <c r="H142" s="33" t="s">
        <v>5171</v>
      </c>
      <c r="I142" s="33" t="s">
        <v>46</v>
      </c>
      <c r="J142" s="33" t="s">
        <v>40</v>
      </c>
    </row>
    <row r="143" spans="1:11" hidden="1" x14ac:dyDescent="0.3">
      <c r="A143" s="39">
        <v>46080.418761574074</v>
      </c>
      <c r="B143" s="33">
        <v>44997687156</v>
      </c>
      <c r="C143" s="33" t="s">
        <v>45</v>
      </c>
      <c r="D143" s="33">
        <v>4430265054</v>
      </c>
      <c r="E143" s="33">
        <v>1480</v>
      </c>
      <c r="F143" s="33">
        <v>1420</v>
      </c>
      <c r="G143" s="33" t="s">
        <v>38</v>
      </c>
      <c r="H143" s="33" t="s">
        <v>3505</v>
      </c>
      <c r="I143" s="33" t="s">
        <v>39</v>
      </c>
      <c r="J143" s="33" t="s">
        <v>40</v>
      </c>
      <c r="K143" s="33" t="s">
        <v>41</v>
      </c>
    </row>
    <row r="144" spans="1:11" hidden="1" x14ac:dyDescent="0.3">
      <c r="A144" s="39">
        <v>46080.41369212963</v>
      </c>
      <c r="B144" s="33">
        <v>41999195082</v>
      </c>
      <c r="C144" s="33" t="s">
        <v>45</v>
      </c>
      <c r="D144" s="33">
        <v>4430265054</v>
      </c>
      <c r="E144" s="33">
        <v>155</v>
      </c>
      <c r="F144" s="33">
        <v>52</v>
      </c>
      <c r="G144" s="33" t="s">
        <v>38</v>
      </c>
      <c r="H144" s="33" t="s">
        <v>3506</v>
      </c>
      <c r="I144" s="33" t="s">
        <v>39</v>
      </c>
      <c r="J144" s="33" t="s">
        <v>40</v>
      </c>
      <c r="K144" s="33" t="s">
        <v>41</v>
      </c>
    </row>
    <row r="145" spans="1:12" hidden="1" x14ac:dyDescent="0.3">
      <c r="A145" s="39">
        <v>46080.410219907404</v>
      </c>
      <c r="B145" s="33">
        <v>41999195082</v>
      </c>
      <c r="C145" s="33" t="s">
        <v>45</v>
      </c>
      <c r="D145" s="33">
        <v>4430265054</v>
      </c>
      <c r="E145" s="33">
        <v>204</v>
      </c>
      <c r="F145" s="33">
        <v>83</v>
      </c>
      <c r="G145" s="33" t="s">
        <v>38</v>
      </c>
      <c r="H145" s="33" t="s">
        <v>3507</v>
      </c>
      <c r="I145" s="33" t="s">
        <v>39</v>
      </c>
      <c r="J145" s="33" t="s">
        <v>40</v>
      </c>
      <c r="K145" s="33" t="s">
        <v>41</v>
      </c>
    </row>
    <row r="146" spans="1:12" hidden="1" x14ac:dyDescent="0.3">
      <c r="A146" s="39">
        <v>46080.409907407404</v>
      </c>
      <c r="B146" s="33">
        <v>41999195082</v>
      </c>
      <c r="C146" s="33">
        <v>4430265054</v>
      </c>
      <c r="D146" s="33">
        <v>4430265054</v>
      </c>
      <c r="E146" s="33">
        <v>20</v>
      </c>
      <c r="F146" s="33">
        <v>19</v>
      </c>
      <c r="G146" s="33" t="s">
        <v>3449</v>
      </c>
      <c r="H146" s="33" t="s">
        <v>5172</v>
      </c>
      <c r="I146" s="33" t="s">
        <v>39</v>
      </c>
      <c r="J146" s="33" t="s">
        <v>3451</v>
      </c>
    </row>
    <row r="147" spans="1:12" hidden="1" x14ac:dyDescent="0.3">
      <c r="A147" s="39">
        <v>46080.40724537037</v>
      </c>
      <c r="B147" s="33">
        <v>4432265534</v>
      </c>
      <c r="C147" s="33" t="s">
        <v>43</v>
      </c>
      <c r="D147" s="33">
        <v>4430265054</v>
      </c>
      <c r="E147" s="33">
        <v>861</v>
      </c>
      <c r="F147" s="33">
        <v>831</v>
      </c>
      <c r="G147" s="33" t="s">
        <v>38</v>
      </c>
      <c r="H147" s="33" t="s">
        <v>3508</v>
      </c>
      <c r="I147" s="33" t="s">
        <v>39</v>
      </c>
      <c r="J147" s="33" t="s">
        <v>40</v>
      </c>
      <c r="K147" s="33" t="s">
        <v>41</v>
      </c>
    </row>
    <row r="148" spans="1:12" hidden="1" x14ac:dyDescent="0.3">
      <c r="A148" s="39">
        <v>46080.40587962963</v>
      </c>
      <c r="B148" s="33">
        <v>44999979505</v>
      </c>
      <c r="C148" s="33" t="s">
        <v>45</v>
      </c>
      <c r="D148" s="33">
        <v>4430265054</v>
      </c>
      <c r="E148" s="33">
        <v>436</v>
      </c>
      <c r="F148" s="33">
        <v>413</v>
      </c>
      <c r="G148" s="33" t="s">
        <v>38</v>
      </c>
      <c r="H148" s="33" t="s">
        <v>3509</v>
      </c>
      <c r="I148" s="33" t="s">
        <v>39</v>
      </c>
      <c r="J148" s="33" t="s">
        <v>40</v>
      </c>
      <c r="K148" s="33" t="s">
        <v>41</v>
      </c>
      <c r="L148" s="33">
        <v>5</v>
      </c>
    </row>
    <row r="149" spans="1:12" hidden="1" x14ac:dyDescent="0.3">
      <c r="A149" s="39">
        <v>46080.404363425929</v>
      </c>
      <c r="B149" s="33" t="s">
        <v>5173</v>
      </c>
      <c r="C149" s="33">
        <v>31998513919</v>
      </c>
      <c r="E149" s="33">
        <v>38</v>
      </c>
      <c r="F149" s="33">
        <v>1</v>
      </c>
      <c r="G149" s="33" t="s">
        <v>38</v>
      </c>
      <c r="H149" s="33" t="s">
        <v>5174</v>
      </c>
      <c r="I149" s="33" t="s">
        <v>46</v>
      </c>
      <c r="J149" s="33" t="s">
        <v>3629</v>
      </c>
    </row>
    <row r="150" spans="1:12" hidden="1" x14ac:dyDescent="0.3">
      <c r="A150" s="39">
        <v>46080.404351851852</v>
      </c>
      <c r="B150" s="33" t="s">
        <v>3627</v>
      </c>
      <c r="C150" s="33">
        <v>11989221439</v>
      </c>
      <c r="E150" s="33">
        <v>19</v>
      </c>
      <c r="F150" s="33">
        <v>1</v>
      </c>
      <c r="G150" s="33" t="s">
        <v>38</v>
      </c>
      <c r="H150" s="33" t="s">
        <v>5175</v>
      </c>
      <c r="I150" s="33" t="s">
        <v>46</v>
      </c>
      <c r="J150" s="33" t="s">
        <v>3629</v>
      </c>
    </row>
    <row r="151" spans="1:12" hidden="1" x14ac:dyDescent="0.3">
      <c r="A151" s="39">
        <v>46080.403460648151</v>
      </c>
      <c r="B151" s="33" t="s">
        <v>3627</v>
      </c>
      <c r="C151" s="33">
        <v>81991162947</v>
      </c>
      <c r="E151" s="33">
        <v>17</v>
      </c>
      <c r="F151" s="33">
        <v>0</v>
      </c>
      <c r="G151" s="33" t="s">
        <v>47</v>
      </c>
      <c r="H151" s="33" t="s">
        <v>5176</v>
      </c>
      <c r="I151" s="33" t="s">
        <v>46</v>
      </c>
      <c r="J151" s="33" t="s">
        <v>3629</v>
      </c>
    </row>
    <row r="152" spans="1:12" hidden="1" x14ac:dyDescent="0.3">
      <c r="A152" s="39">
        <v>46080.402187500003</v>
      </c>
      <c r="B152" s="33">
        <v>44999646909</v>
      </c>
      <c r="C152" s="33" t="s">
        <v>42</v>
      </c>
      <c r="D152" s="33">
        <v>4430265054</v>
      </c>
      <c r="E152" s="33">
        <v>400</v>
      </c>
      <c r="F152" s="33">
        <v>283</v>
      </c>
      <c r="G152" s="33" t="s">
        <v>38</v>
      </c>
      <c r="H152" s="33" t="s">
        <v>3510</v>
      </c>
      <c r="I152" s="33" t="s">
        <v>39</v>
      </c>
      <c r="J152" s="33" t="s">
        <v>40</v>
      </c>
      <c r="K152" s="33" t="s">
        <v>41</v>
      </c>
    </row>
    <row r="153" spans="1:12" hidden="1" x14ac:dyDescent="0.3">
      <c r="A153" s="39">
        <v>46080.398518518516</v>
      </c>
      <c r="B153" s="33" t="s">
        <v>44</v>
      </c>
      <c r="C153" s="33">
        <v>11998030658</v>
      </c>
      <c r="E153" s="33">
        <v>821</v>
      </c>
      <c r="F153" s="33">
        <v>810</v>
      </c>
      <c r="G153" s="33" t="s">
        <v>38</v>
      </c>
      <c r="H153" s="33" t="s">
        <v>5177</v>
      </c>
      <c r="I153" s="33" t="s">
        <v>46</v>
      </c>
      <c r="J153" s="33" t="s">
        <v>40</v>
      </c>
      <c r="L153" s="33">
        <v>5</v>
      </c>
    </row>
    <row r="154" spans="1:12" hidden="1" x14ac:dyDescent="0.3">
      <c r="A154" s="39">
        <v>46080.398344907408</v>
      </c>
      <c r="B154" s="33">
        <v>44997650834</v>
      </c>
      <c r="C154" s="33" t="s">
        <v>37</v>
      </c>
      <c r="D154" s="33">
        <v>4430265054</v>
      </c>
      <c r="E154" s="33">
        <v>1091</v>
      </c>
      <c r="F154" s="33">
        <v>946</v>
      </c>
      <c r="G154" s="33" t="s">
        <v>38</v>
      </c>
      <c r="H154" s="33" t="s">
        <v>3511</v>
      </c>
      <c r="I154" s="33" t="s">
        <v>39</v>
      </c>
      <c r="J154" s="33" t="s">
        <v>40</v>
      </c>
      <c r="K154" s="33" t="s">
        <v>41</v>
      </c>
      <c r="L154" s="33">
        <v>5</v>
      </c>
    </row>
    <row r="155" spans="1:12" hidden="1" x14ac:dyDescent="0.3">
      <c r="A155" s="39">
        <v>46080.396944444445</v>
      </c>
      <c r="B155" s="33">
        <v>4432265534</v>
      </c>
      <c r="C155" s="33" t="s">
        <v>43</v>
      </c>
      <c r="D155" s="33">
        <v>4430265054</v>
      </c>
      <c r="E155" s="33">
        <v>708</v>
      </c>
      <c r="F155" s="33">
        <v>582</v>
      </c>
      <c r="G155" s="33" t="s">
        <v>38</v>
      </c>
      <c r="H155" s="33" t="s">
        <v>3512</v>
      </c>
      <c r="I155" s="33" t="s">
        <v>39</v>
      </c>
      <c r="J155" s="33" t="s">
        <v>40</v>
      </c>
      <c r="K155" s="33" t="s">
        <v>41</v>
      </c>
    </row>
    <row r="156" spans="1:12" hidden="1" x14ac:dyDescent="0.3">
      <c r="A156" s="39">
        <v>46080.394421296296</v>
      </c>
      <c r="B156" s="33" t="s">
        <v>45</v>
      </c>
      <c r="C156" s="33">
        <v>44999841615</v>
      </c>
      <c r="E156" s="33">
        <v>963</v>
      </c>
      <c r="F156" s="33">
        <v>954</v>
      </c>
      <c r="G156" s="33" t="s">
        <v>38</v>
      </c>
      <c r="H156" s="33" t="s">
        <v>5178</v>
      </c>
      <c r="I156" s="33" t="s">
        <v>46</v>
      </c>
      <c r="J156" s="33" t="s">
        <v>40</v>
      </c>
    </row>
    <row r="157" spans="1:12" hidden="1" x14ac:dyDescent="0.3">
      <c r="A157" s="39">
        <v>46080.390266203707</v>
      </c>
      <c r="B157" s="33">
        <v>44991484476</v>
      </c>
      <c r="C157" s="33" t="s">
        <v>3627</v>
      </c>
      <c r="D157" s="33">
        <v>4431268225</v>
      </c>
      <c r="E157" s="33">
        <v>204</v>
      </c>
      <c r="F157" s="33">
        <v>177</v>
      </c>
      <c r="G157" s="33" t="s">
        <v>38</v>
      </c>
      <c r="H157" s="33" t="s">
        <v>5179</v>
      </c>
      <c r="I157" s="33" t="s">
        <v>39</v>
      </c>
      <c r="J157" s="33" t="s">
        <v>3629</v>
      </c>
      <c r="K157" s="33" t="s">
        <v>50</v>
      </c>
    </row>
    <row r="158" spans="1:12" hidden="1" x14ac:dyDescent="0.3">
      <c r="A158" s="39">
        <v>46080.386134259257</v>
      </c>
      <c r="B158" s="33">
        <v>4430289386</v>
      </c>
      <c r="C158" s="33" t="s">
        <v>45</v>
      </c>
      <c r="D158" s="33">
        <v>4430265054</v>
      </c>
      <c r="E158" s="33">
        <v>339</v>
      </c>
      <c r="F158" s="33">
        <v>312</v>
      </c>
      <c r="G158" s="33" t="s">
        <v>38</v>
      </c>
      <c r="H158" s="33" t="s">
        <v>3513</v>
      </c>
      <c r="I158" s="33" t="s">
        <v>39</v>
      </c>
      <c r="J158" s="33" t="s">
        <v>40</v>
      </c>
      <c r="K158" s="33" t="s">
        <v>41</v>
      </c>
      <c r="L158" s="33">
        <v>5</v>
      </c>
    </row>
    <row r="159" spans="1:12" hidden="1" x14ac:dyDescent="0.3">
      <c r="A159" s="39">
        <v>46080.383414351854</v>
      </c>
      <c r="B159" s="33">
        <v>81983567163</v>
      </c>
      <c r="C159" s="33" t="s">
        <v>43</v>
      </c>
      <c r="D159" s="33">
        <v>4431268225</v>
      </c>
      <c r="E159" s="33">
        <v>388</v>
      </c>
      <c r="F159" s="33">
        <v>360</v>
      </c>
      <c r="G159" s="33" t="s">
        <v>38</v>
      </c>
      <c r="H159" s="33" t="s">
        <v>3514</v>
      </c>
      <c r="I159" s="33" t="s">
        <v>39</v>
      </c>
      <c r="J159" s="33" t="s">
        <v>40</v>
      </c>
      <c r="K159" s="33" t="s">
        <v>41</v>
      </c>
      <c r="L159" s="33">
        <v>5</v>
      </c>
    </row>
    <row r="160" spans="1:12" hidden="1" x14ac:dyDescent="0.3">
      <c r="A160" s="39">
        <v>46080.381354166668</v>
      </c>
      <c r="B160" s="33">
        <v>4130263118</v>
      </c>
      <c r="C160" s="33" t="s">
        <v>42</v>
      </c>
      <c r="D160" s="33">
        <v>4430265054</v>
      </c>
      <c r="E160" s="33">
        <v>1207</v>
      </c>
      <c r="F160" s="33">
        <v>1091</v>
      </c>
      <c r="G160" s="33" t="s">
        <v>38</v>
      </c>
      <c r="H160" s="33" t="s">
        <v>3515</v>
      </c>
      <c r="I160" s="33" t="s">
        <v>39</v>
      </c>
      <c r="J160" s="33" t="s">
        <v>40</v>
      </c>
      <c r="K160" s="33" t="s">
        <v>41</v>
      </c>
      <c r="L160" s="33">
        <v>5</v>
      </c>
    </row>
    <row r="161" spans="1:12" hidden="1" x14ac:dyDescent="0.3">
      <c r="A161" s="39">
        <v>46080.379432870373</v>
      </c>
      <c r="B161" s="33">
        <v>44999236655</v>
      </c>
      <c r="C161" s="33" t="s">
        <v>45</v>
      </c>
      <c r="D161" s="33">
        <v>4430265054</v>
      </c>
      <c r="E161" s="33">
        <v>392</v>
      </c>
      <c r="F161" s="33">
        <v>372</v>
      </c>
      <c r="G161" s="33" t="s">
        <v>38</v>
      </c>
      <c r="H161" s="33" t="s">
        <v>3516</v>
      </c>
      <c r="I161" s="33" t="s">
        <v>39</v>
      </c>
      <c r="J161" s="33" t="s">
        <v>40</v>
      </c>
      <c r="K161" s="33" t="s">
        <v>41</v>
      </c>
      <c r="L161" s="33">
        <v>5</v>
      </c>
    </row>
    <row r="162" spans="1:12" hidden="1" x14ac:dyDescent="0.3">
      <c r="A162" s="39">
        <v>46080.378877314812</v>
      </c>
      <c r="B162" s="33" t="s">
        <v>42</v>
      </c>
      <c r="C162" s="33">
        <v>4430191465</v>
      </c>
      <c r="E162" s="33">
        <v>134</v>
      </c>
      <c r="F162" s="33">
        <v>119</v>
      </c>
      <c r="G162" s="33" t="s">
        <v>38</v>
      </c>
      <c r="H162" s="33" t="s">
        <v>5180</v>
      </c>
      <c r="I162" s="33" t="s">
        <v>46</v>
      </c>
      <c r="J162" s="33" t="s">
        <v>40</v>
      </c>
    </row>
    <row r="163" spans="1:12" hidden="1" x14ac:dyDescent="0.3">
      <c r="A163" s="39">
        <v>46080.373159722221</v>
      </c>
      <c r="B163" s="33">
        <v>4432325260</v>
      </c>
      <c r="C163" s="33">
        <v>4430265054</v>
      </c>
      <c r="D163" s="33">
        <v>4430265054</v>
      </c>
      <c r="E163" s="33">
        <v>93</v>
      </c>
      <c r="F163" s="33">
        <v>92</v>
      </c>
      <c r="G163" s="33" t="s">
        <v>3449</v>
      </c>
      <c r="H163" s="33" t="s">
        <v>3517</v>
      </c>
      <c r="I163" s="33" t="s">
        <v>39</v>
      </c>
      <c r="J163" s="33" t="s">
        <v>3451</v>
      </c>
      <c r="K163" s="33" t="s">
        <v>41</v>
      </c>
    </row>
    <row r="164" spans="1:12" hidden="1" x14ac:dyDescent="0.3">
      <c r="A164" s="39">
        <v>46080.368611111109</v>
      </c>
      <c r="B164" s="33" t="s">
        <v>48</v>
      </c>
      <c r="C164" s="33">
        <v>44999090169</v>
      </c>
      <c r="E164" s="33">
        <v>66</v>
      </c>
      <c r="F164" s="33">
        <v>30</v>
      </c>
      <c r="G164" s="33" t="s">
        <v>38</v>
      </c>
      <c r="H164" s="33" t="s">
        <v>5181</v>
      </c>
      <c r="I164" s="33" t="s">
        <v>46</v>
      </c>
      <c r="J164" s="33" t="s">
        <v>40</v>
      </c>
    </row>
    <row r="165" spans="1:12" hidden="1" x14ac:dyDescent="0.3">
      <c r="A165" s="39">
        <v>46080.367430555554</v>
      </c>
      <c r="B165" s="33" t="s">
        <v>42</v>
      </c>
      <c r="C165" s="33">
        <v>4430191465</v>
      </c>
      <c r="E165" s="33">
        <v>442</v>
      </c>
      <c r="F165" s="33">
        <v>426</v>
      </c>
      <c r="G165" s="33" t="s">
        <v>38</v>
      </c>
      <c r="H165" s="33" t="s">
        <v>5182</v>
      </c>
      <c r="I165" s="33" t="s">
        <v>46</v>
      </c>
      <c r="J165" s="33" t="s">
        <v>40</v>
      </c>
    </row>
    <row r="166" spans="1:12" hidden="1" x14ac:dyDescent="0.3">
      <c r="A166" s="39">
        <v>46080.367384259262</v>
      </c>
      <c r="B166" s="33">
        <v>44997650834</v>
      </c>
      <c r="C166" s="33" t="s">
        <v>44</v>
      </c>
      <c r="D166" s="33">
        <v>4430265054</v>
      </c>
      <c r="E166" s="33">
        <v>1762</v>
      </c>
      <c r="F166" s="33">
        <v>1716</v>
      </c>
      <c r="G166" s="33" t="s">
        <v>38</v>
      </c>
      <c r="H166" s="33" t="s">
        <v>3518</v>
      </c>
      <c r="I166" s="33" t="s">
        <v>39</v>
      </c>
      <c r="J166" s="33" t="s">
        <v>40</v>
      </c>
      <c r="K166" s="33" t="s">
        <v>41</v>
      </c>
    </row>
    <row r="167" spans="1:12" hidden="1" x14ac:dyDescent="0.3">
      <c r="A167" s="39">
        <v>46080.366759259261</v>
      </c>
      <c r="B167" s="33">
        <v>44997687156</v>
      </c>
      <c r="C167" s="33" t="s">
        <v>43</v>
      </c>
      <c r="D167" s="33">
        <v>4430265054</v>
      </c>
      <c r="E167" s="33">
        <v>602</v>
      </c>
      <c r="F167" s="33">
        <v>525</v>
      </c>
      <c r="G167" s="33" t="s">
        <v>38</v>
      </c>
      <c r="H167" s="33" t="s">
        <v>3519</v>
      </c>
      <c r="I167" s="33" t="s">
        <v>39</v>
      </c>
      <c r="J167" s="33" t="s">
        <v>40</v>
      </c>
      <c r="K167" s="33" t="s">
        <v>41</v>
      </c>
    </row>
    <row r="168" spans="1:12" hidden="1" x14ac:dyDescent="0.3">
      <c r="A168" s="39">
        <v>46080.36273148148</v>
      </c>
      <c r="B168" s="33" t="s">
        <v>3627</v>
      </c>
      <c r="C168" s="33">
        <v>44991484476</v>
      </c>
      <c r="E168" s="33">
        <v>147</v>
      </c>
      <c r="F168" s="33">
        <v>140</v>
      </c>
      <c r="G168" s="33" t="s">
        <v>38</v>
      </c>
      <c r="H168" s="33" t="s">
        <v>5183</v>
      </c>
      <c r="I168" s="33" t="s">
        <v>46</v>
      </c>
      <c r="J168" s="33" t="s">
        <v>3629</v>
      </c>
    </row>
    <row r="169" spans="1:12" hidden="1" x14ac:dyDescent="0.3">
      <c r="A169" s="39">
        <v>46080.358993055554</v>
      </c>
      <c r="B169" s="33">
        <v>44997561804</v>
      </c>
      <c r="C169" s="33" t="s">
        <v>44</v>
      </c>
      <c r="D169" s="33">
        <v>4430265054</v>
      </c>
      <c r="E169" s="33">
        <v>627</v>
      </c>
      <c r="F169" s="33">
        <v>581</v>
      </c>
      <c r="G169" s="33" t="s">
        <v>38</v>
      </c>
      <c r="H169" s="33" t="s">
        <v>3520</v>
      </c>
      <c r="I169" s="33" t="s">
        <v>39</v>
      </c>
      <c r="J169" s="33" t="s">
        <v>40</v>
      </c>
      <c r="K169" s="33" t="s">
        <v>41</v>
      </c>
    </row>
    <row r="170" spans="1:12" hidden="1" x14ac:dyDescent="0.3">
      <c r="A170" s="39">
        <v>46080.357349537036</v>
      </c>
      <c r="B170" s="33" t="s">
        <v>5173</v>
      </c>
      <c r="C170" s="33">
        <v>22998472082</v>
      </c>
      <c r="E170" s="33">
        <v>4</v>
      </c>
      <c r="F170" s="33">
        <v>0</v>
      </c>
      <c r="G170" s="33" t="s">
        <v>47</v>
      </c>
      <c r="H170" s="33" t="s">
        <v>5184</v>
      </c>
      <c r="I170" s="33" t="s">
        <v>46</v>
      </c>
      <c r="J170" s="33" t="s">
        <v>3629</v>
      </c>
    </row>
    <row r="171" spans="1:12" hidden="1" x14ac:dyDescent="0.3">
      <c r="A171" s="39">
        <v>46080.354768518519</v>
      </c>
      <c r="B171" s="33">
        <v>44991566223</v>
      </c>
      <c r="C171" s="33" t="s">
        <v>45</v>
      </c>
      <c r="D171" s="33">
        <v>4430265054</v>
      </c>
      <c r="E171" s="33">
        <v>1448</v>
      </c>
      <c r="F171" s="33">
        <v>1343</v>
      </c>
      <c r="G171" s="33" t="s">
        <v>38</v>
      </c>
      <c r="H171" s="33" t="s">
        <v>3521</v>
      </c>
      <c r="I171" s="33" t="s">
        <v>39</v>
      </c>
      <c r="J171" s="33" t="s">
        <v>40</v>
      </c>
      <c r="K171" s="33" t="s">
        <v>41</v>
      </c>
      <c r="L171" s="33">
        <v>5</v>
      </c>
    </row>
    <row r="172" spans="1:12" hidden="1" x14ac:dyDescent="0.3">
      <c r="A172" s="39">
        <v>46080.354722222219</v>
      </c>
      <c r="B172" s="33">
        <v>4435228300</v>
      </c>
      <c r="C172" s="33" t="s">
        <v>37</v>
      </c>
      <c r="D172" s="33">
        <v>4430265054</v>
      </c>
      <c r="E172" s="33">
        <v>327</v>
      </c>
      <c r="F172" s="33">
        <v>219</v>
      </c>
      <c r="G172" s="33" t="s">
        <v>38</v>
      </c>
      <c r="H172" s="33" t="s">
        <v>3522</v>
      </c>
      <c r="I172" s="33" t="s">
        <v>39</v>
      </c>
      <c r="J172" s="33" t="s">
        <v>40</v>
      </c>
      <c r="K172" s="33" t="s">
        <v>41</v>
      </c>
    </row>
    <row r="173" spans="1:12" hidden="1" x14ac:dyDescent="0.3">
      <c r="A173" s="39">
        <v>46080.350995370369</v>
      </c>
      <c r="B173" s="33">
        <v>44999646909</v>
      </c>
      <c r="C173" s="33">
        <v>4430265054</v>
      </c>
      <c r="D173" s="33">
        <v>4430265054</v>
      </c>
      <c r="E173" s="33">
        <v>28</v>
      </c>
      <c r="F173" s="33">
        <v>27</v>
      </c>
      <c r="G173" s="33" t="s">
        <v>3449</v>
      </c>
      <c r="H173" s="33" t="s">
        <v>5185</v>
      </c>
      <c r="I173" s="33" t="s">
        <v>39</v>
      </c>
      <c r="J173" s="33" t="s">
        <v>3451</v>
      </c>
    </row>
    <row r="174" spans="1:12" hidden="1" x14ac:dyDescent="0.3">
      <c r="A174" s="39">
        <v>46080.345949074072</v>
      </c>
      <c r="B174" s="33">
        <v>4435226025</v>
      </c>
      <c r="C174" s="33">
        <v>4430265054</v>
      </c>
      <c r="D174" s="33">
        <v>4430265054</v>
      </c>
      <c r="E174" s="33">
        <v>29</v>
      </c>
      <c r="F174" s="33">
        <v>28</v>
      </c>
      <c r="G174" s="33" t="s">
        <v>3449</v>
      </c>
      <c r="H174" s="33" t="s">
        <v>5186</v>
      </c>
      <c r="I174" s="33" t="s">
        <v>39</v>
      </c>
      <c r="J174" s="33" t="s">
        <v>3451</v>
      </c>
    </row>
    <row r="175" spans="1:12" hidden="1" x14ac:dyDescent="0.3">
      <c r="A175" s="39">
        <v>46080.344097222223</v>
      </c>
      <c r="B175" s="33" t="s">
        <v>45</v>
      </c>
      <c r="C175" s="33">
        <v>4430317020</v>
      </c>
      <c r="E175" s="33">
        <v>499</v>
      </c>
      <c r="F175" s="33">
        <v>487</v>
      </c>
      <c r="G175" s="33" t="s">
        <v>38</v>
      </c>
      <c r="H175" s="33" t="s">
        <v>5187</v>
      </c>
      <c r="I175" s="33" t="s">
        <v>46</v>
      </c>
      <c r="J175" s="33" t="s">
        <v>40</v>
      </c>
    </row>
    <row r="176" spans="1:12" hidden="1" x14ac:dyDescent="0.3">
      <c r="A176" s="39">
        <v>46080.341620370367</v>
      </c>
      <c r="B176" s="33" t="s">
        <v>45</v>
      </c>
      <c r="C176" s="33">
        <v>4432677399</v>
      </c>
      <c r="E176" s="33">
        <v>82</v>
      </c>
      <c r="F176" s="33">
        <v>69</v>
      </c>
      <c r="G176" s="33" t="s">
        <v>38</v>
      </c>
      <c r="H176" s="33" t="s">
        <v>5188</v>
      </c>
      <c r="I176" s="33" t="s">
        <v>46</v>
      </c>
      <c r="J176" s="33" t="s">
        <v>40</v>
      </c>
    </row>
    <row r="177" spans="1:12" hidden="1" x14ac:dyDescent="0.3">
      <c r="A177" s="39">
        <v>46080.316087962965</v>
      </c>
      <c r="B177" s="33">
        <v>44991566223</v>
      </c>
      <c r="C177" s="33">
        <v>4430265054</v>
      </c>
      <c r="D177" s="33">
        <v>4430265054</v>
      </c>
      <c r="E177" s="33">
        <v>13</v>
      </c>
      <c r="F177" s="33">
        <v>12</v>
      </c>
      <c r="G177" s="33" t="s">
        <v>3449</v>
      </c>
      <c r="H177" s="33" t="s">
        <v>5189</v>
      </c>
      <c r="I177" s="33" t="s">
        <v>39</v>
      </c>
      <c r="J177" s="33" t="s">
        <v>3451</v>
      </c>
    </row>
    <row r="178" spans="1:12" hidden="1" x14ac:dyDescent="0.3">
      <c r="A178" s="39">
        <v>46080.315381944441</v>
      </c>
      <c r="B178" s="33">
        <v>44991566223</v>
      </c>
      <c r="C178" s="33">
        <v>4430265054</v>
      </c>
      <c r="D178" s="33">
        <v>4430265054</v>
      </c>
      <c r="E178" s="33">
        <v>22</v>
      </c>
      <c r="F178" s="33">
        <v>22</v>
      </c>
      <c r="G178" s="33" t="s">
        <v>3449</v>
      </c>
      <c r="H178" s="33" t="s">
        <v>5190</v>
      </c>
      <c r="I178" s="33" t="s">
        <v>39</v>
      </c>
      <c r="J178" s="33" t="s">
        <v>3451</v>
      </c>
    </row>
    <row r="179" spans="1:12" hidden="1" x14ac:dyDescent="0.3">
      <c r="A179" s="39">
        <v>46079.736701388887</v>
      </c>
      <c r="B179" s="33">
        <v>12997346335</v>
      </c>
      <c r="C179" s="33" t="s">
        <v>45</v>
      </c>
      <c r="D179" s="33">
        <v>4431268225</v>
      </c>
      <c r="E179" s="33">
        <v>895</v>
      </c>
      <c r="F179" s="33">
        <v>859</v>
      </c>
      <c r="G179" s="33" t="s">
        <v>38</v>
      </c>
      <c r="H179" s="33" t="s">
        <v>3523</v>
      </c>
      <c r="I179" s="33" t="s">
        <v>39</v>
      </c>
      <c r="J179" s="33" t="s">
        <v>40</v>
      </c>
      <c r="K179" s="33" t="s">
        <v>41</v>
      </c>
    </row>
    <row r="180" spans="1:12" hidden="1" x14ac:dyDescent="0.3">
      <c r="A180" s="39">
        <v>46079.728564814817</v>
      </c>
      <c r="B180" s="33">
        <v>44991484476</v>
      </c>
      <c r="C180" s="33" t="s">
        <v>37</v>
      </c>
      <c r="D180" s="33">
        <v>4430265054</v>
      </c>
      <c r="E180" s="33">
        <v>274</v>
      </c>
      <c r="F180" s="33">
        <v>246</v>
      </c>
      <c r="G180" s="33" t="s">
        <v>38</v>
      </c>
      <c r="H180" s="33" t="s">
        <v>3524</v>
      </c>
      <c r="I180" s="33" t="s">
        <v>39</v>
      </c>
      <c r="J180" s="33" t="s">
        <v>40</v>
      </c>
      <c r="K180" s="33" t="s">
        <v>41</v>
      </c>
      <c r="L180" s="33">
        <v>5</v>
      </c>
    </row>
    <row r="181" spans="1:12" hidden="1" x14ac:dyDescent="0.3">
      <c r="A181" s="39">
        <v>46079.721458333333</v>
      </c>
      <c r="B181" s="33" t="s">
        <v>3627</v>
      </c>
      <c r="C181" s="33">
        <v>2134337949</v>
      </c>
      <c r="E181" s="33">
        <v>17</v>
      </c>
      <c r="F181" s="33">
        <v>0</v>
      </c>
      <c r="G181" s="33" t="s">
        <v>47</v>
      </c>
      <c r="H181" s="33" t="s">
        <v>5191</v>
      </c>
      <c r="I181" s="33" t="s">
        <v>46</v>
      </c>
      <c r="J181" s="33" t="s">
        <v>3629</v>
      </c>
    </row>
    <row r="182" spans="1:12" hidden="1" x14ac:dyDescent="0.3">
      <c r="A182" s="39">
        <v>46079.718946759262</v>
      </c>
      <c r="B182" s="33" t="s">
        <v>3627</v>
      </c>
      <c r="C182" s="33">
        <v>6232260404</v>
      </c>
      <c r="E182" s="33">
        <v>2</v>
      </c>
      <c r="F182" s="33">
        <v>0</v>
      </c>
      <c r="G182" s="33" t="s">
        <v>47</v>
      </c>
      <c r="H182" s="33" t="s">
        <v>5192</v>
      </c>
      <c r="I182" s="33" t="s">
        <v>46</v>
      </c>
      <c r="J182" s="33" t="s">
        <v>3629</v>
      </c>
    </row>
    <row r="183" spans="1:12" hidden="1" x14ac:dyDescent="0.3">
      <c r="A183" s="39">
        <v>46079.717824074076</v>
      </c>
      <c r="B183" s="33" t="s">
        <v>3627</v>
      </c>
      <c r="C183" s="33">
        <v>1140287639</v>
      </c>
      <c r="E183" s="33">
        <v>40</v>
      </c>
      <c r="F183" s="33">
        <v>25</v>
      </c>
      <c r="G183" s="33" t="s">
        <v>38</v>
      </c>
      <c r="H183" s="33" t="s">
        <v>5193</v>
      </c>
      <c r="I183" s="33" t="s">
        <v>46</v>
      </c>
      <c r="J183" s="33" t="s">
        <v>3629</v>
      </c>
    </row>
    <row r="184" spans="1:12" hidden="1" x14ac:dyDescent="0.3">
      <c r="A184" s="39">
        <v>46079.717395833337</v>
      </c>
      <c r="B184" s="33">
        <v>44997561804</v>
      </c>
      <c r="C184" s="33" t="s">
        <v>44</v>
      </c>
      <c r="D184" s="33">
        <v>4430265054</v>
      </c>
      <c r="E184" s="33">
        <v>1004</v>
      </c>
      <c r="F184" s="33">
        <v>947</v>
      </c>
      <c r="G184" s="33" t="s">
        <v>38</v>
      </c>
      <c r="H184" s="33" t="s">
        <v>3525</v>
      </c>
      <c r="I184" s="33" t="s">
        <v>39</v>
      </c>
      <c r="J184" s="33" t="s">
        <v>40</v>
      </c>
      <c r="K184" s="33" t="s">
        <v>41</v>
      </c>
    </row>
    <row r="185" spans="1:12" hidden="1" x14ac:dyDescent="0.3">
      <c r="A185" s="39">
        <v>46079.715868055559</v>
      </c>
      <c r="B185" s="33">
        <v>4435224706</v>
      </c>
      <c r="C185" s="33" t="s">
        <v>42</v>
      </c>
      <c r="D185" s="33">
        <v>4430265054</v>
      </c>
      <c r="E185" s="33">
        <v>711</v>
      </c>
      <c r="F185" s="33">
        <v>612</v>
      </c>
      <c r="G185" s="33" t="s">
        <v>38</v>
      </c>
      <c r="H185" s="33" t="s">
        <v>3526</v>
      </c>
      <c r="I185" s="33" t="s">
        <v>39</v>
      </c>
      <c r="J185" s="33" t="s">
        <v>40</v>
      </c>
      <c r="K185" s="33" t="s">
        <v>41</v>
      </c>
      <c r="L185" s="33">
        <v>5</v>
      </c>
    </row>
    <row r="186" spans="1:12" hidden="1" x14ac:dyDescent="0.3">
      <c r="A186" s="39">
        <v>46079.714618055557</v>
      </c>
      <c r="B186" s="33" t="s">
        <v>3627</v>
      </c>
      <c r="C186" s="33">
        <v>14996012790</v>
      </c>
      <c r="E186" s="33">
        <v>14</v>
      </c>
      <c r="F186" s="33">
        <v>2</v>
      </c>
      <c r="G186" s="33" t="s">
        <v>38</v>
      </c>
      <c r="H186" s="33" t="s">
        <v>5194</v>
      </c>
      <c r="I186" s="33" t="s">
        <v>46</v>
      </c>
      <c r="J186" s="33" t="s">
        <v>3629</v>
      </c>
    </row>
    <row r="187" spans="1:12" hidden="1" x14ac:dyDescent="0.3">
      <c r="A187" s="39">
        <v>46079.713090277779</v>
      </c>
      <c r="B187" s="33" t="s">
        <v>3627</v>
      </c>
      <c r="C187" s="33">
        <v>1122817001</v>
      </c>
      <c r="E187" s="33">
        <v>3</v>
      </c>
      <c r="F187" s="33">
        <v>0</v>
      </c>
      <c r="G187" s="33" t="s">
        <v>47</v>
      </c>
      <c r="H187" s="33" t="s">
        <v>5195</v>
      </c>
      <c r="I187" s="33" t="s">
        <v>46</v>
      </c>
      <c r="J187" s="33" t="s">
        <v>3629</v>
      </c>
    </row>
    <row r="188" spans="1:12" hidden="1" x14ac:dyDescent="0.3">
      <c r="A188" s="39">
        <v>46079.712256944447</v>
      </c>
      <c r="B188" s="33" t="s">
        <v>3627</v>
      </c>
      <c r="C188" s="33">
        <v>4136385023</v>
      </c>
      <c r="E188" s="33">
        <v>1</v>
      </c>
      <c r="F188" s="33">
        <v>0</v>
      </c>
      <c r="G188" s="33" t="s">
        <v>47</v>
      </c>
      <c r="H188" s="33" t="s">
        <v>5196</v>
      </c>
      <c r="I188" s="33" t="s">
        <v>46</v>
      </c>
      <c r="J188" s="33" t="s">
        <v>3629</v>
      </c>
    </row>
    <row r="189" spans="1:12" hidden="1" x14ac:dyDescent="0.3">
      <c r="A189" s="39">
        <v>46079.711527777778</v>
      </c>
      <c r="B189" s="33" t="s">
        <v>45</v>
      </c>
      <c r="C189" s="33">
        <v>12997346335</v>
      </c>
      <c r="E189" s="33">
        <v>2015</v>
      </c>
      <c r="F189" s="33">
        <v>2005</v>
      </c>
      <c r="G189" s="33" t="s">
        <v>38</v>
      </c>
      <c r="H189" s="33" t="s">
        <v>5197</v>
      </c>
      <c r="I189" s="33" t="s">
        <v>46</v>
      </c>
      <c r="J189" s="33" t="s">
        <v>40</v>
      </c>
    </row>
    <row r="190" spans="1:12" hidden="1" x14ac:dyDescent="0.3">
      <c r="A190" s="39">
        <v>46079.711099537039</v>
      </c>
      <c r="B190" s="33" t="s">
        <v>3627</v>
      </c>
      <c r="C190" s="33">
        <v>7932463084</v>
      </c>
      <c r="E190" s="33">
        <v>7</v>
      </c>
      <c r="F190" s="33">
        <v>0</v>
      </c>
      <c r="G190" s="33" t="s">
        <v>47</v>
      </c>
      <c r="H190" s="33" t="s">
        <v>5198</v>
      </c>
      <c r="I190" s="33" t="s">
        <v>46</v>
      </c>
      <c r="J190" s="33" t="s">
        <v>3629</v>
      </c>
    </row>
    <row r="191" spans="1:12" hidden="1" x14ac:dyDescent="0.3">
      <c r="A191" s="39">
        <v>46079.707731481481</v>
      </c>
      <c r="B191" s="33" t="s">
        <v>45</v>
      </c>
      <c r="C191" s="33">
        <v>12997346335</v>
      </c>
      <c r="E191" s="33">
        <v>324</v>
      </c>
      <c r="F191" s="33">
        <v>313</v>
      </c>
      <c r="G191" s="33" t="s">
        <v>38</v>
      </c>
      <c r="H191" s="33" t="s">
        <v>5199</v>
      </c>
      <c r="I191" s="33" t="s">
        <v>46</v>
      </c>
      <c r="J191" s="33" t="s">
        <v>40</v>
      </c>
    </row>
    <row r="192" spans="1:12" hidden="1" x14ac:dyDescent="0.3">
      <c r="A192" s="39">
        <v>46079.707395833335</v>
      </c>
      <c r="B192" s="33">
        <v>4432522678</v>
      </c>
      <c r="C192" s="33" t="s">
        <v>42</v>
      </c>
      <c r="D192" s="33">
        <v>4430265054</v>
      </c>
      <c r="E192" s="33">
        <v>303</v>
      </c>
      <c r="F192" s="33">
        <v>259</v>
      </c>
      <c r="G192" s="33" t="s">
        <v>38</v>
      </c>
      <c r="H192" s="33" t="s">
        <v>3527</v>
      </c>
      <c r="I192" s="33" t="s">
        <v>39</v>
      </c>
      <c r="J192" s="33" t="s">
        <v>40</v>
      </c>
      <c r="K192" s="33" t="s">
        <v>41</v>
      </c>
      <c r="L192" s="33">
        <v>5</v>
      </c>
    </row>
    <row r="193" spans="1:12" hidden="1" x14ac:dyDescent="0.3">
      <c r="A193" s="39">
        <v>46079.702256944445</v>
      </c>
      <c r="B193" s="33">
        <v>44997571961</v>
      </c>
      <c r="C193" s="33">
        <v>4430265054</v>
      </c>
      <c r="D193" s="33">
        <v>4430265054</v>
      </c>
      <c r="E193" s="33">
        <v>1</v>
      </c>
      <c r="F193" s="33">
        <v>1</v>
      </c>
      <c r="G193" s="33" t="s">
        <v>3449</v>
      </c>
      <c r="H193" s="33" t="s">
        <v>5200</v>
      </c>
      <c r="I193" s="33" t="s">
        <v>39</v>
      </c>
      <c r="J193" s="33" t="s">
        <v>3451</v>
      </c>
    </row>
    <row r="194" spans="1:12" hidden="1" x14ac:dyDescent="0.3">
      <c r="A194" s="39">
        <v>46079.701770833337</v>
      </c>
      <c r="B194" s="33">
        <v>4430191401</v>
      </c>
      <c r="C194" s="33" t="s">
        <v>43</v>
      </c>
      <c r="D194" s="33">
        <v>4430265054</v>
      </c>
      <c r="E194" s="33">
        <v>562</v>
      </c>
      <c r="F194" s="33">
        <v>489</v>
      </c>
      <c r="G194" s="33" t="s">
        <v>38</v>
      </c>
      <c r="H194" s="33" t="s">
        <v>3528</v>
      </c>
      <c r="I194" s="33" t="s">
        <v>39</v>
      </c>
      <c r="J194" s="33" t="s">
        <v>40</v>
      </c>
      <c r="K194" s="33" t="s">
        <v>41</v>
      </c>
    </row>
    <row r="195" spans="1:12" hidden="1" x14ac:dyDescent="0.3">
      <c r="A195" s="39">
        <v>46079.697326388887</v>
      </c>
      <c r="B195" s="33">
        <v>41995884778</v>
      </c>
      <c r="C195" s="33" t="s">
        <v>48</v>
      </c>
      <c r="D195" s="33">
        <v>4430265054</v>
      </c>
      <c r="E195" s="33">
        <v>140</v>
      </c>
      <c r="F195" s="33">
        <v>139</v>
      </c>
      <c r="G195" s="33" t="s">
        <v>38</v>
      </c>
      <c r="H195" s="33" t="s">
        <v>3529</v>
      </c>
      <c r="I195" s="33" t="s">
        <v>39</v>
      </c>
      <c r="J195" s="33" t="s">
        <v>40</v>
      </c>
      <c r="K195" s="33" t="s">
        <v>41</v>
      </c>
    </row>
    <row r="196" spans="1:12" hidden="1" x14ac:dyDescent="0.3">
      <c r="A196" s="39">
        <v>46079.697060185186</v>
      </c>
      <c r="B196" s="33">
        <v>44999859732</v>
      </c>
      <c r="C196" s="33" t="s">
        <v>44</v>
      </c>
      <c r="D196" s="33">
        <v>4430265054</v>
      </c>
      <c r="E196" s="33">
        <v>98</v>
      </c>
      <c r="F196" s="33">
        <v>64</v>
      </c>
      <c r="G196" s="33" t="s">
        <v>38</v>
      </c>
      <c r="H196" s="33" t="s">
        <v>3530</v>
      </c>
      <c r="I196" s="33" t="s">
        <v>39</v>
      </c>
      <c r="J196" s="33" t="s">
        <v>40</v>
      </c>
      <c r="K196" s="33" t="s">
        <v>41</v>
      </c>
    </row>
    <row r="197" spans="1:12" hidden="1" x14ac:dyDescent="0.3">
      <c r="A197" s="39">
        <v>46079.694814814815</v>
      </c>
      <c r="B197" s="33">
        <v>4134348949</v>
      </c>
      <c r="C197" s="33">
        <v>4531273172</v>
      </c>
      <c r="D197" s="33">
        <v>4531273172</v>
      </c>
      <c r="E197" s="33">
        <v>9</v>
      </c>
      <c r="F197" s="33">
        <v>8</v>
      </c>
      <c r="G197" s="33" t="s">
        <v>3449</v>
      </c>
      <c r="H197" s="33" t="s">
        <v>5201</v>
      </c>
      <c r="I197" s="33" t="s">
        <v>39</v>
      </c>
      <c r="J197" s="33" t="s">
        <v>3451</v>
      </c>
    </row>
    <row r="198" spans="1:12" hidden="1" x14ac:dyDescent="0.3">
      <c r="A198" s="39">
        <v>46079.69431712963</v>
      </c>
      <c r="B198" s="33">
        <v>44991484476</v>
      </c>
      <c r="C198" s="33" t="s">
        <v>44</v>
      </c>
      <c r="D198" s="33">
        <v>4430265054</v>
      </c>
      <c r="E198" s="33">
        <v>78</v>
      </c>
      <c r="F198" s="33">
        <v>36</v>
      </c>
      <c r="G198" s="33" t="s">
        <v>38</v>
      </c>
      <c r="H198" s="33" t="s">
        <v>3531</v>
      </c>
      <c r="I198" s="33" t="s">
        <v>39</v>
      </c>
      <c r="J198" s="33" t="s">
        <v>40</v>
      </c>
      <c r="K198" s="33" t="s">
        <v>41</v>
      </c>
    </row>
    <row r="199" spans="1:12" hidden="1" x14ac:dyDescent="0.3">
      <c r="A199" s="39">
        <v>46079.693865740737</v>
      </c>
      <c r="B199" s="33">
        <v>44998107650</v>
      </c>
      <c r="C199" s="33" t="s">
        <v>42</v>
      </c>
      <c r="D199" s="33">
        <v>4431268225</v>
      </c>
      <c r="E199" s="33">
        <v>1033</v>
      </c>
      <c r="F199" s="33">
        <v>973</v>
      </c>
      <c r="G199" s="33" t="s">
        <v>38</v>
      </c>
      <c r="H199" s="33" t="s">
        <v>3532</v>
      </c>
      <c r="I199" s="33" t="s">
        <v>39</v>
      </c>
      <c r="J199" s="33" t="s">
        <v>40</v>
      </c>
      <c r="K199" s="33" t="s">
        <v>41</v>
      </c>
      <c r="L199" s="33">
        <v>5</v>
      </c>
    </row>
    <row r="200" spans="1:12" hidden="1" x14ac:dyDescent="0.3">
      <c r="A200" s="39">
        <v>46079.688125000001</v>
      </c>
      <c r="B200" s="33">
        <v>4430288909</v>
      </c>
      <c r="C200" s="33" t="s">
        <v>44</v>
      </c>
      <c r="D200" s="33">
        <v>4430265054</v>
      </c>
      <c r="E200" s="33">
        <v>143</v>
      </c>
      <c r="F200" s="33">
        <v>85</v>
      </c>
      <c r="G200" s="33" t="s">
        <v>38</v>
      </c>
      <c r="H200" s="33" t="s">
        <v>3533</v>
      </c>
      <c r="I200" s="33" t="s">
        <v>39</v>
      </c>
      <c r="J200" s="33" t="s">
        <v>40</v>
      </c>
      <c r="K200" s="33" t="s">
        <v>41</v>
      </c>
    </row>
    <row r="201" spans="1:12" hidden="1" x14ac:dyDescent="0.3">
      <c r="A201" s="39">
        <v>46079.687141203707</v>
      </c>
      <c r="B201" s="33" t="s">
        <v>37</v>
      </c>
      <c r="C201" s="33">
        <v>4430414545</v>
      </c>
      <c r="E201" s="33">
        <v>2147</v>
      </c>
      <c r="F201" s="33">
        <v>2139</v>
      </c>
      <c r="G201" s="33" t="s">
        <v>38</v>
      </c>
      <c r="H201" s="33" t="s">
        <v>5202</v>
      </c>
      <c r="I201" s="33" t="s">
        <v>46</v>
      </c>
      <c r="J201" s="33" t="s">
        <v>40</v>
      </c>
    </row>
    <row r="202" spans="1:12" hidden="1" x14ac:dyDescent="0.3">
      <c r="A202" s="39">
        <v>46079.687060185184</v>
      </c>
      <c r="B202" s="33" t="s">
        <v>37</v>
      </c>
      <c r="C202" s="33">
        <v>4430414545</v>
      </c>
      <c r="E202" s="33">
        <v>6</v>
      </c>
      <c r="F202" s="33">
        <v>0</v>
      </c>
      <c r="G202" s="33" t="s">
        <v>47</v>
      </c>
      <c r="H202" s="33" t="s">
        <v>5203</v>
      </c>
      <c r="I202" s="33" t="s">
        <v>46</v>
      </c>
      <c r="J202" s="33" t="s">
        <v>40</v>
      </c>
    </row>
    <row r="203" spans="1:12" hidden="1" x14ac:dyDescent="0.3">
      <c r="A203" s="39">
        <v>46079.686863425923</v>
      </c>
      <c r="B203" s="33" t="s">
        <v>37</v>
      </c>
      <c r="C203" s="33">
        <v>4430414545</v>
      </c>
      <c r="E203" s="33">
        <v>9</v>
      </c>
      <c r="F203" s="33">
        <v>0</v>
      </c>
      <c r="G203" s="33" t="s">
        <v>47</v>
      </c>
      <c r="H203" s="33" t="s">
        <v>5204</v>
      </c>
      <c r="I203" s="33" t="s">
        <v>46</v>
      </c>
      <c r="J203" s="33" t="s">
        <v>40</v>
      </c>
    </row>
    <row r="204" spans="1:12" hidden="1" x14ac:dyDescent="0.3">
      <c r="A204" s="39">
        <v>46079.686747685184</v>
      </c>
      <c r="B204" s="33" t="s">
        <v>37</v>
      </c>
      <c r="C204" s="33">
        <v>4430414545</v>
      </c>
      <c r="E204" s="33">
        <v>8</v>
      </c>
      <c r="F204" s="33">
        <v>0</v>
      </c>
      <c r="G204" s="33" t="s">
        <v>47</v>
      </c>
      <c r="H204" s="33" t="s">
        <v>5205</v>
      </c>
      <c r="I204" s="33" t="s">
        <v>46</v>
      </c>
      <c r="J204" s="33" t="s">
        <v>40</v>
      </c>
    </row>
    <row r="205" spans="1:12" hidden="1" x14ac:dyDescent="0.3">
      <c r="A205" s="39">
        <v>46079.686423611114</v>
      </c>
      <c r="B205" s="33">
        <v>44988067937</v>
      </c>
      <c r="C205" s="33" t="s">
        <v>43</v>
      </c>
      <c r="D205" s="33">
        <v>4430265054</v>
      </c>
      <c r="E205" s="33">
        <v>688</v>
      </c>
      <c r="F205" s="33">
        <v>584</v>
      </c>
      <c r="G205" s="33" t="s">
        <v>38</v>
      </c>
      <c r="H205" s="33" t="s">
        <v>3534</v>
      </c>
      <c r="I205" s="33" t="s">
        <v>39</v>
      </c>
      <c r="J205" s="33" t="s">
        <v>40</v>
      </c>
      <c r="K205" s="33" t="s">
        <v>41</v>
      </c>
    </row>
    <row r="206" spans="1:12" hidden="1" x14ac:dyDescent="0.3">
      <c r="A206" s="39">
        <v>46079.686192129629</v>
      </c>
      <c r="B206" s="33">
        <v>4436281154</v>
      </c>
      <c r="C206" s="33">
        <v>4430265054</v>
      </c>
      <c r="D206" s="33">
        <v>4430265054</v>
      </c>
      <c r="E206" s="33">
        <v>30</v>
      </c>
      <c r="F206" s="33">
        <v>29</v>
      </c>
      <c r="G206" s="33" t="s">
        <v>3449</v>
      </c>
      <c r="H206" s="33" t="s">
        <v>3535</v>
      </c>
      <c r="I206" s="33" t="s">
        <v>39</v>
      </c>
      <c r="J206" s="33" t="s">
        <v>3451</v>
      </c>
      <c r="K206" s="33" t="s">
        <v>41</v>
      </c>
    </row>
    <row r="207" spans="1:12" hidden="1" x14ac:dyDescent="0.3">
      <c r="A207" s="39">
        <v>46079.686145833337</v>
      </c>
      <c r="B207" s="33">
        <v>4430291622</v>
      </c>
      <c r="C207" s="33" t="s">
        <v>44</v>
      </c>
      <c r="D207" s="33">
        <v>4430265054</v>
      </c>
      <c r="E207" s="33">
        <v>110</v>
      </c>
      <c r="F207" s="33">
        <v>7</v>
      </c>
      <c r="G207" s="33" t="s">
        <v>38</v>
      </c>
      <c r="H207" s="33" t="s">
        <v>3536</v>
      </c>
      <c r="I207" s="33" t="s">
        <v>39</v>
      </c>
      <c r="J207" s="33" t="s">
        <v>40</v>
      </c>
      <c r="K207" s="33" t="s">
        <v>41</v>
      </c>
    </row>
    <row r="208" spans="1:12" hidden="1" x14ac:dyDescent="0.3">
      <c r="A208" s="39">
        <v>46079.685069444444</v>
      </c>
      <c r="B208" s="33">
        <v>4121170376</v>
      </c>
      <c r="C208" s="33">
        <v>4531273154</v>
      </c>
      <c r="D208" s="33">
        <v>4531273154</v>
      </c>
      <c r="E208" s="33">
        <v>9</v>
      </c>
      <c r="F208" s="33">
        <v>8</v>
      </c>
      <c r="G208" s="33" t="s">
        <v>3449</v>
      </c>
      <c r="H208" s="33" t="s">
        <v>5206</v>
      </c>
      <c r="I208" s="33" t="s">
        <v>39</v>
      </c>
      <c r="J208" s="33" t="s">
        <v>3451</v>
      </c>
    </row>
    <row r="209" spans="1:12" hidden="1" x14ac:dyDescent="0.3">
      <c r="A209" s="39">
        <v>46079.684305555558</v>
      </c>
      <c r="B209" s="33" t="s">
        <v>3627</v>
      </c>
      <c r="C209" s="33">
        <v>34991573673</v>
      </c>
      <c r="E209" s="33">
        <v>9</v>
      </c>
      <c r="F209" s="33">
        <v>2</v>
      </c>
      <c r="G209" s="33" t="s">
        <v>38</v>
      </c>
      <c r="H209" s="33" t="s">
        <v>5207</v>
      </c>
      <c r="I209" s="33" t="s">
        <v>46</v>
      </c>
      <c r="J209" s="33" t="s">
        <v>3629</v>
      </c>
    </row>
    <row r="210" spans="1:12" hidden="1" x14ac:dyDescent="0.3">
      <c r="A210" s="39">
        <v>46079.683472222219</v>
      </c>
      <c r="B210" s="33">
        <v>4430414545</v>
      </c>
      <c r="C210" s="33" t="s">
        <v>37</v>
      </c>
      <c r="D210" s="33">
        <v>4430265054</v>
      </c>
      <c r="E210" s="33">
        <v>214</v>
      </c>
      <c r="F210" s="33">
        <v>130</v>
      </c>
      <c r="G210" s="33" t="s">
        <v>38</v>
      </c>
      <c r="H210" s="33" t="s">
        <v>3537</v>
      </c>
      <c r="I210" s="33" t="s">
        <v>39</v>
      </c>
      <c r="J210" s="33" t="s">
        <v>40</v>
      </c>
      <c r="K210" s="33" t="s">
        <v>41</v>
      </c>
    </row>
    <row r="211" spans="1:12" hidden="1" x14ac:dyDescent="0.3">
      <c r="A211" s="39">
        <v>46079.682986111111</v>
      </c>
      <c r="B211" s="33" t="s">
        <v>37</v>
      </c>
      <c r="C211" s="33">
        <v>4132440491</v>
      </c>
      <c r="E211" s="33">
        <v>3</v>
      </c>
      <c r="F211" s="33">
        <v>0</v>
      </c>
      <c r="G211" s="33" t="s">
        <v>47</v>
      </c>
      <c r="H211" s="33" t="s">
        <v>5208</v>
      </c>
      <c r="I211" s="33" t="s">
        <v>46</v>
      </c>
      <c r="J211" s="33" t="s">
        <v>40</v>
      </c>
    </row>
    <row r="212" spans="1:12" hidden="1" x14ac:dyDescent="0.3">
      <c r="A212" s="39">
        <v>46079.681562500002</v>
      </c>
      <c r="B212" s="33">
        <v>19997034825</v>
      </c>
      <c r="C212" s="33" t="s">
        <v>43</v>
      </c>
      <c r="D212" s="33">
        <v>4430265054</v>
      </c>
      <c r="E212" s="33">
        <v>211</v>
      </c>
      <c r="F212" s="33">
        <v>160</v>
      </c>
      <c r="G212" s="33" t="s">
        <v>38</v>
      </c>
      <c r="H212" s="33" t="s">
        <v>3538</v>
      </c>
      <c r="I212" s="33" t="s">
        <v>39</v>
      </c>
      <c r="J212" s="33" t="s">
        <v>40</v>
      </c>
      <c r="K212" s="33" t="s">
        <v>41</v>
      </c>
    </row>
    <row r="213" spans="1:12" hidden="1" x14ac:dyDescent="0.3">
      <c r="A213" s="39">
        <v>46079.681018518517</v>
      </c>
      <c r="B213" s="33">
        <v>19997034825</v>
      </c>
      <c r="C213" s="33">
        <v>4430265054</v>
      </c>
      <c r="D213" s="33">
        <v>4430265054</v>
      </c>
      <c r="E213" s="33">
        <v>34</v>
      </c>
      <c r="F213" s="33">
        <v>33</v>
      </c>
      <c r="G213" s="33" t="s">
        <v>3449</v>
      </c>
      <c r="H213" s="33" t="s">
        <v>5209</v>
      </c>
      <c r="I213" s="33" t="s">
        <v>39</v>
      </c>
      <c r="J213" s="33" t="s">
        <v>3451</v>
      </c>
    </row>
    <row r="214" spans="1:12" hidden="1" x14ac:dyDescent="0.3">
      <c r="A214" s="39">
        <v>46079.675856481481</v>
      </c>
      <c r="B214" s="33">
        <v>4430145899</v>
      </c>
      <c r="C214" s="33" t="s">
        <v>48</v>
      </c>
      <c r="D214" s="33">
        <v>4430265054</v>
      </c>
      <c r="E214" s="33">
        <v>200</v>
      </c>
      <c r="F214" s="33">
        <v>172</v>
      </c>
      <c r="G214" s="33" t="s">
        <v>38</v>
      </c>
      <c r="H214" s="33" t="s">
        <v>3539</v>
      </c>
      <c r="I214" s="33" t="s">
        <v>39</v>
      </c>
      <c r="J214" s="33" t="s">
        <v>40</v>
      </c>
      <c r="K214" s="33" t="s">
        <v>41</v>
      </c>
    </row>
    <row r="215" spans="1:12" hidden="1" x14ac:dyDescent="0.3">
      <c r="A215" s="39">
        <v>46079.675682870373</v>
      </c>
      <c r="B215" s="33">
        <v>4436281154</v>
      </c>
      <c r="C215" s="33" t="s">
        <v>42</v>
      </c>
      <c r="D215" s="33">
        <v>4430265054</v>
      </c>
      <c r="E215" s="33">
        <v>883</v>
      </c>
      <c r="F215" s="33">
        <v>842</v>
      </c>
      <c r="G215" s="33" t="s">
        <v>38</v>
      </c>
      <c r="H215" s="33" t="s">
        <v>3540</v>
      </c>
      <c r="I215" s="33" t="s">
        <v>39</v>
      </c>
      <c r="J215" s="33" t="s">
        <v>40</v>
      </c>
      <c r="K215" s="33" t="s">
        <v>41</v>
      </c>
    </row>
    <row r="216" spans="1:12" hidden="1" x14ac:dyDescent="0.3">
      <c r="A216" s="39">
        <v>46079.674513888887</v>
      </c>
      <c r="B216" s="33" t="s">
        <v>45</v>
      </c>
      <c r="C216" s="33">
        <v>44997311122</v>
      </c>
      <c r="E216" s="33">
        <v>80</v>
      </c>
      <c r="F216" s="33">
        <v>70</v>
      </c>
      <c r="G216" s="33" t="s">
        <v>38</v>
      </c>
      <c r="H216" s="33" t="s">
        <v>5210</v>
      </c>
      <c r="I216" s="33" t="s">
        <v>46</v>
      </c>
      <c r="J216" s="33" t="s">
        <v>40</v>
      </c>
    </row>
    <row r="217" spans="1:12" hidden="1" x14ac:dyDescent="0.3">
      <c r="A217" s="39">
        <v>46079.674444444441</v>
      </c>
      <c r="B217" s="33">
        <v>99996511677</v>
      </c>
      <c r="C217" s="33" t="s">
        <v>44</v>
      </c>
      <c r="D217" s="33">
        <v>4430265054</v>
      </c>
      <c r="E217" s="33">
        <v>231</v>
      </c>
      <c r="F217" s="33">
        <v>175</v>
      </c>
      <c r="G217" s="33" t="s">
        <v>38</v>
      </c>
      <c r="H217" s="33" t="s">
        <v>3541</v>
      </c>
      <c r="I217" s="33" t="s">
        <v>39</v>
      </c>
      <c r="J217" s="33" t="s">
        <v>40</v>
      </c>
      <c r="K217" s="33" t="s">
        <v>41</v>
      </c>
    </row>
    <row r="218" spans="1:12" hidden="1" x14ac:dyDescent="0.3">
      <c r="A218" s="39">
        <v>46079.672013888892</v>
      </c>
      <c r="B218" s="33">
        <v>43988030048</v>
      </c>
      <c r="C218" s="33" t="s">
        <v>43</v>
      </c>
      <c r="D218" s="33">
        <v>4430265054</v>
      </c>
      <c r="E218" s="33">
        <v>253</v>
      </c>
      <c r="F218" s="33">
        <v>160</v>
      </c>
      <c r="G218" s="33" t="s">
        <v>38</v>
      </c>
      <c r="H218" s="33" t="s">
        <v>3542</v>
      </c>
      <c r="I218" s="33" t="s">
        <v>39</v>
      </c>
      <c r="J218" s="33" t="s">
        <v>40</v>
      </c>
      <c r="K218" s="33" t="s">
        <v>41</v>
      </c>
      <c r="L218" s="33">
        <v>5</v>
      </c>
    </row>
    <row r="219" spans="1:12" hidden="1" x14ac:dyDescent="0.3">
      <c r="A219" s="39">
        <v>46079.667893518519</v>
      </c>
      <c r="B219" s="33">
        <v>91981481202</v>
      </c>
      <c r="C219" s="33" t="s">
        <v>43</v>
      </c>
      <c r="D219" s="33">
        <v>4430265054</v>
      </c>
      <c r="E219" s="33">
        <v>332</v>
      </c>
      <c r="F219" s="33">
        <v>285</v>
      </c>
      <c r="G219" s="33" t="s">
        <v>38</v>
      </c>
      <c r="H219" s="33" t="s">
        <v>3543</v>
      </c>
      <c r="I219" s="33" t="s">
        <v>39</v>
      </c>
      <c r="J219" s="33" t="s">
        <v>40</v>
      </c>
      <c r="K219" s="33" t="s">
        <v>41</v>
      </c>
    </row>
    <row r="220" spans="1:12" x14ac:dyDescent="0.3">
      <c r="A220" s="39">
        <v>46079.66741898148</v>
      </c>
      <c r="B220" s="33">
        <v>12997611769</v>
      </c>
      <c r="C220" s="33" t="s">
        <v>44</v>
      </c>
      <c r="D220" s="33">
        <v>4430265054</v>
      </c>
      <c r="E220" s="33">
        <v>275</v>
      </c>
      <c r="F220" s="33">
        <v>231</v>
      </c>
      <c r="G220" s="33" t="s">
        <v>38</v>
      </c>
      <c r="H220" s="33" t="s">
        <v>3544</v>
      </c>
      <c r="I220" s="33" t="s">
        <v>39</v>
      </c>
      <c r="J220" s="33" t="s">
        <v>40</v>
      </c>
      <c r="K220" s="33" t="s">
        <v>41</v>
      </c>
      <c r="L220" s="33">
        <v>5</v>
      </c>
    </row>
    <row r="221" spans="1:12" hidden="1" x14ac:dyDescent="0.3">
      <c r="A221" s="39">
        <v>46079.663842592592</v>
      </c>
      <c r="B221" s="33">
        <v>4134348944</v>
      </c>
      <c r="C221" s="33">
        <v>4531273171</v>
      </c>
      <c r="D221" s="33">
        <v>4531273171</v>
      </c>
      <c r="E221" s="33">
        <v>8</v>
      </c>
      <c r="F221" s="33">
        <v>8</v>
      </c>
      <c r="G221" s="33" t="s">
        <v>3449</v>
      </c>
      <c r="H221" s="33" t="s">
        <v>5211</v>
      </c>
      <c r="I221" s="33" t="s">
        <v>39</v>
      </c>
      <c r="J221" s="33" t="s">
        <v>3451</v>
      </c>
    </row>
    <row r="222" spans="1:12" hidden="1" x14ac:dyDescent="0.3">
      <c r="A222" s="39">
        <v>46079.662754629629</v>
      </c>
      <c r="B222" s="33">
        <v>44997311122</v>
      </c>
      <c r="C222" s="33" t="s">
        <v>45</v>
      </c>
      <c r="D222" s="33">
        <v>4430265054</v>
      </c>
      <c r="E222" s="33">
        <v>574</v>
      </c>
      <c r="F222" s="33">
        <v>510</v>
      </c>
      <c r="G222" s="33" t="s">
        <v>38</v>
      </c>
      <c r="H222" s="33" t="s">
        <v>3545</v>
      </c>
      <c r="I222" s="33" t="s">
        <v>39</v>
      </c>
      <c r="J222" s="33" t="s">
        <v>40</v>
      </c>
      <c r="K222" s="33" t="s">
        <v>41</v>
      </c>
    </row>
    <row r="223" spans="1:12" hidden="1" x14ac:dyDescent="0.3">
      <c r="A223" s="39">
        <v>46079.662569444445</v>
      </c>
      <c r="B223" s="33">
        <v>4121170389</v>
      </c>
      <c r="C223" s="33">
        <v>4431268238</v>
      </c>
      <c r="D223" s="33">
        <v>4431268238</v>
      </c>
      <c r="E223" s="33">
        <v>9</v>
      </c>
      <c r="F223" s="33">
        <v>8</v>
      </c>
      <c r="G223" s="33" t="s">
        <v>3449</v>
      </c>
      <c r="H223" s="33" t="s">
        <v>5212</v>
      </c>
      <c r="I223" s="33" t="s">
        <v>39</v>
      </c>
      <c r="J223" s="33" t="s">
        <v>3451</v>
      </c>
    </row>
    <row r="224" spans="1:12" hidden="1" x14ac:dyDescent="0.3">
      <c r="A224" s="39">
        <v>46079.658900462964</v>
      </c>
      <c r="B224" s="33">
        <v>4121170368</v>
      </c>
      <c r="C224" s="33">
        <v>4531273168</v>
      </c>
      <c r="D224" s="33">
        <v>4531273168</v>
      </c>
      <c r="E224" s="33">
        <v>9</v>
      </c>
      <c r="F224" s="33">
        <v>8</v>
      </c>
      <c r="G224" s="33" t="s">
        <v>3449</v>
      </c>
      <c r="H224" s="33" t="s">
        <v>5213</v>
      </c>
      <c r="I224" s="33" t="s">
        <v>39</v>
      </c>
      <c r="J224" s="33" t="s">
        <v>3451</v>
      </c>
    </row>
    <row r="225" spans="1:12" hidden="1" x14ac:dyDescent="0.3">
      <c r="A225" s="39">
        <v>46079.651446759257</v>
      </c>
      <c r="B225" s="33" t="s">
        <v>43</v>
      </c>
      <c r="C225" s="33">
        <v>4430162376</v>
      </c>
      <c r="E225" s="33">
        <v>124</v>
      </c>
      <c r="F225" s="33">
        <v>106</v>
      </c>
      <c r="G225" s="33" t="s">
        <v>38</v>
      </c>
      <c r="H225" s="33" t="s">
        <v>5214</v>
      </c>
      <c r="I225" s="33" t="s">
        <v>46</v>
      </c>
      <c r="J225" s="33" t="s">
        <v>40</v>
      </c>
    </row>
    <row r="226" spans="1:12" hidden="1" x14ac:dyDescent="0.3">
      <c r="A226" s="39">
        <v>46079.650254629632</v>
      </c>
      <c r="B226" s="33" t="s">
        <v>43</v>
      </c>
      <c r="C226" s="33">
        <v>4430162376</v>
      </c>
      <c r="E226" s="33">
        <v>99</v>
      </c>
      <c r="F226" s="33">
        <v>75</v>
      </c>
      <c r="G226" s="33" t="s">
        <v>38</v>
      </c>
      <c r="H226" s="33" t="s">
        <v>5215</v>
      </c>
      <c r="I226" s="33" t="s">
        <v>46</v>
      </c>
      <c r="J226" s="33" t="s">
        <v>40</v>
      </c>
    </row>
    <row r="227" spans="1:12" hidden="1" x14ac:dyDescent="0.3">
      <c r="A227" s="39">
        <v>46079.645983796298</v>
      </c>
      <c r="B227" s="33">
        <v>4432321371</v>
      </c>
      <c r="C227" s="33" t="s">
        <v>42</v>
      </c>
      <c r="D227" s="33">
        <v>4430265054</v>
      </c>
      <c r="E227" s="33">
        <v>785</v>
      </c>
      <c r="F227" s="33">
        <v>739</v>
      </c>
      <c r="G227" s="33" t="s">
        <v>38</v>
      </c>
      <c r="H227" s="33" t="s">
        <v>3546</v>
      </c>
      <c r="I227" s="33" t="s">
        <v>39</v>
      </c>
      <c r="J227" s="33" t="s">
        <v>40</v>
      </c>
      <c r="K227" s="33" t="s">
        <v>41</v>
      </c>
    </row>
    <row r="228" spans="1:12" hidden="1" x14ac:dyDescent="0.3">
      <c r="A228" s="39">
        <v>46079.643854166665</v>
      </c>
      <c r="B228" s="33">
        <v>1128787060</v>
      </c>
      <c r="C228" s="33">
        <v>3000</v>
      </c>
      <c r="D228" s="33">
        <v>4430265054</v>
      </c>
      <c r="E228" s="33">
        <v>153</v>
      </c>
      <c r="F228" s="33">
        <v>141</v>
      </c>
      <c r="G228" s="33" t="s">
        <v>38</v>
      </c>
      <c r="H228" s="33" t="s">
        <v>3547</v>
      </c>
      <c r="I228" s="33" t="s">
        <v>39</v>
      </c>
      <c r="J228" s="33" t="s">
        <v>3451</v>
      </c>
      <c r="K228" s="33" t="s">
        <v>41</v>
      </c>
    </row>
    <row r="229" spans="1:12" hidden="1" x14ac:dyDescent="0.3">
      <c r="A229" s="39">
        <v>46079.643576388888</v>
      </c>
      <c r="B229" s="33">
        <v>4430191401</v>
      </c>
      <c r="C229" s="33" t="s">
        <v>45</v>
      </c>
      <c r="D229" s="33">
        <v>4430265054</v>
      </c>
      <c r="E229" s="33">
        <v>336</v>
      </c>
      <c r="F229" s="33">
        <v>244</v>
      </c>
      <c r="G229" s="33" t="s">
        <v>38</v>
      </c>
      <c r="H229" s="33" t="s">
        <v>3548</v>
      </c>
      <c r="I229" s="33" t="s">
        <v>39</v>
      </c>
      <c r="J229" s="33" t="s">
        <v>40</v>
      </c>
      <c r="K229" s="33" t="s">
        <v>41</v>
      </c>
      <c r="L229" s="33">
        <v>4</v>
      </c>
    </row>
    <row r="230" spans="1:12" hidden="1" x14ac:dyDescent="0.3">
      <c r="A230" s="39">
        <v>46079.631990740738</v>
      </c>
      <c r="B230" s="33" t="s">
        <v>45</v>
      </c>
      <c r="C230" s="33">
        <v>4432525112</v>
      </c>
      <c r="E230" s="33">
        <v>106</v>
      </c>
      <c r="F230" s="33">
        <v>91</v>
      </c>
      <c r="G230" s="33" t="s">
        <v>38</v>
      </c>
      <c r="H230" s="33" t="s">
        <v>5216</v>
      </c>
      <c r="I230" s="33" t="s">
        <v>46</v>
      </c>
      <c r="J230" s="33" t="s">
        <v>40</v>
      </c>
    </row>
    <row r="231" spans="1:12" hidden="1" x14ac:dyDescent="0.3">
      <c r="A231" s="39">
        <v>46079.631666666668</v>
      </c>
      <c r="B231" s="33">
        <v>4435228263</v>
      </c>
      <c r="C231" s="33" t="s">
        <v>43</v>
      </c>
      <c r="D231" s="33">
        <v>4430265054</v>
      </c>
      <c r="E231" s="33">
        <v>636</v>
      </c>
      <c r="F231" s="33">
        <v>599</v>
      </c>
      <c r="G231" s="33" t="s">
        <v>38</v>
      </c>
      <c r="H231" s="33" t="s">
        <v>3549</v>
      </c>
      <c r="I231" s="33" t="s">
        <v>39</v>
      </c>
      <c r="J231" s="33" t="s">
        <v>40</v>
      </c>
      <c r="K231" s="33" t="s">
        <v>41</v>
      </c>
      <c r="L231" s="33">
        <v>5</v>
      </c>
    </row>
    <row r="232" spans="1:12" hidden="1" x14ac:dyDescent="0.3">
      <c r="A232" s="39">
        <v>46079.626400462963</v>
      </c>
      <c r="B232" s="33" t="s">
        <v>3627</v>
      </c>
      <c r="C232" s="33">
        <v>49999959312</v>
      </c>
      <c r="E232" s="33">
        <v>4</v>
      </c>
      <c r="F232" s="33">
        <v>0</v>
      </c>
      <c r="G232" s="33" t="s">
        <v>47</v>
      </c>
      <c r="H232" s="33" t="s">
        <v>5217</v>
      </c>
      <c r="I232" s="33" t="s">
        <v>46</v>
      </c>
      <c r="J232" s="33" t="s">
        <v>3629</v>
      </c>
    </row>
    <row r="233" spans="1:12" hidden="1" x14ac:dyDescent="0.3">
      <c r="A233" s="39">
        <v>46079.626284722224</v>
      </c>
      <c r="B233" s="33">
        <v>44997571961</v>
      </c>
      <c r="C233" s="33" t="s">
        <v>37</v>
      </c>
      <c r="D233" s="33">
        <v>4430265054</v>
      </c>
      <c r="E233" s="33">
        <v>4315</v>
      </c>
      <c r="F233" s="33">
        <v>4138</v>
      </c>
      <c r="G233" s="33" t="s">
        <v>38</v>
      </c>
      <c r="H233" s="33" t="s">
        <v>3550</v>
      </c>
      <c r="I233" s="33" t="s">
        <v>39</v>
      </c>
      <c r="J233" s="33" t="s">
        <v>40</v>
      </c>
      <c r="K233" s="33" t="s">
        <v>41</v>
      </c>
      <c r="L233" s="33">
        <v>5</v>
      </c>
    </row>
    <row r="234" spans="1:12" hidden="1" x14ac:dyDescent="0.3">
      <c r="A234" s="39">
        <v>46079.621990740743</v>
      </c>
      <c r="B234" s="33">
        <v>4432522019</v>
      </c>
      <c r="C234" s="33" t="s">
        <v>42</v>
      </c>
      <c r="D234" s="33">
        <v>4430265054</v>
      </c>
      <c r="E234" s="33">
        <v>222</v>
      </c>
      <c r="F234" s="33">
        <v>200</v>
      </c>
      <c r="G234" s="33" t="s">
        <v>38</v>
      </c>
      <c r="H234" s="33" t="s">
        <v>3551</v>
      </c>
      <c r="I234" s="33" t="s">
        <v>39</v>
      </c>
      <c r="J234" s="33" t="s">
        <v>40</v>
      </c>
      <c r="K234" s="33" t="s">
        <v>41</v>
      </c>
    </row>
    <row r="235" spans="1:12" hidden="1" x14ac:dyDescent="0.3">
      <c r="A235" s="39">
        <v>46079.621180555558</v>
      </c>
      <c r="B235" s="33">
        <v>73982188717</v>
      </c>
      <c r="C235" s="33" t="s">
        <v>37</v>
      </c>
      <c r="D235" s="33">
        <v>4430265054</v>
      </c>
      <c r="E235" s="33">
        <v>287</v>
      </c>
      <c r="F235" s="33">
        <v>257</v>
      </c>
      <c r="G235" s="33" t="s">
        <v>38</v>
      </c>
      <c r="H235" s="33" t="s">
        <v>3552</v>
      </c>
      <c r="I235" s="33" t="s">
        <v>39</v>
      </c>
      <c r="J235" s="33" t="s">
        <v>40</v>
      </c>
      <c r="K235" s="33" t="s">
        <v>41</v>
      </c>
    </row>
    <row r="236" spans="1:12" hidden="1" x14ac:dyDescent="0.3">
      <c r="A236" s="39">
        <v>46079.619004629632</v>
      </c>
      <c r="B236" s="33">
        <v>44999178521</v>
      </c>
      <c r="C236" s="33" t="s">
        <v>45</v>
      </c>
      <c r="D236" s="33">
        <v>4430265054</v>
      </c>
      <c r="E236" s="33">
        <v>407</v>
      </c>
      <c r="F236" s="33">
        <v>309</v>
      </c>
      <c r="G236" s="33" t="s">
        <v>38</v>
      </c>
      <c r="H236" s="33" t="s">
        <v>3553</v>
      </c>
      <c r="I236" s="33" t="s">
        <v>39</v>
      </c>
      <c r="J236" s="33" t="s">
        <v>40</v>
      </c>
      <c r="K236" s="33" t="s">
        <v>41</v>
      </c>
    </row>
    <row r="237" spans="1:12" hidden="1" x14ac:dyDescent="0.3">
      <c r="A237" s="39">
        <v>46079.614537037036</v>
      </c>
      <c r="B237" s="33" t="s">
        <v>3627</v>
      </c>
      <c r="C237" s="33">
        <v>21975284473</v>
      </c>
      <c r="E237" s="33">
        <v>3</v>
      </c>
      <c r="F237" s="33">
        <v>0</v>
      </c>
      <c r="G237" s="33" t="s">
        <v>47</v>
      </c>
      <c r="H237" s="33" t="s">
        <v>5218</v>
      </c>
      <c r="I237" s="33" t="s">
        <v>46</v>
      </c>
      <c r="J237" s="33" t="s">
        <v>3629</v>
      </c>
    </row>
    <row r="238" spans="1:12" hidden="1" x14ac:dyDescent="0.3">
      <c r="A238" s="39">
        <v>46079.613344907404</v>
      </c>
      <c r="B238" s="33" t="s">
        <v>42</v>
      </c>
      <c r="C238" s="33">
        <v>44998006660</v>
      </c>
      <c r="E238" s="33">
        <v>113</v>
      </c>
      <c r="F238" s="33">
        <v>106</v>
      </c>
      <c r="G238" s="33" t="s">
        <v>38</v>
      </c>
      <c r="H238" s="33" t="s">
        <v>5219</v>
      </c>
      <c r="I238" s="33" t="s">
        <v>46</v>
      </c>
      <c r="J238" s="33" t="s">
        <v>40</v>
      </c>
    </row>
    <row r="239" spans="1:12" hidden="1" x14ac:dyDescent="0.3">
      <c r="A239" s="39">
        <v>46079.61173611111</v>
      </c>
      <c r="B239" s="33" t="s">
        <v>3627</v>
      </c>
      <c r="C239" s="33">
        <v>31987150973</v>
      </c>
      <c r="E239" s="33">
        <v>9</v>
      </c>
      <c r="F239" s="33">
        <v>0</v>
      </c>
      <c r="G239" s="33" t="s">
        <v>47</v>
      </c>
      <c r="H239" s="33" t="s">
        <v>5220</v>
      </c>
      <c r="I239" s="33" t="s">
        <v>46</v>
      </c>
      <c r="J239" s="33" t="s">
        <v>3629</v>
      </c>
    </row>
    <row r="240" spans="1:12" hidden="1" x14ac:dyDescent="0.3">
      <c r="A240" s="39">
        <v>46079.610312500001</v>
      </c>
      <c r="B240" s="33" t="s">
        <v>45</v>
      </c>
      <c r="C240" s="33">
        <v>4432321371</v>
      </c>
      <c r="E240" s="33">
        <v>300</v>
      </c>
      <c r="F240" s="33">
        <v>291</v>
      </c>
      <c r="G240" s="33" t="s">
        <v>38</v>
      </c>
      <c r="H240" s="33" t="s">
        <v>5221</v>
      </c>
      <c r="I240" s="33" t="s">
        <v>46</v>
      </c>
      <c r="J240" s="33" t="s">
        <v>40</v>
      </c>
    </row>
    <row r="241" spans="1:12" hidden="1" x14ac:dyDescent="0.3">
      <c r="A241" s="39">
        <v>46079.607268518521</v>
      </c>
      <c r="B241" s="33" t="s">
        <v>42</v>
      </c>
      <c r="C241" s="33">
        <v>44998006660</v>
      </c>
      <c r="E241" s="33">
        <v>206</v>
      </c>
      <c r="F241" s="33">
        <v>194</v>
      </c>
      <c r="G241" s="33" t="s">
        <v>38</v>
      </c>
      <c r="H241" s="33" t="s">
        <v>5222</v>
      </c>
      <c r="I241" s="33" t="s">
        <v>46</v>
      </c>
      <c r="J241" s="33" t="s">
        <v>40</v>
      </c>
    </row>
    <row r="242" spans="1:12" hidden="1" x14ac:dyDescent="0.3">
      <c r="A242" s="39">
        <v>46079.607164351852</v>
      </c>
      <c r="B242" s="33" t="s">
        <v>3627</v>
      </c>
      <c r="C242" s="33">
        <v>85987623301</v>
      </c>
      <c r="E242" s="33">
        <v>9</v>
      </c>
      <c r="F242" s="33">
        <v>1</v>
      </c>
      <c r="G242" s="33" t="s">
        <v>38</v>
      </c>
      <c r="H242" s="33" t="s">
        <v>5223</v>
      </c>
      <c r="I242" s="33" t="s">
        <v>46</v>
      </c>
      <c r="J242" s="33" t="s">
        <v>3629</v>
      </c>
    </row>
    <row r="243" spans="1:12" hidden="1" x14ac:dyDescent="0.3">
      <c r="A243" s="39">
        <v>46079.605752314812</v>
      </c>
      <c r="B243" s="33">
        <v>4434239353</v>
      </c>
      <c r="C243" s="33" t="s">
        <v>43</v>
      </c>
      <c r="D243" s="33">
        <v>4430265054</v>
      </c>
      <c r="E243" s="33">
        <v>723</v>
      </c>
      <c r="F243" s="33">
        <v>657</v>
      </c>
      <c r="G243" s="33" t="s">
        <v>38</v>
      </c>
      <c r="H243" s="33" t="s">
        <v>3554</v>
      </c>
      <c r="I243" s="33" t="s">
        <v>39</v>
      </c>
      <c r="J243" s="33" t="s">
        <v>40</v>
      </c>
      <c r="K243" s="33" t="s">
        <v>41</v>
      </c>
    </row>
    <row r="244" spans="1:12" hidden="1" x14ac:dyDescent="0.3">
      <c r="A244" s="39">
        <v>46079.605358796296</v>
      </c>
      <c r="B244" s="33">
        <v>47999760576</v>
      </c>
      <c r="C244" s="33" t="s">
        <v>37</v>
      </c>
      <c r="D244" s="33">
        <v>4430265054</v>
      </c>
      <c r="E244" s="33">
        <v>481</v>
      </c>
      <c r="F244" s="33">
        <v>424</v>
      </c>
      <c r="G244" s="33" t="s">
        <v>38</v>
      </c>
      <c r="H244" s="33" t="s">
        <v>3555</v>
      </c>
      <c r="I244" s="33" t="s">
        <v>39</v>
      </c>
      <c r="J244" s="33" t="s">
        <v>40</v>
      </c>
      <c r="K244" s="33" t="s">
        <v>41</v>
      </c>
      <c r="L244" s="33">
        <v>5</v>
      </c>
    </row>
    <row r="245" spans="1:12" hidden="1" x14ac:dyDescent="0.3">
      <c r="A245" s="39">
        <v>46079.601967592593</v>
      </c>
      <c r="B245" s="33" t="s">
        <v>3627</v>
      </c>
      <c r="C245" s="33">
        <v>92984094250</v>
      </c>
      <c r="E245" s="33">
        <v>11</v>
      </c>
      <c r="F245" s="33">
        <v>0</v>
      </c>
      <c r="G245" s="33" t="s">
        <v>47</v>
      </c>
      <c r="H245" s="33" t="s">
        <v>5224</v>
      </c>
      <c r="I245" s="33" t="s">
        <v>46</v>
      </c>
      <c r="J245" s="33" t="s">
        <v>3629</v>
      </c>
    </row>
    <row r="246" spans="1:12" hidden="1" x14ac:dyDescent="0.3">
      <c r="A246" s="39">
        <v>46079.600636574076</v>
      </c>
      <c r="B246" s="33">
        <v>44997571961</v>
      </c>
      <c r="C246" s="33" t="s">
        <v>43</v>
      </c>
      <c r="D246" s="33">
        <v>4430265054</v>
      </c>
      <c r="E246" s="33">
        <v>267</v>
      </c>
      <c r="F246" s="33">
        <v>212</v>
      </c>
      <c r="G246" s="33" t="s">
        <v>38</v>
      </c>
      <c r="H246" s="33" t="s">
        <v>3556</v>
      </c>
      <c r="I246" s="33" t="s">
        <v>39</v>
      </c>
      <c r="J246" s="33" t="s">
        <v>40</v>
      </c>
      <c r="K246" s="33" t="s">
        <v>41</v>
      </c>
    </row>
    <row r="247" spans="1:12" hidden="1" x14ac:dyDescent="0.3">
      <c r="A247" s="39">
        <v>46079.598703703705</v>
      </c>
      <c r="B247" s="33">
        <v>4432677399</v>
      </c>
      <c r="C247" s="33" t="s">
        <v>45</v>
      </c>
      <c r="D247" s="33">
        <v>4430265054</v>
      </c>
      <c r="E247" s="33">
        <v>920</v>
      </c>
      <c r="F247" s="33">
        <v>887</v>
      </c>
      <c r="G247" s="33" t="s">
        <v>38</v>
      </c>
      <c r="H247" s="33" t="s">
        <v>3557</v>
      </c>
      <c r="I247" s="33" t="s">
        <v>39</v>
      </c>
      <c r="J247" s="33" t="s">
        <v>40</v>
      </c>
      <c r="K247" s="33" t="s">
        <v>41</v>
      </c>
    </row>
    <row r="248" spans="1:12" hidden="1" x14ac:dyDescent="0.3">
      <c r="A248" s="39">
        <v>46079.597569444442</v>
      </c>
      <c r="B248" s="33">
        <v>44998006660</v>
      </c>
      <c r="C248" s="33" t="s">
        <v>45</v>
      </c>
      <c r="D248" s="33">
        <v>4430265054</v>
      </c>
      <c r="E248" s="33">
        <v>101</v>
      </c>
      <c r="F248" s="33">
        <v>41</v>
      </c>
      <c r="G248" s="33" t="s">
        <v>38</v>
      </c>
      <c r="H248" s="33" t="s">
        <v>3558</v>
      </c>
      <c r="I248" s="33" t="s">
        <v>39</v>
      </c>
      <c r="J248" s="33" t="s">
        <v>40</v>
      </c>
      <c r="K248" s="33" t="s">
        <v>41</v>
      </c>
    </row>
    <row r="249" spans="1:12" hidden="1" x14ac:dyDescent="0.3">
      <c r="A249" s="39">
        <v>46079.585462962961</v>
      </c>
      <c r="B249" s="33">
        <v>44997571961</v>
      </c>
      <c r="C249" s="33" t="s">
        <v>37</v>
      </c>
      <c r="D249" s="33">
        <v>4430265054</v>
      </c>
      <c r="E249" s="33">
        <v>710</v>
      </c>
      <c r="F249" s="33">
        <v>664</v>
      </c>
      <c r="G249" s="33" t="s">
        <v>38</v>
      </c>
      <c r="H249" s="33" t="s">
        <v>3559</v>
      </c>
      <c r="I249" s="33" t="s">
        <v>39</v>
      </c>
      <c r="J249" s="33" t="s">
        <v>40</v>
      </c>
      <c r="K249" s="33" t="s">
        <v>41</v>
      </c>
      <c r="L249" s="33">
        <v>5</v>
      </c>
    </row>
    <row r="250" spans="1:12" hidden="1" x14ac:dyDescent="0.3">
      <c r="A250" s="39">
        <v>46079.577939814815</v>
      </c>
      <c r="B250" s="33">
        <v>4432524652</v>
      </c>
      <c r="C250" s="33" t="s">
        <v>45</v>
      </c>
      <c r="D250" s="33">
        <v>4430265054</v>
      </c>
      <c r="E250" s="33">
        <v>807</v>
      </c>
      <c r="F250" s="33">
        <v>743</v>
      </c>
      <c r="G250" s="33" t="s">
        <v>38</v>
      </c>
      <c r="H250" s="33" t="s">
        <v>3560</v>
      </c>
      <c r="I250" s="33" t="s">
        <v>39</v>
      </c>
      <c r="J250" s="33" t="s">
        <v>40</v>
      </c>
      <c r="K250" s="33" t="s">
        <v>41</v>
      </c>
    </row>
    <row r="251" spans="1:12" hidden="1" x14ac:dyDescent="0.3">
      <c r="A251" s="39">
        <v>46079.566145833334</v>
      </c>
      <c r="B251" s="33">
        <v>44991116911</v>
      </c>
      <c r="C251" s="33" t="s">
        <v>43</v>
      </c>
      <c r="D251" s="33">
        <v>4430265054</v>
      </c>
      <c r="E251" s="33">
        <v>370</v>
      </c>
      <c r="F251" s="33">
        <v>340</v>
      </c>
      <c r="G251" s="33" t="s">
        <v>38</v>
      </c>
      <c r="H251" s="33" t="s">
        <v>3561</v>
      </c>
      <c r="I251" s="33" t="s">
        <v>39</v>
      </c>
      <c r="J251" s="33" t="s">
        <v>40</v>
      </c>
      <c r="K251" s="33" t="s">
        <v>41</v>
      </c>
      <c r="L251" s="33">
        <v>5</v>
      </c>
    </row>
    <row r="252" spans="1:12" hidden="1" x14ac:dyDescent="0.3">
      <c r="A252" s="39">
        <v>46079.565497685187</v>
      </c>
      <c r="B252" s="33">
        <v>44998006660</v>
      </c>
      <c r="C252" s="33" t="s">
        <v>42</v>
      </c>
      <c r="D252" s="33">
        <v>4430265054</v>
      </c>
      <c r="E252" s="33">
        <v>399</v>
      </c>
      <c r="F252" s="33">
        <v>366</v>
      </c>
      <c r="G252" s="33" t="s">
        <v>38</v>
      </c>
      <c r="H252" s="33" t="s">
        <v>3562</v>
      </c>
      <c r="I252" s="33" t="s">
        <v>39</v>
      </c>
      <c r="J252" s="33" t="s">
        <v>40</v>
      </c>
      <c r="K252" s="33" t="s">
        <v>41</v>
      </c>
    </row>
    <row r="253" spans="1:12" hidden="1" x14ac:dyDescent="0.3">
      <c r="A253" s="39">
        <v>46079.565289351849</v>
      </c>
      <c r="B253" s="33" t="s">
        <v>37</v>
      </c>
      <c r="C253" s="33">
        <v>4430459001</v>
      </c>
      <c r="E253" s="33">
        <v>122</v>
      </c>
      <c r="F253" s="33">
        <v>111</v>
      </c>
      <c r="G253" s="33" t="s">
        <v>38</v>
      </c>
      <c r="H253" s="33" t="s">
        <v>5225</v>
      </c>
      <c r="I253" s="33" t="s">
        <v>46</v>
      </c>
      <c r="J253" s="33" t="s">
        <v>40</v>
      </c>
    </row>
    <row r="254" spans="1:12" hidden="1" x14ac:dyDescent="0.3">
      <c r="A254" s="39">
        <v>46079.563148148147</v>
      </c>
      <c r="B254" s="33">
        <v>43999965552</v>
      </c>
      <c r="C254" s="33" t="s">
        <v>45</v>
      </c>
      <c r="D254" s="33">
        <v>4430265054</v>
      </c>
      <c r="E254" s="33">
        <v>378</v>
      </c>
      <c r="F254" s="33">
        <v>313</v>
      </c>
      <c r="G254" s="33" t="s">
        <v>38</v>
      </c>
      <c r="H254" s="33" t="s">
        <v>3563</v>
      </c>
      <c r="I254" s="33" t="s">
        <v>39</v>
      </c>
      <c r="J254" s="33" t="s">
        <v>40</v>
      </c>
      <c r="K254" s="33" t="s">
        <v>41</v>
      </c>
      <c r="L254" s="33">
        <v>5</v>
      </c>
    </row>
    <row r="255" spans="1:12" hidden="1" x14ac:dyDescent="0.3">
      <c r="A255" s="39">
        <v>46079.523587962962</v>
      </c>
      <c r="B255" s="33">
        <v>4121170324</v>
      </c>
      <c r="C255" s="33">
        <v>4531273172</v>
      </c>
      <c r="D255" s="33">
        <v>4531273172</v>
      </c>
      <c r="E255" s="33">
        <v>9</v>
      </c>
      <c r="F255" s="33">
        <v>8</v>
      </c>
      <c r="G255" s="33" t="s">
        <v>3449</v>
      </c>
      <c r="H255" s="33" t="s">
        <v>5226</v>
      </c>
      <c r="I255" s="33" t="s">
        <v>39</v>
      </c>
      <c r="J255" s="33" t="s">
        <v>3451</v>
      </c>
    </row>
    <row r="256" spans="1:12" hidden="1" x14ac:dyDescent="0.3">
      <c r="A256" s="39">
        <v>46079.496030092596</v>
      </c>
      <c r="B256" s="33">
        <v>4121170370</v>
      </c>
      <c r="C256" s="33">
        <v>4531273154</v>
      </c>
      <c r="D256" s="33">
        <v>4531273154</v>
      </c>
      <c r="E256" s="33">
        <v>8</v>
      </c>
      <c r="F256" s="33">
        <v>8</v>
      </c>
      <c r="G256" s="33" t="s">
        <v>3449</v>
      </c>
      <c r="H256" s="33" t="s">
        <v>5227</v>
      </c>
      <c r="I256" s="33" t="s">
        <v>39</v>
      </c>
      <c r="J256" s="33" t="s">
        <v>3451</v>
      </c>
    </row>
    <row r="257" spans="1:12" hidden="1" x14ac:dyDescent="0.3">
      <c r="A257" s="39">
        <v>46079.49015046296</v>
      </c>
      <c r="B257" s="33">
        <v>44991388221</v>
      </c>
      <c r="C257" s="33" t="s">
        <v>37</v>
      </c>
      <c r="D257" s="33">
        <v>4430265054</v>
      </c>
      <c r="E257" s="33">
        <v>938</v>
      </c>
      <c r="F257" s="33">
        <v>879</v>
      </c>
      <c r="G257" s="33" t="s">
        <v>38</v>
      </c>
      <c r="H257" s="33" t="s">
        <v>3564</v>
      </c>
      <c r="I257" s="33" t="s">
        <v>39</v>
      </c>
      <c r="J257" s="33" t="s">
        <v>40</v>
      </c>
      <c r="K257" s="33" t="s">
        <v>41</v>
      </c>
      <c r="L257" s="33">
        <v>5</v>
      </c>
    </row>
    <row r="258" spans="1:12" hidden="1" x14ac:dyDescent="0.3">
      <c r="A258" s="39">
        <v>46079.485706018517</v>
      </c>
      <c r="B258" s="33">
        <v>44998601838</v>
      </c>
      <c r="C258" s="33" t="s">
        <v>43</v>
      </c>
      <c r="D258" s="33">
        <v>4430265054</v>
      </c>
      <c r="E258" s="33">
        <v>447</v>
      </c>
      <c r="F258" s="33">
        <v>396</v>
      </c>
      <c r="G258" s="33" t="s">
        <v>38</v>
      </c>
      <c r="H258" s="33" t="s">
        <v>3565</v>
      </c>
      <c r="I258" s="33" t="s">
        <v>39</v>
      </c>
      <c r="J258" s="33" t="s">
        <v>40</v>
      </c>
      <c r="K258" s="33" t="s">
        <v>41</v>
      </c>
    </row>
    <row r="259" spans="1:12" hidden="1" x14ac:dyDescent="0.3">
      <c r="A259" s="39">
        <v>46079.482083333336</v>
      </c>
      <c r="B259" s="33" t="s">
        <v>45</v>
      </c>
      <c r="C259" s="33">
        <v>4130760170</v>
      </c>
      <c r="E259" s="33">
        <v>92</v>
      </c>
      <c r="F259" s="33">
        <v>81</v>
      </c>
      <c r="G259" s="33" t="s">
        <v>38</v>
      </c>
      <c r="H259" s="33" t="s">
        <v>5228</v>
      </c>
      <c r="I259" s="33" t="s">
        <v>46</v>
      </c>
      <c r="J259" s="33" t="s">
        <v>40</v>
      </c>
    </row>
    <row r="260" spans="1:12" hidden="1" x14ac:dyDescent="0.3">
      <c r="A260" s="39">
        <v>46079.481678240743</v>
      </c>
      <c r="B260" s="33">
        <v>4134348930</v>
      </c>
      <c r="C260" s="33">
        <v>4431268238</v>
      </c>
      <c r="D260" s="33">
        <v>4431268238</v>
      </c>
      <c r="E260" s="33">
        <v>8</v>
      </c>
      <c r="F260" s="33">
        <v>8</v>
      </c>
      <c r="G260" s="33" t="s">
        <v>3449</v>
      </c>
      <c r="H260" s="33" t="s">
        <v>5229</v>
      </c>
      <c r="I260" s="33" t="s">
        <v>39</v>
      </c>
      <c r="J260" s="33" t="s">
        <v>3451</v>
      </c>
    </row>
    <row r="261" spans="1:12" hidden="1" x14ac:dyDescent="0.3">
      <c r="A261" s="39">
        <v>46079.477534722224</v>
      </c>
      <c r="B261" s="33" t="s">
        <v>43</v>
      </c>
      <c r="C261" s="33">
        <v>44991388221</v>
      </c>
      <c r="E261" s="33">
        <v>155</v>
      </c>
      <c r="F261" s="33">
        <v>142</v>
      </c>
      <c r="G261" s="33" t="s">
        <v>38</v>
      </c>
      <c r="H261" s="33" t="s">
        <v>5230</v>
      </c>
      <c r="I261" s="33" t="s">
        <v>46</v>
      </c>
      <c r="J261" s="33" t="s">
        <v>40</v>
      </c>
    </row>
    <row r="262" spans="1:12" hidden="1" x14ac:dyDescent="0.3">
      <c r="A262" s="39">
        <v>46079.475300925929</v>
      </c>
      <c r="B262" s="33" t="s">
        <v>3627</v>
      </c>
      <c r="C262" s="33">
        <v>12981326700</v>
      </c>
      <c r="E262" s="33">
        <v>16</v>
      </c>
      <c r="F262" s="33">
        <v>4</v>
      </c>
      <c r="G262" s="33" t="s">
        <v>38</v>
      </c>
      <c r="H262" s="33" t="s">
        <v>5231</v>
      </c>
      <c r="I262" s="33" t="s">
        <v>46</v>
      </c>
      <c r="J262" s="33" t="s">
        <v>3629</v>
      </c>
    </row>
    <row r="263" spans="1:12" hidden="1" x14ac:dyDescent="0.3">
      <c r="A263" s="39">
        <v>46079.474976851852</v>
      </c>
      <c r="B263" s="33">
        <v>4134348941</v>
      </c>
      <c r="C263" s="33">
        <v>4531273168</v>
      </c>
      <c r="D263" s="33">
        <v>4531273168</v>
      </c>
      <c r="E263" s="33">
        <v>8</v>
      </c>
      <c r="F263" s="33">
        <v>8</v>
      </c>
      <c r="G263" s="33" t="s">
        <v>3449</v>
      </c>
      <c r="H263" s="33" t="s">
        <v>5232</v>
      </c>
      <c r="I263" s="33" t="s">
        <v>39</v>
      </c>
      <c r="J263" s="33" t="s">
        <v>3451</v>
      </c>
    </row>
    <row r="264" spans="1:12" hidden="1" x14ac:dyDescent="0.3">
      <c r="A264" s="39">
        <v>46079.474456018521</v>
      </c>
      <c r="B264" s="33" t="s">
        <v>3627</v>
      </c>
      <c r="C264" s="33">
        <v>47996010610</v>
      </c>
      <c r="E264" s="33">
        <v>13</v>
      </c>
      <c r="F264" s="33">
        <v>0</v>
      </c>
      <c r="G264" s="33" t="s">
        <v>38</v>
      </c>
      <c r="H264" s="33" t="s">
        <v>5233</v>
      </c>
      <c r="I264" s="33" t="s">
        <v>46</v>
      </c>
      <c r="J264" s="33" t="s">
        <v>3629</v>
      </c>
    </row>
    <row r="265" spans="1:12" hidden="1" x14ac:dyDescent="0.3">
      <c r="A265" s="39">
        <v>46079.474409722221</v>
      </c>
      <c r="B265" s="33" t="s">
        <v>3627</v>
      </c>
      <c r="C265" s="33">
        <v>47996010610</v>
      </c>
      <c r="E265" s="33">
        <v>1</v>
      </c>
      <c r="F265" s="33">
        <v>0</v>
      </c>
      <c r="G265" s="33" t="s">
        <v>47</v>
      </c>
      <c r="H265" s="33" t="s">
        <v>5234</v>
      </c>
      <c r="I265" s="33" t="s">
        <v>46</v>
      </c>
      <c r="J265" s="33" t="s">
        <v>3629</v>
      </c>
    </row>
    <row r="266" spans="1:12" hidden="1" x14ac:dyDescent="0.3">
      <c r="A266" s="39">
        <v>46079.471597222226</v>
      </c>
      <c r="B266" s="33">
        <v>41998909974</v>
      </c>
      <c r="C266" s="33" t="s">
        <v>45</v>
      </c>
      <c r="D266" s="33">
        <v>4430265054</v>
      </c>
      <c r="E266" s="33">
        <v>478</v>
      </c>
      <c r="F266" s="33">
        <v>411</v>
      </c>
      <c r="G266" s="33" t="s">
        <v>38</v>
      </c>
      <c r="H266" s="33" t="s">
        <v>3566</v>
      </c>
      <c r="I266" s="33" t="s">
        <v>39</v>
      </c>
      <c r="J266" s="33" t="s">
        <v>40</v>
      </c>
      <c r="K266" s="33" t="s">
        <v>41</v>
      </c>
      <c r="L266" s="33">
        <v>5</v>
      </c>
    </row>
    <row r="267" spans="1:12" hidden="1" x14ac:dyDescent="0.3">
      <c r="A267" s="39">
        <v>46079.471018518518</v>
      </c>
      <c r="B267" s="33">
        <v>4134348913</v>
      </c>
      <c r="C267" s="33">
        <v>4531273171</v>
      </c>
      <c r="D267" s="33">
        <v>4531273171</v>
      </c>
      <c r="E267" s="33">
        <v>9</v>
      </c>
      <c r="F267" s="33">
        <v>8</v>
      </c>
      <c r="G267" s="33" t="s">
        <v>3449</v>
      </c>
      <c r="H267" s="33" t="s">
        <v>5235</v>
      </c>
      <c r="I267" s="33" t="s">
        <v>39</v>
      </c>
      <c r="J267" s="33" t="s">
        <v>3451</v>
      </c>
    </row>
    <row r="268" spans="1:12" hidden="1" x14ac:dyDescent="0.3">
      <c r="A268" s="39">
        <v>46079.462685185186</v>
      </c>
      <c r="B268" s="33">
        <v>44997650834</v>
      </c>
      <c r="C268" s="33" t="s">
        <v>44</v>
      </c>
      <c r="D268" s="33">
        <v>4430265054</v>
      </c>
      <c r="E268" s="33">
        <v>386</v>
      </c>
      <c r="F268" s="33">
        <v>357</v>
      </c>
      <c r="G268" s="33" t="s">
        <v>38</v>
      </c>
      <c r="H268" s="33" t="s">
        <v>3567</v>
      </c>
      <c r="I268" s="33" t="s">
        <v>39</v>
      </c>
      <c r="J268" s="33" t="s">
        <v>40</v>
      </c>
      <c r="K268" s="33" t="s">
        <v>41</v>
      </c>
    </row>
    <row r="269" spans="1:12" hidden="1" x14ac:dyDescent="0.3">
      <c r="A269" s="39">
        <v>46079.46130787037</v>
      </c>
      <c r="B269" s="33">
        <v>4430286521</v>
      </c>
      <c r="C269" s="33" t="s">
        <v>42</v>
      </c>
      <c r="D269" s="33">
        <v>4430265054</v>
      </c>
      <c r="E269" s="33">
        <v>457</v>
      </c>
      <c r="F269" s="33">
        <v>322</v>
      </c>
      <c r="G269" s="33" t="s">
        <v>38</v>
      </c>
      <c r="H269" s="33" t="s">
        <v>3568</v>
      </c>
      <c r="I269" s="33" t="s">
        <v>39</v>
      </c>
      <c r="J269" s="33" t="s">
        <v>40</v>
      </c>
      <c r="K269" s="33" t="s">
        <v>41</v>
      </c>
    </row>
    <row r="270" spans="1:12" hidden="1" x14ac:dyDescent="0.3">
      <c r="A270" s="39">
        <v>46079.458923611113</v>
      </c>
      <c r="B270" s="33">
        <v>4130760170</v>
      </c>
      <c r="C270" s="33" t="s">
        <v>45</v>
      </c>
      <c r="D270" s="33">
        <v>4430265054</v>
      </c>
      <c r="E270" s="33">
        <v>985</v>
      </c>
      <c r="F270" s="33">
        <v>906</v>
      </c>
      <c r="G270" s="33" t="s">
        <v>38</v>
      </c>
      <c r="H270" s="33" t="s">
        <v>3569</v>
      </c>
      <c r="I270" s="33" t="s">
        <v>39</v>
      </c>
      <c r="J270" s="33" t="s">
        <v>40</v>
      </c>
      <c r="K270" s="33" t="s">
        <v>41</v>
      </c>
    </row>
    <row r="271" spans="1:12" hidden="1" x14ac:dyDescent="0.3">
      <c r="A271" s="39">
        <v>46079.455555555556</v>
      </c>
      <c r="B271" s="33">
        <v>44999090169</v>
      </c>
      <c r="C271" s="33" t="s">
        <v>45</v>
      </c>
      <c r="D271" s="33">
        <v>4430265054</v>
      </c>
      <c r="E271" s="33">
        <v>151</v>
      </c>
      <c r="F271" s="33">
        <v>66</v>
      </c>
      <c r="G271" s="33" t="s">
        <v>38</v>
      </c>
      <c r="H271" s="33" t="s">
        <v>3570</v>
      </c>
      <c r="I271" s="33" t="s">
        <v>39</v>
      </c>
      <c r="J271" s="33" t="s">
        <v>40</v>
      </c>
      <c r="K271" s="33" t="s">
        <v>41</v>
      </c>
    </row>
    <row r="272" spans="1:12" hidden="1" x14ac:dyDescent="0.3">
      <c r="A272" s="39">
        <v>46079.451192129629</v>
      </c>
      <c r="B272" s="33">
        <v>4430346845</v>
      </c>
      <c r="C272" s="33">
        <v>4430265054</v>
      </c>
      <c r="D272" s="33">
        <v>4430265054</v>
      </c>
      <c r="E272" s="33">
        <v>2</v>
      </c>
      <c r="F272" s="33">
        <v>2</v>
      </c>
      <c r="G272" s="33" t="s">
        <v>3449</v>
      </c>
      <c r="H272" s="33" t="s">
        <v>5236</v>
      </c>
      <c r="I272" s="33" t="s">
        <v>39</v>
      </c>
      <c r="J272" s="33" t="s">
        <v>3451</v>
      </c>
    </row>
    <row r="273" spans="1:12" hidden="1" x14ac:dyDescent="0.3">
      <c r="A273" s="39">
        <v>46079.449386574073</v>
      </c>
      <c r="B273" s="33">
        <v>4430346845</v>
      </c>
      <c r="C273" s="33">
        <v>4430265054</v>
      </c>
      <c r="D273" s="33">
        <v>4430265054</v>
      </c>
      <c r="E273" s="33">
        <v>13</v>
      </c>
      <c r="F273" s="33">
        <v>12</v>
      </c>
      <c r="G273" s="33" t="s">
        <v>3449</v>
      </c>
      <c r="H273" s="33" t="s">
        <v>5237</v>
      </c>
      <c r="I273" s="33" t="s">
        <v>39</v>
      </c>
      <c r="J273" s="33" t="s">
        <v>3451</v>
      </c>
    </row>
    <row r="274" spans="1:12" hidden="1" x14ac:dyDescent="0.3">
      <c r="A274" s="39">
        <v>46079.447743055556</v>
      </c>
      <c r="B274" s="33">
        <v>4430257989</v>
      </c>
      <c r="C274" s="33" t="s">
        <v>45</v>
      </c>
      <c r="D274" s="33">
        <v>4430265054</v>
      </c>
      <c r="E274" s="33">
        <v>775</v>
      </c>
      <c r="F274" s="33">
        <v>679</v>
      </c>
      <c r="G274" s="33" t="s">
        <v>38</v>
      </c>
      <c r="H274" s="33" t="s">
        <v>3571</v>
      </c>
      <c r="I274" s="33" t="s">
        <v>39</v>
      </c>
      <c r="J274" s="33" t="s">
        <v>40</v>
      </c>
      <c r="K274" s="33" t="s">
        <v>41</v>
      </c>
      <c r="L274" s="33">
        <v>5</v>
      </c>
    </row>
    <row r="275" spans="1:12" hidden="1" x14ac:dyDescent="0.3">
      <c r="A275" s="39">
        <v>46079.445462962962</v>
      </c>
      <c r="B275" s="33" t="s">
        <v>3627</v>
      </c>
      <c r="C275" s="33">
        <v>43999548490</v>
      </c>
      <c r="E275" s="33">
        <v>23</v>
      </c>
      <c r="F275" s="33">
        <v>9</v>
      </c>
      <c r="G275" s="33" t="s">
        <v>38</v>
      </c>
      <c r="H275" s="33" t="s">
        <v>5238</v>
      </c>
      <c r="I275" s="33" t="s">
        <v>46</v>
      </c>
      <c r="J275" s="33" t="s">
        <v>3629</v>
      </c>
    </row>
    <row r="276" spans="1:12" hidden="1" x14ac:dyDescent="0.3">
      <c r="A276" s="39">
        <v>46079.44462962963</v>
      </c>
      <c r="B276" s="33">
        <v>4430141533</v>
      </c>
      <c r="C276" s="33" t="s">
        <v>45</v>
      </c>
      <c r="D276" s="33">
        <v>4430265054</v>
      </c>
      <c r="E276" s="33">
        <v>305</v>
      </c>
      <c r="F276" s="33">
        <v>245</v>
      </c>
      <c r="G276" s="33" t="s">
        <v>38</v>
      </c>
      <c r="H276" s="33" t="s">
        <v>3572</v>
      </c>
      <c r="I276" s="33" t="s">
        <v>39</v>
      </c>
      <c r="J276" s="33" t="s">
        <v>40</v>
      </c>
      <c r="K276" s="33" t="s">
        <v>41</v>
      </c>
    </row>
    <row r="277" spans="1:12" hidden="1" x14ac:dyDescent="0.3">
      <c r="A277" s="39">
        <v>46079.443553240744</v>
      </c>
      <c r="B277" s="33" t="s">
        <v>44</v>
      </c>
      <c r="C277" s="33">
        <v>43999317663</v>
      </c>
      <c r="E277" s="33">
        <v>1006</v>
      </c>
      <c r="F277" s="33">
        <v>998</v>
      </c>
      <c r="G277" s="33" t="s">
        <v>38</v>
      </c>
      <c r="H277" s="33" t="s">
        <v>5239</v>
      </c>
      <c r="I277" s="33" t="s">
        <v>46</v>
      </c>
      <c r="J277" s="33" t="s">
        <v>40</v>
      </c>
    </row>
    <row r="278" spans="1:12" hidden="1" x14ac:dyDescent="0.3">
      <c r="A278" s="39">
        <v>46079.443368055552</v>
      </c>
      <c r="B278" s="33" t="s">
        <v>44</v>
      </c>
      <c r="C278" s="33">
        <v>43999317663</v>
      </c>
      <c r="E278" s="33">
        <v>14</v>
      </c>
      <c r="F278" s="33">
        <v>0</v>
      </c>
      <c r="G278" s="33" t="s">
        <v>47</v>
      </c>
      <c r="H278" s="33" t="s">
        <v>5240</v>
      </c>
      <c r="I278" s="33" t="s">
        <v>46</v>
      </c>
      <c r="J278" s="33" t="s">
        <v>40</v>
      </c>
    </row>
    <row r="279" spans="1:12" hidden="1" x14ac:dyDescent="0.3">
      <c r="A279" s="39">
        <v>46079.443333333336</v>
      </c>
      <c r="B279" s="33" t="s">
        <v>44</v>
      </c>
      <c r="C279" s="33">
        <v>43999317663</v>
      </c>
      <c r="E279" s="33">
        <v>0</v>
      </c>
      <c r="F279" s="33">
        <v>0</v>
      </c>
      <c r="G279" s="33" t="s">
        <v>47</v>
      </c>
      <c r="H279" s="33" t="s">
        <v>5241</v>
      </c>
      <c r="I279" s="33" t="s">
        <v>46</v>
      </c>
      <c r="J279" s="33" t="s">
        <v>40</v>
      </c>
    </row>
    <row r="280" spans="1:12" hidden="1" x14ac:dyDescent="0.3">
      <c r="A280" s="39">
        <v>46079.441307870373</v>
      </c>
      <c r="B280" s="33">
        <v>44991388221</v>
      </c>
      <c r="C280" s="33" t="s">
        <v>43</v>
      </c>
      <c r="D280" s="33">
        <v>4430265054</v>
      </c>
      <c r="E280" s="33">
        <v>667</v>
      </c>
      <c r="F280" s="33">
        <v>615</v>
      </c>
      <c r="G280" s="33" t="s">
        <v>38</v>
      </c>
      <c r="H280" s="33" t="s">
        <v>3573</v>
      </c>
      <c r="I280" s="33" t="s">
        <v>39</v>
      </c>
      <c r="J280" s="33" t="s">
        <v>40</v>
      </c>
      <c r="K280" s="33" t="s">
        <v>41</v>
      </c>
    </row>
    <row r="281" spans="1:12" hidden="1" x14ac:dyDescent="0.3">
      <c r="A281" s="39">
        <v>46079.440752314818</v>
      </c>
      <c r="B281" s="33">
        <v>44998068281</v>
      </c>
      <c r="C281" s="33" t="s">
        <v>45</v>
      </c>
      <c r="D281" s="33">
        <v>4430265054</v>
      </c>
      <c r="E281" s="33">
        <v>153</v>
      </c>
      <c r="F281" s="33">
        <v>115</v>
      </c>
      <c r="G281" s="33" t="s">
        <v>38</v>
      </c>
      <c r="H281" s="33" t="s">
        <v>3574</v>
      </c>
      <c r="I281" s="33" t="s">
        <v>39</v>
      </c>
      <c r="J281" s="33" t="s">
        <v>40</v>
      </c>
      <c r="K281" s="33" t="s">
        <v>41</v>
      </c>
    </row>
    <row r="282" spans="1:12" hidden="1" x14ac:dyDescent="0.3">
      <c r="A282" s="39">
        <v>46079.440439814818</v>
      </c>
      <c r="B282" s="33" t="s">
        <v>3627</v>
      </c>
      <c r="C282" s="33">
        <v>88997463965</v>
      </c>
      <c r="E282" s="33">
        <v>13</v>
      </c>
      <c r="F282" s="33">
        <v>0</v>
      </c>
      <c r="G282" s="33" t="s">
        <v>47</v>
      </c>
      <c r="H282" s="33" t="s">
        <v>5242</v>
      </c>
      <c r="I282" s="33" t="s">
        <v>46</v>
      </c>
      <c r="J282" s="33" t="s">
        <v>3629</v>
      </c>
    </row>
    <row r="283" spans="1:12" hidden="1" x14ac:dyDescent="0.3">
      <c r="A283" s="39">
        <v>46079.438333333332</v>
      </c>
      <c r="B283" s="33" t="s">
        <v>3627</v>
      </c>
      <c r="C283" s="33">
        <v>11998664744</v>
      </c>
      <c r="E283" s="33">
        <v>20</v>
      </c>
      <c r="F283" s="33">
        <v>0</v>
      </c>
      <c r="G283" s="33" t="s">
        <v>47</v>
      </c>
      <c r="H283" s="33" t="s">
        <v>5243</v>
      </c>
      <c r="I283" s="33" t="s">
        <v>46</v>
      </c>
      <c r="J283" s="33" t="s">
        <v>3629</v>
      </c>
    </row>
    <row r="284" spans="1:12" hidden="1" x14ac:dyDescent="0.3">
      <c r="A284" s="39">
        <v>46079.435358796298</v>
      </c>
      <c r="B284" s="33">
        <v>44998006660</v>
      </c>
      <c r="C284" s="33" t="s">
        <v>45</v>
      </c>
      <c r="D284" s="33">
        <v>4430265054</v>
      </c>
      <c r="E284" s="33">
        <v>164</v>
      </c>
      <c r="F284" s="33">
        <v>126</v>
      </c>
      <c r="G284" s="33" t="s">
        <v>38</v>
      </c>
      <c r="H284" s="33" t="s">
        <v>3575</v>
      </c>
      <c r="I284" s="33" t="s">
        <v>39</v>
      </c>
      <c r="J284" s="33" t="s">
        <v>40</v>
      </c>
      <c r="K284" s="33" t="s">
        <v>41</v>
      </c>
    </row>
    <row r="285" spans="1:12" hidden="1" x14ac:dyDescent="0.3">
      <c r="A285" s="39">
        <v>46079.434629629628</v>
      </c>
      <c r="B285" s="33">
        <v>11968566553</v>
      </c>
      <c r="C285" s="33" t="s">
        <v>3627</v>
      </c>
      <c r="D285" s="33">
        <v>4431268225</v>
      </c>
      <c r="E285" s="33">
        <v>109</v>
      </c>
      <c r="F285" s="33">
        <v>86</v>
      </c>
      <c r="G285" s="33" t="s">
        <v>38</v>
      </c>
      <c r="H285" s="33" t="s">
        <v>5244</v>
      </c>
      <c r="I285" s="33" t="s">
        <v>39</v>
      </c>
      <c r="J285" s="33" t="s">
        <v>3629</v>
      </c>
      <c r="K285" s="33" t="s">
        <v>50</v>
      </c>
    </row>
    <row r="286" spans="1:12" hidden="1" x14ac:dyDescent="0.3">
      <c r="A286" s="39">
        <v>46079.430960648147</v>
      </c>
      <c r="B286" s="33">
        <v>41988796768</v>
      </c>
      <c r="C286" s="33" t="s">
        <v>48</v>
      </c>
      <c r="D286" s="33">
        <v>4430265054</v>
      </c>
      <c r="E286" s="33">
        <v>242</v>
      </c>
      <c r="F286" s="33">
        <v>242</v>
      </c>
      <c r="G286" s="33" t="s">
        <v>38</v>
      </c>
      <c r="H286" s="33" t="s">
        <v>3576</v>
      </c>
      <c r="I286" s="33" t="s">
        <v>39</v>
      </c>
      <c r="J286" s="33" t="s">
        <v>40</v>
      </c>
      <c r="K286" s="33" t="s">
        <v>41</v>
      </c>
      <c r="L286" s="33">
        <v>5</v>
      </c>
    </row>
    <row r="287" spans="1:12" hidden="1" x14ac:dyDescent="0.3">
      <c r="A287" s="39">
        <v>46079.428796296299</v>
      </c>
      <c r="B287" s="33">
        <v>4432272377</v>
      </c>
      <c r="C287" s="33" t="s">
        <v>42</v>
      </c>
      <c r="D287" s="33">
        <v>4430265054</v>
      </c>
      <c r="E287" s="33">
        <v>1080</v>
      </c>
      <c r="F287" s="33">
        <v>843</v>
      </c>
      <c r="G287" s="33" t="s">
        <v>38</v>
      </c>
      <c r="H287" s="33" t="s">
        <v>3577</v>
      </c>
      <c r="I287" s="33" t="s">
        <v>39</v>
      </c>
      <c r="J287" s="33" t="s">
        <v>40</v>
      </c>
      <c r="K287" s="33" t="s">
        <v>41</v>
      </c>
    </row>
    <row r="288" spans="1:12" hidden="1" x14ac:dyDescent="0.3">
      <c r="A288" s="39">
        <v>46079.427685185183</v>
      </c>
      <c r="B288" s="33">
        <v>44991388221</v>
      </c>
      <c r="C288" s="33" t="s">
        <v>42</v>
      </c>
      <c r="D288" s="33">
        <v>4430265054</v>
      </c>
      <c r="E288" s="33">
        <v>210</v>
      </c>
      <c r="F288" s="33">
        <v>71</v>
      </c>
      <c r="G288" s="33" t="s">
        <v>38</v>
      </c>
      <c r="H288" s="33" t="s">
        <v>3578</v>
      </c>
      <c r="I288" s="33" t="s">
        <v>39</v>
      </c>
      <c r="J288" s="33" t="s">
        <v>40</v>
      </c>
      <c r="K288" s="33" t="s">
        <v>41</v>
      </c>
    </row>
    <row r="289" spans="1:12" hidden="1" x14ac:dyDescent="0.3">
      <c r="A289" s="39">
        <v>46079.42559027778</v>
      </c>
      <c r="B289" s="33">
        <v>4436751451</v>
      </c>
      <c r="C289" s="33" t="s">
        <v>45</v>
      </c>
      <c r="D289" s="33">
        <v>4430265054</v>
      </c>
      <c r="E289" s="33">
        <v>179</v>
      </c>
      <c r="F289" s="33">
        <v>152</v>
      </c>
      <c r="G289" s="33" t="s">
        <v>38</v>
      </c>
      <c r="H289" s="33" t="s">
        <v>3579</v>
      </c>
      <c r="I289" s="33" t="s">
        <v>39</v>
      </c>
      <c r="J289" s="33" t="s">
        <v>40</v>
      </c>
      <c r="K289" s="33" t="s">
        <v>41</v>
      </c>
    </row>
    <row r="290" spans="1:12" hidden="1" x14ac:dyDescent="0.3">
      <c r="A290" s="39">
        <v>46079.425046296295</v>
      </c>
      <c r="B290" s="33" t="s">
        <v>3627</v>
      </c>
      <c r="C290" s="33">
        <v>24998808839</v>
      </c>
      <c r="E290" s="33">
        <v>21</v>
      </c>
      <c r="F290" s="33">
        <v>1</v>
      </c>
      <c r="G290" s="33" t="s">
        <v>38</v>
      </c>
      <c r="H290" s="33" t="s">
        <v>5245</v>
      </c>
      <c r="I290" s="33" t="s">
        <v>46</v>
      </c>
      <c r="J290" s="33" t="s">
        <v>3629</v>
      </c>
    </row>
    <row r="291" spans="1:12" x14ac:dyDescent="0.3">
      <c r="A291" s="39">
        <v>46079.424386574072</v>
      </c>
      <c r="B291" s="33">
        <v>44998107650</v>
      </c>
      <c r="C291" s="33" t="s">
        <v>44</v>
      </c>
      <c r="D291" s="33">
        <v>4431268225</v>
      </c>
      <c r="E291" s="33">
        <v>1189</v>
      </c>
      <c r="F291" s="33">
        <v>1043</v>
      </c>
      <c r="G291" s="33" t="s">
        <v>38</v>
      </c>
      <c r="H291" s="33" t="s">
        <v>3580</v>
      </c>
      <c r="I291" s="33" t="s">
        <v>39</v>
      </c>
      <c r="J291" s="33" t="s">
        <v>40</v>
      </c>
      <c r="K291" s="33" t="s">
        <v>41</v>
      </c>
      <c r="L291" s="33">
        <v>5</v>
      </c>
    </row>
    <row r="292" spans="1:12" hidden="1" x14ac:dyDescent="0.3">
      <c r="A292" s="39">
        <v>46079.423888888887</v>
      </c>
      <c r="B292" s="33">
        <v>44991113954</v>
      </c>
      <c r="C292" s="33" t="s">
        <v>45</v>
      </c>
      <c r="D292" s="33">
        <v>4430265054</v>
      </c>
      <c r="E292" s="33">
        <v>689</v>
      </c>
      <c r="F292" s="33">
        <v>390</v>
      </c>
      <c r="G292" s="33" t="s">
        <v>38</v>
      </c>
      <c r="H292" s="33" t="s">
        <v>3581</v>
      </c>
      <c r="I292" s="33" t="s">
        <v>39</v>
      </c>
      <c r="J292" s="33" t="s">
        <v>40</v>
      </c>
      <c r="K292" s="33" t="s">
        <v>41</v>
      </c>
    </row>
    <row r="293" spans="1:12" hidden="1" x14ac:dyDescent="0.3">
      <c r="A293" s="39">
        <v>46079.422592592593</v>
      </c>
      <c r="B293" s="33">
        <v>4430459001</v>
      </c>
      <c r="C293" s="33" t="s">
        <v>37</v>
      </c>
      <c r="D293" s="33">
        <v>4430265054</v>
      </c>
      <c r="E293" s="33">
        <v>1448</v>
      </c>
      <c r="F293" s="33">
        <v>1352</v>
      </c>
      <c r="G293" s="33" t="s">
        <v>38</v>
      </c>
      <c r="H293" s="33" t="s">
        <v>3582</v>
      </c>
      <c r="I293" s="33" t="s">
        <v>39</v>
      </c>
      <c r="J293" s="33" t="s">
        <v>40</v>
      </c>
      <c r="K293" s="33" t="s">
        <v>41</v>
      </c>
    </row>
    <row r="294" spans="1:12" hidden="1" x14ac:dyDescent="0.3">
      <c r="A294" s="39">
        <v>46079.422083333331</v>
      </c>
      <c r="B294" s="33">
        <v>44991484476</v>
      </c>
      <c r="C294" s="33" t="s">
        <v>42</v>
      </c>
      <c r="D294" s="33">
        <v>4430265054</v>
      </c>
      <c r="E294" s="33">
        <v>585</v>
      </c>
      <c r="F294" s="33">
        <v>500</v>
      </c>
      <c r="G294" s="33" t="s">
        <v>38</v>
      </c>
      <c r="H294" s="33" t="s">
        <v>3583</v>
      </c>
      <c r="I294" s="33" t="s">
        <v>39</v>
      </c>
      <c r="J294" s="33" t="s">
        <v>40</v>
      </c>
      <c r="K294" s="33" t="s">
        <v>41</v>
      </c>
    </row>
    <row r="295" spans="1:12" hidden="1" x14ac:dyDescent="0.3">
      <c r="A295" s="39">
        <v>46079.421574074076</v>
      </c>
      <c r="B295" s="33">
        <v>81983567163</v>
      </c>
      <c r="C295" s="33" t="s">
        <v>43</v>
      </c>
      <c r="D295" s="33">
        <v>4431268225</v>
      </c>
      <c r="E295" s="33">
        <v>818</v>
      </c>
      <c r="F295" s="33">
        <v>804</v>
      </c>
      <c r="G295" s="33" t="s">
        <v>38</v>
      </c>
      <c r="H295" s="33" t="s">
        <v>3584</v>
      </c>
      <c r="I295" s="33" t="s">
        <v>39</v>
      </c>
      <c r="J295" s="33" t="s">
        <v>40</v>
      </c>
      <c r="K295" s="33" t="s">
        <v>41</v>
      </c>
    </row>
    <row r="296" spans="1:12" hidden="1" x14ac:dyDescent="0.3">
      <c r="A296" s="39">
        <v>46079.420347222222</v>
      </c>
      <c r="B296" s="33">
        <v>11916079448</v>
      </c>
      <c r="C296" s="33" t="s">
        <v>44</v>
      </c>
      <c r="D296" s="33">
        <v>4430265054</v>
      </c>
      <c r="E296" s="33">
        <v>394</v>
      </c>
      <c r="F296" s="33">
        <v>334</v>
      </c>
      <c r="G296" s="33" t="s">
        <v>38</v>
      </c>
      <c r="H296" s="33" t="s">
        <v>3585</v>
      </c>
      <c r="I296" s="33" t="s">
        <v>39</v>
      </c>
      <c r="J296" s="33" t="s">
        <v>40</v>
      </c>
      <c r="K296" s="33" t="s">
        <v>41</v>
      </c>
    </row>
    <row r="297" spans="1:12" hidden="1" x14ac:dyDescent="0.3">
      <c r="A297" s="39">
        <v>46079.419895833336</v>
      </c>
      <c r="B297" s="33">
        <v>81983567163</v>
      </c>
      <c r="C297" s="33">
        <v>4431268225</v>
      </c>
      <c r="D297" s="33">
        <v>4431268225</v>
      </c>
      <c r="E297" s="33">
        <v>95</v>
      </c>
      <c r="F297" s="33">
        <v>95</v>
      </c>
      <c r="G297" s="33" t="s">
        <v>3449</v>
      </c>
      <c r="H297" s="33" t="s">
        <v>3586</v>
      </c>
      <c r="I297" s="33" t="s">
        <v>39</v>
      </c>
      <c r="J297" s="33" t="s">
        <v>3451</v>
      </c>
      <c r="K297" s="33" t="s">
        <v>41</v>
      </c>
    </row>
    <row r="298" spans="1:12" hidden="1" x14ac:dyDescent="0.3">
      <c r="A298" s="39">
        <v>46079.416192129633</v>
      </c>
      <c r="B298" s="33">
        <v>4432322192</v>
      </c>
      <c r="C298" s="33" t="s">
        <v>48</v>
      </c>
      <c r="D298" s="33">
        <v>4430265054</v>
      </c>
      <c r="E298" s="33">
        <v>201</v>
      </c>
      <c r="F298" s="33">
        <v>200</v>
      </c>
      <c r="G298" s="33" t="s">
        <v>38</v>
      </c>
      <c r="H298" s="33" t="s">
        <v>3587</v>
      </c>
      <c r="I298" s="33" t="s">
        <v>39</v>
      </c>
      <c r="J298" s="33" t="s">
        <v>40</v>
      </c>
      <c r="K298" s="33" t="s">
        <v>41</v>
      </c>
    </row>
    <row r="299" spans="1:12" hidden="1" x14ac:dyDescent="0.3">
      <c r="A299" s="39">
        <v>46079.414236111108</v>
      </c>
      <c r="B299" s="33">
        <v>4432321428</v>
      </c>
      <c r="C299" s="33" t="s">
        <v>37</v>
      </c>
      <c r="D299" s="33">
        <v>4430265054</v>
      </c>
      <c r="E299" s="33">
        <v>677</v>
      </c>
      <c r="F299" s="33">
        <v>602</v>
      </c>
      <c r="G299" s="33" t="s">
        <v>38</v>
      </c>
      <c r="H299" s="33" t="s">
        <v>3588</v>
      </c>
      <c r="I299" s="33" t="s">
        <v>39</v>
      </c>
      <c r="J299" s="33" t="s">
        <v>40</v>
      </c>
      <c r="K299" s="33" t="s">
        <v>41</v>
      </c>
      <c r="L299" s="33">
        <v>5</v>
      </c>
    </row>
    <row r="300" spans="1:12" hidden="1" x14ac:dyDescent="0.3">
      <c r="A300" s="39">
        <v>46079.414178240739</v>
      </c>
      <c r="B300" s="33">
        <v>93984112869</v>
      </c>
      <c r="C300" s="33" t="s">
        <v>48</v>
      </c>
      <c r="D300" s="33">
        <v>4431268225</v>
      </c>
      <c r="E300" s="33">
        <v>241</v>
      </c>
      <c r="F300" s="33">
        <v>188</v>
      </c>
      <c r="G300" s="33" t="s">
        <v>38</v>
      </c>
      <c r="H300" s="33" t="s">
        <v>3589</v>
      </c>
      <c r="I300" s="33" t="s">
        <v>39</v>
      </c>
      <c r="J300" s="33" t="s">
        <v>40</v>
      </c>
      <c r="K300" s="33" t="s">
        <v>41</v>
      </c>
    </row>
    <row r="301" spans="1:12" hidden="1" x14ac:dyDescent="0.3">
      <c r="A301" s="39">
        <v>46079.411446759259</v>
      </c>
      <c r="B301" s="33">
        <v>44988443028</v>
      </c>
      <c r="C301" s="33" t="s">
        <v>43</v>
      </c>
      <c r="D301" s="33">
        <v>4430265054</v>
      </c>
      <c r="E301" s="33">
        <v>667</v>
      </c>
      <c r="F301" s="33">
        <v>620</v>
      </c>
      <c r="G301" s="33" t="s">
        <v>38</v>
      </c>
      <c r="H301" s="33" t="s">
        <v>3590</v>
      </c>
      <c r="I301" s="33" t="s">
        <v>39</v>
      </c>
      <c r="J301" s="33" t="s">
        <v>40</v>
      </c>
      <c r="K301" s="33" t="s">
        <v>41</v>
      </c>
    </row>
    <row r="302" spans="1:12" hidden="1" x14ac:dyDescent="0.3">
      <c r="A302" s="39">
        <v>46079.411354166667</v>
      </c>
      <c r="B302" s="33" t="s">
        <v>45</v>
      </c>
      <c r="C302" s="33">
        <v>12997346335</v>
      </c>
      <c r="E302" s="33">
        <v>1270</v>
      </c>
      <c r="F302" s="33">
        <v>1262</v>
      </c>
      <c r="G302" s="33" t="s">
        <v>38</v>
      </c>
      <c r="H302" s="33" t="s">
        <v>5246</v>
      </c>
      <c r="I302" s="33" t="s">
        <v>46</v>
      </c>
      <c r="J302" s="33" t="s">
        <v>40</v>
      </c>
      <c r="L302" s="33">
        <v>5</v>
      </c>
    </row>
    <row r="303" spans="1:12" hidden="1" x14ac:dyDescent="0.3">
      <c r="A303" s="39">
        <v>46079.407592592594</v>
      </c>
      <c r="B303" s="33">
        <v>44998006660</v>
      </c>
      <c r="C303" s="33" t="s">
        <v>37</v>
      </c>
      <c r="D303" s="33">
        <v>4430265054</v>
      </c>
      <c r="E303" s="33">
        <v>585</v>
      </c>
      <c r="F303" s="33">
        <v>540</v>
      </c>
      <c r="G303" s="33" t="s">
        <v>38</v>
      </c>
      <c r="H303" s="33" t="s">
        <v>3591</v>
      </c>
      <c r="I303" s="33" t="s">
        <v>39</v>
      </c>
      <c r="J303" s="33" t="s">
        <v>40</v>
      </c>
      <c r="K303" s="33" t="s">
        <v>41</v>
      </c>
    </row>
    <row r="304" spans="1:12" hidden="1" x14ac:dyDescent="0.3">
      <c r="A304" s="39">
        <v>46079.4059837963</v>
      </c>
      <c r="B304" s="33">
        <v>44991484476</v>
      </c>
      <c r="C304" s="33" t="s">
        <v>42</v>
      </c>
      <c r="D304" s="33">
        <v>4430265054</v>
      </c>
      <c r="E304" s="33">
        <v>1042</v>
      </c>
      <c r="F304" s="33">
        <v>1013</v>
      </c>
      <c r="G304" s="33" t="s">
        <v>38</v>
      </c>
      <c r="H304" s="33" t="s">
        <v>3592</v>
      </c>
      <c r="I304" s="33" t="s">
        <v>39</v>
      </c>
      <c r="J304" s="33" t="s">
        <v>40</v>
      </c>
      <c r="K304" s="33" t="s">
        <v>41</v>
      </c>
    </row>
    <row r="305" spans="1:12" hidden="1" x14ac:dyDescent="0.3">
      <c r="A305" s="39">
        <v>46079.405023148145</v>
      </c>
      <c r="B305" s="33">
        <v>4435228300</v>
      </c>
      <c r="C305" s="33" t="s">
        <v>48</v>
      </c>
      <c r="D305" s="33">
        <v>4430265054</v>
      </c>
      <c r="E305" s="33">
        <v>326</v>
      </c>
      <c r="F305" s="33">
        <v>269</v>
      </c>
      <c r="G305" s="33" t="s">
        <v>38</v>
      </c>
      <c r="H305" s="33" t="s">
        <v>3593</v>
      </c>
      <c r="I305" s="33" t="s">
        <v>39</v>
      </c>
      <c r="J305" s="33" t="s">
        <v>40</v>
      </c>
      <c r="K305" s="33" t="s">
        <v>41</v>
      </c>
    </row>
    <row r="306" spans="1:12" hidden="1" x14ac:dyDescent="0.3">
      <c r="A306" s="39">
        <v>46079.403402777774</v>
      </c>
      <c r="B306" s="33">
        <v>11998030658</v>
      </c>
      <c r="C306" s="33" t="s">
        <v>44</v>
      </c>
      <c r="D306" s="33">
        <v>4430265054</v>
      </c>
      <c r="E306" s="33">
        <v>1152</v>
      </c>
      <c r="F306" s="33">
        <v>1126</v>
      </c>
      <c r="G306" s="33" t="s">
        <v>38</v>
      </c>
      <c r="H306" s="33" t="s">
        <v>3594</v>
      </c>
      <c r="I306" s="33" t="s">
        <v>39</v>
      </c>
      <c r="J306" s="33" t="s">
        <v>40</v>
      </c>
      <c r="K306" s="33" t="s">
        <v>41</v>
      </c>
    </row>
    <row r="307" spans="1:12" hidden="1" x14ac:dyDescent="0.3">
      <c r="A307" s="39">
        <v>46079.40315972222</v>
      </c>
      <c r="B307" s="33">
        <v>44998717172</v>
      </c>
      <c r="C307" s="33" t="s">
        <v>42</v>
      </c>
      <c r="D307" s="33">
        <v>4430265054</v>
      </c>
      <c r="E307" s="33">
        <v>213</v>
      </c>
      <c r="F307" s="33">
        <v>173</v>
      </c>
      <c r="G307" s="33" t="s">
        <v>38</v>
      </c>
      <c r="H307" s="33" t="s">
        <v>3595</v>
      </c>
      <c r="I307" s="33" t="s">
        <v>39</v>
      </c>
      <c r="J307" s="33" t="s">
        <v>40</v>
      </c>
      <c r="K307" s="33" t="s">
        <v>41</v>
      </c>
    </row>
    <row r="308" spans="1:12" hidden="1" x14ac:dyDescent="0.3">
      <c r="A308" s="39">
        <v>46079.403020833335</v>
      </c>
      <c r="B308" s="33">
        <v>44998717172</v>
      </c>
      <c r="C308" s="33">
        <v>4430265054</v>
      </c>
      <c r="D308" s="33">
        <v>4430265054</v>
      </c>
      <c r="E308" s="33">
        <v>0</v>
      </c>
      <c r="F308" s="33">
        <v>0</v>
      </c>
      <c r="G308" s="33" t="s">
        <v>47</v>
      </c>
      <c r="H308" s="33" t="s">
        <v>5247</v>
      </c>
      <c r="I308" s="33" t="s">
        <v>39</v>
      </c>
      <c r="J308" s="33" t="s">
        <v>3451</v>
      </c>
    </row>
    <row r="309" spans="1:12" hidden="1" x14ac:dyDescent="0.3">
      <c r="A309" s="39">
        <v>46079.401365740741</v>
      </c>
      <c r="B309" s="33" t="s">
        <v>3627</v>
      </c>
      <c r="C309" s="33">
        <v>1147531222</v>
      </c>
      <c r="E309" s="33">
        <v>16</v>
      </c>
      <c r="F309" s="33">
        <v>0</v>
      </c>
      <c r="G309" s="33" t="s">
        <v>47</v>
      </c>
      <c r="H309" s="33" t="s">
        <v>5248</v>
      </c>
      <c r="I309" s="33" t="s">
        <v>46</v>
      </c>
      <c r="J309" s="33" t="s">
        <v>3629</v>
      </c>
    </row>
    <row r="310" spans="1:12" hidden="1" x14ac:dyDescent="0.3">
      <c r="A310" s="39">
        <v>46079.401250000003</v>
      </c>
      <c r="B310" s="33">
        <v>4436372125</v>
      </c>
      <c r="C310" s="33" t="s">
        <v>48</v>
      </c>
      <c r="D310" s="33">
        <v>4430265054</v>
      </c>
      <c r="E310" s="33">
        <v>207</v>
      </c>
      <c r="F310" s="33">
        <v>166</v>
      </c>
      <c r="G310" s="33" t="s">
        <v>38</v>
      </c>
      <c r="H310" s="33" t="s">
        <v>3596</v>
      </c>
      <c r="I310" s="33" t="s">
        <v>39</v>
      </c>
      <c r="J310" s="33" t="s">
        <v>40</v>
      </c>
      <c r="K310" s="33" t="s">
        <v>41</v>
      </c>
    </row>
    <row r="311" spans="1:12" hidden="1" x14ac:dyDescent="0.3">
      <c r="A311" s="39">
        <v>46079.400046296294</v>
      </c>
      <c r="B311" s="33">
        <v>4430459001</v>
      </c>
      <c r="C311" s="33" t="s">
        <v>43</v>
      </c>
      <c r="D311" s="33">
        <v>4430265054</v>
      </c>
      <c r="E311" s="33">
        <v>955</v>
      </c>
      <c r="F311" s="33">
        <v>820</v>
      </c>
      <c r="G311" s="33" t="s">
        <v>38</v>
      </c>
      <c r="H311" s="33" t="s">
        <v>3597</v>
      </c>
      <c r="I311" s="33" t="s">
        <v>39</v>
      </c>
      <c r="J311" s="33" t="s">
        <v>40</v>
      </c>
      <c r="K311" s="33" t="s">
        <v>41</v>
      </c>
    </row>
    <row r="312" spans="1:12" hidden="1" x14ac:dyDescent="0.3">
      <c r="A312" s="39">
        <v>46079.399965277778</v>
      </c>
      <c r="B312" s="33">
        <v>4430141092</v>
      </c>
      <c r="C312" s="33" t="s">
        <v>37</v>
      </c>
      <c r="D312" s="33">
        <v>4430265054</v>
      </c>
      <c r="E312" s="33">
        <v>624</v>
      </c>
      <c r="F312" s="33">
        <v>599</v>
      </c>
      <c r="G312" s="33" t="s">
        <v>38</v>
      </c>
      <c r="H312" s="33" t="s">
        <v>3598</v>
      </c>
      <c r="I312" s="33" t="s">
        <v>39</v>
      </c>
      <c r="J312" s="33" t="s">
        <v>40</v>
      </c>
      <c r="K312" s="33" t="s">
        <v>41</v>
      </c>
      <c r="L312" s="33">
        <v>5</v>
      </c>
    </row>
    <row r="313" spans="1:12" hidden="1" x14ac:dyDescent="0.3">
      <c r="A313" s="39">
        <v>46079.399907407409</v>
      </c>
      <c r="B313" s="33">
        <v>44999827582</v>
      </c>
      <c r="C313" s="33">
        <v>3000</v>
      </c>
      <c r="D313" s="33">
        <v>4430265054</v>
      </c>
      <c r="E313" s="33">
        <v>266</v>
      </c>
      <c r="F313" s="33">
        <v>242</v>
      </c>
      <c r="G313" s="33" t="s">
        <v>38</v>
      </c>
      <c r="H313" s="33" t="s">
        <v>3599</v>
      </c>
      <c r="I313" s="33" t="s">
        <v>39</v>
      </c>
      <c r="J313" s="33" t="s">
        <v>3451</v>
      </c>
      <c r="K313" s="33" t="s">
        <v>41</v>
      </c>
    </row>
    <row r="314" spans="1:12" hidden="1" x14ac:dyDescent="0.3">
      <c r="A314" s="39">
        <v>46079.397453703707</v>
      </c>
      <c r="B314" s="33">
        <v>43999317663</v>
      </c>
      <c r="C314" s="33" t="s">
        <v>44</v>
      </c>
      <c r="D314" s="33">
        <v>4430265054</v>
      </c>
      <c r="E314" s="33">
        <v>391</v>
      </c>
      <c r="F314" s="33">
        <v>342</v>
      </c>
      <c r="G314" s="33" t="s">
        <v>38</v>
      </c>
      <c r="H314" s="33" t="s">
        <v>3600</v>
      </c>
      <c r="I314" s="33" t="s">
        <v>39</v>
      </c>
      <c r="J314" s="33" t="s">
        <v>40</v>
      </c>
      <c r="K314" s="33" t="s">
        <v>41</v>
      </c>
    </row>
    <row r="315" spans="1:12" hidden="1" x14ac:dyDescent="0.3">
      <c r="A315" s="39">
        <v>46079.394884259258</v>
      </c>
      <c r="B315" s="33">
        <v>6434534421</v>
      </c>
      <c r="C315" s="33" t="s">
        <v>43</v>
      </c>
      <c r="D315" s="33">
        <v>4430265054</v>
      </c>
      <c r="E315" s="33">
        <v>602</v>
      </c>
      <c r="F315" s="33">
        <v>562</v>
      </c>
      <c r="G315" s="33" t="s">
        <v>38</v>
      </c>
      <c r="H315" s="33" t="s">
        <v>3601</v>
      </c>
      <c r="I315" s="33" t="s">
        <v>39</v>
      </c>
      <c r="J315" s="33" t="s">
        <v>40</v>
      </c>
      <c r="K315" s="33" t="s">
        <v>41</v>
      </c>
      <c r="L315" s="33">
        <v>5</v>
      </c>
    </row>
    <row r="316" spans="1:12" hidden="1" x14ac:dyDescent="0.3">
      <c r="A316" s="39">
        <v>46079.386296296296</v>
      </c>
      <c r="B316" s="33">
        <v>4430459001</v>
      </c>
      <c r="C316" s="33" t="s">
        <v>43</v>
      </c>
      <c r="D316" s="33">
        <v>4430265054</v>
      </c>
      <c r="E316" s="33">
        <v>547</v>
      </c>
      <c r="F316" s="33">
        <v>494</v>
      </c>
      <c r="G316" s="33" t="s">
        <v>38</v>
      </c>
      <c r="H316" s="33" t="s">
        <v>3602</v>
      </c>
      <c r="I316" s="33" t="s">
        <v>39</v>
      </c>
      <c r="J316" s="33" t="s">
        <v>40</v>
      </c>
      <c r="K316" s="33" t="s">
        <v>41</v>
      </c>
    </row>
    <row r="317" spans="1:12" hidden="1" x14ac:dyDescent="0.3">
      <c r="A317" s="39">
        <v>46079.381979166668</v>
      </c>
      <c r="B317" s="33">
        <v>4430141092</v>
      </c>
      <c r="C317" s="33" t="s">
        <v>37</v>
      </c>
      <c r="D317" s="33">
        <v>4430265054</v>
      </c>
      <c r="E317" s="33">
        <v>1536</v>
      </c>
      <c r="F317" s="33">
        <v>1498</v>
      </c>
      <c r="G317" s="33" t="s">
        <v>38</v>
      </c>
      <c r="H317" s="33" t="s">
        <v>3603</v>
      </c>
      <c r="I317" s="33" t="s">
        <v>39</v>
      </c>
      <c r="J317" s="33" t="s">
        <v>40</v>
      </c>
      <c r="K317" s="33" t="s">
        <v>41</v>
      </c>
    </row>
    <row r="318" spans="1:12" hidden="1" x14ac:dyDescent="0.3">
      <c r="A318" s="39">
        <v>46079.380069444444</v>
      </c>
      <c r="B318" s="33">
        <v>12997346335</v>
      </c>
      <c r="C318" s="33" t="s">
        <v>45</v>
      </c>
      <c r="D318" s="33">
        <v>4431268225</v>
      </c>
      <c r="E318" s="33">
        <v>2698</v>
      </c>
      <c r="F318" s="33">
        <v>2675</v>
      </c>
      <c r="G318" s="33" t="s">
        <v>38</v>
      </c>
      <c r="H318" s="33" t="s">
        <v>3604</v>
      </c>
      <c r="I318" s="33" t="s">
        <v>39</v>
      </c>
      <c r="J318" s="33" t="s">
        <v>40</v>
      </c>
      <c r="K318" s="33" t="s">
        <v>41</v>
      </c>
    </row>
    <row r="319" spans="1:12" hidden="1" x14ac:dyDescent="0.3">
      <c r="A319" s="39">
        <v>46079.377488425926</v>
      </c>
      <c r="B319" s="33">
        <v>44997719213</v>
      </c>
      <c r="C319" s="33" t="s">
        <v>45</v>
      </c>
      <c r="D319" s="33">
        <v>4430265054</v>
      </c>
      <c r="E319" s="33">
        <v>100</v>
      </c>
      <c r="F319" s="33">
        <v>81</v>
      </c>
      <c r="G319" s="33" t="s">
        <v>38</v>
      </c>
      <c r="H319" s="33" t="s">
        <v>3605</v>
      </c>
      <c r="I319" s="33" t="s">
        <v>39</v>
      </c>
      <c r="J319" s="33" t="s">
        <v>40</v>
      </c>
      <c r="K319" s="33" t="s">
        <v>41</v>
      </c>
    </row>
    <row r="320" spans="1:12" hidden="1" x14ac:dyDescent="0.3">
      <c r="A320" s="39">
        <v>46079.37636574074</v>
      </c>
      <c r="B320" s="33">
        <v>45999211357</v>
      </c>
      <c r="C320" s="33" t="s">
        <v>44</v>
      </c>
      <c r="D320" s="33">
        <v>4431268225</v>
      </c>
      <c r="E320" s="33">
        <v>301</v>
      </c>
      <c r="F320" s="33">
        <v>225</v>
      </c>
      <c r="G320" s="33" t="s">
        <v>38</v>
      </c>
      <c r="H320" s="33" t="s">
        <v>3606</v>
      </c>
      <c r="I320" s="33" t="s">
        <v>39</v>
      </c>
      <c r="J320" s="33" t="s">
        <v>40</v>
      </c>
      <c r="K320" s="33" t="s">
        <v>41</v>
      </c>
    </row>
    <row r="321" spans="1:12" hidden="1" x14ac:dyDescent="0.3">
      <c r="A321" s="39">
        <v>46079.37572916667</v>
      </c>
      <c r="B321" s="33" t="s">
        <v>45</v>
      </c>
      <c r="C321" s="33">
        <v>4432321371</v>
      </c>
      <c r="E321" s="33">
        <v>128</v>
      </c>
      <c r="F321" s="33">
        <v>119</v>
      </c>
      <c r="G321" s="33" t="s">
        <v>38</v>
      </c>
      <c r="H321" s="33" t="s">
        <v>5249</v>
      </c>
      <c r="I321" s="33" t="s">
        <v>46</v>
      </c>
      <c r="J321" s="33" t="s">
        <v>40</v>
      </c>
    </row>
    <row r="322" spans="1:12" x14ac:dyDescent="0.3">
      <c r="A322" s="39">
        <v>46079.36619212963</v>
      </c>
      <c r="B322" s="33">
        <v>43999317663</v>
      </c>
      <c r="C322" s="33" t="s">
        <v>44</v>
      </c>
      <c r="D322" s="33">
        <v>4430265054</v>
      </c>
      <c r="E322" s="33">
        <v>304</v>
      </c>
      <c r="F322" s="33">
        <v>260</v>
      </c>
      <c r="G322" s="33" t="s">
        <v>38</v>
      </c>
      <c r="H322" s="33" t="s">
        <v>3607</v>
      </c>
      <c r="I322" s="33" t="s">
        <v>39</v>
      </c>
      <c r="J322" s="33" t="s">
        <v>40</v>
      </c>
      <c r="K322" s="33" t="s">
        <v>41</v>
      </c>
      <c r="L322" s="33">
        <v>5</v>
      </c>
    </row>
    <row r="323" spans="1:12" hidden="1" x14ac:dyDescent="0.3">
      <c r="A323" s="39">
        <v>46079.365856481483</v>
      </c>
      <c r="B323" s="33" t="s">
        <v>45</v>
      </c>
      <c r="C323" s="33">
        <v>4432321371</v>
      </c>
      <c r="E323" s="33">
        <v>127</v>
      </c>
      <c r="F323" s="33">
        <v>118</v>
      </c>
      <c r="G323" s="33" t="s">
        <v>38</v>
      </c>
      <c r="H323" s="33" t="s">
        <v>5250</v>
      </c>
      <c r="I323" s="33" t="s">
        <v>46</v>
      </c>
      <c r="J323" s="33" t="s">
        <v>40</v>
      </c>
    </row>
    <row r="324" spans="1:12" hidden="1" x14ac:dyDescent="0.3">
      <c r="A324" s="39">
        <v>46079.365393518521</v>
      </c>
      <c r="B324" s="33">
        <v>4432321371</v>
      </c>
      <c r="C324" s="33" t="s">
        <v>45</v>
      </c>
      <c r="D324" s="33">
        <v>4430265054</v>
      </c>
      <c r="E324" s="33">
        <v>31</v>
      </c>
      <c r="F324" s="33">
        <v>8</v>
      </c>
      <c r="G324" s="33" t="s">
        <v>38</v>
      </c>
      <c r="H324" s="33" t="s">
        <v>3608</v>
      </c>
      <c r="I324" s="33" t="s">
        <v>39</v>
      </c>
      <c r="J324" s="33" t="s">
        <v>40</v>
      </c>
      <c r="K324" s="33" t="s">
        <v>41</v>
      </c>
    </row>
    <row r="325" spans="1:12" hidden="1" x14ac:dyDescent="0.3">
      <c r="A325" s="39">
        <v>46079.362060185187</v>
      </c>
      <c r="B325" s="33">
        <v>4330333542</v>
      </c>
      <c r="C325" s="33" t="s">
        <v>48</v>
      </c>
      <c r="D325" s="33">
        <v>4430265054</v>
      </c>
      <c r="E325" s="33">
        <v>226</v>
      </c>
      <c r="F325" s="33">
        <v>206</v>
      </c>
      <c r="G325" s="33" t="s">
        <v>38</v>
      </c>
      <c r="H325" s="33" t="s">
        <v>3609</v>
      </c>
      <c r="I325" s="33" t="s">
        <v>39</v>
      </c>
      <c r="J325" s="33" t="s">
        <v>40</v>
      </c>
      <c r="K325" s="33" t="s">
        <v>41</v>
      </c>
    </row>
    <row r="326" spans="1:12" hidden="1" x14ac:dyDescent="0.3">
      <c r="A326" s="39">
        <v>46079.36173611111</v>
      </c>
      <c r="B326" s="33">
        <v>44988067937</v>
      </c>
      <c r="C326" s="33" t="s">
        <v>42</v>
      </c>
      <c r="D326" s="33">
        <v>4430265054</v>
      </c>
      <c r="E326" s="33">
        <v>1045</v>
      </c>
      <c r="F326" s="33">
        <v>846</v>
      </c>
      <c r="G326" s="33" t="s">
        <v>38</v>
      </c>
      <c r="H326" s="33" t="s">
        <v>3610</v>
      </c>
      <c r="I326" s="33" t="s">
        <v>39</v>
      </c>
      <c r="J326" s="33" t="s">
        <v>40</v>
      </c>
      <c r="K326" s="33" t="s">
        <v>41</v>
      </c>
    </row>
    <row r="327" spans="1:12" hidden="1" x14ac:dyDescent="0.3">
      <c r="A327" s="39">
        <v>46079.360000000001</v>
      </c>
      <c r="B327" s="33">
        <v>4430459032</v>
      </c>
      <c r="C327" s="33" t="s">
        <v>45</v>
      </c>
      <c r="D327" s="33">
        <v>4430265054</v>
      </c>
      <c r="E327" s="33">
        <v>343</v>
      </c>
      <c r="F327" s="33">
        <v>326</v>
      </c>
      <c r="G327" s="33" t="s">
        <v>38</v>
      </c>
      <c r="H327" s="33" t="s">
        <v>3611</v>
      </c>
      <c r="I327" s="33" t="s">
        <v>39</v>
      </c>
      <c r="J327" s="33" t="s">
        <v>40</v>
      </c>
      <c r="K327" s="33" t="s">
        <v>41</v>
      </c>
    </row>
    <row r="328" spans="1:12" hidden="1" x14ac:dyDescent="0.3">
      <c r="A328" s="39">
        <v>46079.3593287037</v>
      </c>
      <c r="B328" s="33" t="s">
        <v>45</v>
      </c>
      <c r="C328" s="33">
        <v>4432321371</v>
      </c>
      <c r="E328" s="33">
        <v>1</v>
      </c>
      <c r="F328" s="33">
        <v>0</v>
      </c>
      <c r="G328" s="33" t="s">
        <v>47</v>
      </c>
      <c r="H328" s="33" t="s">
        <v>5251</v>
      </c>
      <c r="I328" s="33" t="s">
        <v>46</v>
      </c>
      <c r="J328" s="33" t="s">
        <v>40</v>
      </c>
    </row>
    <row r="329" spans="1:12" hidden="1" x14ac:dyDescent="0.3">
      <c r="A329" s="39">
        <v>46079.359270833331</v>
      </c>
      <c r="B329" s="33" t="s">
        <v>45</v>
      </c>
      <c r="C329" s="33">
        <v>4432321371</v>
      </c>
      <c r="E329" s="33">
        <v>1</v>
      </c>
      <c r="F329" s="33">
        <v>0</v>
      </c>
      <c r="G329" s="33" t="s">
        <v>47</v>
      </c>
      <c r="H329" s="33" t="s">
        <v>5252</v>
      </c>
      <c r="I329" s="33" t="s">
        <v>46</v>
      </c>
      <c r="J329" s="33" t="s">
        <v>40</v>
      </c>
    </row>
    <row r="330" spans="1:12" x14ac:dyDescent="0.3">
      <c r="A330" s="39">
        <v>46079.358518518522</v>
      </c>
      <c r="B330" s="33">
        <v>4432272377</v>
      </c>
      <c r="C330" s="33" t="s">
        <v>44</v>
      </c>
      <c r="D330" s="33">
        <v>4430265054</v>
      </c>
      <c r="E330" s="33">
        <v>430</v>
      </c>
      <c r="F330" s="33">
        <v>375</v>
      </c>
      <c r="G330" s="33" t="s">
        <v>38</v>
      </c>
      <c r="H330" s="33" t="s">
        <v>3612</v>
      </c>
      <c r="I330" s="33" t="s">
        <v>39</v>
      </c>
      <c r="J330" s="33" t="s">
        <v>40</v>
      </c>
      <c r="K330" s="33" t="s">
        <v>41</v>
      </c>
      <c r="L330" s="33">
        <v>5</v>
      </c>
    </row>
    <row r="331" spans="1:12" hidden="1" x14ac:dyDescent="0.3">
      <c r="A331" s="39">
        <v>46079.358240740738</v>
      </c>
      <c r="B331" s="33">
        <v>4430141533</v>
      </c>
      <c r="C331" s="33" t="s">
        <v>42</v>
      </c>
      <c r="D331" s="33">
        <v>4430265054</v>
      </c>
      <c r="E331" s="33">
        <v>452</v>
      </c>
      <c r="F331" s="33">
        <v>430</v>
      </c>
      <c r="G331" s="33" t="s">
        <v>38</v>
      </c>
      <c r="H331" s="33" t="s">
        <v>3613</v>
      </c>
      <c r="I331" s="33" t="s">
        <v>39</v>
      </c>
      <c r="J331" s="33" t="s">
        <v>40</v>
      </c>
      <c r="K331" s="33" t="s">
        <v>41</v>
      </c>
    </row>
    <row r="332" spans="1:12" hidden="1" x14ac:dyDescent="0.3">
      <c r="A332" s="39">
        <v>46079.358229166668</v>
      </c>
      <c r="B332" s="33" t="s">
        <v>45</v>
      </c>
      <c r="C332" s="33">
        <v>4432321371</v>
      </c>
      <c r="E332" s="33">
        <v>108</v>
      </c>
      <c r="F332" s="33">
        <v>99</v>
      </c>
      <c r="G332" s="33" t="s">
        <v>38</v>
      </c>
      <c r="H332" s="33" t="s">
        <v>5253</v>
      </c>
      <c r="I332" s="33" t="s">
        <v>46</v>
      </c>
      <c r="J332" s="33" t="s">
        <v>40</v>
      </c>
    </row>
    <row r="333" spans="1:12" hidden="1" x14ac:dyDescent="0.3">
      <c r="A333" s="39">
        <v>46079.357708333337</v>
      </c>
      <c r="B333" s="33">
        <v>44998069950</v>
      </c>
      <c r="C333" s="33" t="s">
        <v>45</v>
      </c>
      <c r="D333" s="33">
        <v>4430265054</v>
      </c>
      <c r="E333" s="33">
        <v>24</v>
      </c>
      <c r="F333" s="33">
        <v>4</v>
      </c>
      <c r="G333" s="33" t="s">
        <v>38</v>
      </c>
      <c r="H333" s="33" t="s">
        <v>3614</v>
      </c>
      <c r="I333" s="33" t="s">
        <v>39</v>
      </c>
      <c r="J333" s="33" t="s">
        <v>40</v>
      </c>
      <c r="K333" s="33" t="s">
        <v>41</v>
      </c>
    </row>
    <row r="334" spans="1:12" hidden="1" x14ac:dyDescent="0.3">
      <c r="A334" s="39">
        <v>46079.353784722225</v>
      </c>
      <c r="B334" s="33">
        <v>4430141533</v>
      </c>
      <c r="C334" s="33">
        <v>4430265054</v>
      </c>
      <c r="D334" s="33">
        <v>4430265054</v>
      </c>
      <c r="E334" s="33">
        <v>13</v>
      </c>
      <c r="F334" s="33">
        <v>12</v>
      </c>
      <c r="G334" s="33" t="s">
        <v>3449</v>
      </c>
      <c r="H334" s="33" t="s">
        <v>5254</v>
      </c>
      <c r="I334" s="33" t="s">
        <v>39</v>
      </c>
      <c r="J334" s="33" t="s">
        <v>3451</v>
      </c>
    </row>
    <row r="335" spans="1:12" hidden="1" x14ac:dyDescent="0.3">
      <c r="A335" s="39">
        <v>46079.353449074071</v>
      </c>
      <c r="B335" s="33" t="s">
        <v>37</v>
      </c>
      <c r="C335" s="33">
        <v>4430318515</v>
      </c>
      <c r="E335" s="33">
        <v>1351</v>
      </c>
      <c r="F335" s="33">
        <v>1345</v>
      </c>
      <c r="G335" s="33" t="s">
        <v>38</v>
      </c>
      <c r="H335" s="33" t="s">
        <v>5255</v>
      </c>
      <c r="I335" s="33" t="s">
        <v>46</v>
      </c>
      <c r="J335" s="33" t="s">
        <v>40</v>
      </c>
    </row>
    <row r="336" spans="1:12" hidden="1" x14ac:dyDescent="0.3">
      <c r="A336" s="39">
        <v>46079.347395833334</v>
      </c>
      <c r="B336" s="33" t="s">
        <v>42</v>
      </c>
      <c r="C336" s="33">
        <v>4430152533</v>
      </c>
      <c r="E336" s="33">
        <v>94</v>
      </c>
      <c r="F336" s="33">
        <v>78</v>
      </c>
      <c r="G336" s="33" t="s">
        <v>38</v>
      </c>
      <c r="H336" s="33" t="s">
        <v>5256</v>
      </c>
      <c r="I336" s="33" t="s">
        <v>46</v>
      </c>
      <c r="J336" s="33" t="s">
        <v>40</v>
      </c>
    </row>
    <row r="337" spans="1:12" hidden="1" x14ac:dyDescent="0.3">
      <c r="A337" s="39">
        <v>46079.346805555557</v>
      </c>
      <c r="B337" s="33" t="s">
        <v>42</v>
      </c>
      <c r="C337" s="33">
        <v>4430152533</v>
      </c>
      <c r="E337" s="33">
        <v>43</v>
      </c>
      <c r="F337" s="33">
        <v>0</v>
      </c>
      <c r="G337" s="33" t="s">
        <v>47</v>
      </c>
      <c r="H337" s="33" t="s">
        <v>5257</v>
      </c>
      <c r="I337" s="33" t="s">
        <v>46</v>
      </c>
      <c r="J337" s="33" t="s">
        <v>40</v>
      </c>
    </row>
    <row r="338" spans="1:12" hidden="1" x14ac:dyDescent="0.3">
      <c r="A338" s="39">
        <v>46079.346226851849</v>
      </c>
      <c r="B338" s="33">
        <v>11916079448</v>
      </c>
      <c r="C338" s="33">
        <v>4430265054</v>
      </c>
      <c r="D338" s="33">
        <v>4430265054</v>
      </c>
      <c r="E338" s="33">
        <v>12</v>
      </c>
      <c r="F338" s="33">
        <v>11</v>
      </c>
      <c r="G338" s="33" t="s">
        <v>3449</v>
      </c>
      <c r="H338" s="33" t="s">
        <v>5258</v>
      </c>
      <c r="I338" s="33" t="s">
        <v>39</v>
      </c>
      <c r="J338" s="33" t="s">
        <v>3451</v>
      </c>
    </row>
    <row r="339" spans="1:12" hidden="1" x14ac:dyDescent="0.3">
      <c r="A339" s="39">
        <v>46079.336851851855</v>
      </c>
      <c r="B339" s="33">
        <v>4430315826</v>
      </c>
      <c r="C339" s="33">
        <v>4430265054</v>
      </c>
      <c r="D339" s="33">
        <v>4430265054</v>
      </c>
      <c r="E339" s="33">
        <v>29</v>
      </c>
      <c r="F339" s="33">
        <v>29</v>
      </c>
      <c r="G339" s="33" t="s">
        <v>3449</v>
      </c>
      <c r="H339" s="33" t="s">
        <v>5259</v>
      </c>
      <c r="I339" s="33" t="s">
        <v>39</v>
      </c>
      <c r="J339" s="33" t="s">
        <v>3451</v>
      </c>
    </row>
    <row r="340" spans="1:12" hidden="1" x14ac:dyDescent="0.3">
      <c r="A340" s="39">
        <v>46078.744293981479</v>
      </c>
      <c r="B340" s="33">
        <v>44998764680</v>
      </c>
      <c r="C340" s="33">
        <v>4430265054</v>
      </c>
      <c r="D340" s="33">
        <v>4430265054</v>
      </c>
      <c r="E340" s="33">
        <v>11</v>
      </c>
      <c r="F340" s="33">
        <v>10</v>
      </c>
      <c r="G340" s="33" t="s">
        <v>3449</v>
      </c>
      <c r="H340" s="33" t="s">
        <v>5260</v>
      </c>
      <c r="I340" s="33" t="s">
        <v>39</v>
      </c>
      <c r="J340" s="33" t="s">
        <v>3451</v>
      </c>
    </row>
    <row r="341" spans="1:12" hidden="1" x14ac:dyDescent="0.3">
      <c r="A341" s="39">
        <v>46078.743009259262</v>
      </c>
      <c r="B341" s="33">
        <v>4432256983</v>
      </c>
      <c r="C341" s="33" t="s">
        <v>43</v>
      </c>
      <c r="D341" s="33">
        <v>4430265054</v>
      </c>
      <c r="E341" s="33">
        <v>335</v>
      </c>
      <c r="F341" s="33">
        <v>309</v>
      </c>
      <c r="G341" s="33" t="s">
        <v>38</v>
      </c>
      <c r="H341" s="33" t="s">
        <v>3615</v>
      </c>
      <c r="I341" s="33" t="s">
        <v>39</v>
      </c>
      <c r="J341" s="33" t="s">
        <v>40</v>
      </c>
      <c r="K341" s="33" t="s">
        <v>41</v>
      </c>
    </row>
    <row r="342" spans="1:12" hidden="1" x14ac:dyDescent="0.3">
      <c r="A342" s="39">
        <v>46078.740763888891</v>
      </c>
      <c r="B342" s="33">
        <v>41996631918</v>
      </c>
      <c r="C342" s="33" t="s">
        <v>37</v>
      </c>
      <c r="D342" s="33">
        <v>4430265054</v>
      </c>
      <c r="E342" s="33">
        <v>674</v>
      </c>
      <c r="F342" s="33">
        <v>577</v>
      </c>
      <c r="G342" s="33" t="s">
        <v>38</v>
      </c>
      <c r="H342" s="33" t="s">
        <v>3616</v>
      </c>
      <c r="I342" s="33" t="s">
        <v>39</v>
      </c>
      <c r="J342" s="33" t="s">
        <v>40</v>
      </c>
      <c r="K342" s="33" t="s">
        <v>41</v>
      </c>
      <c r="L342" s="33">
        <v>5</v>
      </c>
    </row>
    <row r="343" spans="1:12" hidden="1" x14ac:dyDescent="0.3">
      <c r="A343" s="39">
        <v>46078.737546296295</v>
      </c>
      <c r="B343" s="33">
        <v>41999853283</v>
      </c>
      <c r="C343" s="33" t="s">
        <v>42</v>
      </c>
      <c r="D343" s="33">
        <v>4430265054</v>
      </c>
      <c r="E343" s="33">
        <v>840</v>
      </c>
      <c r="F343" s="33">
        <v>742</v>
      </c>
      <c r="G343" s="33" t="s">
        <v>38</v>
      </c>
      <c r="H343" s="33" t="s">
        <v>3617</v>
      </c>
      <c r="I343" s="33" t="s">
        <v>39</v>
      </c>
      <c r="J343" s="33" t="s">
        <v>40</v>
      </c>
      <c r="K343" s="33" t="s">
        <v>41</v>
      </c>
      <c r="L343" s="33">
        <v>5</v>
      </c>
    </row>
    <row r="344" spans="1:12" hidden="1" x14ac:dyDescent="0.3">
      <c r="A344" s="39">
        <v>46078.736458333333</v>
      </c>
      <c r="B344" s="33">
        <v>41999853283</v>
      </c>
      <c r="C344" s="33">
        <v>4430265054</v>
      </c>
      <c r="D344" s="33">
        <v>4430265054</v>
      </c>
      <c r="E344" s="33">
        <v>31</v>
      </c>
      <c r="F344" s="33">
        <v>30</v>
      </c>
      <c r="G344" s="33" t="s">
        <v>3449</v>
      </c>
      <c r="H344" s="33" t="s">
        <v>3618</v>
      </c>
      <c r="I344" s="33" t="s">
        <v>39</v>
      </c>
      <c r="J344" s="33" t="s">
        <v>3451</v>
      </c>
      <c r="K344" s="33" t="s">
        <v>41</v>
      </c>
    </row>
    <row r="345" spans="1:12" hidden="1" x14ac:dyDescent="0.3">
      <c r="A345" s="39">
        <v>46078.734224537038</v>
      </c>
      <c r="B345" s="33" t="s">
        <v>3627</v>
      </c>
      <c r="C345" s="33">
        <v>77991756839</v>
      </c>
      <c r="E345" s="33">
        <v>14</v>
      </c>
      <c r="F345" s="33">
        <v>0</v>
      </c>
      <c r="G345" s="33" t="s">
        <v>47</v>
      </c>
      <c r="H345" s="33" t="s">
        <v>5261</v>
      </c>
      <c r="I345" s="33" t="s">
        <v>46</v>
      </c>
      <c r="J345" s="33" t="s">
        <v>3629</v>
      </c>
    </row>
    <row r="346" spans="1:12" hidden="1" x14ac:dyDescent="0.3">
      <c r="A346" s="39">
        <v>46078.72892361111</v>
      </c>
      <c r="B346" s="33">
        <v>41999853283</v>
      </c>
      <c r="C346" s="33" t="s">
        <v>43</v>
      </c>
      <c r="D346" s="33">
        <v>4430265054</v>
      </c>
      <c r="E346" s="33">
        <v>439</v>
      </c>
      <c r="F346" s="33">
        <v>369</v>
      </c>
      <c r="G346" s="33" t="s">
        <v>38</v>
      </c>
      <c r="H346" s="33" t="s">
        <v>3619</v>
      </c>
      <c r="I346" s="33" t="s">
        <v>39</v>
      </c>
      <c r="J346" s="33" t="s">
        <v>40</v>
      </c>
      <c r="K346" s="33" t="s">
        <v>41</v>
      </c>
      <c r="L346" s="33">
        <v>5</v>
      </c>
    </row>
    <row r="347" spans="1:12" hidden="1" x14ac:dyDescent="0.3">
      <c r="A347" s="39">
        <v>46078.726840277777</v>
      </c>
      <c r="B347" s="33">
        <v>4130155076</v>
      </c>
      <c r="C347" s="33">
        <v>3000</v>
      </c>
      <c r="D347" s="33">
        <v>4430265054</v>
      </c>
      <c r="E347" s="33">
        <v>847</v>
      </c>
      <c r="F347" s="33">
        <v>820</v>
      </c>
      <c r="G347" s="33" t="s">
        <v>38</v>
      </c>
      <c r="H347" s="33" t="s">
        <v>3620</v>
      </c>
      <c r="I347" s="33" t="s">
        <v>39</v>
      </c>
      <c r="J347" s="33" t="s">
        <v>3451</v>
      </c>
      <c r="K347" s="33" t="s">
        <v>41</v>
      </c>
    </row>
    <row r="348" spans="1:12" hidden="1" x14ac:dyDescent="0.3">
      <c r="A348" s="39">
        <v>46078.726099537038</v>
      </c>
      <c r="B348" s="33">
        <v>4430141533</v>
      </c>
      <c r="C348" s="33" t="s">
        <v>42</v>
      </c>
      <c r="D348" s="33">
        <v>4430265054</v>
      </c>
      <c r="E348" s="33">
        <v>222</v>
      </c>
      <c r="F348" s="33">
        <v>127</v>
      </c>
      <c r="G348" s="33" t="s">
        <v>38</v>
      </c>
      <c r="H348" s="33" t="s">
        <v>3621</v>
      </c>
      <c r="I348" s="33" t="s">
        <v>39</v>
      </c>
      <c r="J348" s="33" t="s">
        <v>40</v>
      </c>
      <c r="K348" s="33" t="s">
        <v>41</v>
      </c>
    </row>
    <row r="349" spans="1:12" hidden="1" x14ac:dyDescent="0.3">
      <c r="A349" s="39">
        <v>46078.723402777781</v>
      </c>
      <c r="B349" s="33" t="s">
        <v>3627</v>
      </c>
      <c r="C349" s="33">
        <v>41985317039</v>
      </c>
      <c r="E349" s="33">
        <v>7</v>
      </c>
      <c r="F349" s="33">
        <v>0</v>
      </c>
      <c r="G349" s="33" t="s">
        <v>47</v>
      </c>
      <c r="H349" s="33" t="s">
        <v>5262</v>
      </c>
      <c r="I349" s="33" t="s">
        <v>46</v>
      </c>
      <c r="J349" s="33" t="s">
        <v>3629</v>
      </c>
    </row>
    <row r="350" spans="1:12" hidden="1" x14ac:dyDescent="0.3">
      <c r="A350" s="39">
        <v>46078.722407407404</v>
      </c>
      <c r="B350" s="33" t="s">
        <v>45</v>
      </c>
      <c r="C350" s="33">
        <v>4430317020</v>
      </c>
      <c r="E350" s="33">
        <v>76</v>
      </c>
      <c r="F350" s="33">
        <v>64</v>
      </c>
      <c r="G350" s="33" t="s">
        <v>38</v>
      </c>
      <c r="H350" s="33" t="s">
        <v>5263</v>
      </c>
      <c r="I350" s="33" t="s">
        <v>46</v>
      </c>
      <c r="J350" s="33" t="s">
        <v>40</v>
      </c>
    </row>
    <row r="351" spans="1:12" hidden="1" x14ac:dyDescent="0.3">
      <c r="A351" s="39">
        <v>46078.72216435185</v>
      </c>
      <c r="B351" s="33" t="s">
        <v>3627</v>
      </c>
      <c r="C351" s="33">
        <v>92984715138</v>
      </c>
      <c r="E351" s="33">
        <v>25</v>
      </c>
      <c r="F351" s="33">
        <v>0</v>
      </c>
      <c r="G351" s="33" t="s">
        <v>47</v>
      </c>
      <c r="H351" s="33" t="s">
        <v>5264</v>
      </c>
      <c r="I351" s="33" t="s">
        <v>46</v>
      </c>
      <c r="J351" s="33" t="s">
        <v>3629</v>
      </c>
    </row>
    <row r="352" spans="1:12" hidden="1" x14ac:dyDescent="0.3">
      <c r="A352" s="39">
        <v>46078.715624999997</v>
      </c>
      <c r="B352" s="33">
        <v>4430145172</v>
      </c>
      <c r="C352" s="33" t="s">
        <v>45</v>
      </c>
      <c r="D352" s="33">
        <v>4430265054</v>
      </c>
      <c r="E352" s="33">
        <v>490</v>
      </c>
      <c r="F352" s="33">
        <v>437</v>
      </c>
      <c r="G352" s="33" t="s">
        <v>38</v>
      </c>
      <c r="H352" s="33" t="s">
        <v>3622</v>
      </c>
      <c r="I352" s="33" t="s">
        <v>39</v>
      </c>
      <c r="J352" s="33" t="s">
        <v>40</v>
      </c>
      <c r="K352" s="33" t="s">
        <v>41</v>
      </c>
    </row>
    <row r="353" spans="1:11" hidden="1" x14ac:dyDescent="0.3">
      <c r="A353" s="39">
        <v>46078.714074074072</v>
      </c>
      <c r="B353" s="33">
        <v>1131043888</v>
      </c>
      <c r="C353" s="33" t="s">
        <v>37</v>
      </c>
      <c r="D353" s="33">
        <v>4430265054</v>
      </c>
      <c r="E353" s="33">
        <v>346</v>
      </c>
      <c r="F353" s="33">
        <v>189</v>
      </c>
      <c r="G353" s="33" t="s">
        <v>38</v>
      </c>
      <c r="H353" s="33" t="s">
        <v>3623</v>
      </c>
      <c r="I353" s="33" t="s">
        <v>39</v>
      </c>
      <c r="J353" s="33" t="s">
        <v>40</v>
      </c>
      <c r="K353" s="33" t="s">
        <v>41</v>
      </c>
    </row>
    <row r="354" spans="1:11" hidden="1" x14ac:dyDescent="0.3">
      <c r="A354" s="39">
        <v>46078.713159722225</v>
      </c>
      <c r="B354" s="33">
        <v>4134348949</v>
      </c>
      <c r="C354" s="33">
        <v>4431268238</v>
      </c>
      <c r="D354" s="33">
        <v>4431268238</v>
      </c>
      <c r="E354" s="33">
        <v>9</v>
      </c>
      <c r="F354" s="33">
        <v>8</v>
      </c>
      <c r="G354" s="33" t="s">
        <v>3449</v>
      </c>
      <c r="H354" s="33" t="s">
        <v>5265</v>
      </c>
      <c r="I354" s="33" t="s">
        <v>39</v>
      </c>
      <c r="J354" s="33" t="s">
        <v>3451</v>
      </c>
    </row>
    <row r="355" spans="1:11" hidden="1" x14ac:dyDescent="0.3">
      <c r="A355" s="39">
        <v>46078.704675925925</v>
      </c>
      <c r="B355" s="33">
        <v>4431337559</v>
      </c>
      <c r="C355" s="33" t="s">
        <v>42</v>
      </c>
      <c r="D355" s="33">
        <v>4430265054</v>
      </c>
      <c r="E355" s="33">
        <v>1395</v>
      </c>
      <c r="F355" s="33">
        <v>1321</v>
      </c>
      <c r="G355" s="33" t="s">
        <v>38</v>
      </c>
      <c r="H355" s="33" t="s">
        <v>3624</v>
      </c>
      <c r="I355" s="33" t="s">
        <v>39</v>
      </c>
      <c r="J355" s="33" t="s">
        <v>40</v>
      </c>
      <c r="K355" s="33" t="s">
        <v>41</v>
      </c>
    </row>
    <row r="356" spans="1:11" hidden="1" x14ac:dyDescent="0.3">
      <c r="A356" s="39">
        <v>46078.702847222223</v>
      </c>
      <c r="B356" s="33" t="s">
        <v>48</v>
      </c>
      <c r="C356" s="33">
        <v>44998318763</v>
      </c>
      <c r="E356" s="33">
        <v>36</v>
      </c>
      <c r="F356" s="33">
        <v>0</v>
      </c>
      <c r="G356" s="33" t="s">
        <v>47</v>
      </c>
      <c r="H356" s="33" t="s">
        <v>5266</v>
      </c>
      <c r="I356" s="33" t="s">
        <v>46</v>
      </c>
      <c r="J356" s="33" t="s">
        <v>40</v>
      </c>
    </row>
    <row r="357" spans="1:11" hidden="1" x14ac:dyDescent="0.3">
      <c r="A357" s="39">
        <v>46078.700694444444</v>
      </c>
      <c r="B357" s="33">
        <v>4121170357</v>
      </c>
      <c r="C357" s="33">
        <v>4531273171</v>
      </c>
      <c r="D357" s="33">
        <v>4531273171</v>
      </c>
      <c r="E357" s="33">
        <v>8</v>
      </c>
      <c r="F357" s="33">
        <v>8</v>
      </c>
      <c r="G357" s="33" t="s">
        <v>3449</v>
      </c>
      <c r="H357" s="33" t="s">
        <v>5267</v>
      </c>
      <c r="I357" s="33" t="s">
        <v>39</v>
      </c>
      <c r="J357" s="33" t="s">
        <v>3451</v>
      </c>
    </row>
    <row r="358" spans="1:11" hidden="1" x14ac:dyDescent="0.3">
      <c r="A358" s="39">
        <v>46078.697974537034</v>
      </c>
      <c r="B358" s="33">
        <v>4121170362</v>
      </c>
      <c r="C358" s="33">
        <v>4531273168</v>
      </c>
      <c r="D358" s="33">
        <v>4531273168</v>
      </c>
      <c r="E358" s="33">
        <v>9</v>
      </c>
      <c r="F358" s="33">
        <v>8</v>
      </c>
      <c r="G358" s="33" t="s">
        <v>3449</v>
      </c>
      <c r="H358" s="33" t="s">
        <v>5268</v>
      </c>
      <c r="I358" s="33" t="s">
        <v>39</v>
      </c>
      <c r="J358" s="33" t="s">
        <v>3451</v>
      </c>
    </row>
    <row r="359" spans="1:11" hidden="1" x14ac:dyDescent="0.3">
      <c r="A359" s="39">
        <v>46078.689814814818</v>
      </c>
      <c r="B359" s="33" t="s">
        <v>51</v>
      </c>
      <c r="C359" s="33" t="s">
        <v>5173</v>
      </c>
      <c r="E359" s="33">
        <v>3</v>
      </c>
      <c r="F359" s="33">
        <v>0</v>
      </c>
      <c r="G359" s="33" t="s">
        <v>47</v>
      </c>
      <c r="H359" s="33" t="s">
        <v>5269</v>
      </c>
      <c r="I359" s="33" t="s">
        <v>52</v>
      </c>
      <c r="J359" s="33" t="s">
        <v>3629</v>
      </c>
    </row>
    <row r="360" spans="1:11" hidden="1" x14ac:dyDescent="0.3">
      <c r="A360" s="39">
        <v>46078.688483796293</v>
      </c>
      <c r="B360" s="33">
        <v>4436281154</v>
      </c>
      <c r="C360" s="33" t="s">
        <v>48</v>
      </c>
      <c r="D360" s="33">
        <v>4430265054</v>
      </c>
      <c r="E360" s="33">
        <v>587</v>
      </c>
      <c r="F360" s="33">
        <v>586</v>
      </c>
      <c r="G360" s="33" t="s">
        <v>38</v>
      </c>
      <c r="H360" s="33" t="s">
        <v>3625</v>
      </c>
      <c r="I360" s="33" t="s">
        <v>39</v>
      </c>
      <c r="J360" s="33" t="s">
        <v>40</v>
      </c>
      <c r="K360" s="33" t="s">
        <v>41</v>
      </c>
    </row>
    <row r="361" spans="1:11" hidden="1" x14ac:dyDescent="0.3">
      <c r="A361" s="39">
        <v>46078.687291666669</v>
      </c>
      <c r="B361" s="33">
        <v>44998717172</v>
      </c>
      <c r="C361" s="33" t="s">
        <v>42</v>
      </c>
      <c r="D361" s="33">
        <v>4430265054</v>
      </c>
      <c r="E361" s="33">
        <v>108</v>
      </c>
      <c r="F361" s="33">
        <v>54</v>
      </c>
      <c r="G361" s="33" t="s">
        <v>38</v>
      </c>
      <c r="H361" s="33" t="s">
        <v>3626</v>
      </c>
      <c r="I361" s="33" t="s">
        <v>39</v>
      </c>
      <c r="J361" s="33" t="s">
        <v>40</v>
      </c>
      <c r="K361" s="33" t="s">
        <v>41</v>
      </c>
    </row>
    <row r="362" spans="1:11" hidden="1" x14ac:dyDescent="0.3">
      <c r="A362" s="39">
        <v>46078.686493055553</v>
      </c>
      <c r="B362" s="33" t="s">
        <v>44</v>
      </c>
      <c r="C362" s="33">
        <v>4436351818</v>
      </c>
      <c r="E362" s="33">
        <v>145</v>
      </c>
      <c r="F362" s="33">
        <v>131</v>
      </c>
      <c r="G362" s="33" t="s">
        <v>38</v>
      </c>
      <c r="H362" s="33" t="s">
        <v>5270</v>
      </c>
      <c r="I362" s="33" t="s">
        <v>46</v>
      </c>
      <c r="J362" s="33" t="s">
        <v>40</v>
      </c>
    </row>
    <row r="363" spans="1:11" hidden="1" x14ac:dyDescent="0.3">
      <c r="A363" s="39">
        <v>46078.686400462961</v>
      </c>
      <c r="B363" s="33" t="s">
        <v>44</v>
      </c>
      <c r="C363" s="33">
        <v>4436351818</v>
      </c>
      <c r="E363" s="33">
        <v>4</v>
      </c>
      <c r="F363" s="33">
        <v>0</v>
      </c>
      <c r="G363" s="33" t="s">
        <v>47</v>
      </c>
      <c r="H363" s="33" t="s">
        <v>5271</v>
      </c>
      <c r="I363" s="33" t="s">
        <v>46</v>
      </c>
      <c r="J363" s="33" t="s">
        <v>40</v>
      </c>
    </row>
    <row r="364" spans="1:11" hidden="1" x14ac:dyDescent="0.3">
      <c r="A364" s="39">
        <v>46078.686331018522</v>
      </c>
      <c r="B364" s="33" t="s">
        <v>44</v>
      </c>
      <c r="C364" s="33">
        <v>4436351818</v>
      </c>
      <c r="E364" s="33">
        <v>4</v>
      </c>
      <c r="F364" s="33">
        <v>0</v>
      </c>
      <c r="G364" s="33" t="s">
        <v>47</v>
      </c>
      <c r="H364" s="33" t="s">
        <v>5272</v>
      </c>
      <c r="I364" s="33" t="s">
        <v>46</v>
      </c>
      <c r="J364" s="33" t="s">
        <v>40</v>
      </c>
    </row>
    <row r="365" spans="1:11" hidden="1" x14ac:dyDescent="0.3">
      <c r="A365" s="39">
        <v>46078.686284722222</v>
      </c>
      <c r="B365" s="33" t="s">
        <v>44</v>
      </c>
      <c r="C365" s="33">
        <v>4436351818</v>
      </c>
      <c r="E365" s="33">
        <v>1</v>
      </c>
      <c r="F365" s="33">
        <v>0</v>
      </c>
      <c r="G365" s="33" t="s">
        <v>47</v>
      </c>
      <c r="H365" s="33" t="s">
        <v>5273</v>
      </c>
      <c r="I365" s="33" t="s">
        <v>46</v>
      </c>
      <c r="J365" s="33" t="s">
        <v>40</v>
      </c>
    </row>
    <row r="366" spans="1:11" hidden="1" x14ac:dyDescent="0.3">
      <c r="A366" s="39">
        <v>46078.686215277776</v>
      </c>
      <c r="B366" s="33" t="s">
        <v>44</v>
      </c>
      <c r="C366" s="33">
        <v>4436351818</v>
      </c>
      <c r="E366" s="33">
        <v>4</v>
      </c>
      <c r="F366" s="33">
        <v>0</v>
      </c>
      <c r="G366" s="33" t="s">
        <v>47</v>
      </c>
      <c r="H366" s="33" t="s">
        <v>5274</v>
      </c>
      <c r="I366" s="33" t="s">
        <v>46</v>
      </c>
      <c r="J366" s="33" t="s">
        <v>40</v>
      </c>
    </row>
    <row r="367" spans="1:11" hidden="1" x14ac:dyDescent="0.3">
      <c r="A367" s="39">
        <v>46078.677951388891</v>
      </c>
      <c r="B367" s="33">
        <v>43984996095</v>
      </c>
      <c r="C367" s="33" t="s">
        <v>3627</v>
      </c>
      <c r="D367" s="33">
        <v>4430265054</v>
      </c>
      <c r="E367" s="33">
        <v>494</v>
      </c>
      <c r="F367" s="33">
        <v>422</v>
      </c>
      <c r="G367" s="33" t="s">
        <v>38</v>
      </c>
      <c r="H367" s="33" t="s">
        <v>3628</v>
      </c>
      <c r="I367" s="33" t="s">
        <v>39</v>
      </c>
      <c r="J367" s="33" t="s">
        <v>3629</v>
      </c>
      <c r="K367" s="33" t="s">
        <v>41</v>
      </c>
    </row>
    <row r="368" spans="1:11" hidden="1" x14ac:dyDescent="0.3">
      <c r="A368" s="39">
        <v>46078.677337962959</v>
      </c>
      <c r="B368" s="33">
        <v>43999829064</v>
      </c>
      <c r="C368" s="33" t="s">
        <v>3627</v>
      </c>
      <c r="D368" s="33">
        <v>4430265054</v>
      </c>
      <c r="E368" s="33">
        <v>31</v>
      </c>
      <c r="F368" s="33">
        <v>0</v>
      </c>
      <c r="G368" s="33" t="s">
        <v>38</v>
      </c>
      <c r="H368" s="33" t="s">
        <v>5275</v>
      </c>
      <c r="I368" s="33" t="s">
        <v>39</v>
      </c>
      <c r="J368" s="33" t="s">
        <v>3629</v>
      </c>
      <c r="K368" s="33" t="s">
        <v>50</v>
      </c>
    </row>
    <row r="369" spans="1:12" hidden="1" x14ac:dyDescent="0.3">
      <c r="A369" s="39">
        <v>46078.675266203703</v>
      </c>
      <c r="B369" s="33" t="s">
        <v>42</v>
      </c>
      <c r="C369" s="33">
        <v>4430292194</v>
      </c>
      <c r="E369" s="33">
        <v>97</v>
      </c>
      <c r="F369" s="33">
        <v>0</v>
      </c>
      <c r="G369" s="33" t="s">
        <v>47</v>
      </c>
      <c r="H369" s="33" t="s">
        <v>5276</v>
      </c>
      <c r="I369" s="33" t="s">
        <v>46</v>
      </c>
      <c r="J369" s="33" t="s">
        <v>40</v>
      </c>
    </row>
    <row r="370" spans="1:12" hidden="1" x14ac:dyDescent="0.3">
      <c r="A370" s="39">
        <v>46078.674837962964</v>
      </c>
      <c r="B370" s="33">
        <v>44997618065</v>
      </c>
      <c r="C370" s="33" t="s">
        <v>37</v>
      </c>
      <c r="D370" s="33">
        <v>4430265054</v>
      </c>
      <c r="E370" s="33">
        <v>681</v>
      </c>
      <c r="F370" s="33">
        <v>549</v>
      </c>
      <c r="G370" s="33" t="s">
        <v>38</v>
      </c>
      <c r="H370" s="33" t="s">
        <v>3630</v>
      </c>
      <c r="I370" s="33" t="s">
        <v>39</v>
      </c>
      <c r="J370" s="33" t="s">
        <v>40</v>
      </c>
      <c r="K370" s="33" t="s">
        <v>41</v>
      </c>
    </row>
    <row r="371" spans="1:12" hidden="1" x14ac:dyDescent="0.3">
      <c r="A371" s="39">
        <v>46078.67428240741</v>
      </c>
      <c r="B371" s="33" t="s">
        <v>42</v>
      </c>
      <c r="C371" s="33">
        <v>4432672194</v>
      </c>
      <c r="E371" s="33">
        <v>81</v>
      </c>
      <c r="F371" s="33">
        <v>0</v>
      </c>
      <c r="G371" s="33" t="s">
        <v>47</v>
      </c>
      <c r="H371" s="33" t="s">
        <v>5277</v>
      </c>
      <c r="I371" s="33" t="s">
        <v>46</v>
      </c>
      <c r="J371" s="33" t="s">
        <v>40</v>
      </c>
    </row>
    <row r="372" spans="1:12" hidden="1" x14ac:dyDescent="0.3">
      <c r="A372" s="39">
        <v>46078.673541666663</v>
      </c>
      <c r="B372" s="33">
        <v>4433542435</v>
      </c>
      <c r="C372" s="33" t="s">
        <v>42</v>
      </c>
      <c r="D372" s="33">
        <v>4430265054</v>
      </c>
      <c r="E372" s="33">
        <v>597</v>
      </c>
      <c r="F372" s="33">
        <v>513</v>
      </c>
      <c r="G372" s="33" t="s">
        <v>38</v>
      </c>
      <c r="H372" s="33" t="s">
        <v>3631</v>
      </c>
      <c r="I372" s="33" t="s">
        <v>39</v>
      </c>
      <c r="J372" s="33" t="s">
        <v>40</v>
      </c>
      <c r="K372" s="33" t="s">
        <v>41</v>
      </c>
    </row>
    <row r="373" spans="1:12" hidden="1" x14ac:dyDescent="0.3">
      <c r="A373" s="39">
        <v>46078.670902777776</v>
      </c>
      <c r="B373" s="33">
        <v>4430152533</v>
      </c>
      <c r="C373" s="33" t="s">
        <v>43</v>
      </c>
      <c r="D373" s="33">
        <v>4430265054</v>
      </c>
      <c r="E373" s="33">
        <v>321</v>
      </c>
      <c r="F373" s="33">
        <v>241</v>
      </c>
      <c r="G373" s="33" t="s">
        <v>38</v>
      </c>
      <c r="H373" s="33" t="s">
        <v>3632</v>
      </c>
      <c r="I373" s="33" t="s">
        <v>39</v>
      </c>
      <c r="J373" s="33" t="s">
        <v>40</v>
      </c>
      <c r="K373" s="33" t="s">
        <v>41</v>
      </c>
    </row>
    <row r="374" spans="1:12" hidden="1" x14ac:dyDescent="0.3">
      <c r="A374" s="39">
        <v>46078.667025462964</v>
      </c>
      <c r="B374" s="33">
        <v>1128897100</v>
      </c>
      <c r="C374" s="33" t="s">
        <v>43</v>
      </c>
      <c r="D374" s="33">
        <v>4430265054</v>
      </c>
      <c r="E374" s="33">
        <v>207</v>
      </c>
      <c r="F374" s="33">
        <v>130</v>
      </c>
      <c r="G374" s="33" t="s">
        <v>38</v>
      </c>
      <c r="H374" s="33" t="s">
        <v>3633</v>
      </c>
      <c r="I374" s="33" t="s">
        <v>39</v>
      </c>
      <c r="J374" s="33" t="s">
        <v>40</v>
      </c>
      <c r="K374" s="33" t="s">
        <v>41</v>
      </c>
    </row>
    <row r="375" spans="1:12" hidden="1" x14ac:dyDescent="0.3">
      <c r="A375" s="39">
        <v>46078.66684027778</v>
      </c>
      <c r="B375" s="33">
        <v>4430459032</v>
      </c>
      <c r="C375" s="33" t="s">
        <v>42</v>
      </c>
      <c r="D375" s="33">
        <v>4430265054</v>
      </c>
      <c r="E375" s="33">
        <v>342</v>
      </c>
      <c r="F375" s="33">
        <v>263</v>
      </c>
      <c r="G375" s="33" t="s">
        <v>38</v>
      </c>
      <c r="H375" s="33" t="s">
        <v>3634</v>
      </c>
      <c r="I375" s="33" t="s">
        <v>39</v>
      </c>
      <c r="J375" s="33" t="s">
        <v>40</v>
      </c>
      <c r="K375" s="33" t="s">
        <v>41</v>
      </c>
    </row>
    <row r="376" spans="1:12" hidden="1" x14ac:dyDescent="0.3">
      <c r="A376" s="39">
        <v>46078.666481481479</v>
      </c>
      <c r="B376" s="33">
        <v>4430459032</v>
      </c>
      <c r="C376" s="33">
        <v>4430265054</v>
      </c>
      <c r="D376" s="33">
        <v>4430265054</v>
      </c>
      <c r="E376" s="33">
        <v>21</v>
      </c>
      <c r="F376" s="33">
        <v>20</v>
      </c>
      <c r="G376" s="33" t="s">
        <v>3449</v>
      </c>
      <c r="H376" s="33" t="s">
        <v>5278</v>
      </c>
      <c r="I376" s="33" t="s">
        <v>39</v>
      </c>
      <c r="J376" s="33" t="s">
        <v>3451</v>
      </c>
    </row>
    <row r="377" spans="1:12" hidden="1" x14ac:dyDescent="0.3">
      <c r="A377" s="39">
        <v>46078.664375</v>
      </c>
      <c r="B377" s="33" t="s">
        <v>44</v>
      </c>
      <c r="C377" s="33">
        <v>4436351818</v>
      </c>
      <c r="E377" s="33">
        <v>91</v>
      </c>
      <c r="F377" s="33">
        <v>79</v>
      </c>
      <c r="G377" s="33" t="s">
        <v>38</v>
      </c>
      <c r="H377" s="33" t="s">
        <v>5279</v>
      </c>
      <c r="I377" s="33" t="s">
        <v>46</v>
      </c>
      <c r="J377" s="33" t="s">
        <v>40</v>
      </c>
    </row>
    <row r="378" spans="1:12" hidden="1" x14ac:dyDescent="0.3">
      <c r="A378" s="39">
        <v>46078.664236111108</v>
      </c>
      <c r="B378" s="33" t="s">
        <v>44</v>
      </c>
      <c r="C378" s="33">
        <v>4436351818</v>
      </c>
      <c r="E378" s="33">
        <v>1</v>
      </c>
      <c r="F378" s="33">
        <v>0</v>
      </c>
      <c r="G378" s="33" t="s">
        <v>47</v>
      </c>
      <c r="H378" s="33" t="s">
        <v>5280</v>
      </c>
      <c r="I378" s="33" t="s">
        <v>46</v>
      </c>
      <c r="J378" s="33" t="s">
        <v>40</v>
      </c>
    </row>
    <row r="379" spans="1:12" hidden="1" x14ac:dyDescent="0.3">
      <c r="A379" s="39">
        <v>46078.664166666669</v>
      </c>
      <c r="B379" s="33" t="s">
        <v>44</v>
      </c>
      <c r="C379" s="33">
        <v>4436351818</v>
      </c>
      <c r="E379" s="33">
        <v>3</v>
      </c>
      <c r="F379" s="33">
        <v>0</v>
      </c>
      <c r="G379" s="33" t="s">
        <v>47</v>
      </c>
      <c r="H379" s="33" t="s">
        <v>5281</v>
      </c>
      <c r="I379" s="33" t="s">
        <v>46</v>
      </c>
      <c r="J379" s="33" t="s">
        <v>40</v>
      </c>
    </row>
    <row r="380" spans="1:12" hidden="1" x14ac:dyDescent="0.3">
      <c r="A380" s="39">
        <v>46078.664097222223</v>
      </c>
      <c r="B380" s="33" t="s">
        <v>44</v>
      </c>
      <c r="C380" s="33">
        <v>4436351818</v>
      </c>
      <c r="E380" s="33">
        <v>5</v>
      </c>
      <c r="F380" s="33">
        <v>0</v>
      </c>
      <c r="G380" s="33" t="s">
        <v>47</v>
      </c>
      <c r="H380" s="33" t="s">
        <v>5282</v>
      </c>
      <c r="I380" s="33" t="s">
        <v>46</v>
      </c>
      <c r="J380" s="33" t="s">
        <v>40</v>
      </c>
    </row>
    <row r="381" spans="1:12" hidden="1" x14ac:dyDescent="0.3">
      <c r="A381" s="39">
        <v>46078.663784722223</v>
      </c>
      <c r="B381" s="33">
        <v>4430291622</v>
      </c>
      <c r="C381" s="33" t="s">
        <v>45</v>
      </c>
      <c r="D381" s="33">
        <v>4430265054</v>
      </c>
      <c r="E381" s="33">
        <v>573</v>
      </c>
      <c r="F381" s="33">
        <v>478</v>
      </c>
      <c r="G381" s="33" t="s">
        <v>38</v>
      </c>
      <c r="H381" s="33" t="s">
        <v>3635</v>
      </c>
      <c r="I381" s="33" t="s">
        <v>39</v>
      </c>
      <c r="J381" s="33" t="s">
        <v>40</v>
      </c>
      <c r="K381" s="33" t="s">
        <v>41</v>
      </c>
      <c r="L381" s="33">
        <v>5</v>
      </c>
    </row>
    <row r="382" spans="1:12" hidden="1" x14ac:dyDescent="0.3">
      <c r="A382" s="39">
        <v>46078.663263888891</v>
      </c>
      <c r="B382" s="33">
        <v>6234347959</v>
      </c>
      <c r="C382" s="33" t="s">
        <v>37</v>
      </c>
      <c r="D382" s="33">
        <v>4430265054</v>
      </c>
      <c r="E382" s="33">
        <v>683</v>
      </c>
      <c r="F382" s="33">
        <v>646</v>
      </c>
      <c r="G382" s="33" t="s">
        <v>38</v>
      </c>
      <c r="H382" s="33" t="s">
        <v>3636</v>
      </c>
      <c r="I382" s="33" t="s">
        <v>39</v>
      </c>
      <c r="J382" s="33" t="s">
        <v>40</v>
      </c>
      <c r="K382" s="33" t="s">
        <v>41</v>
      </c>
      <c r="L382" s="33">
        <v>5</v>
      </c>
    </row>
    <row r="383" spans="1:12" hidden="1" x14ac:dyDescent="0.3">
      <c r="A383" s="39">
        <v>46078.659803240742</v>
      </c>
      <c r="B383" s="33">
        <v>4430414545</v>
      </c>
      <c r="C383" s="33">
        <v>4430265054</v>
      </c>
      <c r="D383" s="33">
        <v>4430265054</v>
      </c>
      <c r="E383" s="33">
        <v>16</v>
      </c>
      <c r="F383" s="33">
        <v>15</v>
      </c>
      <c r="G383" s="33" t="s">
        <v>3449</v>
      </c>
      <c r="H383" s="33" t="s">
        <v>5283</v>
      </c>
      <c r="I383" s="33" t="s">
        <v>39</v>
      </c>
      <c r="J383" s="33" t="s">
        <v>3451</v>
      </c>
    </row>
    <row r="384" spans="1:12" hidden="1" x14ac:dyDescent="0.3">
      <c r="A384" s="39">
        <v>46078.650023148148</v>
      </c>
      <c r="B384" s="33">
        <v>4431337559</v>
      </c>
      <c r="C384" s="33" t="s">
        <v>43</v>
      </c>
      <c r="D384" s="33">
        <v>4430265054</v>
      </c>
      <c r="E384" s="33">
        <v>556</v>
      </c>
      <c r="F384" s="33">
        <v>530</v>
      </c>
      <c r="G384" s="33" t="s">
        <v>38</v>
      </c>
      <c r="H384" s="33" t="s">
        <v>3637</v>
      </c>
      <c r="I384" s="33" t="s">
        <v>39</v>
      </c>
      <c r="J384" s="33" t="s">
        <v>40</v>
      </c>
      <c r="K384" s="33" t="s">
        <v>41</v>
      </c>
    </row>
    <row r="385" spans="1:12" hidden="1" x14ac:dyDescent="0.3">
      <c r="A385" s="39">
        <v>46078.648900462962</v>
      </c>
      <c r="B385" s="33">
        <v>44997032926</v>
      </c>
      <c r="C385" s="33">
        <v>4430265054</v>
      </c>
      <c r="D385" s="33">
        <v>4430265054</v>
      </c>
      <c r="E385" s="33">
        <v>17</v>
      </c>
      <c r="F385" s="33">
        <v>16</v>
      </c>
      <c r="G385" s="33" t="s">
        <v>3449</v>
      </c>
      <c r="H385" s="33" t="s">
        <v>5284</v>
      </c>
      <c r="I385" s="33" t="s">
        <v>39</v>
      </c>
      <c r="J385" s="33" t="s">
        <v>3451</v>
      </c>
    </row>
    <row r="386" spans="1:12" hidden="1" x14ac:dyDescent="0.3">
      <c r="A386" s="39">
        <v>46078.648645833331</v>
      </c>
      <c r="B386" s="33">
        <v>4430315826</v>
      </c>
      <c r="C386" s="33" t="s">
        <v>37</v>
      </c>
      <c r="D386" s="33">
        <v>4430265054</v>
      </c>
      <c r="E386" s="33">
        <v>155</v>
      </c>
      <c r="F386" s="33">
        <v>55</v>
      </c>
      <c r="G386" s="33" t="s">
        <v>38</v>
      </c>
      <c r="H386" s="33" t="s">
        <v>3638</v>
      </c>
      <c r="I386" s="33" t="s">
        <v>39</v>
      </c>
      <c r="J386" s="33" t="s">
        <v>40</v>
      </c>
      <c r="K386" s="33" t="s">
        <v>41</v>
      </c>
    </row>
    <row r="387" spans="1:12" hidden="1" x14ac:dyDescent="0.3">
      <c r="A387" s="39">
        <v>46078.648541666669</v>
      </c>
      <c r="B387" s="33">
        <v>44997032926</v>
      </c>
      <c r="C387" s="33">
        <v>4430265054</v>
      </c>
      <c r="D387" s="33">
        <v>4430265054</v>
      </c>
      <c r="E387" s="33">
        <v>6</v>
      </c>
      <c r="F387" s="33">
        <v>6</v>
      </c>
      <c r="G387" s="33" t="s">
        <v>3449</v>
      </c>
      <c r="H387" s="33" t="s">
        <v>5285</v>
      </c>
      <c r="I387" s="33" t="s">
        <v>39</v>
      </c>
      <c r="J387" s="33" t="s">
        <v>3451</v>
      </c>
    </row>
    <row r="388" spans="1:12" hidden="1" x14ac:dyDescent="0.3">
      <c r="A388" s="39">
        <v>46078.639872685184</v>
      </c>
      <c r="B388" s="33">
        <v>47999760576</v>
      </c>
      <c r="C388" s="33" t="s">
        <v>45</v>
      </c>
      <c r="D388" s="33">
        <v>4430265054</v>
      </c>
      <c r="E388" s="33">
        <v>2052</v>
      </c>
      <c r="F388" s="33">
        <v>2028</v>
      </c>
      <c r="G388" s="33" t="s">
        <v>38</v>
      </c>
      <c r="H388" s="33" t="s">
        <v>3639</v>
      </c>
      <c r="I388" s="33" t="s">
        <v>39</v>
      </c>
      <c r="J388" s="33" t="s">
        <v>40</v>
      </c>
      <c r="K388" s="33" t="s">
        <v>41</v>
      </c>
      <c r="L388" s="33">
        <v>5</v>
      </c>
    </row>
    <row r="389" spans="1:12" hidden="1" x14ac:dyDescent="0.3">
      <c r="A389" s="39">
        <v>46078.639363425929</v>
      </c>
      <c r="B389" s="33">
        <v>4134348938</v>
      </c>
      <c r="C389" s="33">
        <v>4531273172</v>
      </c>
      <c r="D389" s="33">
        <v>4531273172</v>
      </c>
      <c r="E389" s="33">
        <v>9</v>
      </c>
      <c r="F389" s="33">
        <v>8</v>
      </c>
      <c r="G389" s="33" t="s">
        <v>3449</v>
      </c>
      <c r="H389" s="33" t="s">
        <v>5286</v>
      </c>
      <c r="I389" s="33" t="s">
        <v>39</v>
      </c>
      <c r="J389" s="33" t="s">
        <v>3451</v>
      </c>
    </row>
    <row r="390" spans="1:12" hidden="1" x14ac:dyDescent="0.3">
      <c r="A390" s="39">
        <v>46078.635891203703</v>
      </c>
      <c r="B390" s="33">
        <v>4432321371</v>
      </c>
      <c r="C390" s="33">
        <v>4430265054</v>
      </c>
      <c r="D390" s="33">
        <v>4430265054</v>
      </c>
      <c r="E390" s="33">
        <v>26</v>
      </c>
      <c r="F390" s="33">
        <v>26</v>
      </c>
      <c r="G390" s="33" t="s">
        <v>3449</v>
      </c>
      <c r="H390" s="33" t="s">
        <v>3640</v>
      </c>
      <c r="I390" s="33" t="s">
        <v>39</v>
      </c>
      <c r="J390" s="33" t="s">
        <v>3451</v>
      </c>
      <c r="K390" s="33" t="s">
        <v>41</v>
      </c>
    </row>
    <row r="391" spans="1:12" hidden="1" x14ac:dyDescent="0.3">
      <c r="A391" s="39">
        <v>46078.634826388887</v>
      </c>
      <c r="B391" s="33" t="s">
        <v>48</v>
      </c>
      <c r="C391" s="33">
        <v>44991484476</v>
      </c>
      <c r="E391" s="33">
        <v>1447</v>
      </c>
      <c r="F391" s="33">
        <v>1436</v>
      </c>
      <c r="G391" s="33" t="s">
        <v>38</v>
      </c>
      <c r="H391" s="33" t="s">
        <v>5287</v>
      </c>
      <c r="I391" s="33" t="s">
        <v>46</v>
      </c>
      <c r="J391" s="33" t="s">
        <v>40</v>
      </c>
    </row>
    <row r="392" spans="1:12" hidden="1" x14ac:dyDescent="0.3">
      <c r="A392" s="39">
        <v>46078.634212962963</v>
      </c>
      <c r="B392" s="33" t="s">
        <v>48</v>
      </c>
      <c r="C392" s="33">
        <v>44999184476</v>
      </c>
      <c r="E392" s="33">
        <v>6</v>
      </c>
      <c r="F392" s="33">
        <v>0</v>
      </c>
      <c r="G392" s="33" t="s">
        <v>47</v>
      </c>
      <c r="H392" s="33" t="s">
        <v>5288</v>
      </c>
      <c r="I392" s="33" t="s">
        <v>46</v>
      </c>
      <c r="J392" s="33" t="s">
        <v>40</v>
      </c>
    </row>
    <row r="393" spans="1:12" hidden="1" x14ac:dyDescent="0.3">
      <c r="A393" s="39">
        <v>46078.633020833331</v>
      </c>
      <c r="B393" s="33">
        <v>4430284942</v>
      </c>
      <c r="C393" s="33" t="s">
        <v>43</v>
      </c>
      <c r="D393" s="33">
        <v>4430265054</v>
      </c>
      <c r="E393" s="33">
        <v>424</v>
      </c>
      <c r="F393" s="33">
        <v>378</v>
      </c>
      <c r="G393" s="33" t="s">
        <v>38</v>
      </c>
      <c r="H393" s="33" t="s">
        <v>3641</v>
      </c>
      <c r="I393" s="33" t="s">
        <v>39</v>
      </c>
      <c r="J393" s="33" t="s">
        <v>40</v>
      </c>
      <c r="K393" s="33" t="s">
        <v>41</v>
      </c>
    </row>
    <row r="394" spans="1:12" hidden="1" x14ac:dyDescent="0.3">
      <c r="A394" s="39">
        <v>46078.632754629631</v>
      </c>
      <c r="B394" s="33">
        <v>4435223408</v>
      </c>
      <c r="C394" s="33" t="s">
        <v>48</v>
      </c>
      <c r="D394" s="33">
        <v>4430265054</v>
      </c>
      <c r="E394" s="33">
        <v>111</v>
      </c>
      <c r="F394" s="33">
        <v>65</v>
      </c>
      <c r="G394" s="33" t="s">
        <v>38</v>
      </c>
      <c r="H394" s="33" t="s">
        <v>3642</v>
      </c>
      <c r="I394" s="33" t="s">
        <v>39</v>
      </c>
      <c r="J394" s="33" t="s">
        <v>40</v>
      </c>
      <c r="K394" s="33" t="s">
        <v>41</v>
      </c>
    </row>
    <row r="395" spans="1:12" hidden="1" x14ac:dyDescent="0.3">
      <c r="A395" s="39">
        <v>46078.632326388892</v>
      </c>
      <c r="B395" s="33">
        <v>4430145172</v>
      </c>
      <c r="C395" s="33" t="s">
        <v>44</v>
      </c>
      <c r="D395" s="33">
        <v>4430265054</v>
      </c>
      <c r="E395" s="33">
        <v>349</v>
      </c>
      <c r="F395" s="33">
        <v>266</v>
      </c>
      <c r="G395" s="33" t="s">
        <v>38</v>
      </c>
      <c r="H395" s="33" t="s">
        <v>3643</v>
      </c>
      <c r="I395" s="33" t="s">
        <v>39</v>
      </c>
      <c r="J395" s="33" t="s">
        <v>40</v>
      </c>
      <c r="K395" s="33" t="s">
        <v>41</v>
      </c>
    </row>
    <row r="396" spans="1:12" hidden="1" x14ac:dyDescent="0.3">
      <c r="A396" s="39">
        <v>46078.631481481483</v>
      </c>
      <c r="B396" s="33">
        <v>4432325260</v>
      </c>
      <c r="C396" s="33" t="s">
        <v>43</v>
      </c>
      <c r="D396" s="33">
        <v>4430265054</v>
      </c>
      <c r="E396" s="33">
        <v>137</v>
      </c>
      <c r="F396" s="33">
        <v>91</v>
      </c>
      <c r="G396" s="33" t="s">
        <v>38</v>
      </c>
      <c r="H396" s="33" t="s">
        <v>3644</v>
      </c>
      <c r="I396" s="33" t="s">
        <v>39</v>
      </c>
      <c r="J396" s="33" t="s">
        <v>40</v>
      </c>
      <c r="K396" s="33" t="s">
        <v>41</v>
      </c>
      <c r="L396" s="33">
        <v>5</v>
      </c>
    </row>
    <row r="397" spans="1:12" hidden="1" x14ac:dyDescent="0.3">
      <c r="A397" s="39">
        <v>46078.631331018521</v>
      </c>
      <c r="B397" s="33">
        <v>1131043888</v>
      </c>
      <c r="C397" s="33" t="s">
        <v>45</v>
      </c>
      <c r="D397" s="33">
        <v>4430265054</v>
      </c>
      <c r="E397" s="33">
        <v>369</v>
      </c>
      <c r="F397" s="33">
        <v>334</v>
      </c>
      <c r="G397" s="33" t="s">
        <v>38</v>
      </c>
      <c r="H397" s="33" t="s">
        <v>3645</v>
      </c>
      <c r="I397" s="33" t="s">
        <v>39</v>
      </c>
      <c r="J397" s="33" t="s">
        <v>40</v>
      </c>
      <c r="K397" s="33" t="s">
        <v>41</v>
      </c>
      <c r="L397" s="33">
        <v>5</v>
      </c>
    </row>
    <row r="398" spans="1:12" hidden="1" x14ac:dyDescent="0.3">
      <c r="A398" s="39">
        <v>46078.626273148147</v>
      </c>
      <c r="B398" s="33">
        <v>4430284942</v>
      </c>
      <c r="C398" s="33">
        <v>4430265054</v>
      </c>
      <c r="D398" s="33">
        <v>4430265054</v>
      </c>
      <c r="E398" s="33">
        <v>36</v>
      </c>
      <c r="F398" s="33">
        <v>35</v>
      </c>
      <c r="G398" s="33" t="s">
        <v>3449</v>
      </c>
      <c r="H398" s="33" t="s">
        <v>3646</v>
      </c>
      <c r="I398" s="33" t="s">
        <v>39</v>
      </c>
      <c r="J398" s="33" t="s">
        <v>3451</v>
      </c>
      <c r="K398" s="33" t="s">
        <v>41</v>
      </c>
    </row>
    <row r="399" spans="1:12" hidden="1" x14ac:dyDescent="0.3">
      <c r="A399" s="39">
        <v>46078.625578703701</v>
      </c>
      <c r="B399" s="33">
        <v>44991381017</v>
      </c>
      <c r="C399" s="33" t="s">
        <v>37</v>
      </c>
      <c r="D399" s="33">
        <v>4430265054</v>
      </c>
      <c r="E399" s="33">
        <v>567</v>
      </c>
      <c r="F399" s="33">
        <v>533</v>
      </c>
      <c r="G399" s="33" t="s">
        <v>38</v>
      </c>
      <c r="H399" s="33" t="s">
        <v>3647</v>
      </c>
      <c r="I399" s="33" t="s">
        <v>39</v>
      </c>
      <c r="J399" s="33" t="s">
        <v>40</v>
      </c>
      <c r="K399" s="33" t="s">
        <v>41</v>
      </c>
    </row>
    <row r="400" spans="1:12" hidden="1" x14ac:dyDescent="0.3">
      <c r="A400" s="39">
        <v>46078.624618055554</v>
      </c>
      <c r="B400" s="33">
        <v>4134348918</v>
      </c>
      <c r="C400" s="33">
        <v>4531273154</v>
      </c>
      <c r="D400" s="33">
        <v>4531273154</v>
      </c>
      <c r="E400" s="33">
        <v>9</v>
      </c>
      <c r="F400" s="33">
        <v>8</v>
      </c>
      <c r="G400" s="33" t="s">
        <v>3449</v>
      </c>
      <c r="H400" s="33" t="s">
        <v>5289</v>
      </c>
      <c r="I400" s="33" t="s">
        <v>39</v>
      </c>
      <c r="J400" s="33" t="s">
        <v>3451</v>
      </c>
    </row>
    <row r="401" spans="1:12" hidden="1" x14ac:dyDescent="0.3">
      <c r="A401" s="39">
        <v>46078.623425925929</v>
      </c>
      <c r="B401" s="33">
        <v>44999689445</v>
      </c>
      <c r="C401" s="33" t="s">
        <v>42</v>
      </c>
      <c r="D401" s="33">
        <v>4430265054</v>
      </c>
      <c r="E401" s="33">
        <v>1782</v>
      </c>
      <c r="F401" s="33">
        <v>1688</v>
      </c>
      <c r="G401" s="33" t="s">
        <v>38</v>
      </c>
      <c r="H401" s="33" t="s">
        <v>3648</v>
      </c>
      <c r="I401" s="33" t="s">
        <v>39</v>
      </c>
      <c r="J401" s="33" t="s">
        <v>40</v>
      </c>
      <c r="K401" s="33" t="s">
        <v>41</v>
      </c>
    </row>
    <row r="402" spans="1:12" hidden="1" x14ac:dyDescent="0.3">
      <c r="A402" s="39">
        <v>46078.622615740744</v>
      </c>
      <c r="B402" s="33">
        <v>4440092826</v>
      </c>
      <c r="C402" s="33" t="s">
        <v>43</v>
      </c>
      <c r="D402" s="33">
        <v>4430265054</v>
      </c>
      <c r="E402" s="33">
        <v>634</v>
      </c>
      <c r="F402" s="33">
        <v>571</v>
      </c>
      <c r="G402" s="33" t="s">
        <v>38</v>
      </c>
      <c r="H402" s="33" t="s">
        <v>3649</v>
      </c>
      <c r="I402" s="33" t="s">
        <v>39</v>
      </c>
      <c r="J402" s="33" t="s">
        <v>40</v>
      </c>
      <c r="K402" s="33" t="s">
        <v>41</v>
      </c>
    </row>
    <row r="403" spans="1:12" x14ac:dyDescent="0.3">
      <c r="A403" s="39">
        <v>46078.617222222223</v>
      </c>
      <c r="B403" s="33">
        <v>44997343311</v>
      </c>
      <c r="C403" s="33" t="s">
        <v>44</v>
      </c>
      <c r="D403" s="33">
        <v>4430265054</v>
      </c>
      <c r="E403" s="33">
        <v>256</v>
      </c>
      <c r="F403" s="33">
        <v>215</v>
      </c>
      <c r="G403" s="33" t="s">
        <v>38</v>
      </c>
      <c r="H403" s="33" t="s">
        <v>3650</v>
      </c>
      <c r="I403" s="33" t="s">
        <v>39</v>
      </c>
      <c r="J403" s="33" t="s">
        <v>40</v>
      </c>
      <c r="K403" s="33" t="s">
        <v>41</v>
      </c>
      <c r="L403" s="33">
        <v>5</v>
      </c>
    </row>
    <row r="404" spans="1:12" hidden="1" x14ac:dyDescent="0.3">
      <c r="A404" s="39">
        <v>46078.615844907406</v>
      </c>
      <c r="B404" s="33">
        <v>4430317020</v>
      </c>
      <c r="C404" s="33" t="s">
        <v>37</v>
      </c>
      <c r="D404" s="33">
        <v>4430265054</v>
      </c>
      <c r="E404" s="33">
        <v>537</v>
      </c>
      <c r="F404" s="33">
        <v>511</v>
      </c>
      <c r="G404" s="33" t="s">
        <v>38</v>
      </c>
      <c r="H404" s="33" t="s">
        <v>3651</v>
      </c>
      <c r="I404" s="33" t="s">
        <v>39</v>
      </c>
      <c r="J404" s="33" t="s">
        <v>40</v>
      </c>
      <c r="K404" s="33" t="s">
        <v>41</v>
      </c>
      <c r="L404" s="33">
        <v>5</v>
      </c>
    </row>
    <row r="405" spans="1:12" hidden="1" x14ac:dyDescent="0.3">
      <c r="A405" s="39">
        <v>46078.614918981482</v>
      </c>
      <c r="B405" s="33">
        <v>1144320912</v>
      </c>
      <c r="C405" s="33" t="s">
        <v>42</v>
      </c>
      <c r="D405" s="33">
        <v>4430265054</v>
      </c>
      <c r="E405" s="33">
        <v>571</v>
      </c>
      <c r="F405" s="33">
        <v>494</v>
      </c>
      <c r="G405" s="33" t="s">
        <v>38</v>
      </c>
      <c r="H405" s="33" t="s">
        <v>3652</v>
      </c>
      <c r="I405" s="33" t="s">
        <v>39</v>
      </c>
      <c r="J405" s="33" t="s">
        <v>40</v>
      </c>
      <c r="K405" s="33" t="s">
        <v>41</v>
      </c>
    </row>
    <row r="406" spans="1:12" hidden="1" x14ac:dyDescent="0.3">
      <c r="A406" s="39">
        <v>46078.613564814812</v>
      </c>
      <c r="B406" s="33">
        <v>91985176746</v>
      </c>
      <c r="C406" s="33" t="s">
        <v>43</v>
      </c>
      <c r="D406" s="33">
        <v>4430265054</v>
      </c>
      <c r="E406" s="33">
        <v>250</v>
      </c>
      <c r="F406" s="33">
        <v>231</v>
      </c>
      <c r="G406" s="33" t="s">
        <v>38</v>
      </c>
      <c r="H406" s="33" t="s">
        <v>3653</v>
      </c>
      <c r="I406" s="33" t="s">
        <v>39</v>
      </c>
      <c r="J406" s="33" t="s">
        <v>40</v>
      </c>
      <c r="K406" s="33" t="s">
        <v>41</v>
      </c>
    </row>
    <row r="407" spans="1:12" hidden="1" x14ac:dyDescent="0.3">
      <c r="A407" s="39">
        <v>46078.610937500001</v>
      </c>
      <c r="B407" s="33">
        <v>11998030658</v>
      </c>
      <c r="C407" s="33" t="s">
        <v>45</v>
      </c>
      <c r="D407" s="33">
        <v>4430265054</v>
      </c>
      <c r="E407" s="33">
        <v>1442</v>
      </c>
      <c r="F407" s="33">
        <v>1361</v>
      </c>
      <c r="G407" s="33" t="s">
        <v>38</v>
      </c>
      <c r="H407" s="33" t="s">
        <v>3654</v>
      </c>
      <c r="I407" s="33" t="s">
        <v>39</v>
      </c>
      <c r="J407" s="33" t="s">
        <v>40</v>
      </c>
      <c r="K407" s="33" t="s">
        <v>41</v>
      </c>
      <c r="L407" s="33">
        <v>5</v>
      </c>
    </row>
    <row r="408" spans="1:12" hidden="1" x14ac:dyDescent="0.3">
      <c r="A408" s="39">
        <v>46078.610682870371</v>
      </c>
      <c r="B408" s="33">
        <v>4435224223</v>
      </c>
      <c r="C408" s="33" t="s">
        <v>48</v>
      </c>
      <c r="D408" s="33">
        <v>4430265054</v>
      </c>
      <c r="E408" s="33">
        <v>1633</v>
      </c>
      <c r="F408" s="33">
        <v>1568</v>
      </c>
      <c r="G408" s="33" t="s">
        <v>38</v>
      </c>
      <c r="H408" s="33" t="s">
        <v>3655</v>
      </c>
      <c r="I408" s="33" t="s">
        <v>39</v>
      </c>
      <c r="J408" s="33" t="s">
        <v>40</v>
      </c>
      <c r="K408" s="33" t="s">
        <v>41</v>
      </c>
    </row>
    <row r="409" spans="1:12" hidden="1" x14ac:dyDescent="0.3">
      <c r="A409" s="39">
        <v>46078.603310185186</v>
      </c>
      <c r="B409" s="33" t="s">
        <v>42</v>
      </c>
      <c r="C409" s="33">
        <v>4430162376</v>
      </c>
      <c r="E409" s="33">
        <v>423</v>
      </c>
      <c r="F409" s="33">
        <v>409</v>
      </c>
      <c r="G409" s="33" t="s">
        <v>38</v>
      </c>
      <c r="H409" s="33" t="s">
        <v>5290</v>
      </c>
      <c r="I409" s="33" t="s">
        <v>46</v>
      </c>
      <c r="J409" s="33" t="s">
        <v>40</v>
      </c>
    </row>
    <row r="410" spans="1:12" hidden="1" x14ac:dyDescent="0.3">
      <c r="A410" s="39">
        <v>46078.603217592594</v>
      </c>
      <c r="B410" s="33" t="s">
        <v>42</v>
      </c>
      <c r="C410" s="33">
        <v>4430162376</v>
      </c>
      <c r="E410" s="33">
        <v>3</v>
      </c>
      <c r="F410" s="33">
        <v>0</v>
      </c>
      <c r="G410" s="33" t="s">
        <v>47</v>
      </c>
      <c r="H410" s="33" t="s">
        <v>5291</v>
      </c>
      <c r="I410" s="33" t="s">
        <v>46</v>
      </c>
      <c r="J410" s="33" t="s">
        <v>40</v>
      </c>
    </row>
    <row r="411" spans="1:12" hidden="1" x14ac:dyDescent="0.3">
      <c r="A411" s="39">
        <v>46078.598865740743</v>
      </c>
      <c r="B411" s="33">
        <v>4430141533</v>
      </c>
      <c r="C411" s="33" t="s">
        <v>42</v>
      </c>
      <c r="D411" s="33">
        <v>4430265054</v>
      </c>
      <c r="E411" s="33">
        <v>164</v>
      </c>
      <c r="F411" s="33">
        <v>118</v>
      </c>
      <c r="G411" s="33" t="s">
        <v>38</v>
      </c>
      <c r="H411" s="33" t="s">
        <v>3656</v>
      </c>
      <c r="I411" s="33" t="s">
        <v>39</v>
      </c>
      <c r="J411" s="33" t="s">
        <v>40</v>
      </c>
      <c r="K411" s="33" t="s">
        <v>41</v>
      </c>
    </row>
    <row r="412" spans="1:12" hidden="1" x14ac:dyDescent="0.3">
      <c r="A412" s="39">
        <v>46078.597291666665</v>
      </c>
      <c r="B412" s="33" t="s">
        <v>45</v>
      </c>
      <c r="C412" s="33">
        <v>4432321371</v>
      </c>
      <c r="E412" s="33">
        <v>174</v>
      </c>
      <c r="F412" s="33">
        <v>165</v>
      </c>
      <c r="G412" s="33" t="s">
        <v>38</v>
      </c>
      <c r="H412" s="33" t="s">
        <v>5292</v>
      </c>
      <c r="I412" s="33" t="s">
        <v>46</v>
      </c>
      <c r="J412" s="33" t="s">
        <v>40</v>
      </c>
    </row>
    <row r="413" spans="1:12" hidden="1" x14ac:dyDescent="0.3">
      <c r="A413" s="39">
        <v>46078.59443287037</v>
      </c>
      <c r="B413" s="33">
        <v>4435224223</v>
      </c>
      <c r="C413" s="33" t="s">
        <v>48</v>
      </c>
      <c r="D413" s="33">
        <v>4430265054</v>
      </c>
      <c r="E413" s="33">
        <v>758</v>
      </c>
      <c r="F413" s="33">
        <v>721</v>
      </c>
      <c r="G413" s="33" t="s">
        <v>38</v>
      </c>
      <c r="H413" s="33" t="s">
        <v>3657</v>
      </c>
      <c r="I413" s="33" t="s">
        <v>39</v>
      </c>
      <c r="J413" s="33" t="s">
        <v>40</v>
      </c>
      <c r="K413" s="33" t="s">
        <v>41</v>
      </c>
    </row>
    <row r="414" spans="1:12" hidden="1" x14ac:dyDescent="0.3">
      <c r="A414" s="39">
        <v>46078.591157407405</v>
      </c>
      <c r="B414" s="33">
        <v>4430284942</v>
      </c>
      <c r="C414" s="33" t="s">
        <v>43</v>
      </c>
      <c r="D414" s="33">
        <v>4430265054</v>
      </c>
      <c r="E414" s="33">
        <v>178</v>
      </c>
      <c r="F414" s="33">
        <v>143</v>
      </c>
      <c r="G414" s="33" t="s">
        <v>38</v>
      </c>
      <c r="H414" s="33" t="s">
        <v>3658</v>
      </c>
      <c r="I414" s="33" t="s">
        <v>39</v>
      </c>
      <c r="J414" s="33" t="s">
        <v>40</v>
      </c>
      <c r="K414" s="33" t="s">
        <v>41</v>
      </c>
    </row>
    <row r="415" spans="1:12" hidden="1" x14ac:dyDescent="0.3">
      <c r="A415" s="39">
        <v>46078.588773148149</v>
      </c>
      <c r="B415" s="33" t="s">
        <v>42</v>
      </c>
      <c r="C415" s="33">
        <v>4430152533</v>
      </c>
      <c r="E415" s="33">
        <v>609</v>
      </c>
      <c r="F415" s="33">
        <v>579</v>
      </c>
      <c r="G415" s="33" t="s">
        <v>38</v>
      </c>
      <c r="H415" s="33" t="s">
        <v>5293</v>
      </c>
      <c r="I415" s="33" t="s">
        <v>46</v>
      </c>
      <c r="J415" s="33" t="s">
        <v>40</v>
      </c>
    </row>
    <row r="416" spans="1:12" hidden="1" x14ac:dyDescent="0.3">
      <c r="A416" s="39">
        <v>46078.588738425926</v>
      </c>
      <c r="B416" s="33" t="s">
        <v>44</v>
      </c>
      <c r="C416" s="33">
        <v>4430182968</v>
      </c>
      <c r="E416" s="33">
        <v>154</v>
      </c>
      <c r="F416" s="33">
        <v>146</v>
      </c>
      <c r="G416" s="33" t="s">
        <v>38</v>
      </c>
      <c r="H416" s="33" t="s">
        <v>5294</v>
      </c>
      <c r="I416" s="33" t="s">
        <v>46</v>
      </c>
      <c r="J416" s="33" t="s">
        <v>40</v>
      </c>
    </row>
    <row r="417" spans="1:12" hidden="1" x14ac:dyDescent="0.3">
      <c r="A417" s="39">
        <v>46078.58871527778</v>
      </c>
      <c r="B417" s="33" t="s">
        <v>42</v>
      </c>
      <c r="C417" s="33">
        <v>4430152533</v>
      </c>
      <c r="E417" s="33">
        <v>1</v>
      </c>
      <c r="F417" s="33">
        <v>0</v>
      </c>
      <c r="G417" s="33" t="s">
        <v>47</v>
      </c>
      <c r="H417" s="33" t="s">
        <v>5295</v>
      </c>
      <c r="I417" s="33" t="s">
        <v>46</v>
      </c>
      <c r="J417" s="33" t="s">
        <v>40</v>
      </c>
    </row>
    <row r="418" spans="1:12" hidden="1" x14ac:dyDescent="0.3">
      <c r="A418" s="39">
        <v>46078.584826388891</v>
      </c>
      <c r="B418" s="33" t="s">
        <v>48</v>
      </c>
      <c r="C418" s="33">
        <v>4435223408</v>
      </c>
      <c r="E418" s="33">
        <v>92</v>
      </c>
      <c r="F418" s="33">
        <v>75</v>
      </c>
      <c r="G418" s="33" t="s">
        <v>38</v>
      </c>
      <c r="H418" s="33" t="s">
        <v>5296</v>
      </c>
      <c r="I418" s="33" t="s">
        <v>46</v>
      </c>
      <c r="J418" s="33" t="s">
        <v>40</v>
      </c>
    </row>
    <row r="419" spans="1:12" hidden="1" x14ac:dyDescent="0.3">
      <c r="A419" s="39">
        <v>46078.584201388891</v>
      </c>
      <c r="B419" s="33">
        <v>4430162384</v>
      </c>
      <c r="C419" s="33" t="s">
        <v>44</v>
      </c>
      <c r="D419" s="33">
        <v>4430265054</v>
      </c>
      <c r="E419" s="33">
        <v>295</v>
      </c>
      <c r="F419" s="33">
        <v>227</v>
      </c>
      <c r="G419" s="33" t="s">
        <v>38</v>
      </c>
      <c r="H419" s="33" t="s">
        <v>3659</v>
      </c>
      <c r="I419" s="33" t="s">
        <v>39</v>
      </c>
      <c r="J419" s="33" t="s">
        <v>40</v>
      </c>
      <c r="K419" s="33" t="s">
        <v>41</v>
      </c>
    </row>
    <row r="420" spans="1:12" hidden="1" x14ac:dyDescent="0.3">
      <c r="A420" s="39">
        <v>46078.581736111111</v>
      </c>
      <c r="B420" s="33" t="s">
        <v>43</v>
      </c>
      <c r="C420" s="33">
        <v>4532541802</v>
      </c>
      <c r="E420" s="33">
        <v>546</v>
      </c>
      <c r="F420" s="33">
        <v>546</v>
      </c>
      <c r="G420" s="33" t="s">
        <v>38</v>
      </c>
      <c r="H420" s="33" t="s">
        <v>5297</v>
      </c>
      <c r="I420" s="33" t="s">
        <v>46</v>
      </c>
      <c r="J420" s="33" t="s">
        <v>40</v>
      </c>
    </row>
    <row r="421" spans="1:12" hidden="1" x14ac:dyDescent="0.3">
      <c r="A421" s="39">
        <v>46078.57707175926</v>
      </c>
      <c r="B421" s="33">
        <v>4430182968</v>
      </c>
      <c r="C421" s="33" t="s">
        <v>44</v>
      </c>
      <c r="D421" s="33">
        <v>4430265054</v>
      </c>
      <c r="E421" s="33">
        <v>162</v>
      </c>
      <c r="F421" s="33">
        <v>106</v>
      </c>
      <c r="G421" s="33" t="s">
        <v>38</v>
      </c>
      <c r="H421" s="33" t="s">
        <v>3660</v>
      </c>
      <c r="I421" s="33" t="s">
        <v>39</v>
      </c>
      <c r="J421" s="33" t="s">
        <v>40</v>
      </c>
      <c r="K421" s="33" t="s">
        <v>41</v>
      </c>
    </row>
    <row r="422" spans="1:12" hidden="1" x14ac:dyDescent="0.3">
      <c r="A422" s="39">
        <v>46078.57644675926</v>
      </c>
      <c r="B422" s="33" t="s">
        <v>43</v>
      </c>
      <c r="C422" s="33">
        <v>6434534421</v>
      </c>
      <c r="E422" s="33">
        <v>319</v>
      </c>
      <c r="F422" s="33">
        <v>313</v>
      </c>
      <c r="G422" s="33" t="s">
        <v>38</v>
      </c>
      <c r="H422" s="33" t="s">
        <v>5298</v>
      </c>
      <c r="I422" s="33" t="s">
        <v>46</v>
      </c>
      <c r="J422" s="33" t="s">
        <v>40</v>
      </c>
    </row>
    <row r="423" spans="1:12" hidden="1" x14ac:dyDescent="0.3">
      <c r="A423" s="39">
        <v>46078.573483796295</v>
      </c>
      <c r="B423" s="33">
        <v>4432321371</v>
      </c>
      <c r="C423" s="33" t="s">
        <v>43</v>
      </c>
      <c r="D423" s="33">
        <v>4430265054</v>
      </c>
      <c r="E423" s="33">
        <v>70</v>
      </c>
      <c r="F423" s="33">
        <v>35</v>
      </c>
      <c r="G423" s="33" t="s">
        <v>38</v>
      </c>
      <c r="H423" s="33" t="s">
        <v>3661</v>
      </c>
      <c r="I423" s="33" t="s">
        <v>39</v>
      </c>
      <c r="J423" s="33" t="s">
        <v>40</v>
      </c>
      <c r="K423" s="33" t="s">
        <v>41</v>
      </c>
    </row>
    <row r="424" spans="1:12" hidden="1" x14ac:dyDescent="0.3">
      <c r="A424" s="39">
        <v>46078.572233796294</v>
      </c>
      <c r="B424" s="33">
        <v>1129630984</v>
      </c>
      <c r="C424" s="33" t="s">
        <v>44</v>
      </c>
      <c r="D424" s="33">
        <v>4430265054</v>
      </c>
      <c r="E424" s="33">
        <v>350</v>
      </c>
      <c r="F424" s="33">
        <v>295</v>
      </c>
      <c r="G424" s="33" t="s">
        <v>38</v>
      </c>
      <c r="H424" s="33" t="s">
        <v>3662</v>
      </c>
      <c r="I424" s="33" t="s">
        <v>39</v>
      </c>
      <c r="J424" s="33" t="s">
        <v>40</v>
      </c>
      <c r="K424" s="33" t="s">
        <v>41</v>
      </c>
    </row>
    <row r="425" spans="1:12" hidden="1" x14ac:dyDescent="0.3">
      <c r="A425" s="39">
        <v>46078.570474537039</v>
      </c>
      <c r="B425" s="33" t="s">
        <v>44</v>
      </c>
      <c r="C425" s="33">
        <v>44988303530</v>
      </c>
      <c r="E425" s="33">
        <v>50</v>
      </c>
      <c r="F425" s="33">
        <v>37</v>
      </c>
      <c r="G425" s="33" t="s">
        <v>38</v>
      </c>
      <c r="H425" s="33" t="s">
        <v>5299</v>
      </c>
      <c r="I425" s="33" t="s">
        <v>46</v>
      </c>
      <c r="J425" s="33" t="s">
        <v>40</v>
      </c>
    </row>
    <row r="426" spans="1:12" hidden="1" x14ac:dyDescent="0.3">
      <c r="A426" s="39">
        <v>46078.570405092592</v>
      </c>
      <c r="B426" s="33" t="s">
        <v>44</v>
      </c>
      <c r="C426" s="33">
        <v>44988303530</v>
      </c>
      <c r="E426" s="33">
        <v>6</v>
      </c>
      <c r="F426" s="33">
        <v>0</v>
      </c>
      <c r="G426" s="33" t="s">
        <v>47</v>
      </c>
      <c r="H426" s="33" t="s">
        <v>5300</v>
      </c>
      <c r="I426" s="33" t="s">
        <v>46</v>
      </c>
      <c r="J426" s="33" t="s">
        <v>40</v>
      </c>
    </row>
    <row r="427" spans="1:12" hidden="1" x14ac:dyDescent="0.3">
      <c r="A427" s="39">
        <v>46078.570393518516</v>
      </c>
      <c r="B427" s="33">
        <v>17992219707</v>
      </c>
      <c r="C427" s="33" t="s">
        <v>37</v>
      </c>
      <c r="D427" s="33">
        <v>4430265054</v>
      </c>
      <c r="E427" s="33">
        <v>3001</v>
      </c>
      <c r="F427" s="33">
        <v>2954</v>
      </c>
      <c r="G427" s="33" t="s">
        <v>38</v>
      </c>
      <c r="H427" s="33" t="s">
        <v>3663</v>
      </c>
      <c r="I427" s="33" t="s">
        <v>39</v>
      </c>
      <c r="J427" s="33" t="s">
        <v>40</v>
      </c>
      <c r="K427" s="33" t="s">
        <v>41</v>
      </c>
    </row>
    <row r="428" spans="1:12" hidden="1" x14ac:dyDescent="0.3">
      <c r="A428" s="39">
        <v>46078.569432870368</v>
      </c>
      <c r="B428" s="33" t="s">
        <v>42</v>
      </c>
      <c r="C428" s="33">
        <v>4334232912</v>
      </c>
      <c r="E428" s="33">
        <v>1468</v>
      </c>
      <c r="F428" s="33">
        <v>1456</v>
      </c>
      <c r="G428" s="33" t="s">
        <v>38</v>
      </c>
      <c r="H428" s="33" t="s">
        <v>5301</v>
      </c>
      <c r="I428" s="33" t="s">
        <v>46</v>
      </c>
      <c r="J428" s="33" t="s">
        <v>40</v>
      </c>
    </row>
    <row r="429" spans="1:12" hidden="1" x14ac:dyDescent="0.3">
      <c r="A429" s="39">
        <v>46078.567303240743</v>
      </c>
      <c r="B429" s="33">
        <v>4433543396</v>
      </c>
      <c r="C429" s="33" t="s">
        <v>45</v>
      </c>
      <c r="D429" s="33">
        <v>4430265054</v>
      </c>
      <c r="E429" s="33">
        <v>1114</v>
      </c>
      <c r="F429" s="33">
        <v>1098</v>
      </c>
      <c r="G429" s="33" t="s">
        <v>38</v>
      </c>
      <c r="H429" s="33" t="s">
        <v>3664</v>
      </c>
      <c r="I429" s="33" t="s">
        <v>39</v>
      </c>
      <c r="J429" s="33" t="s">
        <v>40</v>
      </c>
      <c r="K429" s="33" t="s">
        <v>41</v>
      </c>
      <c r="L429" s="33">
        <v>5</v>
      </c>
    </row>
    <row r="430" spans="1:12" hidden="1" x14ac:dyDescent="0.3">
      <c r="A430" s="39">
        <v>46078.566307870373</v>
      </c>
      <c r="B430" s="33">
        <v>1128787060</v>
      </c>
      <c r="C430" s="33" t="s">
        <v>42</v>
      </c>
      <c r="D430" s="33">
        <v>4430265054</v>
      </c>
      <c r="E430" s="33">
        <v>188</v>
      </c>
      <c r="F430" s="33">
        <v>175</v>
      </c>
      <c r="G430" s="33" t="s">
        <v>38</v>
      </c>
      <c r="H430" s="33" t="s">
        <v>3665</v>
      </c>
      <c r="I430" s="33" t="s">
        <v>39</v>
      </c>
      <c r="J430" s="33" t="s">
        <v>40</v>
      </c>
      <c r="K430" s="33" t="s">
        <v>41</v>
      </c>
    </row>
    <row r="431" spans="1:12" hidden="1" x14ac:dyDescent="0.3">
      <c r="A431" s="39">
        <v>46078.565127314818</v>
      </c>
      <c r="B431" s="33">
        <v>4121170344</v>
      </c>
      <c r="C431" s="33">
        <v>4531273172</v>
      </c>
      <c r="D431" s="33">
        <v>4531273172</v>
      </c>
      <c r="E431" s="33">
        <v>9</v>
      </c>
      <c r="F431" s="33">
        <v>8</v>
      </c>
      <c r="G431" s="33" t="s">
        <v>3449</v>
      </c>
      <c r="H431" s="33" t="s">
        <v>5302</v>
      </c>
      <c r="I431" s="33" t="s">
        <v>39</v>
      </c>
      <c r="J431" s="33" t="s">
        <v>3451</v>
      </c>
    </row>
    <row r="432" spans="1:12" hidden="1" x14ac:dyDescent="0.3">
      <c r="A432" s="39">
        <v>46078.565034722225</v>
      </c>
      <c r="B432" s="33" t="s">
        <v>42</v>
      </c>
      <c r="C432" s="33">
        <v>4430191465</v>
      </c>
      <c r="E432" s="33">
        <v>106</v>
      </c>
      <c r="F432" s="33">
        <v>87</v>
      </c>
      <c r="G432" s="33" t="s">
        <v>38</v>
      </c>
      <c r="H432" s="33" t="s">
        <v>5303</v>
      </c>
      <c r="I432" s="33" t="s">
        <v>46</v>
      </c>
      <c r="J432" s="33" t="s">
        <v>40</v>
      </c>
    </row>
    <row r="433" spans="1:11" hidden="1" x14ac:dyDescent="0.3">
      <c r="A433" s="39">
        <v>46078.56449074074</v>
      </c>
      <c r="B433" s="33">
        <v>4430318514</v>
      </c>
      <c r="C433" s="33" t="s">
        <v>43</v>
      </c>
      <c r="D433" s="33">
        <v>4430265054</v>
      </c>
      <c r="E433" s="33">
        <v>621</v>
      </c>
      <c r="F433" s="33">
        <v>560</v>
      </c>
      <c r="G433" s="33" t="s">
        <v>38</v>
      </c>
      <c r="H433" s="33" t="s">
        <v>3666</v>
      </c>
      <c r="I433" s="33" t="s">
        <v>39</v>
      </c>
      <c r="J433" s="33" t="s">
        <v>40</v>
      </c>
      <c r="K433" s="33" t="s">
        <v>41</v>
      </c>
    </row>
    <row r="434" spans="1:11" hidden="1" x14ac:dyDescent="0.3">
      <c r="A434" s="39">
        <v>46078.563344907408</v>
      </c>
      <c r="B434" s="33" t="s">
        <v>43</v>
      </c>
      <c r="C434" s="33">
        <v>6434534421</v>
      </c>
      <c r="E434" s="33">
        <v>103</v>
      </c>
      <c r="F434" s="33">
        <v>97</v>
      </c>
      <c r="G434" s="33" t="s">
        <v>38</v>
      </c>
      <c r="H434" s="33" t="s">
        <v>5304</v>
      </c>
      <c r="I434" s="33" t="s">
        <v>46</v>
      </c>
      <c r="J434" s="33" t="s">
        <v>40</v>
      </c>
    </row>
    <row r="435" spans="1:11" hidden="1" x14ac:dyDescent="0.3">
      <c r="A435" s="39">
        <v>46078.559884259259</v>
      </c>
      <c r="B435" s="33" t="s">
        <v>45</v>
      </c>
      <c r="C435" s="33">
        <v>44999841615</v>
      </c>
      <c r="E435" s="33">
        <v>156</v>
      </c>
      <c r="F435" s="33">
        <v>149</v>
      </c>
      <c r="G435" s="33" t="s">
        <v>38</v>
      </c>
      <c r="H435" s="33" t="s">
        <v>5305</v>
      </c>
      <c r="I435" s="33" t="s">
        <v>46</v>
      </c>
      <c r="J435" s="33" t="s">
        <v>40</v>
      </c>
    </row>
    <row r="436" spans="1:11" hidden="1" x14ac:dyDescent="0.3">
      <c r="A436" s="39">
        <v>46078.559583333335</v>
      </c>
      <c r="B436" s="33">
        <v>4430318516</v>
      </c>
      <c r="C436" s="33">
        <v>4430265054</v>
      </c>
      <c r="D436" s="33">
        <v>4430265054</v>
      </c>
      <c r="E436" s="33">
        <v>16</v>
      </c>
      <c r="F436" s="33">
        <v>15</v>
      </c>
      <c r="G436" s="33" t="s">
        <v>3449</v>
      </c>
      <c r="H436" s="33" t="s">
        <v>5306</v>
      </c>
      <c r="I436" s="33" t="s">
        <v>39</v>
      </c>
      <c r="J436" s="33" t="s">
        <v>3451</v>
      </c>
    </row>
    <row r="437" spans="1:11" hidden="1" x14ac:dyDescent="0.3">
      <c r="A437" s="39">
        <v>46078.558842592596</v>
      </c>
      <c r="B437" s="33">
        <v>4430288517</v>
      </c>
      <c r="C437" s="33">
        <v>4430265054</v>
      </c>
      <c r="D437" s="33">
        <v>4430265054</v>
      </c>
      <c r="E437" s="33">
        <v>29</v>
      </c>
      <c r="F437" s="33">
        <v>28</v>
      </c>
      <c r="G437" s="33" t="s">
        <v>3449</v>
      </c>
      <c r="H437" s="33" t="s">
        <v>5307</v>
      </c>
      <c r="I437" s="33" t="s">
        <v>39</v>
      </c>
      <c r="J437" s="33" t="s">
        <v>3451</v>
      </c>
    </row>
    <row r="438" spans="1:11" hidden="1" x14ac:dyDescent="0.3">
      <c r="A438" s="39">
        <v>46078.55777777778</v>
      </c>
      <c r="B438" s="33" t="s">
        <v>45</v>
      </c>
      <c r="C438" s="33">
        <v>44999841615</v>
      </c>
      <c r="E438" s="33">
        <v>52</v>
      </c>
      <c r="F438" s="33">
        <v>34</v>
      </c>
      <c r="G438" s="33" t="s">
        <v>38</v>
      </c>
      <c r="H438" s="33" t="s">
        <v>5308</v>
      </c>
      <c r="I438" s="33" t="s">
        <v>46</v>
      </c>
      <c r="J438" s="33" t="s">
        <v>40</v>
      </c>
    </row>
    <row r="439" spans="1:11" hidden="1" x14ac:dyDescent="0.3">
      <c r="A439" s="39">
        <v>46078.555613425924</v>
      </c>
      <c r="B439" s="33">
        <v>4121170394</v>
      </c>
      <c r="C439" s="33">
        <v>4531273154</v>
      </c>
      <c r="D439" s="33">
        <v>4531273154</v>
      </c>
      <c r="E439" s="33">
        <v>9</v>
      </c>
      <c r="F439" s="33">
        <v>8</v>
      </c>
      <c r="G439" s="33" t="s">
        <v>3449</v>
      </c>
      <c r="H439" s="33" t="s">
        <v>5309</v>
      </c>
      <c r="I439" s="33" t="s">
        <v>39</v>
      </c>
      <c r="J439" s="33" t="s">
        <v>3451</v>
      </c>
    </row>
    <row r="440" spans="1:11" hidden="1" x14ac:dyDescent="0.3">
      <c r="A440" s="39">
        <v>46078.555127314816</v>
      </c>
      <c r="B440" s="33" t="s">
        <v>45</v>
      </c>
      <c r="C440" s="33">
        <v>4130155076</v>
      </c>
      <c r="E440" s="33">
        <v>162</v>
      </c>
      <c r="F440" s="33">
        <v>154</v>
      </c>
      <c r="G440" s="33" t="s">
        <v>38</v>
      </c>
      <c r="H440" s="33" t="s">
        <v>5310</v>
      </c>
      <c r="I440" s="33" t="s">
        <v>46</v>
      </c>
      <c r="J440" s="33" t="s">
        <v>40</v>
      </c>
    </row>
    <row r="441" spans="1:11" hidden="1" x14ac:dyDescent="0.3">
      <c r="A441" s="39">
        <v>46078.554097222222</v>
      </c>
      <c r="B441" s="33" t="s">
        <v>45</v>
      </c>
      <c r="C441" s="33">
        <v>4130155076</v>
      </c>
      <c r="E441" s="33">
        <v>115</v>
      </c>
      <c r="F441" s="33">
        <v>107</v>
      </c>
      <c r="G441" s="33" t="s">
        <v>38</v>
      </c>
      <c r="H441" s="33" t="s">
        <v>5311</v>
      </c>
      <c r="I441" s="33" t="s">
        <v>46</v>
      </c>
      <c r="J441" s="33" t="s">
        <v>40</v>
      </c>
    </row>
    <row r="442" spans="1:11" hidden="1" x14ac:dyDescent="0.3">
      <c r="A442" s="39">
        <v>46078.540138888886</v>
      </c>
      <c r="B442" s="33">
        <v>4121170338</v>
      </c>
      <c r="C442" s="33">
        <v>4431268238</v>
      </c>
      <c r="D442" s="33">
        <v>4431268238</v>
      </c>
      <c r="E442" s="33">
        <v>9</v>
      </c>
      <c r="F442" s="33">
        <v>8</v>
      </c>
      <c r="G442" s="33" t="s">
        <v>3449</v>
      </c>
      <c r="H442" s="33" t="s">
        <v>5312</v>
      </c>
      <c r="I442" s="33" t="s">
        <v>39</v>
      </c>
      <c r="J442" s="33" t="s">
        <v>3451</v>
      </c>
    </row>
    <row r="443" spans="1:11" hidden="1" x14ac:dyDescent="0.3">
      <c r="A443" s="39">
        <v>46078.492164351854</v>
      </c>
      <c r="B443" s="33">
        <v>4130155076</v>
      </c>
      <c r="C443" s="33" t="s">
        <v>45</v>
      </c>
      <c r="D443" s="33">
        <v>4430265054</v>
      </c>
      <c r="E443" s="33">
        <v>652</v>
      </c>
      <c r="F443" s="33">
        <v>605</v>
      </c>
      <c r="G443" s="33" t="s">
        <v>38</v>
      </c>
      <c r="H443" s="33" t="s">
        <v>3667</v>
      </c>
      <c r="I443" s="33" t="s">
        <v>39</v>
      </c>
      <c r="J443" s="33" t="s">
        <v>40</v>
      </c>
      <c r="K443" s="33" t="s">
        <v>41</v>
      </c>
    </row>
    <row r="444" spans="1:11" hidden="1" x14ac:dyDescent="0.3">
      <c r="A444" s="39">
        <v>46078.489525462966</v>
      </c>
      <c r="B444" s="33" t="s">
        <v>42</v>
      </c>
      <c r="C444" s="33">
        <v>4430191465</v>
      </c>
      <c r="E444" s="33">
        <v>61</v>
      </c>
      <c r="F444" s="33">
        <v>0</v>
      </c>
      <c r="G444" s="33" t="s">
        <v>47</v>
      </c>
      <c r="H444" s="33" t="s">
        <v>5313</v>
      </c>
      <c r="I444" s="33" t="s">
        <v>46</v>
      </c>
      <c r="J444" s="33" t="s">
        <v>40</v>
      </c>
    </row>
    <row r="445" spans="1:11" hidden="1" x14ac:dyDescent="0.3">
      <c r="A445" s="39">
        <v>46078.478263888886</v>
      </c>
      <c r="B445" s="33">
        <v>4430315534</v>
      </c>
      <c r="C445" s="33" t="s">
        <v>45</v>
      </c>
      <c r="D445" s="33">
        <v>4430265054</v>
      </c>
      <c r="E445" s="33">
        <v>904</v>
      </c>
      <c r="F445" s="33">
        <v>882</v>
      </c>
      <c r="G445" s="33" t="s">
        <v>38</v>
      </c>
      <c r="H445" s="33" t="s">
        <v>3668</v>
      </c>
      <c r="I445" s="33" t="s">
        <v>39</v>
      </c>
      <c r="J445" s="33" t="s">
        <v>40</v>
      </c>
      <c r="K445" s="33" t="s">
        <v>41</v>
      </c>
    </row>
    <row r="446" spans="1:11" hidden="1" x14ac:dyDescent="0.3">
      <c r="A446" s="39">
        <v>46078.477395833332</v>
      </c>
      <c r="B446" s="33">
        <v>4121170390</v>
      </c>
      <c r="C446" s="33">
        <v>4531273171</v>
      </c>
      <c r="D446" s="33">
        <v>4531273171</v>
      </c>
      <c r="E446" s="33">
        <v>9</v>
      </c>
      <c r="F446" s="33">
        <v>8</v>
      </c>
      <c r="G446" s="33" t="s">
        <v>3449</v>
      </c>
      <c r="H446" s="33" t="s">
        <v>5314</v>
      </c>
      <c r="I446" s="33" t="s">
        <v>39</v>
      </c>
      <c r="J446" s="33" t="s">
        <v>3451</v>
      </c>
    </row>
    <row r="447" spans="1:11" hidden="1" x14ac:dyDescent="0.3">
      <c r="A447" s="39">
        <v>46078.475578703707</v>
      </c>
      <c r="B447" s="33" t="s">
        <v>45</v>
      </c>
      <c r="C447" s="33">
        <v>4432321428</v>
      </c>
      <c r="E447" s="33">
        <v>111</v>
      </c>
      <c r="F447" s="33">
        <v>102</v>
      </c>
      <c r="G447" s="33" t="s">
        <v>38</v>
      </c>
      <c r="H447" s="33" t="s">
        <v>5315</v>
      </c>
      <c r="I447" s="33" t="s">
        <v>46</v>
      </c>
      <c r="J447" s="33" t="s">
        <v>40</v>
      </c>
    </row>
    <row r="448" spans="1:11" hidden="1" x14ac:dyDescent="0.3">
      <c r="A448" s="39">
        <v>46078.475532407407</v>
      </c>
      <c r="B448" s="33" t="s">
        <v>45</v>
      </c>
      <c r="C448" s="33">
        <v>4430317020</v>
      </c>
      <c r="E448" s="33">
        <v>1</v>
      </c>
      <c r="F448" s="33">
        <v>0</v>
      </c>
      <c r="G448" s="33" t="s">
        <v>47</v>
      </c>
      <c r="H448" s="33" t="s">
        <v>5316</v>
      </c>
      <c r="I448" s="33" t="s">
        <v>46</v>
      </c>
      <c r="J448" s="33" t="s">
        <v>40</v>
      </c>
    </row>
    <row r="449" spans="1:12" hidden="1" x14ac:dyDescent="0.3">
      <c r="A449" s="39">
        <v>46078.472245370373</v>
      </c>
      <c r="B449" s="33">
        <v>4430284942</v>
      </c>
      <c r="C449" s="33" t="s">
        <v>37</v>
      </c>
      <c r="D449" s="33">
        <v>4430265054</v>
      </c>
      <c r="E449" s="33">
        <v>762</v>
      </c>
      <c r="F449" s="33">
        <v>679</v>
      </c>
      <c r="G449" s="33" t="s">
        <v>38</v>
      </c>
      <c r="H449" s="33" t="s">
        <v>3669</v>
      </c>
      <c r="I449" s="33" t="s">
        <v>39</v>
      </c>
      <c r="J449" s="33" t="s">
        <v>40</v>
      </c>
      <c r="K449" s="33" t="s">
        <v>41</v>
      </c>
    </row>
    <row r="450" spans="1:12" hidden="1" x14ac:dyDescent="0.3">
      <c r="A450" s="39">
        <v>46078.467256944445</v>
      </c>
      <c r="B450" s="33">
        <v>4432265534</v>
      </c>
      <c r="C450" s="33">
        <v>4430265054</v>
      </c>
      <c r="D450" s="33">
        <v>4430265054</v>
      </c>
      <c r="E450" s="33">
        <v>59</v>
      </c>
      <c r="F450" s="33">
        <v>59</v>
      </c>
      <c r="G450" s="33" t="s">
        <v>3449</v>
      </c>
      <c r="H450" s="33" t="s">
        <v>3670</v>
      </c>
      <c r="I450" s="33" t="s">
        <v>39</v>
      </c>
      <c r="J450" s="33" t="s">
        <v>3451</v>
      </c>
      <c r="K450" s="33" t="s">
        <v>41</v>
      </c>
    </row>
    <row r="451" spans="1:12" hidden="1" x14ac:dyDescent="0.3">
      <c r="A451" s="39">
        <v>46078.466805555552</v>
      </c>
      <c r="B451" s="33">
        <v>4433543396</v>
      </c>
      <c r="C451" s="33" t="s">
        <v>45</v>
      </c>
      <c r="D451" s="33">
        <v>4430265054</v>
      </c>
      <c r="E451" s="33">
        <v>214</v>
      </c>
      <c r="F451" s="33">
        <v>201</v>
      </c>
      <c r="G451" s="33" t="s">
        <v>38</v>
      </c>
      <c r="H451" s="33" t="s">
        <v>3671</v>
      </c>
      <c r="I451" s="33" t="s">
        <v>39</v>
      </c>
      <c r="J451" s="33" t="s">
        <v>40</v>
      </c>
      <c r="K451" s="33" t="s">
        <v>41</v>
      </c>
      <c r="L451" s="33">
        <v>5</v>
      </c>
    </row>
    <row r="452" spans="1:12" hidden="1" x14ac:dyDescent="0.3">
      <c r="A452" s="39">
        <v>46078.466793981483</v>
      </c>
      <c r="B452" s="33">
        <v>4430182968</v>
      </c>
      <c r="C452" s="33" t="s">
        <v>44</v>
      </c>
      <c r="D452" s="33">
        <v>4430265054</v>
      </c>
      <c r="E452" s="33">
        <v>627</v>
      </c>
      <c r="F452" s="33">
        <v>549</v>
      </c>
      <c r="G452" s="33" t="s">
        <v>38</v>
      </c>
      <c r="H452" s="33" t="s">
        <v>3672</v>
      </c>
      <c r="I452" s="33" t="s">
        <v>39</v>
      </c>
      <c r="J452" s="33" t="s">
        <v>40</v>
      </c>
      <c r="K452" s="33" t="s">
        <v>41</v>
      </c>
    </row>
    <row r="453" spans="1:12" hidden="1" x14ac:dyDescent="0.3">
      <c r="A453" s="39">
        <v>46078.464953703704</v>
      </c>
      <c r="B453" s="33" t="s">
        <v>45</v>
      </c>
      <c r="C453" s="33">
        <v>44999841615</v>
      </c>
      <c r="E453" s="33">
        <v>49</v>
      </c>
      <c r="F453" s="33">
        <v>31</v>
      </c>
      <c r="G453" s="33" t="s">
        <v>38</v>
      </c>
      <c r="H453" s="33" t="s">
        <v>5317</v>
      </c>
      <c r="I453" s="33" t="s">
        <v>46</v>
      </c>
      <c r="J453" s="33" t="s">
        <v>40</v>
      </c>
    </row>
    <row r="454" spans="1:12" hidden="1" x14ac:dyDescent="0.3">
      <c r="A454" s="39">
        <v>46078.461469907408</v>
      </c>
      <c r="B454" s="33">
        <v>11998030658</v>
      </c>
      <c r="C454" s="33" t="s">
        <v>43</v>
      </c>
      <c r="D454" s="33">
        <v>4430265054</v>
      </c>
      <c r="E454" s="33">
        <v>1757</v>
      </c>
      <c r="F454" s="33">
        <v>1715</v>
      </c>
      <c r="G454" s="33" t="s">
        <v>38</v>
      </c>
      <c r="H454" s="33" t="s">
        <v>3673</v>
      </c>
      <c r="I454" s="33" t="s">
        <v>39</v>
      </c>
      <c r="J454" s="33" t="s">
        <v>40</v>
      </c>
      <c r="K454" s="33" t="s">
        <v>41</v>
      </c>
    </row>
    <row r="455" spans="1:12" hidden="1" x14ac:dyDescent="0.3">
      <c r="A455" s="39">
        <v>46078.457557870373</v>
      </c>
      <c r="B455" s="33" t="s">
        <v>37</v>
      </c>
      <c r="C455" s="33">
        <v>4434221675</v>
      </c>
      <c r="E455" s="33">
        <v>251</v>
      </c>
      <c r="F455" s="33">
        <v>247</v>
      </c>
      <c r="G455" s="33" t="s">
        <v>38</v>
      </c>
      <c r="H455" s="33" t="s">
        <v>5318</v>
      </c>
      <c r="I455" s="33" t="s">
        <v>46</v>
      </c>
      <c r="J455" s="33" t="s">
        <v>40</v>
      </c>
    </row>
    <row r="456" spans="1:12" hidden="1" x14ac:dyDescent="0.3">
      <c r="A456" s="39">
        <v>46078.457384259258</v>
      </c>
      <c r="B456" s="33" t="s">
        <v>37</v>
      </c>
      <c r="C456" s="33">
        <v>4434221675</v>
      </c>
      <c r="E456" s="33">
        <v>5</v>
      </c>
      <c r="F456" s="33">
        <v>0</v>
      </c>
      <c r="G456" s="33" t="s">
        <v>47</v>
      </c>
      <c r="H456" s="33" t="s">
        <v>5319</v>
      </c>
      <c r="I456" s="33" t="s">
        <v>46</v>
      </c>
      <c r="J456" s="33" t="s">
        <v>40</v>
      </c>
    </row>
    <row r="457" spans="1:12" hidden="1" x14ac:dyDescent="0.3">
      <c r="A457" s="39">
        <v>46078.457337962966</v>
      </c>
      <c r="B457" s="33">
        <v>4430284942</v>
      </c>
      <c r="C457" s="33" t="s">
        <v>44</v>
      </c>
      <c r="D457" s="33">
        <v>4430265054</v>
      </c>
      <c r="E457" s="33">
        <v>395</v>
      </c>
      <c r="F457" s="33">
        <v>325</v>
      </c>
      <c r="G457" s="33" t="s">
        <v>38</v>
      </c>
      <c r="H457" s="33" t="s">
        <v>3674</v>
      </c>
      <c r="I457" s="33" t="s">
        <v>39</v>
      </c>
      <c r="J457" s="33" t="s">
        <v>40</v>
      </c>
      <c r="K457" s="33" t="s">
        <v>41</v>
      </c>
    </row>
    <row r="458" spans="1:12" hidden="1" x14ac:dyDescent="0.3">
      <c r="A458" s="39">
        <v>46078.457303240742</v>
      </c>
      <c r="B458" s="33" t="s">
        <v>37</v>
      </c>
      <c r="C458" s="33">
        <v>4434221675</v>
      </c>
      <c r="E458" s="33">
        <v>5</v>
      </c>
      <c r="F458" s="33">
        <v>0</v>
      </c>
      <c r="G458" s="33" t="s">
        <v>47</v>
      </c>
      <c r="H458" s="33" t="s">
        <v>5320</v>
      </c>
      <c r="I458" s="33" t="s">
        <v>46</v>
      </c>
      <c r="J458" s="33" t="s">
        <v>40</v>
      </c>
    </row>
    <row r="459" spans="1:12" hidden="1" x14ac:dyDescent="0.3">
      <c r="A459" s="39">
        <v>46078.457175925927</v>
      </c>
      <c r="B459" s="33">
        <v>1131043888</v>
      </c>
      <c r="C459" s="33" t="s">
        <v>43</v>
      </c>
      <c r="D459" s="33">
        <v>4430265054</v>
      </c>
      <c r="E459" s="33">
        <v>183</v>
      </c>
      <c r="F459" s="33">
        <v>171</v>
      </c>
      <c r="G459" s="33" t="s">
        <v>38</v>
      </c>
      <c r="H459" s="33" t="s">
        <v>3675</v>
      </c>
      <c r="I459" s="33" t="s">
        <v>39</v>
      </c>
      <c r="J459" s="33" t="s">
        <v>40</v>
      </c>
      <c r="K459" s="33" t="s">
        <v>41</v>
      </c>
    </row>
    <row r="460" spans="1:12" hidden="1" x14ac:dyDescent="0.3">
      <c r="A460" s="39">
        <v>46078.456990740742</v>
      </c>
      <c r="B460" s="33" t="s">
        <v>37</v>
      </c>
      <c r="C460" s="33">
        <v>4434231198</v>
      </c>
      <c r="E460" s="33">
        <v>3</v>
      </c>
      <c r="F460" s="33">
        <v>0</v>
      </c>
      <c r="G460" s="33" t="s">
        <v>47</v>
      </c>
      <c r="H460" s="33" t="s">
        <v>5321</v>
      </c>
      <c r="I460" s="33" t="s">
        <v>46</v>
      </c>
      <c r="J460" s="33" t="s">
        <v>40</v>
      </c>
    </row>
    <row r="461" spans="1:12" hidden="1" x14ac:dyDescent="0.3">
      <c r="A461" s="39">
        <v>46078.455243055556</v>
      </c>
      <c r="B461" s="33">
        <v>4134348947</v>
      </c>
      <c r="C461" s="33">
        <v>4531273168</v>
      </c>
      <c r="D461" s="33">
        <v>4531273168</v>
      </c>
      <c r="E461" s="33">
        <v>9</v>
      </c>
      <c r="F461" s="33">
        <v>8</v>
      </c>
      <c r="G461" s="33" t="s">
        <v>3449</v>
      </c>
      <c r="H461" s="33" t="s">
        <v>5322</v>
      </c>
      <c r="I461" s="33" t="s">
        <v>39</v>
      </c>
      <c r="J461" s="33" t="s">
        <v>3451</v>
      </c>
    </row>
    <row r="462" spans="1:12" hidden="1" x14ac:dyDescent="0.3">
      <c r="A462" s="39">
        <v>46078.450995370367</v>
      </c>
      <c r="B462" s="33">
        <v>4430152533</v>
      </c>
      <c r="C462" s="33" t="s">
        <v>42</v>
      </c>
      <c r="D462" s="33">
        <v>4430265054</v>
      </c>
      <c r="E462" s="33">
        <v>2027</v>
      </c>
      <c r="F462" s="33">
        <v>1984</v>
      </c>
      <c r="G462" s="33" t="s">
        <v>38</v>
      </c>
      <c r="H462" s="33" t="s">
        <v>3676</v>
      </c>
      <c r="I462" s="33" t="s">
        <v>39</v>
      </c>
      <c r="J462" s="33" t="s">
        <v>40</v>
      </c>
      <c r="K462" s="33" t="s">
        <v>41</v>
      </c>
    </row>
    <row r="463" spans="1:12" hidden="1" x14ac:dyDescent="0.3">
      <c r="A463" s="39">
        <v>46078.445300925923</v>
      </c>
      <c r="B463" s="33">
        <v>41988144246</v>
      </c>
      <c r="C463" s="33" t="s">
        <v>43</v>
      </c>
      <c r="D463" s="33">
        <v>4430265054</v>
      </c>
      <c r="E463" s="33">
        <v>905</v>
      </c>
      <c r="F463" s="33">
        <v>849</v>
      </c>
      <c r="G463" s="33" t="s">
        <v>38</v>
      </c>
      <c r="H463" s="33" t="s">
        <v>3677</v>
      </c>
      <c r="I463" s="33" t="s">
        <v>39</v>
      </c>
      <c r="J463" s="33" t="s">
        <v>40</v>
      </c>
      <c r="K463" s="33" t="s">
        <v>41</v>
      </c>
    </row>
    <row r="464" spans="1:12" hidden="1" x14ac:dyDescent="0.3">
      <c r="A464" s="39">
        <v>46078.443761574075</v>
      </c>
      <c r="B464" s="33">
        <v>99999022979</v>
      </c>
      <c r="C464" s="33" t="s">
        <v>37</v>
      </c>
      <c r="D464" s="33">
        <v>4430265054</v>
      </c>
      <c r="E464" s="33">
        <v>316</v>
      </c>
      <c r="F464" s="33">
        <v>285</v>
      </c>
      <c r="G464" s="33" t="s">
        <v>38</v>
      </c>
      <c r="H464" s="33" t="s">
        <v>3678</v>
      </c>
      <c r="I464" s="33" t="s">
        <v>39</v>
      </c>
      <c r="J464" s="33" t="s">
        <v>40</v>
      </c>
      <c r="K464" s="33" t="s">
        <v>41</v>
      </c>
    </row>
    <row r="465" spans="1:12" hidden="1" x14ac:dyDescent="0.3">
      <c r="A465" s="39">
        <v>46078.442187499997</v>
      </c>
      <c r="B465" s="33" t="s">
        <v>43</v>
      </c>
      <c r="C465" s="33">
        <v>6434534421</v>
      </c>
      <c r="E465" s="33">
        <v>45</v>
      </c>
      <c r="F465" s="33">
        <v>39</v>
      </c>
      <c r="G465" s="33" t="s">
        <v>38</v>
      </c>
      <c r="H465" s="33" t="s">
        <v>5323</v>
      </c>
      <c r="I465" s="33" t="s">
        <v>46</v>
      </c>
      <c r="J465" s="33" t="s">
        <v>40</v>
      </c>
    </row>
    <row r="466" spans="1:12" hidden="1" x14ac:dyDescent="0.3">
      <c r="A466" s="39">
        <v>46078.437997685185</v>
      </c>
      <c r="B466" s="33">
        <v>4432321428</v>
      </c>
      <c r="C466" s="33" t="s">
        <v>45</v>
      </c>
      <c r="D466" s="33">
        <v>4430265054</v>
      </c>
      <c r="E466" s="33">
        <v>2084</v>
      </c>
      <c r="F466" s="33">
        <v>1867</v>
      </c>
      <c r="G466" s="33" t="s">
        <v>38</v>
      </c>
      <c r="H466" s="33" t="s">
        <v>3679</v>
      </c>
      <c r="I466" s="33" t="s">
        <v>39</v>
      </c>
      <c r="J466" s="33" t="s">
        <v>40</v>
      </c>
      <c r="K466" s="33" t="s">
        <v>41</v>
      </c>
    </row>
    <row r="467" spans="1:12" hidden="1" x14ac:dyDescent="0.3">
      <c r="A467" s="39">
        <v>46078.436099537037</v>
      </c>
      <c r="B467" s="33">
        <v>4432462558</v>
      </c>
      <c r="C467" s="33" t="s">
        <v>45</v>
      </c>
      <c r="D467" s="33">
        <v>4430265054</v>
      </c>
      <c r="E467" s="33">
        <v>372</v>
      </c>
      <c r="F467" s="33">
        <v>304</v>
      </c>
      <c r="G467" s="33" t="s">
        <v>38</v>
      </c>
      <c r="H467" s="33" t="s">
        <v>3680</v>
      </c>
      <c r="I467" s="33" t="s">
        <v>39</v>
      </c>
      <c r="J467" s="33" t="s">
        <v>40</v>
      </c>
      <c r="K467" s="33" t="s">
        <v>41</v>
      </c>
    </row>
    <row r="468" spans="1:12" x14ac:dyDescent="0.3">
      <c r="A468" s="39">
        <v>46078.435069444444</v>
      </c>
      <c r="B468" s="33">
        <v>4430450103</v>
      </c>
      <c r="C468" s="33" t="s">
        <v>44</v>
      </c>
      <c r="D468" s="33">
        <v>4430265054</v>
      </c>
      <c r="E468" s="33">
        <v>1086</v>
      </c>
      <c r="F468" s="33">
        <v>952</v>
      </c>
      <c r="G468" s="33" t="s">
        <v>38</v>
      </c>
      <c r="H468" s="33" t="s">
        <v>3681</v>
      </c>
      <c r="I468" s="33" t="s">
        <v>39</v>
      </c>
      <c r="J468" s="33" t="s">
        <v>40</v>
      </c>
      <c r="K468" s="33" t="s">
        <v>41</v>
      </c>
      <c r="L468" s="33">
        <v>5</v>
      </c>
    </row>
    <row r="469" spans="1:12" hidden="1" x14ac:dyDescent="0.3">
      <c r="A469" s="39">
        <v>46078.432986111111</v>
      </c>
      <c r="B469" s="33" t="s">
        <v>45</v>
      </c>
      <c r="C469" s="33">
        <v>4430317020</v>
      </c>
      <c r="E469" s="33">
        <v>91</v>
      </c>
      <c r="F469" s="33">
        <v>79</v>
      </c>
      <c r="G469" s="33" t="s">
        <v>38</v>
      </c>
      <c r="H469" s="33" t="s">
        <v>5324</v>
      </c>
      <c r="I469" s="33" t="s">
        <v>46</v>
      </c>
      <c r="J469" s="33" t="s">
        <v>40</v>
      </c>
    </row>
    <row r="470" spans="1:12" hidden="1" x14ac:dyDescent="0.3">
      <c r="A470" s="39">
        <v>46078.432916666665</v>
      </c>
      <c r="B470" s="33" t="s">
        <v>45</v>
      </c>
      <c r="C470" s="33">
        <v>4430317020</v>
      </c>
      <c r="E470" s="33">
        <v>2</v>
      </c>
      <c r="F470" s="33">
        <v>0</v>
      </c>
      <c r="G470" s="33" t="s">
        <v>47</v>
      </c>
      <c r="H470" s="33" t="s">
        <v>5325</v>
      </c>
      <c r="I470" s="33" t="s">
        <v>46</v>
      </c>
      <c r="J470" s="33" t="s">
        <v>40</v>
      </c>
    </row>
    <row r="471" spans="1:12" hidden="1" x14ac:dyDescent="0.3">
      <c r="A471" s="39">
        <v>46078.431087962963</v>
      </c>
      <c r="B471" s="33" t="s">
        <v>37</v>
      </c>
      <c r="C471" s="33">
        <v>44991116911</v>
      </c>
      <c r="E471" s="33">
        <v>770</v>
      </c>
      <c r="F471" s="33">
        <v>757</v>
      </c>
      <c r="G471" s="33" t="s">
        <v>38</v>
      </c>
      <c r="H471" s="33" t="s">
        <v>5326</v>
      </c>
      <c r="I471" s="33" t="s">
        <v>46</v>
      </c>
      <c r="J471" s="33" t="s">
        <v>40</v>
      </c>
      <c r="L471" s="33">
        <v>5</v>
      </c>
    </row>
    <row r="472" spans="1:12" hidden="1" x14ac:dyDescent="0.3">
      <c r="A472" s="39">
        <v>46078.425381944442</v>
      </c>
      <c r="B472" s="33" t="s">
        <v>45</v>
      </c>
      <c r="C472" s="33">
        <v>4432321428</v>
      </c>
      <c r="E472" s="33">
        <v>2</v>
      </c>
      <c r="F472" s="33">
        <v>0</v>
      </c>
      <c r="G472" s="33" t="s">
        <v>47</v>
      </c>
      <c r="H472" s="33" t="s">
        <v>5327</v>
      </c>
      <c r="I472" s="33" t="s">
        <v>46</v>
      </c>
      <c r="J472" s="33" t="s">
        <v>40</v>
      </c>
    </row>
    <row r="473" spans="1:12" hidden="1" x14ac:dyDescent="0.3">
      <c r="A473" s="39">
        <v>46078.425335648149</v>
      </c>
      <c r="B473" s="33" t="s">
        <v>48</v>
      </c>
      <c r="C473" s="33">
        <v>4430284942</v>
      </c>
      <c r="E473" s="33">
        <v>969</v>
      </c>
      <c r="F473" s="33">
        <v>960</v>
      </c>
      <c r="G473" s="33" t="s">
        <v>38</v>
      </c>
      <c r="H473" s="33" t="s">
        <v>5328</v>
      </c>
      <c r="I473" s="33" t="s">
        <v>46</v>
      </c>
      <c r="J473" s="33" t="s">
        <v>40</v>
      </c>
    </row>
    <row r="474" spans="1:12" hidden="1" x14ac:dyDescent="0.3">
      <c r="A474" s="39">
        <v>46078.425254629627</v>
      </c>
      <c r="B474" s="33">
        <v>4432321371</v>
      </c>
      <c r="C474" s="33" t="s">
        <v>45</v>
      </c>
      <c r="D474" s="33">
        <v>4430265054</v>
      </c>
      <c r="E474" s="33">
        <v>221</v>
      </c>
      <c r="F474" s="33">
        <v>205</v>
      </c>
      <c r="G474" s="33" t="s">
        <v>38</v>
      </c>
      <c r="H474" s="33" t="s">
        <v>3682</v>
      </c>
      <c r="I474" s="33" t="s">
        <v>39</v>
      </c>
      <c r="J474" s="33" t="s">
        <v>40</v>
      </c>
      <c r="K474" s="33" t="s">
        <v>41</v>
      </c>
    </row>
    <row r="475" spans="1:12" hidden="1" x14ac:dyDescent="0.3">
      <c r="A475" s="39">
        <v>46078.425243055557</v>
      </c>
      <c r="B475" s="33" t="s">
        <v>45</v>
      </c>
      <c r="C475" s="33">
        <v>44999814176</v>
      </c>
      <c r="E475" s="33">
        <v>7</v>
      </c>
      <c r="F475" s="33">
        <v>0</v>
      </c>
      <c r="G475" s="33" t="s">
        <v>47</v>
      </c>
      <c r="H475" s="33" t="s">
        <v>5329</v>
      </c>
      <c r="I475" s="33" t="s">
        <v>46</v>
      </c>
      <c r="J475" s="33" t="s">
        <v>40</v>
      </c>
    </row>
    <row r="476" spans="1:12" hidden="1" x14ac:dyDescent="0.3">
      <c r="A476" s="39">
        <v>46078.425150462965</v>
      </c>
      <c r="B476" s="33" t="s">
        <v>45</v>
      </c>
      <c r="C476" s="33">
        <v>4432321428</v>
      </c>
      <c r="E476" s="33">
        <v>3</v>
      </c>
      <c r="F476" s="33">
        <v>0</v>
      </c>
      <c r="G476" s="33" t="s">
        <v>47</v>
      </c>
      <c r="H476" s="33" t="s">
        <v>5330</v>
      </c>
      <c r="I476" s="33" t="s">
        <v>46</v>
      </c>
      <c r="J476" s="33" t="s">
        <v>40</v>
      </c>
    </row>
    <row r="477" spans="1:12" hidden="1" x14ac:dyDescent="0.3">
      <c r="A477" s="39">
        <v>46078.424537037034</v>
      </c>
      <c r="B477" s="33" t="s">
        <v>48</v>
      </c>
      <c r="C477" s="33">
        <v>4430284942</v>
      </c>
      <c r="E477" s="33">
        <v>1</v>
      </c>
      <c r="F477" s="33">
        <v>0</v>
      </c>
      <c r="G477" s="33" t="s">
        <v>47</v>
      </c>
      <c r="H477" s="33" t="s">
        <v>5331</v>
      </c>
      <c r="I477" s="33" t="s">
        <v>46</v>
      </c>
      <c r="J477" s="33" t="s">
        <v>40</v>
      </c>
    </row>
    <row r="478" spans="1:12" hidden="1" x14ac:dyDescent="0.3">
      <c r="A478" s="39">
        <v>46078.424131944441</v>
      </c>
      <c r="B478" s="33" t="s">
        <v>48</v>
      </c>
      <c r="C478" s="33">
        <v>4430284942</v>
      </c>
      <c r="E478" s="33">
        <v>1</v>
      </c>
      <c r="F478" s="33">
        <v>0</v>
      </c>
      <c r="G478" s="33" t="s">
        <v>47</v>
      </c>
      <c r="H478" s="33" t="s">
        <v>5332</v>
      </c>
      <c r="I478" s="33" t="s">
        <v>46</v>
      </c>
      <c r="J478" s="33" t="s">
        <v>40</v>
      </c>
    </row>
    <row r="479" spans="1:12" hidden="1" x14ac:dyDescent="0.3">
      <c r="A479" s="39">
        <v>46078.424085648148</v>
      </c>
      <c r="B479" s="33" t="s">
        <v>45</v>
      </c>
      <c r="C479" s="33">
        <v>4432321428</v>
      </c>
      <c r="E479" s="33">
        <v>7</v>
      </c>
      <c r="F479" s="33">
        <v>0</v>
      </c>
      <c r="G479" s="33" t="s">
        <v>47</v>
      </c>
      <c r="H479" s="33" t="s">
        <v>5333</v>
      </c>
      <c r="I479" s="33" t="s">
        <v>46</v>
      </c>
      <c r="J479" s="33" t="s">
        <v>40</v>
      </c>
    </row>
    <row r="480" spans="1:12" hidden="1" x14ac:dyDescent="0.3">
      <c r="A480" s="39">
        <v>46078.424027777779</v>
      </c>
      <c r="B480" s="33" t="s">
        <v>45</v>
      </c>
      <c r="C480" s="33">
        <v>4432321428</v>
      </c>
      <c r="E480" s="33">
        <v>4</v>
      </c>
      <c r="F480" s="33">
        <v>0</v>
      </c>
      <c r="G480" s="33" t="s">
        <v>47</v>
      </c>
      <c r="H480" s="33" t="s">
        <v>5334</v>
      </c>
      <c r="I480" s="33" t="s">
        <v>46</v>
      </c>
      <c r="J480" s="33" t="s">
        <v>40</v>
      </c>
    </row>
    <row r="481" spans="1:12" hidden="1" x14ac:dyDescent="0.3">
      <c r="A481" s="39">
        <v>46078.424004629633</v>
      </c>
      <c r="B481" s="33" t="s">
        <v>37</v>
      </c>
      <c r="C481" s="33">
        <v>44991116911</v>
      </c>
      <c r="E481" s="33">
        <v>8</v>
      </c>
      <c r="F481" s="33">
        <v>0</v>
      </c>
      <c r="G481" s="33" t="s">
        <v>47</v>
      </c>
      <c r="H481" s="33" t="s">
        <v>5335</v>
      </c>
      <c r="I481" s="33" t="s">
        <v>46</v>
      </c>
      <c r="J481" s="33" t="s">
        <v>40</v>
      </c>
    </row>
    <row r="482" spans="1:12" hidden="1" x14ac:dyDescent="0.3">
      <c r="A482" s="39">
        <v>46078.423888888887</v>
      </c>
      <c r="B482" s="33" t="s">
        <v>48</v>
      </c>
      <c r="C482" s="33">
        <v>4430284942</v>
      </c>
      <c r="E482" s="33">
        <v>1</v>
      </c>
      <c r="F482" s="33">
        <v>0</v>
      </c>
      <c r="G482" s="33" t="s">
        <v>47</v>
      </c>
      <c r="H482" s="33" t="s">
        <v>5336</v>
      </c>
      <c r="I482" s="33" t="s">
        <v>46</v>
      </c>
      <c r="J482" s="33" t="s">
        <v>40</v>
      </c>
    </row>
    <row r="483" spans="1:12" hidden="1" x14ac:dyDescent="0.3">
      <c r="A483" s="39">
        <v>46078.423831018517</v>
      </c>
      <c r="B483" s="33" t="s">
        <v>37</v>
      </c>
      <c r="C483" s="33">
        <v>44991116911</v>
      </c>
      <c r="E483" s="33">
        <v>9</v>
      </c>
      <c r="F483" s="33">
        <v>0</v>
      </c>
      <c r="G483" s="33" t="s">
        <v>47</v>
      </c>
      <c r="H483" s="33" t="s">
        <v>5337</v>
      </c>
      <c r="I483" s="33" t="s">
        <v>46</v>
      </c>
      <c r="J483" s="33" t="s">
        <v>40</v>
      </c>
    </row>
    <row r="484" spans="1:12" hidden="1" x14ac:dyDescent="0.3">
      <c r="A484" s="39">
        <v>46078.423703703702</v>
      </c>
      <c r="B484" s="33" t="s">
        <v>37</v>
      </c>
      <c r="C484" s="33">
        <v>44991116911</v>
      </c>
      <c r="E484" s="33">
        <v>5</v>
      </c>
      <c r="F484" s="33">
        <v>0</v>
      </c>
      <c r="G484" s="33" t="s">
        <v>47</v>
      </c>
      <c r="H484" s="33" t="s">
        <v>5338</v>
      </c>
      <c r="I484" s="33" t="s">
        <v>46</v>
      </c>
      <c r="J484" s="33" t="s">
        <v>40</v>
      </c>
    </row>
    <row r="485" spans="1:12" hidden="1" x14ac:dyDescent="0.3">
      <c r="A485" s="39">
        <v>46078.423680555556</v>
      </c>
      <c r="B485" s="33" t="s">
        <v>48</v>
      </c>
      <c r="C485" s="33">
        <v>4430265054</v>
      </c>
      <c r="E485" s="33">
        <v>1</v>
      </c>
      <c r="F485" s="33">
        <v>0</v>
      </c>
      <c r="G485" s="33" t="s">
        <v>47</v>
      </c>
      <c r="H485" s="33" t="s">
        <v>5339</v>
      </c>
      <c r="I485" s="33" t="s">
        <v>46</v>
      </c>
      <c r="J485" s="33" t="s">
        <v>40</v>
      </c>
    </row>
    <row r="486" spans="1:12" hidden="1" x14ac:dyDescent="0.3">
      <c r="A486" s="39">
        <v>46078.423587962963</v>
      </c>
      <c r="B486" s="33" t="s">
        <v>48</v>
      </c>
      <c r="C486" s="33">
        <v>44998267320</v>
      </c>
      <c r="E486" s="33">
        <v>1</v>
      </c>
      <c r="F486" s="33">
        <v>0</v>
      </c>
      <c r="G486" s="33" t="s">
        <v>47</v>
      </c>
      <c r="H486" s="33" t="s">
        <v>5340</v>
      </c>
      <c r="I486" s="33" t="s">
        <v>46</v>
      </c>
      <c r="J486" s="33" t="s">
        <v>40</v>
      </c>
    </row>
    <row r="487" spans="1:12" hidden="1" x14ac:dyDescent="0.3">
      <c r="A487" s="39">
        <v>46078.423530092594</v>
      </c>
      <c r="B487" s="33" t="s">
        <v>48</v>
      </c>
      <c r="C487" s="33">
        <v>4430284942</v>
      </c>
      <c r="E487" s="33">
        <v>1</v>
      </c>
      <c r="F487" s="33">
        <v>0</v>
      </c>
      <c r="G487" s="33" t="s">
        <v>47</v>
      </c>
      <c r="H487" s="33" t="s">
        <v>5341</v>
      </c>
      <c r="I487" s="33" t="s">
        <v>46</v>
      </c>
      <c r="J487" s="33" t="s">
        <v>40</v>
      </c>
    </row>
    <row r="488" spans="1:12" hidden="1" x14ac:dyDescent="0.3">
      <c r="A488" s="39">
        <v>46078.423414351855</v>
      </c>
      <c r="B488" s="33" t="s">
        <v>48</v>
      </c>
      <c r="C488" s="33">
        <v>4430284942</v>
      </c>
      <c r="E488" s="33">
        <v>1</v>
      </c>
      <c r="F488" s="33">
        <v>0</v>
      </c>
      <c r="G488" s="33" t="s">
        <v>47</v>
      </c>
      <c r="H488" s="33" t="s">
        <v>5342</v>
      </c>
      <c r="I488" s="33" t="s">
        <v>46</v>
      </c>
      <c r="J488" s="33" t="s">
        <v>40</v>
      </c>
    </row>
    <row r="489" spans="1:12" hidden="1" x14ac:dyDescent="0.3">
      <c r="A489" s="39">
        <v>46078.423344907409</v>
      </c>
      <c r="B489" s="33" t="s">
        <v>48</v>
      </c>
      <c r="C489" s="33">
        <v>4430284942</v>
      </c>
      <c r="E489" s="33">
        <v>3</v>
      </c>
      <c r="F489" s="33">
        <v>0</v>
      </c>
      <c r="G489" s="33" t="s">
        <v>47</v>
      </c>
      <c r="H489" s="33" t="s">
        <v>5343</v>
      </c>
      <c r="I489" s="33" t="s">
        <v>46</v>
      </c>
      <c r="J489" s="33" t="s">
        <v>40</v>
      </c>
    </row>
    <row r="490" spans="1:12" hidden="1" x14ac:dyDescent="0.3">
      <c r="A490" s="39">
        <v>46078.41988425926</v>
      </c>
      <c r="B490" s="33">
        <v>44991116911</v>
      </c>
      <c r="C490" s="33" t="s">
        <v>37</v>
      </c>
      <c r="D490" s="33">
        <v>4430265054</v>
      </c>
      <c r="E490" s="33">
        <v>333</v>
      </c>
      <c r="F490" s="33">
        <v>310</v>
      </c>
      <c r="G490" s="33" t="s">
        <v>38</v>
      </c>
      <c r="H490" s="33" t="s">
        <v>3683</v>
      </c>
      <c r="I490" s="33" t="s">
        <v>39</v>
      </c>
      <c r="J490" s="33" t="s">
        <v>40</v>
      </c>
      <c r="K490" s="33" t="s">
        <v>41</v>
      </c>
    </row>
    <row r="491" spans="1:12" hidden="1" x14ac:dyDescent="0.3">
      <c r="A491" s="39">
        <v>46078.418391203704</v>
      </c>
      <c r="B491" s="33">
        <v>4432321428</v>
      </c>
      <c r="C491" s="33" t="s">
        <v>45</v>
      </c>
      <c r="D491" s="33">
        <v>4430265054</v>
      </c>
      <c r="E491" s="33">
        <v>482</v>
      </c>
      <c r="F491" s="33">
        <v>426</v>
      </c>
      <c r="G491" s="33" t="s">
        <v>38</v>
      </c>
      <c r="H491" s="33" t="s">
        <v>3684</v>
      </c>
      <c r="I491" s="33" t="s">
        <v>39</v>
      </c>
      <c r="J491" s="33" t="s">
        <v>40</v>
      </c>
      <c r="K491" s="33" t="s">
        <v>41</v>
      </c>
    </row>
    <row r="492" spans="1:12" hidden="1" x14ac:dyDescent="0.3">
      <c r="A492" s="39">
        <v>46078.415300925924</v>
      </c>
      <c r="B492" s="33">
        <v>44999744004</v>
      </c>
      <c r="C492" s="33" t="s">
        <v>45</v>
      </c>
      <c r="D492" s="33">
        <v>4430265054</v>
      </c>
      <c r="E492" s="33">
        <v>386</v>
      </c>
      <c r="F492" s="33">
        <v>364</v>
      </c>
      <c r="G492" s="33" t="s">
        <v>38</v>
      </c>
      <c r="H492" s="33" t="s">
        <v>3685</v>
      </c>
      <c r="I492" s="33" t="s">
        <v>39</v>
      </c>
      <c r="J492" s="33" t="s">
        <v>40</v>
      </c>
      <c r="K492" s="33" t="s">
        <v>41</v>
      </c>
      <c r="L492" s="33">
        <v>5</v>
      </c>
    </row>
    <row r="493" spans="1:12" hidden="1" x14ac:dyDescent="0.3">
      <c r="A493" s="39">
        <v>46078.41333333333</v>
      </c>
      <c r="B493" s="33" t="s">
        <v>45</v>
      </c>
      <c r="C493" s="33">
        <v>4439001698</v>
      </c>
      <c r="E493" s="33">
        <v>30</v>
      </c>
      <c r="F493" s="33">
        <v>0</v>
      </c>
      <c r="G493" s="33" t="s">
        <v>47</v>
      </c>
      <c r="H493" s="33" t="s">
        <v>5344</v>
      </c>
      <c r="I493" s="33" t="s">
        <v>46</v>
      </c>
      <c r="J493" s="33" t="s">
        <v>40</v>
      </c>
    </row>
    <row r="494" spans="1:12" hidden="1" x14ac:dyDescent="0.3">
      <c r="A494" s="39">
        <v>46078.411481481482</v>
      </c>
      <c r="B494" s="33">
        <v>4439001698</v>
      </c>
      <c r="C494" s="33" t="s">
        <v>45</v>
      </c>
      <c r="D494" s="33">
        <v>4430265054</v>
      </c>
      <c r="E494" s="33">
        <v>147</v>
      </c>
      <c r="F494" s="33">
        <v>111</v>
      </c>
      <c r="G494" s="33" t="s">
        <v>38</v>
      </c>
      <c r="H494" s="33" t="s">
        <v>3686</v>
      </c>
      <c r="I494" s="33" t="s">
        <v>39</v>
      </c>
      <c r="J494" s="33" t="s">
        <v>40</v>
      </c>
      <c r="K494" s="33" t="s">
        <v>41</v>
      </c>
    </row>
    <row r="495" spans="1:12" hidden="1" x14ac:dyDescent="0.3">
      <c r="A495" s="39">
        <v>46078.410775462966</v>
      </c>
      <c r="B495" s="33" t="s">
        <v>5173</v>
      </c>
      <c r="C495" s="33">
        <v>92981211981</v>
      </c>
      <c r="E495" s="33">
        <v>31</v>
      </c>
      <c r="F495" s="33">
        <v>0</v>
      </c>
      <c r="G495" s="33" t="s">
        <v>47</v>
      </c>
      <c r="H495" s="33" t="s">
        <v>5345</v>
      </c>
      <c r="I495" s="33" t="s">
        <v>46</v>
      </c>
      <c r="J495" s="33" t="s">
        <v>3629</v>
      </c>
    </row>
    <row r="496" spans="1:12" hidden="1" x14ac:dyDescent="0.3">
      <c r="A496" s="39">
        <v>46078.409189814818</v>
      </c>
      <c r="B496" s="33" t="s">
        <v>5173</v>
      </c>
      <c r="C496" s="33">
        <v>31973036671</v>
      </c>
      <c r="E496" s="33">
        <v>28</v>
      </c>
      <c r="F496" s="33">
        <v>5</v>
      </c>
      <c r="G496" s="33" t="s">
        <v>38</v>
      </c>
      <c r="H496" s="33" t="s">
        <v>5346</v>
      </c>
      <c r="I496" s="33" t="s">
        <v>46</v>
      </c>
      <c r="J496" s="33" t="s">
        <v>3629</v>
      </c>
    </row>
    <row r="497" spans="1:12" hidden="1" x14ac:dyDescent="0.3">
      <c r="A497" s="39">
        <v>46078.402430555558</v>
      </c>
      <c r="B497" s="33" t="s">
        <v>45</v>
      </c>
      <c r="C497" s="33">
        <v>4430317020</v>
      </c>
      <c r="E497" s="33">
        <v>117</v>
      </c>
      <c r="F497" s="33">
        <v>104</v>
      </c>
      <c r="G497" s="33" t="s">
        <v>38</v>
      </c>
      <c r="H497" s="33" t="s">
        <v>5347</v>
      </c>
      <c r="I497" s="33" t="s">
        <v>46</v>
      </c>
      <c r="J497" s="33" t="s">
        <v>40</v>
      </c>
    </row>
    <row r="498" spans="1:12" hidden="1" x14ac:dyDescent="0.3">
      <c r="A498" s="39">
        <v>46078.402326388888</v>
      </c>
      <c r="B498" s="33" t="s">
        <v>45</v>
      </c>
      <c r="C498" s="33">
        <v>4430317020</v>
      </c>
      <c r="E498" s="33">
        <v>6</v>
      </c>
      <c r="F498" s="33">
        <v>0</v>
      </c>
      <c r="G498" s="33" t="s">
        <v>47</v>
      </c>
      <c r="H498" s="33" t="s">
        <v>5348</v>
      </c>
      <c r="I498" s="33" t="s">
        <v>46</v>
      </c>
      <c r="J498" s="33" t="s">
        <v>40</v>
      </c>
    </row>
    <row r="499" spans="1:12" hidden="1" x14ac:dyDescent="0.3">
      <c r="A499" s="39">
        <v>46078.40047453704</v>
      </c>
      <c r="B499" s="33" t="s">
        <v>37</v>
      </c>
      <c r="C499" s="33">
        <v>44997650834</v>
      </c>
      <c r="E499" s="33">
        <v>1445</v>
      </c>
      <c r="F499" s="33">
        <v>1434</v>
      </c>
      <c r="G499" s="33" t="s">
        <v>38</v>
      </c>
      <c r="H499" s="33" t="s">
        <v>5349</v>
      </c>
      <c r="I499" s="33" t="s">
        <v>46</v>
      </c>
      <c r="J499" s="33" t="s">
        <v>40</v>
      </c>
      <c r="L499" s="33">
        <v>5</v>
      </c>
    </row>
    <row r="500" spans="1:12" hidden="1" x14ac:dyDescent="0.3">
      <c r="A500" s="39">
        <v>46078.390393518515</v>
      </c>
      <c r="B500" s="33" t="s">
        <v>45</v>
      </c>
      <c r="C500" s="33">
        <v>12997346335</v>
      </c>
      <c r="E500" s="33">
        <v>116</v>
      </c>
      <c r="F500" s="33">
        <v>0</v>
      </c>
      <c r="G500" s="33" t="s">
        <v>47</v>
      </c>
      <c r="H500" s="33" t="s">
        <v>5350</v>
      </c>
      <c r="I500" s="33" t="s">
        <v>46</v>
      </c>
      <c r="J500" s="33" t="s">
        <v>40</v>
      </c>
    </row>
    <row r="501" spans="1:12" hidden="1" x14ac:dyDescent="0.3">
      <c r="A501" s="39">
        <v>46078.386759259258</v>
      </c>
      <c r="B501" s="33" t="s">
        <v>44</v>
      </c>
      <c r="C501" s="33">
        <v>1131043888</v>
      </c>
      <c r="E501" s="33">
        <v>468</v>
      </c>
      <c r="F501" s="33">
        <v>467</v>
      </c>
      <c r="G501" s="33" t="s">
        <v>38</v>
      </c>
      <c r="H501" s="33" t="s">
        <v>5351</v>
      </c>
      <c r="I501" s="33" t="s">
        <v>46</v>
      </c>
      <c r="J501" s="33" t="s">
        <v>40</v>
      </c>
    </row>
    <row r="502" spans="1:12" hidden="1" x14ac:dyDescent="0.3">
      <c r="A502" s="39">
        <v>46078.385821759257</v>
      </c>
      <c r="B502" s="33">
        <v>4134348900</v>
      </c>
      <c r="C502" s="33">
        <v>4531273172</v>
      </c>
      <c r="D502" s="33">
        <v>4531273172</v>
      </c>
      <c r="E502" s="33">
        <v>9</v>
      </c>
      <c r="F502" s="33">
        <v>8</v>
      </c>
      <c r="G502" s="33" t="s">
        <v>3449</v>
      </c>
      <c r="H502" s="33" t="s">
        <v>5352</v>
      </c>
      <c r="I502" s="33" t="s">
        <v>39</v>
      </c>
      <c r="J502" s="33" t="s">
        <v>3451</v>
      </c>
    </row>
    <row r="503" spans="1:12" hidden="1" x14ac:dyDescent="0.3">
      <c r="A503" s="39">
        <v>46078.38553240741</v>
      </c>
      <c r="B503" s="33">
        <v>4435223408</v>
      </c>
      <c r="C503" s="33" t="s">
        <v>43</v>
      </c>
      <c r="D503" s="33">
        <v>4430265054</v>
      </c>
      <c r="E503" s="33">
        <v>484</v>
      </c>
      <c r="F503" s="33">
        <v>465</v>
      </c>
      <c r="G503" s="33" t="s">
        <v>38</v>
      </c>
      <c r="H503" s="33" t="s">
        <v>3687</v>
      </c>
      <c r="I503" s="33" t="s">
        <v>39</v>
      </c>
      <c r="J503" s="33" t="s">
        <v>40</v>
      </c>
      <c r="K503" s="33" t="s">
        <v>41</v>
      </c>
    </row>
    <row r="504" spans="1:12" hidden="1" x14ac:dyDescent="0.3">
      <c r="A504" s="39">
        <v>46078.384965277779</v>
      </c>
      <c r="B504" s="33" t="s">
        <v>3627</v>
      </c>
      <c r="C504" s="33">
        <v>11970444482</v>
      </c>
      <c r="E504" s="33">
        <v>15</v>
      </c>
      <c r="F504" s="33">
        <v>11</v>
      </c>
      <c r="G504" s="33" t="s">
        <v>38</v>
      </c>
      <c r="H504" s="33" t="s">
        <v>5353</v>
      </c>
      <c r="I504" s="33" t="s">
        <v>46</v>
      </c>
      <c r="J504" s="33" t="s">
        <v>3629</v>
      </c>
    </row>
    <row r="505" spans="1:12" hidden="1" x14ac:dyDescent="0.3">
      <c r="A505" s="39">
        <v>46078.384236111109</v>
      </c>
      <c r="B505" s="33" t="s">
        <v>45</v>
      </c>
      <c r="C505" s="33">
        <v>4432321371</v>
      </c>
      <c r="E505" s="33">
        <v>543</v>
      </c>
      <c r="F505" s="33">
        <v>534</v>
      </c>
      <c r="G505" s="33" t="s">
        <v>38</v>
      </c>
      <c r="H505" s="33" t="s">
        <v>5354</v>
      </c>
      <c r="I505" s="33" t="s">
        <v>46</v>
      </c>
      <c r="J505" s="33" t="s">
        <v>40</v>
      </c>
    </row>
    <row r="506" spans="1:12" hidden="1" x14ac:dyDescent="0.3">
      <c r="A506" s="39">
        <v>46078.384155092594</v>
      </c>
      <c r="B506" s="33" t="s">
        <v>45</v>
      </c>
      <c r="C506" s="33">
        <v>4432321371</v>
      </c>
      <c r="E506" s="33">
        <v>4</v>
      </c>
      <c r="F506" s="33">
        <v>0</v>
      </c>
      <c r="G506" s="33" t="s">
        <v>47</v>
      </c>
      <c r="H506" s="33" t="s">
        <v>5355</v>
      </c>
      <c r="I506" s="33" t="s">
        <v>46</v>
      </c>
      <c r="J506" s="33" t="s">
        <v>40</v>
      </c>
    </row>
    <row r="507" spans="1:12" hidden="1" x14ac:dyDescent="0.3">
      <c r="A507" s="39">
        <v>46078.382997685185</v>
      </c>
      <c r="B507" s="33">
        <v>44997650834</v>
      </c>
      <c r="C507" s="33" t="s">
        <v>37</v>
      </c>
      <c r="D507" s="33">
        <v>4430265054</v>
      </c>
      <c r="E507" s="33">
        <v>1074</v>
      </c>
      <c r="F507" s="33">
        <v>1036</v>
      </c>
      <c r="G507" s="33" t="s">
        <v>38</v>
      </c>
      <c r="H507" s="33" t="s">
        <v>3688</v>
      </c>
      <c r="I507" s="33" t="s">
        <v>39</v>
      </c>
      <c r="J507" s="33" t="s">
        <v>40</v>
      </c>
      <c r="K507" s="33" t="s">
        <v>41</v>
      </c>
      <c r="L507" s="33">
        <v>5</v>
      </c>
    </row>
    <row r="508" spans="1:12" hidden="1" x14ac:dyDescent="0.3">
      <c r="A508" s="39">
        <v>46078.378518518519</v>
      </c>
      <c r="B508" s="33">
        <v>62991155122</v>
      </c>
      <c r="C508" s="33" t="s">
        <v>45</v>
      </c>
      <c r="D508" s="33">
        <v>4430265054</v>
      </c>
      <c r="E508" s="33">
        <v>487</v>
      </c>
      <c r="F508" s="33">
        <v>468</v>
      </c>
      <c r="G508" s="33" t="s">
        <v>38</v>
      </c>
      <c r="H508" s="33" t="s">
        <v>3689</v>
      </c>
      <c r="I508" s="33" t="s">
        <v>39</v>
      </c>
      <c r="J508" s="33" t="s">
        <v>40</v>
      </c>
      <c r="K508" s="33" t="s">
        <v>41</v>
      </c>
    </row>
    <row r="509" spans="1:12" hidden="1" x14ac:dyDescent="0.3">
      <c r="A509" s="39">
        <v>46078.377199074072</v>
      </c>
      <c r="B509" s="33">
        <v>6234347959</v>
      </c>
      <c r="C509" s="33" t="s">
        <v>44</v>
      </c>
      <c r="D509" s="33">
        <v>4430265054</v>
      </c>
      <c r="E509" s="33">
        <v>459</v>
      </c>
      <c r="F509" s="33">
        <v>427</v>
      </c>
      <c r="G509" s="33" t="s">
        <v>38</v>
      </c>
      <c r="H509" s="33" t="s">
        <v>3690</v>
      </c>
      <c r="I509" s="33" t="s">
        <v>39</v>
      </c>
      <c r="J509" s="33" t="s">
        <v>40</v>
      </c>
      <c r="K509" s="33" t="s">
        <v>41</v>
      </c>
    </row>
    <row r="510" spans="1:12" hidden="1" x14ac:dyDescent="0.3">
      <c r="A510" s="39">
        <v>46078.376469907409</v>
      </c>
      <c r="B510" s="33" t="s">
        <v>43</v>
      </c>
      <c r="C510" s="33">
        <v>4334232912</v>
      </c>
      <c r="E510" s="33">
        <v>709</v>
      </c>
      <c r="F510" s="33">
        <v>701</v>
      </c>
      <c r="G510" s="33" t="s">
        <v>38</v>
      </c>
      <c r="H510" s="33" t="s">
        <v>5356</v>
      </c>
      <c r="I510" s="33" t="s">
        <v>46</v>
      </c>
      <c r="J510" s="33" t="s">
        <v>40</v>
      </c>
    </row>
    <row r="511" spans="1:12" hidden="1" x14ac:dyDescent="0.3">
      <c r="A511" s="39">
        <v>46078.373807870368</v>
      </c>
      <c r="B511" s="33" t="s">
        <v>43</v>
      </c>
      <c r="C511" s="33">
        <v>4334226481</v>
      </c>
      <c r="E511" s="33">
        <v>1</v>
      </c>
      <c r="F511" s="33">
        <v>0</v>
      </c>
      <c r="G511" s="33" t="s">
        <v>47</v>
      </c>
      <c r="H511" s="33" t="s">
        <v>5357</v>
      </c>
      <c r="I511" s="33" t="s">
        <v>46</v>
      </c>
      <c r="J511" s="33" t="s">
        <v>40</v>
      </c>
    </row>
    <row r="512" spans="1:12" hidden="1" x14ac:dyDescent="0.3">
      <c r="A512" s="39">
        <v>46078.373692129629</v>
      </c>
      <c r="B512" s="33">
        <v>62991155122</v>
      </c>
      <c r="C512" s="33" t="s">
        <v>45</v>
      </c>
      <c r="D512" s="33">
        <v>4430265054</v>
      </c>
      <c r="E512" s="33">
        <v>187</v>
      </c>
      <c r="F512" s="33">
        <v>165</v>
      </c>
      <c r="G512" s="33" t="s">
        <v>38</v>
      </c>
      <c r="H512" s="33" t="s">
        <v>3691</v>
      </c>
      <c r="I512" s="33" t="s">
        <v>39</v>
      </c>
      <c r="J512" s="33" t="s">
        <v>40</v>
      </c>
      <c r="K512" s="33" t="s">
        <v>41</v>
      </c>
    </row>
    <row r="513" spans="1:12" hidden="1" x14ac:dyDescent="0.3">
      <c r="A513" s="39">
        <v>46078.373611111114</v>
      </c>
      <c r="B513" s="33" t="s">
        <v>43</v>
      </c>
      <c r="C513" s="33">
        <v>4334226481</v>
      </c>
      <c r="E513" s="33">
        <v>1</v>
      </c>
      <c r="F513" s="33">
        <v>0</v>
      </c>
      <c r="G513" s="33" t="s">
        <v>47</v>
      </c>
      <c r="H513" s="33" t="s">
        <v>5358</v>
      </c>
      <c r="I513" s="33" t="s">
        <v>46</v>
      </c>
      <c r="J513" s="33" t="s">
        <v>40</v>
      </c>
    </row>
    <row r="514" spans="1:12" hidden="1" x14ac:dyDescent="0.3">
      <c r="A514" s="39">
        <v>46078.373078703706</v>
      </c>
      <c r="B514" s="33">
        <v>44999550006</v>
      </c>
      <c r="C514" s="33" t="s">
        <v>37</v>
      </c>
      <c r="D514" s="33">
        <v>4430265054</v>
      </c>
      <c r="E514" s="33">
        <v>514</v>
      </c>
      <c r="F514" s="33">
        <v>485</v>
      </c>
      <c r="G514" s="33" t="s">
        <v>38</v>
      </c>
      <c r="H514" s="33" t="s">
        <v>3692</v>
      </c>
      <c r="I514" s="33" t="s">
        <v>39</v>
      </c>
      <c r="J514" s="33" t="s">
        <v>40</v>
      </c>
      <c r="K514" s="33" t="s">
        <v>41</v>
      </c>
    </row>
    <row r="515" spans="1:12" hidden="1" x14ac:dyDescent="0.3">
      <c r="A515" s="39">
        <v>46078.372719907406</v>
      </c>
      <c r="B515" s="33" t="s">
        <v>43</v>
      </c>
      <c r="C515" s="33">
        <v>4334226481</v>
      </c>
      <c r="E515" s="33">
        <v>1</v>
      </c>
      <c r="F515" s="33">
        <v>0</v>
      </c>
      <c r="G515" s="33" t="s">
        <v>47</v>
      </c>
      <c r="H515" s="33" t="s">
        <v>5359</v>
      </c>
      <c r="I515" s="33" t="s">
        <v>46</v>
      </c>
      <c r="J515" s="33" t="s">
        <v>40</v>
      </c>
    </row>
    <row r="516" spans="1:12" hidden="1" x14ac:dyDescent="0.3">
      <c r="A516" s="39">
        <v>46078.372627314813</v>
      </c>
      <c r="B516" s="33" t="s">
        <v>43</v>
      </c>
      <c r="C516" s="33">
        <v>4334226481</v>
      </c>
      <c r="E516" s="33">
        <v>1</v>
      </c>
      <c r="F516" s="33">
        <v>0</v>
      </c>
      <c r="G516" s="33" t="s">
        <v>47</v>
      </c>
      <c r="H516" s="33" t="s">
        <v>5360</v>
      </c>
      <c r="I516" s="33" t="s">
        <v>46</v>
      </c>
      <c r="J516" s="33" t="s">
        <v>40</v>
      </c>
    </row>
    <row r="517" spans="1:12" hidden="1" x14ac:dyDescent="0.3">
      <c r="A517" s="39">
        <v>46078.371412037035</v>
      </c>
      <c r="B517" s="33">
        <v>44991512855</v>
      </c>
      <c r="C517" s="33" t="s">
        <v>37</v>
      </c>
      <c r="D517" s="33">
        <v>4430265054</v>
      </c>
      <c r="E517" s="33">
        <v>141</v>
      </c>
      <c r="F517" s="33">
        <v>110</v>
      </c>
      <c r="G517" s="33" t="s">
        <v>38</v>
      </c>
      <c r="H517" s="33" t="s">
        <v>3693</v>
      </c>
      <c r="I517" s="33" t="s">
        <v>39</v>
      </c>
      <c r="J517" s="33" t="s">
        <v>40</v>
      </c>
      <c r="K517" s="33" t="s">
        <v>41</v>
      </c>
      <c r="L517" s="33">
        <v>5</v>
      </c>
    </row>
    <row r="518" spans="1:12" hidden="1" x14ac:dyDescent="0.3">
      <c r="A518" s="39">
        <v>46078.368958333333</v>
      </c>
      <c r="B518" s="33">
        <v>4334226481</v>
      </c>
      <c r="C518" s="33" t="s">
        <v>42</v>
      </c>
      <c r="D518" s="33">
        <v>4430265054</v>
      </c>
      <c r="E518" s="33">
        <v>794</v>
      </c>
      <c r="F518" s="33">
        <v>682</v>
      </c>
      <c r="G518" s="33" t="s">
        <v>38</v>
      </c>
      <c r="H518" s="33" t="s">
        <v>3694</v>
      </c>
      <c r="I518" s="33" t="s">
        <v>39</v>
      </c>
      <c r="J518" s="33" t="s">
        <v>40</v>
      </c>
      <c r="K518" s="33" t="s">
        <v>41</v>
      </c>
    </row>
    <row r="519" spans="1:12" hidden="1" x14ac:dyDescent="0.3">
      <c r="A519" s="39">
        <v>46078.367638888885</v>
      </c>
      <c r="B519" s="33">
        <v>4430152533</v>
      </c>
      <c r="C519" s="33" t="s">
        <v>43</v>
      </c>
      <c r="D519" s="33">
        <v>4430265054</v>
      </c>
      <c r="E519" s="33">
        <v>260</v>
      </c>
      <c r="F519" s="33">
        <v>224</v>
      </c>
      <c r="G519" s="33" t="s">
        <v>38</v>
      </c>
      <c r="H519" s="33" t="s">
        <v>3695</v>
      </c>
      <c r="I519" s="33" t="s">
        <v>39</v>
      </c>
      <c r="J519" s="33" t="s">
        <v>40</v>
      </c>
      <c r="K519" s="33" t="s">
        <v>41</v>
      </c>
    </row>
    <row r="520" spans="1:12" hidden="1" x14ac:dyDescent="0.3">
      <c r="A520" s="39">
        <v>46078.367013888892</v>
      </c>
      <c r="B520" s="33">
        <v>44991249108</v>
      </c>
      <c r="C520" s="33" t="s">
        <v>45</v>
      </c>
      <c r="D520" s="33">
        <v>4430265054</v>
      </c>
      <c r="E520" s="33">
        <v>255</v>
      </c>
      <c r="F520" s="33">
        <v>193</v>
      </c>
      <c r="G520" s="33" t="s">
        <v>38</v>
      </c>
      <c r="H520" s="33" t="s">
        <v>3696</v>
      </c>
      <c r="I520" s="33" t="s">
        <v>39</v>
      </c>
      <c r="J520" s="33" t="s">
        <v>40</v>
      </c>
      <c r="K520" s="33" t="s">
        <v>41</v>
      </c>
    </row>
    <row r="521" spans="1:12" hidden="1" x14ac:dyDescent="0.3">
      <c r="A521" s="39">
        <v>46078.361631944441</v>
      </c>
      <c r="B521" s="33">
        <v>4432321371</v>
      </c>
      <c r="C521" s="33" t="s">
        <v>45</v>
      </c>
      <c r="D521" s="33">
        <v>4430265054</v>
      </c>
      <c r="E521" s="33">
        <v>458</v>
      </c>
      <c r="F521" s="33">
        <v>270</v>
      </c>
      <c r="G521" s="33" t="s">
        <v>38</v>
      </c>
      <c r="H521" s="33" t="s">
        <v>3697</v>
      </c>
      <c r="I521" s="33" t="s">
        <v>39</v>
      </c>
      <c r="J521" s="33" t="s">
        <v>40</v>
      </c>
      <c r="K521" s="33" t="s">
        <v>41</v>
      </c>
    </row>
    <row r="522" spans="1:12" hidden="1" x14ac:dyDescent="0.3">
      <c r="A522" s="39">
        <v>46078.351574074077</v>
      </c>
      <c r="B522" s="33" t="s">
        <v>43</v>
      </c>
      <c r="C522" s="33">
        <v>4532541802</v>
      </c>
      <c r="E522" s="33">
        <v>186</v>
      </c>
      <c r="F522" s="33">
        <v>186</v>
      </c>
      <c r="G522" s="33" t="s">
        <v>38</v>
      </c>
      <c r="H522" s="33" t="s">
        <v>5361</v>
      </c>
      <c r="I522" s="33" t="s">
        <v>46</v>
      </c>
      <c r="J522" s="33" t="s">
        <v>40</v>
      </c>
    </row>
    <row r="523" spans="1:12" hidden="1" x14ac:dyDescent="0.3">
      <c r="A523" s="39">
        <v>46078.348101851851</v>
      </c>
      <c r="B523" s="33" t="s">
        <v>43</v>
      </c>
      <c r="C523" s="33">
        <v>6434534421</v>
      </c>
      <c r="E523" s="33">
        <v>40</v>
      </c>
      <c r="F523" s="33">
        <v>34</v>
      </c>
      <c r="G523" s="33" t="s">
        <v>38</v>
      </c>
      <c r="H523" s="33" t="s">
        <v>5362</v>
      </c>
      <c r="I523" s="33" t="s">
        <v>46</v>
      </c>
      <c r="J523" s="33" t="s">
        <v>40</v>
      </c>
    </row>
    <row r="524" spans="1:12" hidden="1" x14ac:dyDescent="0.3">
      <c r="A524" s="39">
        <v>46077.744675925926</v>
      </c>
      <c r="B524" s="33" t="s">
        <v>37</v>
      </c>
      <c r="C524" s="33">
        <v>49991813889</v>
      </c>
      <c r="E524" s="33">
        <v>294</v>
      </c>
      <c r="F524" s="33">
        <v>286</v>
      </c>
      <c r="G524" s="33" t="s">
        <v>38</v>
      </c>
      <c r="H524" s="33" t="s">
        <v>5363</v>
      </c>
      <c r="I524" s="33" t="s">
        <v>46</v>
      </c>
      <c r="J524" s="33" t="s">
        <v>40</v>
      </c>
    </row>
    <row r="525" spans="1:12" hidden="1" x14ac:dyDescent="0.3">
      <c r="A525" s="39">
        <v>46077.74391203704</v>
      </c>
      <c r="B525" s="33" t="s">
        <v>37</v>
      </c>
      <c r="C525" s="33">
        <v>47992275601</v>
      </c>
      <c r="E525" s="33">
        <v>37</v>
      </c>
      <c r="F525" s="33">
        <v>0</v>
      </c>
      <c r="G525" s="33" t="s">
        <v>47</v>
      </c>
      <c r="H525" s="33" t="s">
        <v>5364</v>
      </c>
      <c r="I525" s="33" t="s">
        <v>46</v>
      </c>
      <c r="J525" s="33" t="s">
        <v>40</v>
      </c>
    </row>
    <row r="526" spans="1:12" hidden="1" x14ac:dyDescent="0.3">
      <c r="A526" s="39">
        <v>46077.737500000003</v>
      </c>
      <c r="B526" s="33">
        <v>6234347959</v>
      </c>
      <c r="C526" s="33">
        <v>4430265054</v>
      </c>
      <c r="D526" s="33">
        <v>4430265054</v>
      </c>
      <c r="E526" s="33">
        <v>10</v>
      </c>
      <c r="F526" s="33">
        <v>9</v>
      </c>
      <c r="G526" s="33" t="s">
        <v>3449</v>
      </c>
      <c r="H526" s="33" t="s">
        <v>5365</v>
      </c>
      <c r="I526" s="33" t="s">
        <v>39</v>
      </c>
      <c r="J526" s="33" t="s">
        <v>3451</v>
      </c>
    </row>
    <row r="527" spans="1:12" hidden="1" x14ac:dyDescent="0.3">
      <c r="A527" s="39">
        <v>46077.72923611111</v>
      </c>
      <c r="B527" s="33" t="s">
        <v>3627</v>
      </c>
      <c r="C527" s="33">
        <v>43988696551</v>
      </c>
      <c r="E527" s="33">
        <v>26</v>
      </c>
      <c r="F527" s="33">
        <v>15</v>
      </c>
      <c r="G527" s="33" t="s">
        <v>38</v>
      </c>
      <c r="H527" s="33" t="s">
        <v>5366</v>
      </c>
      <c r="I527" s="33" t="s">
        <v>46</v>
      </c>
      <c r="J527" s="33" t="s">
        <v>3629</v>
      </c>
    </row>
    <row r="528" spans="1:12" hidden="1" x14ac:dyDescent="0.3">
      <c r="A528" s="39">
        <v>46077.728449074071</v>
      </c>
      <c r="B528" s="33" t="s">
        <v>3627</v>
      </c>
      <c r="C528" s="33">
        <v>66996966444</v>
      </c>
      <c r="E528" s="33">
        <v>2</v>
      </c>
      <c r="F528" s="33">
        <v>0</v>
      </c>
      <c r="G528" s="33" t="s">
        <v>47</v>
      </c>
      <c r="H528" s="33" t="s">
        <v>5367</v>
      </c>
      <c r="I528" s="33" t="s">
        <v>46</v>
      </c>
      <c r="J528" s="33" t="s">
        <v>3629</v>
      </c>
    </row>
    <row r="529" spans="1:12" hidden="1" x14ac:dyDescent="0.3">
      <c r="A529" s="39">
        <v>46077.726759259262</v>
      </c>
      <c r="B529" s="33">
        <v>12997346335</v>
      </c>
      <c r="C529" s="33" t="s">
        <v>45</v>
      </c>
      <c r="D529" s="33">
        <v>4431268225</v>
      </c>
      <c r="E529" s="33">
        <v>1615</v>
      </c>
      <c r="F529" s="33">
        <v>1592</v>
      </c>
      <c r="G529" s="33" t="s">
        <v>38</v>
      </c>
      <c r="H529" s="33" t="s">
        <v>3698</v>
      </c>
      <c r="I529" s="33" t="s">
        <v>39</v>
      </c>
      <c r="J529" s="33" t="s">
        <v>40</v>
      </c>
      <c r="K529" s="33" t="s">
        <v>41</v>
      </c>
    </row>
    <row r="530" spans="1:12" hidden="1" x14ac:dyDescent="0.3">
      <c r="A530" s="39">
        <v>46077.715196759258</v>
      </c>
      <c r="B530" s="33" t="s">
        <v>48</v>
      </c>
      <c r="C530" s="33">
        <v>4433231037</v>
      </c>
      <c r="E530" s="33">
        <v>673</v>
      </c>
      <c r="F530" s="33">
        <v>663</v>
      </c>
      <c r="G530" s="33" t="s">
        <v>38</v>
      </c>
      <c r="H530" s="33" t="s">
        <v>5368</v>
      </c>
      <c r="I530" s="33" t="s">
        <v>46</v>
      </c>
      <c r="J530" s="33" t="s">
        <v>40</v>
      </c>
    </row>
    <row r="531" spans="1:12" hidden="1" x14ac:dyDescent="0.3">
      <c r="A531" s="39">
        <v>46077.713391203702</v>
      </c>
      <c r="B531" s="33">
        <v>4532541802</v>
      </c>
      <c r="C531" s="33" t="s">
        <v>43</v>
      </c>
      <c r="D531" s="33">
        <v>4430265054</v>
      </c>
      <c r="E531" s="33">
        <v>315</v>
      </c>
      <c r="F531" s="33">
        <v>286</v>
      </c>
      <c r="G531" s="33" t="s">
        <v>38</v>
      </c>
      <c r="H531" s="33" t="s">
        <v>3699</v>
      </c>
      <c r="I531" s="33" t="s">
        <v>39</v>
      </c>
      <c r="J531" s="33" t="s">
        <v>40</v>
      </c>
      <c r="K531" s="33" t="s">
        <v>41</v>
      </c>
    </row>
    <row r="532" spans="1:12" hidden="1" x14ac:dyDescent="0.3">
      <c r="A532" s="39">
        <v>46077.713101851848</v>
      </c>
      <c r="B532" s="33" t="s">
        <v>45</v>
      </c>
      <c r="C532" s="33">
        <v>4430162376</v>
      </c>
      <c r="E532" s="33">
        <v>196</v>
      </c>
      <c r="F532" s="33">
        <v>184</v>
      </c>
      <c r="G532" s="33" t="s">
        <v>38</v>
      </c>
      <c r="H532" s="33" t="s">
        <v>5369</v>
      </c>
      <c r="I532" s="33" t="s">
        <v>46</v>
      </c>
      <c r="J532" s="33" t="s">
        <v>40</v>
      </c>
    </row>
    <row r="533" spans="1:12" hidden="1" x14ac:dyDescent="0.3">
      <c r="A533" s="39">
        <v>46077.713055555556</v>
      </c>
      <c r="B533" s="33" t="s">
        <v>45</v>
      </c>
      <c r="C533" s="33">
        <v>4430162376</v>
      </c>
      <c r="E533" s="33">
        <v>2</v>
      </c>
      <c r="F533" s="33">
        <v>0</v>
      </c>
      <c r="G533" s="33" t="s">
        <v>47</v>
      </c>
      <c r="H533" s="33" t="s">
        <v>5370</v>
      </c>
      <c r="I533" s="33" t="s">
        <v>46</v>
      </c>
      <c r="J533" s="33" t="s">
        <v>40</v>
      </c>
    </row>
    <row r="534" spans="1:12" hidden="1" x14ac:dyDescent="0.3">
      <c r="A534" s="39">
        <v>46077.707372685189</v>
      </c>
      <c r="B534" s="33">
        <v>1128897100</v>
      </c>
      <c r="C534" s="33">
        <v>3000</v>
      </c>
      <c r="D534" s="33">
        <v>4430265054</v>
      </c>
      <c r="E534" s="33">
        <v>282</v>
      </c>
      <c r="F534" s="33">
        <v>260</v>
      </c>
      <c r="G534" s="33" t="s">
        <v>38</v>
      </c>
      <c r="H534" s="33" t="s">
        <v>3700</v>
      </c>
      <c r="I534" s="33" t="s">
        <v>39</v>
      </c>
      <c r="J534" s="33" t="s">
        <v>3451</v>
      </c>
      <c r="K534" s="33" t="s">
        <v>41</v>
      </c>
    </row>
    <row r="535" spans="1:12" hidden="1" x14ac:dyDescent="0.3">
      <c r="A535" s="39">
        <v>46077.706736111111</v>
      </c>
      <c r="B535" s="33">
        <v>44991484476</v>
      </c>
      <c r="C535" s="33" t="s">
        <v>44</v>
      </c>
      <c r="D535" s="33">
        <v>4430265054</v>
      </c>
      <c r="E535" s="33">
        <v>1487</v>
      </c>
      <c r="F535" s="33">
        <v>1317</v>
      </c>
      <c r="G535" s="33" t="s">
        <v>38</v>
      </c>
      <c r="H535" s="33" t="s">
        <v>3701</v>
      </c>
      <c r="I535" s="33" t="s">
        <v>39</v>
      </c>
      <c r="J535" s="33" t="s">
        <v>40</v>
      </c>
      <c r="K535" s="33" t="s">
        <v>41</v>
      </c>
    </row>
    <row r="536" spans="1:12" hidden="1" x14ac:dyDescent="0.3">
      <c r="A536" s="39">
        <v>46077.706030092595</v>
      </c>
      <c r="B536" s="33" t="s">
        <v>48</v>
      </c>
      <c r="C536" s="33">
        <v>44984140993</v>
      </c>
      <c r="E536" s="33">
        <v>225</v>
      </c>
      <c r="F536" s="33">
        <v>202</v>
      </c>
      <c r="G536" s="33" t="s">
        <v>38</v>
      </c>
      <c r="H536" s="33" t="s">
        <v>5371</v>
      </c>
      <c r="I536" s="33" t="s">
        <v>46</v>
      </c>
      <c r="J536" s="33" t="s">
        <v>40</v>
      </c>
    </row>
    <row r="537" spans="1:12" hidden="1" x14ac:dyDescent="0.3">
      <c r="A537" s="39">
        <v>46077.704768518517</v>
      </c>
      <c r="B537" s="33">
        <v>44988135387</v>
      </c>
      <c r="C537" s="33" t="s">
        <v>42</v>
      </c>
      <c r="D537" s="33">
        <v>4430265054</v>
      </c>
      <c r="E537" s="33">
        <v>1098</v>
      </c>
      <c r="F537" s="33">
        <v>1024</v>
      </c>
      <c r="G537" s="33" t="s">
        <v>38</v>
      </c>
      <c r="H537" s="33" t="s">
        <v>3702</v>
      </c>
      <c r="I537" s="33" t="s">
        <v>39</v>
      </c>
      <c r="J537" s="33" t="s">
        <v>40</v>
      </c>
      <c r="K537" s="33" t="s">
        <v>41</v>
      </c>
      <c r="L537" s="33">
        <v>5</v>
      </c>
    </row>
    <row r="538" spans="1:12" hidden="1" x14ac:dyDescent="0.3">
      <c r="A538" s="39">
        <v>46077.703750000001</v>
      </c>
      <c r="B538" s="33">
        <v>4432322192</v>
      </c>
      <c r="C538" s="33" t="s">
        <v>37</v>
      </c>
      <c r="D538" s="33">
        <v>4430265054</v>
      </c>
      <c r="E538" s="33">
        <v>752</v>
      </c>
      <c r="F538" s="33">
        <v>658</v>
      </c>
      <c r="G538" s="33" t="s">
        <v>38</v>
      </c>
      <c r="H538" s="33" t="s">
        <v>3703</v>
      </c>
      <c r="I538" s="33" t="s">
        <v>39</v>
      </c>
      <c r="J538" s="33" t="s">
        <v>40</v>
      </c>
      <c r="K538" s="33" t="s">
        <v>41</v>
      </c>
      <c r="L538" s="33">
        <v>5</v>
      </c>
    </row>
    <row r="539" spans="1:12" hidden="1" x14ac:dyDescent="0.3">
      <c r="A539" s="39">
        <v>46077.702361111114</v>
      </c>
      <c r="B539" s="33" t="s">
        <v>3627</v>
      </c>
      <c r="C539" s="33">
        <v>11994735290</v>
      </c>
      <c r="E539" s="33">
        <v>9</v>
      </c>
      <c r="F539" s="33">
        <v>0</v>
      </c>
      <c r="G539" s="33" t="s">
        <v>47</v>
      </c>
      <c r="H539" s="33" t="s">
        <v>5372</v>
      </c>
      <c r="I539" s="33" t="s">
        <v>46</v>
      </c>
      <c r="J539" s="33" t="s">
        <v>3629</v>
      </c>
    </row>
    <row r="540" spans="1:12" hidden="1" x14ac:dyDescent="0.3">
      <c r="A540" s="39">
        <v>46077.702280092592</v>
      </c>
      <c r="B540" s="33">
        <v>44984140993</v>
      </c>
      <c r="C540" s="33" t="s">
        <v>42</v>
      </c>
      <c r="D540" s="33">
        <v>4430265054</v>
      </c>
      <c r="E540" s="33">
        <v>127</v>
      </c>
      <c r="F540" s="33">
        <v>86</v>
      </c>
      <c r="G540" s="33" t="s">
        <v>38</v>
      </c>
      <c r="H540" s="33" t="s">
        <v>3704</v>
      </c>
      <c r="I540" s="33" t="s">
        <v>39</v>
      </c>
      <c r="J540" s="33" t="s">
        <v>40</v>
      </c>
      <c r="K540" s="33" t="s">
        <v>41</v>
      </c>
    </row>
    <row r="541" spans="1:12" hidden="1" x14ac:dyDescent="0.3">
      <c r="A541" s="39">
        <v>46077.701354166667</v>
      </c>
      <c r="B541" s="33" t="s">
        <v>3627</v>
      </c>
      <c r="C541" s="33">
        <v>85986934240</v>
      </c>
      <c r="E541" s="33">
        <v>9</v>
      </c>
      <c r="F541" s="33">
        <v>0</v>
      </c>
      <c r="G541" s="33" t="s">
        <v>47</v>
      </c>
      <c r="H541" s="33" t="s">
        <v>5373</v>
      </c>
      <c r="I541" s="33" t="s">
        <v>46</v>
      </c>
      <c r="J541" s="33" t="s">
        <v>3629</v>
      </c>
    </row>
    <row r="542" spans="1:12" hidden="1" x14ac:dyDescent="0.3">
      <c r="A542" s="39">
        <v>46077.700439814813</v>
      </c>
      <c r="B542" s="33" t="s">
        <v>3627</v>
      </c>
      <c r="C542" s="33">
        <v>19999836869</v>
      </c>
      <c r="E542" s="33">
        <v>13</v>
      </c>
      <c r="F542" s="33">
        <v>0</v>
      </c>
      <c r="G542" s="33" t="s">
        <v>47</v>
      </c>
      <c r="H542" s="33" t="s">
        <v>5374</v>
      </c>
      <c r="I542" s="33" t="s">
        <v>46</v>
      </c>
      <c r="J542" s="33" t="s">
        <v>3629</v>
      </c>
    </row>
    <row r="543" spans="1:12" hidden="1" x14ac:dyDescent="0.3">
      <c r="A543" s="39">
        <v>46077.700312499997</v>
      </c>
      <c r="B543" s="33">
        <v>4430346845</v>
      </c>
      <c r="C543" s="33" t="s">
        <v>48</v>
      </c>
      <c r="D543" s="33">
        <v>4430265054</v>
      </c>
      <c r="E543" s="33">
        <v>310</v>
      </c>
      <c r="F543" s="33">
        <v>309</v>
      </c>
      <c r="G543" s="33" t="s">
        <v>38</v>
      </c>
      <c r="H543" s="33" t="s">
        <v>3705</v>
      </c>
      <c r="I543" s="33" t="s">
        <v>39</v>
      </c>
      <c r="J543" s="33" t="s">
        <v>40</v>
      </c>
      <c r="K543" s="33" t="s">
        <v>41</v>
      </c>
    </row>
    <row r="544" spans="1:12" hidden="1" x14ac:dyDescent="0.3">
      <c r="A544" s="39">
        <v>46077.699930555558</v>
      </c>
      <c r="B544" s="33">
        <v>44988135387</v>
      </c>
      <c r="C544" s="33">
        <v>4430265054</v>
      </c>
      <c r="D544" s="33">
        <v>4430265054</v>
      </c>
      <c r="E544" s="33">
        <v>18</v>
      </c>
      <c r="F544" s="33">
        <v>17</v>
      </c>
      <c r="G544" s="33" t="s">
        <v>3449</v>
      </c>
      <c r="H544" s="33" t="s">
        <v>5375</v>
      </c>
      <c r="I544" s="33" t="s">
        <v>39</v>
      </c>
      <c r="J544" s="33" t="s">
        <v>3451</v>
      </c>
    </row>
    <row r="545" spans="1:12" hidden="1" x14ac:dyDescent="0.3">
      <c r="A545" s="39">
        <v>46077.69908564815</v>
      </c>
      <c r="B545" s="33">
        <v>4430346845</v>
      </c>
      <c r="C545" s="33">
        <v>4430265054</v>
      </c>
      <c r="D545" s="33">
        <v>4430265054</v>
      </c>
      <c r="E545" s="33">
        <v>3</v>
      </c>
      <c r="F545" s="33">
        <v>2</v>
      </c>
      <c r="G545" s="33" t="s">
        <v>3449</v>
      </c>
      <c r="H545" s="33" t="s">
        <v>5376</v>
      </c>
      <c r="I545" s="33" t="s">
        <v>39</v>
      </c>
      <c r="J545" s="33" t="s">
        <v>3451</v>
      </c>
    </row>
    <row r="546" spans="1:12" hidden="1" x14ac:dyDescent="0.3">
      <c r="A546" s="39">
        <v>46077.696215277778</v>
      </c>
      <c r="B546" s="33">
        <v>4432522019</v>
      </c>
      <c r="C546" s="33" t="s">
        <v>44</v>
      </c>
      <c r="D546" s="33">
        <v>4430265054</v>
      </c>
      <c r="E546" s="33">
        <v>503</v>
      </c>
      <c r="F546" s="33">
        <v>398</v>
      </c>
      <c r="G546" s="33" t="s">
        <v>38</v>
      </c>
      <c r="H546" s="33" t="s">
        <v>3706</v>
      </c>
      <c r="I546" s="33" t="s">
        <v>39</v>
      </c>
      <c r="J546" s="33" t="s">
        <v>40</v>
      </c>
      <c r="K546" s="33" t="s">
        <v>41</v>
      </c>
    </row>
    <row r="547" spans="1:12" hidden="1" x14ac:dyDescent="0.3">
      <c r="A547" s="39">
        <v>46077.692094907405</v>
      </c>
      <c r="B547" s="33" t="s">
        <v>48</v>
      </c>
      <c r="C547" s="33">
        <v>44984140993</v>
      </c>
      <c r="E547" s="33">
        <v>36</v>
      </c>
      <c r="F547" s="33">
        <v>0</v>
      </c>
      <c r="G547" s="33" t="s">
        <v>47</v>
      </c>
      <c r="H547" s="33" t="s">
        <v>5377</v>
      </c>
      <c r="I547" s="33" t="s">
        <v>46</v>
      </c>
      <c r="J547" s="33" t="s">
        <v>40</v>
      </c>
    </row>
    <row r="548" spans="1:12" hidden="1" x14ac:dyDescent="0.3">
      <c r="A548" s="39">
        <v>46077.691574074073</v>
      </c>
      <c r="B548" s="33" t="s">
        <v>48</v>
      </c>
      <c r="C548" s="33">
        <v>44984140993</v>
      </c>
      <c r="E548" s="33">
        <v>67</v>
      </c>
      <c r="F548" s="33">
        <v>29</v>
      </c>
      <c r="G548" s="33" t="s">
        <v>38</v>
      </c>
      <c r="H548" s="33" t="s">
        <v>5378</v>
      </c>
      <c r="I548" s="33" t="s">
        <v>46</v>
      </c>
      <c r="J548" s="33" t="s">
        <v>40</v>
      </c>
    </row>
    <row r="549" spans="1:12" hidden="1" x14ac:dyDescent="0.3">
      <c r="A549" s="39">
        <v>46077.691122685188</v>
      </c>
      <c r="B549" s="33">
        <v>4430191401</v>
      </c>
      <c r="C549" s="33" t="s">
        <v>37</v>
      </c>
      <c r="D549" s="33">
        <v>4430265054</v>
      </c>
      <c r="E549" s="33">
        <v>561</v>
      </c>
      <c r="F549" s="33">
        <v>449</v>
      </c>
      <c r="G549" s="33" t="s">
        <v>38</v>
      </c>
      <c r="H549" s="33" t="s">
        <v>3707</v>
      </c>
      <c r="I549" s="33" t="s">
        <v>39</v>
      </c>
      <c r="J549" s="33" t="s">
        <v>40</v>
      </c>
      <c r="K549" s="33" t="s">
        <v>41</v>
      </c>
    </row>
    <row r="550" spans="1:12" hidden="1" x14ac:dyDescent="0.3">
      <c r="A550" s="39">
        <v>46077.689467592594</v>
      </c>
      <c r="B550" s="33">
        <v>6434534421</v>
      </c>
      <c r="C550" s="33" t="s">
        <v>43</v>
      </c>
      <c r="D550" s="33">
        <v>4430265054</v>
      </c>
      <c r="E550" s="33">
        <v>296</v>
      </c>
      <c r="F550" s="33">
        <v>232</v>
      </c>
      <c r="G550" s="33" t="s">
        <v>38</v>
      </c>
      <c r="H550" s="33" t="s">
        <v>3708</v>
      </c>
      <c r="I550" s="33" t="s">
        <v>39</v>
      </c>
      <c r="J550" s="33" t="s">
        <v>40</v>
      </c>
      <c r="K550" s="33" t="s">
        <v>41</v>
      </c>
    </row>
    <row r="551" spans="1:12" hidden="1" x14ac:dyDescent="0.3">
      <c r="A551" s="39">
        <v>46077.684525462966</v>
      </c>
      <c r="B551" s="33">
        <v>11968566553</v>
      </c>
      <c r="C551" s="33" t="s">
        <v>44</v>
      </c>
      <c r="D551" s="33">
        <v>4431268225</v>
      </c>
      <c r="E551" s="33">
        <v>539</v>
      </c>
      <c r="F551" s="33">
        <v>465</v>
      </c>
      <c r="G551" s="33" t="s">
        <v>38</v>
      </c>
      <c r="H551" s="33" t="s">
        <v>3709</v>
      </c>
      <c r="I551" s="33" t="s">
        <v>39</v>
      </c>
      <c r="J551" s="33" t="s">
        <v>40</v>
      </c>
      <c r="K551" s="33" t="s">
        <v>41</v>
      </c>
    </row>
    <row r="552" spans="1:12" hidden="1" x14ac:dyDescent="0.3">
      <c r="A552" s="39">
        <v>46077.682974537034</v>
      </c>
      <c r="B552" s="33">
        <v>44984140993</v>
      </c>
      <c r="C552" s="33" t="s">
        <v>42</v>
      </c>
      <c r="D552" s="33">
        <v>4430265054</v>
      </c>
      <c r="E552" s="33">
        <v>675</v>
      </c>
      <c r="F552" s="33">
        <v>537</v>
      </c>
      <c r="G552" s="33" t="s">
        <v>38</v>
      </c>
      <c r="H552" s="33" t="s">
        <v>3710</v>
      </c>
      <c r="I552" s="33" t="s">
        <v>39</v>
      </c>
      <c r="J552" s="33" t="s">
        <v>40</v>
      </c>
      <c r="K552" s="33" t="s">
        <v>41</v>
      </c>
    </row>
    <row r="553" spans="1:12" hidden="1" x14ac:dyDescent="0.3">
      <c r="A553" s="39">
        <v>46077.679791666669</v>
      </c>
      <c r="B553" s="33" t="s">
        <v>37</v>
      </c>
      <c r="C553" s="33">
        <v>11998030658</v>
      </c>
      <c r="E553" s="33">
        <v>587</v>
      </c>
      <c r="F553" s="33">
        <v>560</v>
      </c>
      <c r="G553" s="33" t="s">
        <v>38</v>
      </c>
      <c r="H553" s="33" t="s">
        <v>5379</v>
      </c>
      <c r="I553" s="33" t="s">
        <v>46</v>
      </c>
      <c r="J553" s="33" t="s">
        <v>40</v>
      </c>
      <c r="L553" s="33">
        <v>5</v>
      </c>
    </row>
    <row r="554" spans="1:12" hidden="1" x14ac:dyDescent="0.3">
      <c r="A554" s="39">
        <v>46077.676134259258</v>
      </c>
      <c r="B554" s="33">
        <v>44984140993</v>
      </c>
      <c r="C554" s="33">
        <v>4430265054</v>
      </c>
      <c r="D554" s="33">
        <v>4430265054</v>
      </c>
      <c r="E554" s="33">
        <v>93</v>
      </c>
      <c r="F554" s="33">
        <v>93</v>
      </c>
      <c r="G554" s="33" t="s">
        <v>3449</v>
      </c>
      <c r="H554" s="33" t="s">
        <v>3711</v>
      </c>
      <c r="I554" s="33" t="s">
        <v>39</v>
      </c>
      <c r="J554" s="33" t="s">
        <v>3451</v>
      </c>
      <c r="K554" s="33" t="s">
        <v>41</v>
      </c>
    </row>
    <row r="555" spans="1:12" hidden="1" x14ac:dyDescent="0.3">
      <c r="A555" s="39">
        <v>46077.670624999999</v>
      </c>
      <c r="B555" s="33" t="s">
        <v>45</v>
      </c>
      <c r="C555" s="33">
        <v>4432321324</v>
      </c>
      <c r="E555" s="33">
        <v>907</v>
      </c>
      <c r="F555" s="33">
        <v>903</v>
      </c>
      <c r="G555" s="33" t="s">
        <v>38</v>
      </c>
      <c r="H555" s="33" t="s">
        <v>5380</v>
      </c>
      <c r="I555" s="33" t="s">
        <v>46</v>
      </c>
      <c r="J555" s="33" t="s">
        <v>40</v>
      </c>
    </row>
    <row r="556" spans="1:12" hidden="1" x14ac:dyDescent="0.3">
      <c r="A556" s="39">
        <v>46077.665162037039</v>
      </c>
      <c r="B556" s="33">
        <v>44991284259</v>
      </c>
      <c r="C556" s="33" t="s">
        <v>37</v>
      </c>
      <c r="D556" s="33">
        <v>4430265054</v>
      </c>
      <c r="E556" s="33">
        <v>892</v>
      </c>
      <c r="F556" s="33">
        <v>832</v>
      </c>
      <c r="G556" s="33" t="s">
        <v>38</v>
      </c>
      <c r="H556" s="33" t="s">
        <v>3712</v>
      </c>
      <c r="I556" s="33" t="s">
        <v>39</v>
      </c>
      <c r="J556" s="33" t="s">
        <v>40</v>
      </c>
      <c r="K556" s="33" t="s">
        <v>41</v>
      </c>
    </row>
    <row r="557" spans="1:12" hidden="1" x14ac:dyDescent="0.3">
      <c r="A557" s="39">
        <v>46077.662002314813</v>
      </c>
      <c r="B557" s="33">
        <v>43991364602</v>
      </c>
      <c r="C557" s="33" t="s">
        <v>3627</v>
      </c>
      <c r="D557" s="33">
        <v>4430265054</v>
      </c>
      <c r="E557" s="33">
        <v>165</v>
      </c>
      <c r="F557" s="33">
        <v>142</v>
      </c>
      <c r="G557" s="33" t="s">
        <v>38</v>
      </c>
      <c r="H557" s="33" t="s">
        <v>5381</v>
      </c>
      <c r="I557" s="33" t="s">
        <v>39</v>
      </c>
      <c r="J557" s="33" t="s">
        <v>3629</v>
      </c>
      <c r="K557" s="33" t="s">
        <v>50</v>
      </c>
    </row>
    <row r="558" spans="1:12" hidden="1" x14ac:dyDescent="0.3">
      <c r="A558" s="39">
        <v>46077.660914351851</v>
      </c>
      <c r="B558" s="33">
        <v>4430191401</v>
      </c>
      <c r="C558" s="33" t="s">
        <v>44</v>
      </c>
      <c r="D558" s="33">
        <v>4430265054</v>
      </c>
      <c r="E558" s="33">
        <v>156</v>
      </c>
      <c r="F558" s="33">
        <v>94</v>
      </c>
      <c r="G558" s="33" t="s">
        <v>38</v>
      </c>
      <c r="H558" s="33" t="s">
        <v>3713</v>
      </c>
      <c r="I558" s="33" t="s">
        <v>39</v>
      </c>
      <c r="J558" s="33" t="s">
        <v>40</v>
      </c>
      <c r="K558" s="33" t="s">
        <v>41</v>
      </c>
    </row>
    <row r="559" spans="1:12" hidden="1" x14ac:dyDescent="0.3">
      <c r="A559" s="39">
        <v>46077.659884259258</v>
      </c>
      <c r="B559" s="33">
        <v>41988796768</v>
      </c>
      <c r="C559" s="33" t="s">
        <v>45</v>
      </c>
      <c r="D559" s="33">
        <v>4430265054</v>
      </c>
      <c r="E559" s="33">
        <v>893</v>
      </c>
      <c r="F559" s="33">
        <v>774</v>
      </c>
      <c r="G559" s="33" t="s">
        <v>38</v>
      </c>
      <c r="H559" s="33" t="s">
        <v>3714</v>
      </c>
      <c r="I559" s="33" t="s">
        <v>39</v>
      </c>
      <c r="J559" s="33" t="s">
        <v>40</v>
      </c>
      <c r="K559" s="33" t="s">
        <v>41</v>
      </c>
      <c r="L559" s="33">
        <v>5</v>
      </c>
    </row>
    <row r="560" spans="1:12" hidden="1" x14ac:dyDescent="0.3">
      <c r="A560" s="39">
        <v>46077.659699074073</v>
      </c>
      <c r="B560" s="33">
        <v>44984140993</v>
      </c>
      <c r="C560" s="33">
        <v>4430265054</v>
      </c>
      <c r="D560" s="33">
        <v>4430265054</v>
      </c>
      <c r="E560" s="33">
        <v>60</v>
      </c>
      <c r="F560" s="33">
        <v>59</v>
      </c>
      <c r="G560" s="33" t="s">
        <v>3449</v>
      </c>
      <c r="H560" s="33" t="s">
        <v>3715</v>
      </c>
      <c r="I560" s="33" t="s">
        <v>39</v>
      </c>
      <c r="J560" s="33" t="s">
        <v>3451</v>
      </c>
      <c r="K560" s="33" t="s">
        <v>41</v>
      </c>
    </row>
    <row r="561" spans="1:12" hidden="1" x14ac:dyDescent="0.3">
      <c r="A561" s="39">
        <v>46077.658310185187</v>
      </c>
      <c r="B561" s="33" t="s">
        <v>45</v>
      </c>
      <c r="C561" s="33">
        <v>4430291622</v>
      </c>
      <c r="E561" s="33">
        <v>158</v>
      </c>
      <c r="F561" s="33">
        <v>152</v>
      </c>
      <c r="G561" s="33" t="s">
        <v>38</v>
      </c>
      <c r="H561" s="33" t="s">
        <v>5382</v>
      </c>
      <c r="I561" s="33" t="s">
        <v>46</v>
      </c>
      <c r="J561" s="33" t="s">
        <v>40</v>
      </c>
    </row>
    <row r="562" spans="1:12" hidden="1" x14ac:dyDescent="0.3">
      <c r="A562" s="39">
        <v>46077.655543981484</v>
      </c>
      <c r="B562" s="33">
        <v>11965990735</v>
      </c>
      <c r="C562" s="33" t="s">
        <v>37</v>
      </c>
      <c r="D562" s="33">
        <v>4430265054</v>
      </c>
      <c r="E562" s="33">
        <v>235</v>
      </c>
      <c r="F562" s="33">
        <v>207</v>
      </c>
      <c r="G562" s="33" t="s">
        <v>38</v>
      </c>
      <c r="H562" s="33" t="s">
        <v>3716</v>
      </c>
      <c r="I562" s="33" t="s">
        <v>39</v>
      </c>
      <c r="J562" s="33" t="s">
        <v>40</v>
      </c>
      <c r="K562" s="33" t="s">
        <v>41</v>
      </c>
      <c r="L562" s="33">
        <v>5</v>
      </c>
    </row>
    <row r="563" spans="1:12" hidden="1" x14ac:dyDescent="0.3">
      <c r="A563" s="39">
        <v>46077.653229166666</v>
      </c>
      <c r="B563" s="33">
        <v>1122345589</v>
      </c>
      <c r="C563" s="33" t="s">
        <v>45</v>
      </c>
      <c r="D563" s="33">
        <v>4430265054</v>
      </c>
      <c r="E563" s="33">
        <v>214</v>
      </c>
      <c r="F563" s="33">
        <v>95</v>
      </c>
      <c r="G563" s="33" t="s">
        <v>38</v>
      </c>
      <c r="H563" s="33" t="s">
        <v>3717</v>
      </c>
      <c r="I563" s="33" t="s">
        <v>39</v>
      </c>
      <c r="J563" s="33" t="s">
        <v>40</v>
      </c>
      <c r="K563" s="33" t="s">
        <v>41</v>
      </c>
    </row>
    <row r="564" spans="1:12" hidden="1" x14ac:dyDescent="0.3">
      <c r="A564" s="39">
        <v>46077.653217592589</v>
      </c>
      <c r="B564" s="33" t="s">
        <v>44</v>
      </c>
      <c r="C564" s="33">
        <v>44988067937</v>
      </c>
      <c r="E564" s="33">
        <v>519</v>
      </c>
      <c r="F564" s="33">
        <v>500</v>
      </c>
      <c r="G564" s="33" t="s">
        <v>38</v>
      </c>
      <c r="H564" s="33" t="s">
        <v>5383</v>
      </c>
      <c r="I564" s="33" t="s">
        <v>46</v>
      </c>
      <c r="J564" s="33" t="s">
        <v>40</v>
      </c>
    </row>
    <row r="565" spans="1:12" hidden="1" x14ac:dyDescent="0.3">
      <c r="A565" s="39">
        <v>46077.65315972222</v>
      </c>
      <c r="B565" s="33" t="s">
        <v>44</v>
      </c>
      <c r="C565" s="33">
        <v>44988067937</v>
      </c>
      <c r="E565" s="33">
        <v>4</v>
      </c>
      <c r="F565" s="33">
        <v>0</v>
      </c>
      <c r="G565" s="33" t="s">
        <v>47</v>
      </c>
      <c r="H565" s="33" t="s">
        <v>5384</v>
      </c>
      <c r="I565" s="33" t="s">
        <v>46</v>
      </c>
      <c r="J565" s="33" t="s">
        <v>40</v>
      </c>
    </row>
    <row r="566" spans="1:12" hidden="1" x14ac:dyDescent="0.3">
      <c r="A566" s="39">
        <v>46077.65016203704</v>
      </c>
      <c r="B566" s="33">
        <v>4430191401</v>
      </c>
      <c r="C566" s="33" t="s">
        <v>45</v>
      </c>
      <c r="D566" s="33">
        <v>4430265054</v>
      </c>
      <c r="E566" s="33">
        <v>67</v>
      </c>
      <c r="F566" s="33">
        <v>1</v>
      </c>
      <c r="G566" s="33" t="s">
        <v>38</v>
      </c>
      <c r="H566" s="33" t="s">
        <v>3718</v>
      </c>
      <c r="I566" s="33" t="s">
        <v>39</v>
      </c>
      <c r="J566" s="33" t="s">
        <v>40</v>
      </c>
      <c r="K566" s="33" t="s">
        <v>41</v>
      </c>
    </row>
    <row r="567" spans="1:12" hidden="1" x14ac:dyDescent="0.3">
      <c r="A567" s="39">
        <v>46077.646689814814</v>
      </c>
      <c r="B567" s="33">
        <v>44984140993</v>
      </c>
      <c r="C567" s="33" t="s">
        <v>45</v>
      </c>
      <c r="D567" s="33">
        <v>4430265054</v>
      </c>
      <c r="E567" s="33">
        <v>133</v>
      </c>
      <c r="F567" s="33">
        <v>100</v>
      </c>
      <c r="G567" s="33" t="s">
        <v>38</v>
      </c>
      <c r="H567" s="33" t="s">
        <v>3719</v>
      </c>
      <c r="I567" s="33" t="s">
        <v>39</v>
      </c>
      <c r="J567" s="33" t="s">
        <v>40</v>
      </c>
      <c r="K567" s="33" t="s">
        <v>41</v>
      </c>
    </row>
    <row r="568" spans="1:12" hidden="1" x14ac:dyDescent="0.3">
      <c r="A568" s="39">
        <v>46077.646238425928</v>
      </c>
      <c r="B568" s="33">
        <v>4432522019</v>
      </c>
      <c r="C568" s="33" t="s">
        <v>43</v>
      </c>
      <c r="D568" s="33">
        <v>4430265054</v>
      </c>
      <c r="E568" s="33">
        <v>324</v>
      </c>
      <c r="F568" s="33">
        <v>263</v>
      </c>
      <c r="G568" s="33" t="s">
        <v>38</v>
      </c>
      <c r="H568" s="33" t="s">
        <v>3720</v>
      </c>
      <c r="I568" s="33" t="s">
        <v>39</v>
      </c>
      <c r="J568" s="33" t="s">
        <v>40</v>
      </c>
      <c r="K568" s="33" t="s">
        <v>41</v>
      </c>
    </row>
    <row r="569" spans="1:12" x14ac:dyDescent="0.3">
      <c r="A569" s="39">
        <v>46077.643923611111</v>
      </c>
      <c r="B569" s="33">
        <v>53981112780</v>
      </c>
      <c r="C569" s="33" t="s">
        <v>44</v>
      </c>
      <c r="D569" s="33">
        <v>4430265054</v>
      </c>
      <c r="E569" s="33">
        <v>446</v>
      </c>
      <c r="F569" s="33">
        <v>290</v>
      </c>
      <c r="G569" s="33" t="s">
        <v>38</v>
      </c>
      <c r="H569" s="33" t="s">
        <v>3721</v>
      </c>
      <c r="I569" s="33" t="s">
        <v>39</v>
      </c>
      <c r="J569" s="33" t="s">
        <v>40</v>
      </c>
      <c r="K569" s="33" t="s">
        <v>41</v>
      </c>
      <c r="L569" s="33">
        <v>5</v>
      </c>
    </row>
    <row r="570" spans="1:12" hidden="1" x14ac:dyDescent="0.3">
      <c r="A570" s="39">
        <v>46077.642083333332</v>
      </c>
      <c r="B570" s="33">
        <v>6234347959</v>
      </c>
      <c r="C570" s="33" t="s">
        <v>37</v>
      </c>
      <c r="D570" s="33">
        <v>4430265054</v>
      </c>
      <c r="E570" s="33">
        <v>507</v>
      </c>
      <c r="F570" s="33">
        <v>469</v>
      </c>
      <c r="G570" s="33" t="s">
        <v>38</v>
      </c>
      <c r="H570" s="33" t="s">
        <v>3722</v>
      </c>
      <c r="I570" s="33" t="s">
        <v>39</v>
      </c>
      <c r="J570" s="33" t="s">
        <v>40</v>
      </c>
      <c r="K570" s="33" t="s">
        <v>41</v>
      </c>
      <c r="L570" s="33">
        <v>5</v>
      </c>
    </row>
    <row r="571" spans="1:12" hidden="1" x14ac:dyDescent="0.3">
      <c r="A571" s="39">
        <v>46077.636608796296</v>
      </c>
      <c r="B571" s="33">
        <v>17981577787</v>
      </c>
      <c r="C571" s="33">
        <v>4430265054</v>
      </c>
      <c r="D571" s="33">
        <v>4430265054</v>
      </c>
      <c r="E571" s="33">
        <v>45</v>
      </c>
      <c r="F571" s="33">
        <v>45</v>
      </c>
      <c r="G571" s="33" t="s">
        <v>3449</v>
      </c>
      <c r="H571" s="33" t="s">
        <v>3723</v>
      </c>
      <c r="I571" s="33" t="s">
        <v>39</v>
      </c>
      <c r="J571" s="33" t="s">
        <v>3451</v>
      </c>
      <c r="K571" s="33" t="s">
        <v>41</v>
      </c>
    </row>
    <row r="572" spans="1:12" hidden="1" x14ac:dyDescent="0.3">
      <c r="A572" s="39">
        <v>46077.636365740742</v>
      </c>
      <c r="B572" s="33">
        <v>43991364602</v>
      </c>
      <c r="C572" s="33" t="s">
        <v>3627</v>
      </c>
      <c r="D572" s="33">
        <v>4430265054</v>
      </c>
      <c r="E572" s="33">
        <v>303</v>
      </c>
      <c r="F572" s="33">
        <v>281</v>
      </c>
      <c r="G572" s="33" t="s">
        <v>38</v>
      </c>
      <c r="H572" s="33" t="s">
        <v>5385</v>
      </c>
      <c r="I572" s="33" t="s">
        <v>39</v>
      </c>
      <c r="J572" s="33" t="s">
        <v>3629</v>
      </c>
      <c r="K572" s="33" t="s">
        <v>50</v>
      </c>
    </row>
    <row r="573" spans="1:12" hidden="1" x14ac:dyDescent="0.3">
      <c r="A573" s="39">
        <v>46077.636053240742</v>
      </c>
      <c r="B573" s="33" t="s">
        <v>45</v>
      </c>
      <c r="C573" s="33">
        <v>44991333591</v>
      </c>
      <c r="E573" s="33">
        <v>273</v>
      </c>
      <c r="F573" s="33">
        <v>266</v>
      </c>
      <c r="G573" s="33" t="s">
        <v>38</v>
      </c>
      <c r="H573" s="33" t="s">
        <v>5386</v>
      </c>
      <c r="I573" s="33" t="s">
        <v>46</v>
      </c>
      <c r="J573" s="33" t="s">
        <v>40</v>
      </c>
    </row>
    <row r="574" spans="1:12" hidden="1" x14ac:dyDescent="0.3">
      <c r="A574" s="39">
        <v>46077.630601851852</v>
      </c>
      <c r="B574" s="33">
        <v>4635363602</v>
      </c>
      <c r="C574" s="33" t="s">
        <v>45</v>
      </c>
      <c r="D574" s="33">
        <v>4430265054</v>
      </c>
      <c r="E574" s="33">
        <v>202</v>
      </c>
      <c r="F574" s="33">
        <v>139</v>
      </c>
      <c r="G574" s="33" t="s">
        <v>38</v>
      </c>
      <c r="H574" s="33" t="s">
        <v>3724</v>
      </c>
      <c r="I574" s="33" t="s">
        <v>39</v>
      </c>
      <c r="J574" s="33" t="s">
        <v>40</v>
      </c>
      <c r="K574" s="33" t="s">
        <v>41</v>
      </c>
    </row>
    <row r="575" spans="1:12" x14ac:dyDescent="0.3">
      <c r="A575" s="39">
        <v>46077.62228009259</v>
      </c>
      <c r="B575" s="33">
        <v>4430141092</v>
      </c>
      <c r="C575" s="33" t="s">
        <v>44</v>
      </c>
      <c r="D575" s="33">
        <v>4430265054</v>
      </c>
      <c r="E575" s="33">
        <v>946</v>
      </c>
      <c r="F575" s="33">
        <v>839</v>
      </c>
      <c r="G575" s="33" t="s">
        <v>38</v>
      </c>
      <c r="H575" s="33" t="s">
        <v>3725</v>
      </c>
      <c r="I575" s="33" t="s">
        <v>39</v>
      </c>
      <c r="J575" s="33" t="s">
        <v>40</v>
      </c>
      <c r="K575" s="33" t="s">
        <v>41</v>
      </c>
      <c r="L575" s="33">
        <v>5</v>
      </c>
    </row>
    <row r="576" spans="1:12" hidden="1" x14ac:dyDescent="0.3">
      <c r="A576" s="39">
        <v>46077.620289351849</v>
      </c>
      <c r="B576" s="33">
        <v>4635363602</v>
      </c>
      <c r="C576" s="33">
        <v>4430265054</v>
      </c>
      <c r="D576" s="33">
        <v>4430265054</v>
      </c>
      <c r="E576" s="33">
        <v>104</v>
      </c>
      <c r="F576" s="33">
        <v>103</v>
      </c>
      <c r="G576" s="33" t="s">
        <v>3449</v>
      </c>
      <c r="H576" s="33" t="s">
        <v>3726</v>
      </c>
      <c r="I576" s="33" t="s">
        <v>39</v>
      </c>
      <c r="J576" s="33" t="s">
        <v>3451</v>
      </c>
      <c r="K576" s="33" t="s">
        <v>41</v>
      </c>
    </row>
    <row r="577" spans="1:12" hidden="1" x14ac:dyDescent="0.3">
      <c r="A577" s="39">
        <v>46077.61886574074</v>
      </c>
      <c r="B577" s="33">
        <v>44991237155</v>
      </c>
      <c r="C577" s="33" t="s">
        <v>48</v>
      </c>
      <c r="D577" s="33">
        <v>4430265054</v>
      </c>
      <c r="E577" s="33">
        <v>1003</v>
      </c>
      <c r="F577" s="33">
        <v>912</v>
      </c>
      <c r="G577" s="33" t="s">
        <v>38</v>
      </c>
      <c r="H577" s="33" t="s">
        <v>3727</v>
      </c>
      <c r="I577" s="33" t="s">
        <v>39</v>
      </c>
      <c r="J577" s="33" t="s">
        <v>40</v>
      </c>
      <c r="K577" s="33" t="s">
        <v>41</v>
      </c>
    </row>
    <row r="578" spans="1:12" hidden="1" x14ac:dyDescent="0.3">
      <c r="A578" s="39">
        <v>46077.615277777775</v>
      </c>
      <c r="B578" s="33">
        <v>11964449514</v>
      </c>
      <c r="C578" s="33" t="s">
        <v>42</v>
      </c>
      <c r="D578" s="33">
        <v>4431268225</v>
      </c>
      <c r="E578" s="33">
        <v>1506</v>
      </c>
      <c r="F578" s="33">
        <v>1470</v>
      </c>
      <c r="G578" s="33" t="s">
        <v>38</v>
      </c>
      <c r="H578" s="33" t="s">
        <v>3728</v>
      </c>
      <c r="I578" s="33" t="s">
        <v>39</v>
      </c>
      <c r="J578" s="33" t="s">
        <v>40</v>
      </c>
      <c r="K578" s="33" t="s">
        <v>41</v>
      </c>
    </row>
    <row r="579" spans="1:12" hidden="1" x14ac:dyDescent="0.3">
      <c r="A579" s="39">
        <v>46077.613495370373</v>
      </c>
      <c r="B579" s="33">
        <v>44988303530</v>
      </c>
      <c r="C579" s="33" t="s">
        <v>44</v>
      </c>
      <c r="D579" s="33">
        <v>4430265054</v>
      </c>
      <c r="E579" s="33">
        <v>696</v>
      </c>
      <c r="F579" s="33">
        <v>540</v>
      </c>
      <c r="G579" s="33" t="s">
        <v>38</v>
      </c>
      <c r="H579" s="33" t="s">
        <v>3729</v>
      </c>
      <c r="I579" s="33" t="s">
        <v>39</v>
      </c>
      <c r="J579" s="33" t="s">
        <v>40</v>
      </c>
      <c r="K579" s="33" t="s">
        <v>41</v>
      </c>
    </row>
    <row r="580" spans="1:12" hidden="1" x14ac:dyDescent="0.3">
      <c r="A580" s="39">
        <v>46077.613425925927</v>
      </c>
      <c r="B580" s="33">
        <v>62994086124</v>
      </c>
      <c r="C580" s="33" t="s">
        <v>45</v>
      </c>
      <c r="D580" s="33">
        <v>4430265054</v>
      </c>
      <c r="E580" s="33">
        <v>979</v>
      </c>
      <c r="F580" s="33">
        <v>900</v>
      </c>
      <c r="G580" s="33" t="s">
        <v>38</v>
      </c>
      <c r="H580" s="33" t="s">
        <v>3730</v>
      </c>
      <c r="I580" s="33" t="s">
        <v>39</v>
      </c>
      <c r="J580" s="33" t="s">
        <v>40</v>
      </c>
      <c r="K580" s="33" t="s">
        <v>41</v>
      </c>
      <c r="L580" s="33">
        <v>5</v>
      </c>
    </row>
    <row r="581" spans="1:12" hidden="1" x14ac:dyDescent="0.3">
      <c r="A581" s="39">
        <v>46077.609872685185</v>
      </c>
      <c r="B581" s="33">
        <v>4434221675</v>
      </c>
      <c r="C581" s="33" t="s">
        <v>37</v>
      </c>
      <c r="D581" s="33">
        <v>4430265054</v>
      </c>
      <c r="E581" s="33">
        <v>1944</v>
      </c>
      <c r="F581" s="33">
        <v>1897</v>
      </c>
      <c r="G581" s="33" t="s">
        <v>38</v>
      </c>
      <c r="H581" s="33" t="s">
        <v>3731</v>
      </c>
      <c r="I581" s="33" t="s">
        <v>39</v>
      </c>
      <c r="J581" s="33" t="s">
        <v>40</v>
      </c>
      <c r="K581" s="33" t="s">
        <v>41</v>
      </c>
    </row>
    <row r="582" spans="1:12" hidden="1" x14ac:dyDescent="0.3">
      <c r="A582" s="39">
        <v>46077.60974537037</v>
      </c>
      <c r="B582" s="33">
        <v>4433235524</v>
      </c>
      <c r="C582" s="33" t="s">
        <v>43</v>
      </c>
      <c r="D582" s="33">
        <v>4430265054</v>
      </c>
      <c r="E582" s="33">
        <v>1911</v>
      </c>
      <c r="F582" s="33">
        <v>1843</v>
      </c>
      <c r="G582" s="33" t="s">
        <v>38</v>
      </c>
      <c r="H582" s="33" t="s">
        <v>3732</v>
      </c>
      <c r="I582" s="33" t="s">
        <v>39</v>
      </c>
      <c r="J582" s="33" t="s">
        <v>40</v>
      </c>
      <c r="K582" s="33" t="s">
        <v>41</v>
      </c>
    </row>
    <row r="583" spans="1:12" hidden="1" x14ac:dyDescent="0.3">
      <c r="A583" s="39">
        <v>46077.608831018515</v>
      </c>
      <c r="B583" s="33" t="s">
        <v>37</v>
      </c>
      <c r="C583" s="33">
        <v>11998030658</v>
      </c>
      <c r="E583" s="33">
        <v>36</v>
      </c>
      <c r="F583" s="33">
        <v>0</v>
      </c>
      <c r="G583" s="33" t="s">
        <v>47</v>
      </c>
      <c r="H583" s="33" t="s">
        <v>5387</v>
      </c>
      <c r="I583" s="33" t="s">
        <v>46</v>
      </c>
      <c r="J583" s="33" t="s">
        <v>40</v>
      </c>
    </row>
    <row r="584" spans="1:12" hidden="1" x14ac:dyDescent="0.3">
      <c r="A584" s="39">
        <v>46077.607002314813</v>
      </c>
      <c r="B584" s="33" t="s">
        <v>37</v>
      </c>
      <c r="C584" s="33">
        <v>11998030658</v>
      </c>
      <c r="E584" s="33">
        <v>35</v>
      </c>
      <c r="F584" s="33">
        <v>0</v>
      </c>
      <c r="G584" s="33" t="s">
        <v>47</v>
      </c>
      <c r="H584" s="33" t="s">
        <v>5388</v>
      </c>
      <c r="I584" s="33" t="s">
        <v>46</v>
      </c>
      <c r="J584" s="33" t="s">
        <v>40</v>
      </c>
    </row>
    <row r="585" spans="1:12" hidden="1" x14ac:dyDescent="0.3">
      <c r="A585" s="39">
        <v>46077.606898148151</v>
      </c>
      <c r="B585" s="33" t="s">
        <v>48</v>
      </c>
      <c r="C585" s="33">
        <v>4133491428</v>
      </c>
      <c r="E585" s="33">
        <v>859</v>
      </c>
      <c r="F585" s="33">
        <v>843</v>
      </c>
      <c r="G585" s="33" t="s">
        <v>38</v>
      </c>
      <c r="H585" s="33" t="s">
        <v>5389</v>
      </c>
      <c r="I585" s="33" t="s">
        <v>46</v>
      </c>
      <c r="J585" s="33" t="s">
        <v>40</v>
      </c>
    </row>
    <row r="586" spans="1:12" hidden="1" x14ac:dyDescent="0.3">
      <c r="A586" s="39">
        <v>46077.602152777778</v>
      </c>
      <c r="B586" s="33">
        <v>77999014770</v>
      </c>
      <c r="C586" s="33" t="s">
        <v>44</v>
      </c>
      <c r="D586" s="33">
        <v>4430265054</v>
      </c>
      <c r="E586" s="33">
        <v>227</v>
      </c>
      <c r="F586" s="33">
        <v>150</v>
      </c>
      <c r="G586" s="33" t="s">
        <v>38</v>
      </c>
      <c r="H586" s="33" t="s">
        <v>3733</v>
      </c>
      <c r="I586" s="33" t="s">
        <v>39</v>
      </c>
      <c r="J586" s="33" t="s">
        <v>40</v>
      </c>
      <c r="K586" s="33" t="s">
        <v>41</v>
      </c>
    </row>
    <row r="587" spans="1:12" hidden="1" x14ac:dyDescent="0.3">
      <c r="A587" s="39">
        <v>46077.600081018521</v>
      </c>
      <c r="B587" s="33">
        <v>1128897100</v>
      </c>
      <c r="C587" s="33" t="s">
        <v>48</v>
      </c>
      <c r="D587" s="33">
        <v>4430265054</v>
      </c>
      <c r="E587" s="33">
        <v>436</v>
      </c>
      <c r="F587" s="33">
        <v>400</v>
      </c>
      <c r="G587" s="33" t="s">
        <v>38</v>
      </c>
      <c r="H587" s="33" t="s">
        <v>3734</v>
      </c>
      <c r="I587" s="33" t="s">
        <v>39</v>
      </c>
      <c r="J587" s="33" t="s">
        <v>40</v>
      </c>
      <c r="K587" s="33" t="s">
        <v>41</v>
      </c>
    </row>
    <row r="588" spans="1:12" hidden="1" x14ac:dyDescent="0.3">
      <c r="A588" s="39">
        <v>46077.598645833335</v>
      </c>
      <c r="B588" s="33">
        <v>44998100737</v>
      </c>
      <c r="C588" s="33" t="s">
        <v>37</v>
      </c>
      <c r="D588" s="33">
        <v>4430265054</v>
      </c>
      <c r="E588" s="33">
        <v>179</v>
      </c>
      <c r="F588" s="33">
        <v>157</v>
      </c>
      <c r="G588" s="33" t="s">
        <v>38</v>
      </c>
      <c r="H588" s="33" t="s">
        <v>3735</v>
      </c>
      <c r="I588" s="33" t="s">
        <v>39</v>
      </c>
      <c r="J588" s="33" t="s">
        <v>40</v>
      </c>
      <c r="K588" s="33" t="s">
        <v>41</v>
      </c>
    </row>
    <row r="589" spans="1:12" hidden="1" x14ac:dyDescent="0.3">
      <c r="A589" s="39">
        <v>46077.597986111112</v>
      </c>
      <c r="B589" s="33">
        <v>91981481202</v>
      </c>
      <c r="C589" s="33" t="s">
        <v>45</v>
      </c>
      <c r="D589" s="33">
        <v>4430265054</v>
      </c>
      <c r="E589" s="33">
        <v>849</v>
      </c>
      <c r="F589" s="33">
        <v>823</v>
      </c>
      <c r="G589" s="33" t="s">
        <v>38</v>
      </c>
      <c r="H589" s="33" t="s">
        <v>3736</v>
      </c>
      <c r="I589" s="33" t="s">
        <v>39</v>
      </c>
      <c r="J589" s="33" t="s">
        <v>40</v>
      </c>
      <c r="K589" s="33" t="s">
        <v>41</v>
      </c>
    </row>
    <row r="590" spans="1:12" hidden="1" x14ac:dyDescent="0.3">
      <c r="A590" s="39">
        <v>46077.597060185188</v>
      </c>
      <c r="B590" s="33" t="s">
        <v>48</v>
      </c>
      <c r="C590" s="33">
        <v>44999195785</v>
      </c>
      <c r="E590" s="33">
        <v>412</v>
      </c>
      <c r="F590" s="33">
        <v>397</v>
      </c>
      <c r="G590" s="33" t="s">
        <v>38</v>
      </c>
      <c r="H590" s="33" t="s">
        <v>5390</v>
      </c>
      <c r="I590" s="33" t="s">
        <v>46</v>
      </c>
      <c r="J590" s="33" t="s">
        <v>40</v>
      </c>
    </row>
    <row r="591" spans="1:12" hidden="1" x14ac:dyDescent="0.3">
      <c r="A591" s="39">
        <v>46077.594421296293</v>
      </c>
      <c r="B591" s="33">
        <v>44999195785</v>
      </c>
      <c r="C591" s="33" t="s">
        <v>45</v>
      </c>
      <c r="D591" s="33">
        <v>4430265054</v>
      </c>
      <c r="E591" s="33">
        <v>100</v>
      </c>
      <c r="F591" s="33">
        <v>38</v>
      </c>
      <c r="G591" s="33" t="s">
        <v>38</v>
      </c>
      <c r="H591" s="33" t="s">
        <v>3737</v>
      </c>
      <c r="I591" s="33" t="s">
        <v>39</v>
      </c>
      <c r="J591" s="33" t="s">
        <v>40</v>
      </c>
      <c r="K591" s="33" t="s">
        <v>41</v>
      </c>
    </row>
    <row r="592" spans="1:12" hidden="1" x14ac:dyDescent="0.3">
      <c r="A592" s="39">
        <v>46077.590439814812</v>
      </c>
      <c r="B592" s="33">
        <v>44991284259</v>
      </c>
      <c r="C592" s="33" t="s">
        <v>44</v>
      </c>
      <c r="D592" s="33">
        <v>4430265054</v>
      </c>
      <c r="E592" s="33">
        <v>872</v>
      </c>
      <c r="F592" s="33">
        <v>765</v>
      </c>
      <c r="G592" s="33" t="s">
        <v>38</v>
      </c>
      <c r="H592" s="33" t="s">
        <v>3738</v>
      </c>
      <c r="I592" s="33" t="s">
        <v>39</v>
      </c>
      <c r="J592" s="33" t="s">
        <v>40</v>
      </c>
      <c r="K592" s="33" t="s">
        <v>41</v>
      </c>
    </row>
    <row r="593" spans="1:12" hidden="1" x14ac:dyDescent="0.3">
      <c r="A593" s="39">
        <v>46077.590196759258</v>
      </c>
      <c r="B593" s="33">
        <v>41988796768</v>
      </c>
      <c r="C593" s="33">
        <v>3000</v>
      </c>
      <c r="D593" s="33">
        <v>4430265054</v>
      </c>
      <c r="E593" s="33">
        <v>1395</v>
      </c>
      <c r="F593" s="33">
        <v>1362</v>
      </c>
      <c r="G593" s="33" t="s">
        <v>38</v>
      </c>
      <c r="H593" s="33" t="s">
        <v>3739</v>
      </c>
      <c r="I593" s="33" t="s">
        <v>39</v>
      </c>
      <c r="J593" s="33" t="s">
        <v>3451</v>
      </c>
      <c r="K593" s="33" t="s">
        <v>41</v>
      </c>
    </row>
    <row r="594" spans="1:12" hidden="1" x14ac:dyDescent="0.3">
      <c r="A594" s="39">
        <v>46077.589409722219</v>
      </c>
      <c r="B594" s="33">
        <v>4432520627</v>
      </c>
      <c r="C594" s="33" t="s">
        <v>42</v>
      </c>
      <c r="D594" s="33">
        <v>4430265054</v>
      </c>
      <c r="E594" s="33">
        <v>333</v>
      </c>
      <c r="F594" s="33">
        <v>212</v>
      </c>
      <c r="G594" s="33" t="s">
        <v>38</v>
      </c>
      <c r="H594" s="33" t="s">
        <v>3740</v>
      </c>
      <c r="I594" s="33" t="s">
        <v>39</v>
      </c>
      <c r="J594" s="33" t="s">
        <v>40</v>
      </c>
      <c r="K594" s="33" t="s">
        <v>41</v>
      </c>
      <c r="L594" s="33">
        <v>5</v>
      </c>
    </row>
    <row r="595" spans="1:12" hidden="1" x14ac:dyDescent="0.3">
      <c r="A595" s="39">
        <v>46077.588576388887</v>
      </c>
      <c r="B595" s="33">
        <v>44999195785</v>
      </c>
      <c r="C595" s="33" t="s">
        <v>48</v>
      </c>
      <c r="D595" s="33">
        <v>4430265054</v>
      </c>
      <c r="E595" s="33">
        <v>475</v>
      </c>
      <c r="F595" s="33">
        <v>390</v>
      </c>
      <c r="G595" s="33" t="s">
        <v>38</v>
      </c>
      <c r="H595" s="33" t="s">
        <v>3741</v>
      </c>
      <c r="I595" s="33" t="s">
        <v>39</v>
      </c>
      <c r="J595" s="33" t="s">
        <v>40</v>
      </c>
      <c r="K595" s="33" t="s">
        <v>41</v>
      </c>
    </row>
    <row r="596" spans="1:12" hidden="1" x14ac:dyDescent="0.3">
      <c r="A596" s="39">
        <v>46077.573263888888</v>
      </c>
      <c r="B596" s="33">
        <v>4532541802</v>
      </c>
      <c r="C596" s="33" t="s">
        <v>44</v>
      </c>
      <c r="D596" s="33">
        <v>4430265054</v>
      </c>
      <c r="E596" s="33">
        <v>274</v>
      </c>
      <c r="F596" s="33">
        <v>231</v>
      </c>
      <c r="G596" s="33" t="s">
        <v>38</v>
      </c>
      <c r="H596" s="33" t="s">
        <v>3742</v>
      </c>
      <c r="I596" s="33" t="s">
        <v>39</v>
      </c>
      <c r="J596" s="33" t="s">
        <v>40</v>
      </c>
      <c r="K596" s="33" t="s">
        <v>41</v>
      </c>
    </row>
    <row r="597" spans="1:12" hidden="1" x14ac:dyDescent="0.3">
      <c r="A597" s="39">
        <v>46077.572002314817</v>
      </c>
      <c r="B597" s="33">
        <v>4430317020</v>
      </c>
      <c r="C597" s="33" t="s">
        <v>45</v>
      </c>
      <c r="D597" s="33">
        <v>4430265054</v>
      </c>
      <c r="E597" s="33">
        <v>1659</v>
      </c>
      <c r="F597" s="33">
        <v>1543</v>
      </c>
      <c r="G597" s="33" t="s">
        <v>38</v>
      </c>
      <c r="H597" s="33" t="s">
        <v>3743</v>
      </c>
      <c r="I597" s="33" t="s">
        <v>39</v>
      </c>
      <c r="J597" s="33" t="s">
        <v>40</v>
      </c>
      <c r="K597" s="33" t="s">
        <v>41</v>
      </c>
    </row>
    <row r="598" spans="1:12" hidden="1" x14ac:dyDescent="0.3">
      <c r="A598" s="39">
        <v>46077.571076388886</v>
      </c>
      <c r="B598" s="33">
        <v>44984140993</v>
      </c>
      <c r="C598" s="33" t="s">
        <v>37</v>
      </c>
      <c r="D598" s="33">
        <v>4430265054</v>
      </c>
      <c r="E598" s="33">
        <v>428</v>
      </c>
      <c r="F598" s="33">
        <v>270</v>
      </c>
      <c r="G598" s="33" t="s">
        <v>38</v>
      </c>
      <c r="H598" s="33" t="s">
        <v>3744</v>
      </c>
      <c r="I598" s="33" t="s">
        <v>39</v>
      </c>
      <c r="J598" s="33" t="s">
        <v>40</v>
      </c>
      <c r="K598" s="33" t="s">
        <v>41</v>
      </c>
    </row>
    <row r="599" spans="1:12" hidden="1" x14ac:dyDescent="0.3">
      <c r="A599" s="39">
        <v>46077.566423611112</v>
      </c>
      <c r="B599" s="33" t="s">
        <v>37</v>
      </c>
      <c r="C599" s="33">
        <v>44991357723</v>
      </c>
      <c r="E599" s="33">
        <v>2</v>
      </c>
      <c r="F599" s="33">
        <v>0</v>
      </c>
      <c r="G599" s="33" t="s">
        <v>47</v>
      </c>
      <c r="H599" s="33" t="s">
        <v>5391</v>
      </c>
      <c r="I599" s="33" t="s">
        <v>46</v>
      </c>
      <c r="J599" s="33" t="s">
        <v>40</v>
      </c>
    </row>
    <row r="600" spans="1:12" hidden="1" x14ac:dyDescent="0.3">
      <c r="A600" s="39">
        <v>46077.565798611111</v>
      </c>
      <c r="B600" s="33">
        <v>4432325260</v>
      </c>
      <c r="C600" s="33" t="s">
        <v>42</v>
      </c>
      <c r="D600" s="33">
        <v>4430265054</v>
      </c>
      <c r="E600" s="33">
        <v>1493</v>
      </c>
      <c r="F600" s="33">
        <v>1444</v>
      </c>
      <c r="G600" s="33" t="s">
        <v>38</v>
      </c>
      <c r="H600" s="33" t="s">
        <v>3745</v>
      </c>
      <c r="I600" s="33" t="s">
        <v>39</v>
      </c>
      <c r="J600" s="33" t="s">
        <v>40</v>
      </c>
      <c r="K600" s="33" t="s">
        <v>41</v>
      </c>
      <c r="L600" s="33">
        <v>5</v>
      </c>
    </row>
    <row r="601" spans="1:12" hidden="1" x14ac:dyDescent="0.3">
      <c r="A601" s="39">
        <v>46077.565740740742</v>
      </c>
      <c r="B601" s="33" t="s">
        <v>37</v>
      </c>
      <c r="C601" s="33">
        <v>4434231198</v>
      </c>
      <c r="E601" s="33">
        <v>8</v>
      </c>
      <c r="F601" s="33">
        <v>0</v>
      </c>
      <c r="G601" s="33" t="s">
        <v>47</v>
      </c>
      <c r="H601" s="33" t="s">
        <v>5392</v>
      </c>
      <c r="I601" s="33" t="s">
        <v>46</v>
      </c>
      <c r="J601" s="33" t="s">
        <v>40</v>
      </c>
    </row>
    <row r="602" spans="1:12" hidden="1" x14ac:dyDescent="0.3">
      <c r="A602" s="39">
        <v>46077.489641203705</v>
      </c>
      <c r="B602" s="33">
        <v>44988255390</v>
      </c>
      <c r="C602" s="33" t="s">
        <v>44</v>
      </c>
      <c r="D602" s="33">
        <v>4430265054</v>
      </c>
      <c r="E602" s="33">
        <v>212</v>
      </c>
      <c r="F602" s="33">
        <v>78</v>
      </c>
      <c r="G602" s="33" t="s">
        <v>38</v>
      </c>
      <c r="H602" s="33" t="s">
        <v>3746</v>
      </c>
      <c r="I602" s="33" t="s">
        <v>39</v>
      </c>
      <c r="J602" s="33" t="s">
        <v>40</v>
      </c>
      <c r="K602" s="33" t="s">
        <v>41</v>
      </c>
    </row>
    <row r="603" spans="1:12" hidden="1" x14ac:dyDescent="0.3">
      <c r="A603" s="39">
        <v>46077.487858796296</v>
      </c>
      <c r="B603" s="33" t="s">
        <v>37</v>
      </c>
      <c r="C603" s="33">
        <v>44991388221</v>
      </c>
      <c r="E603" s="33">
        <v>327</v>
      </c>
      <c r="F603" s="33">
        <v>313</v>
      </c>
      <c r="G603" s="33" t="s">
        <v>38</v>
      </c>
      <c r="H603" s="33" t="s">
        <v>5393</v>
      </c>
      <c r="I603" s="33" t="s">
        <v>46</v>
      </c>
      <c r="J603" s="33" t="s">
        <v>40</v>
      </c>
    </row>
    <row r="604" spans="1:12" hidden="1" x14ac:dyDescent="0.3">
      <c r="A604" s="39">
        <v>46077.487210648149</v>
      </c>
      <c r="B604" s="33" t="s">
        <v>5173</v>
      </c>
      <c r="C604" s="33">
        <v>44997561804</v>
      </c>
      <c r="E604" s="33">
        <v>1166</v>
      </c>
      <c r="F604" s="33">
        <v>1163</v>
      </c>
      <c r="G604" s="33" t="s">
        <v>38</v>
      </c>
      <c r="H604" s="33" t="s">
        <v>5394</v>
      </c>
      <c r="I604" s="33" t="s">
        <v>46</v>
      </c>
      <c r="J604" s="33" t="s">
        <v>3629</v>
      </c>
    </row>
    <row r="605" spans="1:12" x14ac:dyDescent="0.3">
      <c r="A605" s="39">
        <v>46077.484166666669</v>
      </c>
      <c r="B605" s="33">
        <v>6234347959</v>
      </c>
      <c r="C605" s="33" t="s">
        <v>44</v>
      </c>
      <c r="D605" s="33">
        <v>4430265054</v>
      </c>
      <c r="E605" s="33">
        <v>542</v>
      </c>
      <c r="F605" s="33">
        <v>490</v>
      </c>
      <c r="G605" s="33" t="s">
        <v>38</v>
      </c>
      <c r="H605" s="33" t="s">
        <v>3747</v>
      </c>
      <c r="I605" s="33" t="s">
        <v>39</v>
      </c>
      <c r="J605" s="33" t="s">
        <v>40</v>
      </c>
      <c r="K605" s="33" t="s">
        <v>41</v>
      </c>
      <c r="L605" s="33">
        <v>5</v>
      </c>
    </row>
    <row r="606" spans="1:12" hidden="1" x14ac:dyDescent="0.3">
      <c r="A606" s="39">
        <v>46077.483796296299</v>
      </c>
      <c r="B606" s="33" t="s">
        <v>37</v>
      </c>
      <c r="C606" s="33">
        <v>12997346335</v>
      </c>
      <c r="E606" s="33">
        <v>245</v>
      </c>
      <c r="F606" s="33">
        <v>232</v>
      </c>
      <c r="G606" s="33" t="s">
        <v>38</v>
      </c>
      <c r="H606" s="33" t="s">
        <v>5395</v>
      </c>
      <c r="I606" s="33" t="s">
        <v>46</v>
      </c>
      <c r="J606" s="33" t="s">
        <v>40</v>
      </c>
      <c r="L606" s="33">
        <v>5</v>
      </c>
    </row>
    <row r="607" spans="1:12" hidden="1" x14ac:dyDescent="0.3">
      <c r="A607" s="39">
        <v>46077.482361111113</v>
      </c>
      <c r="B607" s="33" t="s">
        <v>3627</v>
      </c>
      <c r="C607" s="33">
        <v>44999985347</v>
      </c>
      <c r="E607" s="33">
        <v>31</v>
      </c>
      <c r="F607" s="33">
        <v>17</v>
      </c>
      <c r="G607" s="33" t="s">
        <v>38</v>
      </c>
      <c r="H607" s="33" t="s">
        <v>5396</v>
      </c>
      <c r="I607" s="33" t="s">
        <v>46</v>
      </c>
      <c r="J607" s="33" t="s">
        <v>3629</v>
      </c>
    </row>
    <row r="608" spans="1:12" hidden="1" x14ac:dyDescent="0.3">
      <c r="A608" s="39">
        <v>46077.481296296297</v>
      </c>
      <c r="B608" s="33" t="s">
        <v>3627</v>
      </c>
      <c r="C608" s="33">
        <v>1140446667</v>
      </c>
      <c r="E608" s="33">
        <v>13</v>
      </c>
      <c r="F608" s="33">
        <v>12</v>
      </c>
      <c r="G608" s="33" t="s">
        <v>38</v>
      </c>
      <c r="H608" s="33" t="s">
        <v>5397</v>
      </c>
      <c r="I608" s="33" t="s">
        <v>46</v>
      </c>
      <c r="J608" s="33" t="s">
        <v>3629</v>
      </c>
    </row>
    <row r="609" spans="1:12" hidden="1" x14ac:dyDescent="0.3">
      <c r="A609" s="39">
        <v>46077.480185185188</v>
      </c>
      <c r="B609" s="33" t="s">
        <v>3627</v>
      </c>
      <c r="C609" s="33">
        <v>37999593936</v>
      </c>
      <c r="E609" s="33">
        <v>21</v>
      </c>
      <c r="F609" s="33">
        <v>9</v>
      </c>
      <c r="G609" s="33" t="s">
        <v>38</v>
      </c>
      <c r="H609" s="33" t="s">
        <v>5398</v>
      </c>
      <c r="I609" s="33" t="s">
        <v>46</v>
      </c>
      <c r="J609" s="33" t="s">
        <v>3629</v>
      </c>
    </row>
    <row r="610" spans="1:12" hidden="1" x14ac:dyDescent="0.3">
      <c r="A610" s="39">
        <v>46077.479375000003</v>
      </c>
      <c r="B610" s="33" t="s">
        <v>3627</v>
      </c>
      <c r="C610" s="33">
        <v>98983450257</v>
      </c>
      <c r="E610" s="33">
        <v>28</v>
      </c>
      <c r="F610" s="33">
        <v>0</v>
      </c>
      <c r="G610" s="33" t="s">
        <v>47</v>
      </c>
      <c r="H610" s="33" t="s">
        <v>5399</v>
      </c>
      <c r="I610" s="33" t="s">
        <v>46</v>
      </c>
      <c r="J610" s="33" t="s">
        <v>3629</v>
      </c>
    </row>
    <row r="611" spans="1:12" hidden="1" x14ac:dyDescent="0.3">
      <c r="A611" s="39">
        <v>46077.478379629632</v>
      </c>
      <c r="B611" s="33" t="s">
        <v>3627</v>
      </c>
      <c r="C611" s="33">
        <v>1138514431</v>
      </c>
      <c r="E611" s="33">
        <v>14</v>
      </c>
      <c r="F611" s="33">
        <v>13</v>
      </c>
      <c r="G611" s="33" t="s">
        <v>38</v>
      </c>
      <c r="H611" s="33" t="s">
        <v>5400</v>
      </c>
      <c r="I611" s="33" t="s">
        <v>46</v>
      </c>
      <c r="J611" s="33" t="s">
        <v>3629</v>
      </c>
    </row>
    <row r="612" spans="1:12" hidden="1" x14ac:dyDescent="0.3">
      <c r="A612" s="39">
        <v>46077.476377314815</v>
      </c>
      <c r="B612" s="33">
        <v>12997346335</v>
      </c>
      <c r="C612" s="33" t="s">
        <v>37</v>
      </c>
      <c r="D612" s="33">
        <v>4430265054</v>
      </c>
      <c r="E612" s="33">
        <v>462</v>
      </c>
      <c r="F612" s="33">
        <v>441</v>
      </c>
      <c r="G612" s="33" t="s">
        <v>38</v>
      </c>
      <c r="H612" s="33" t="s">
        <v>3748</v>
      </c>
      <c r="I612" s="33" t="s">
        <v>39</v>
      </c>
      <c r="J612" s="33" t="s">
        <v>40</v>
      </c>
      <c r="K612" s="33" t="s">
        <v>41</v>
      </c>
      <c r="L612" s="33">
        <v>5</v>
      </c>
    </row>
    <row r="613" spans="1:12" hidden="1" x14ac:dyDescent="0.3">
      <c r="A613" s="39">
        <v>46077.475358796299</v>
      </c>
      <c r="B613" s="33" t="s">
        <v>42</v>
      </c>
      <c r="C613" s="33">
        <v>19996616747</v>
      </c>
      <c r="E613" s="33">
        <v>1408</v>
      </c>
      <c r="F613" s="33">
        <v>1394</v>
      </c>
      <c r="G613" s="33" t="s">
        <v>38</v>
      </c>
      <c r="H613" s="33" t="s">
        <v>5401</v>
      </c>
      <c r="I613" s="33" t="s">
        <v>46</v>
      </c>
      <c r="J613" s="33" t="s">
        <v>40</v>
      </c>
    </row>
    <row r="614" spans="1:12" hidden="1" x14ac:dyDescent="0.3">
      <c r="A614" s="39">
        <v>46077.473761574074</v>
      </c>
      <c r="B614" s="33">
        <v>12997346335</v>
      </c>
      <c r="C614" s="33">
        <v>4430265054</v>
      </c>
      <c r="D614" s="33">
        <v>4430265054</v>
      </c>
      <c r="E614" s="33">
        <v>15</v>
      </c>
      <c r="F614" s="33">
        <v>14</v>
      </c>
      <c r="G614" s="33" t="s">
        <v>3449</v>
      </c>
      <c r="H614" s="33" t="s">
        <v>5402</v>
      </c>
      <c r="I614" s="33" t="s">
        <v>39</v>
      </c>
      <c r="J614" s="33" t="s">
        <v>3451</v>
      </c>
    </row>
    <row r="615" spans="1:12" hidden="1" x14ac:dyDescent="0.3">
      <c r="A615" s="39">
        <v>46077.473692129628</v>
      </c>
      <c r="B615" s="33">
        <v>4130760170</v>
      </c>
      <c r="C615" s="33" t="s">
        <v>45</v>
      </c>
      <c r="D615" s="33">
        <v>4430265054</v>
      </c>
      <c r="E615" s="33">
        <v>1558</v>
      </c>
      <c r="F615" s="33">
        <v>1492</v>
      </c>
      <c r="G615" s="33" t="s">
        <v>38</v>
      </c>
      <c r="H615" s="33" t="s">
        <v>3749</v>
      </c>
      <c r="I615" s="33" t="s">
        <v>39</v>
      </c>
      <c r="J615" s="33" t="s">
        <v>40</v>
      </c>
      <c r="K615" s="33" t="s">
        <v>41</v>
      </c>
    </row>
    <row r="616" spans="1:12" hidden="1" x14ac:dyDescent="0.3">
      <c r="A616" s="39">
        <v>46077.468159722222</v>
      </c>
      <c r="B616" s="33">
        <v>4432325260</v>
      </c>
      <c r="C616" s="33" t="s">
        <v>42</v>
      </c>
      <c r="D616" s="33">
        <v>4430265054</v>
      </c>
      <c r="E616" s="33">
        <v>383</v>
      </c>
      <c r="F616" s="33">
        <v>272</v>
      </c>
      <c r="G616" s="33" t="s">
        <v>38</v>
      </c>
      <c r="H616" s="33" t="s">
        <v>3750</v>
      </c>
      <c r="I616" s="33" t="s">
        <v>39</v>
      </c>
      <c r="J616" s="33" t="s">
        <v>40</v>
      </c>
      <c r="K616" s="33" t="s">
        <v>41</v>
      </c>
      <c r="L616" s="33">
        <v>5</v>
      </c>
    </row>
    <row r="617" spans="1:12" hidden="1" x14ac:dyDescent="0.3">
      <c r="A617" s="39">
        <v>46077.468148148146</v>
      </c>
      <c r="B617" s="33">
        <v>62994086124</v>
      </c>
      <c r="C617" s="33" t="s">
        <v>44</v>
      </c>
      <c r="D617" s="33">
        <v>4430265054</v>
      </c>
      <c r="E617" s="33">
        <v>583</v>
      </c>
      <c r="F617" s="33">
        <v>422</v>
      </c>
      <c r="G617" s="33" t="s">
        <v>38</v>
      </c>
      <c r="H617" s="33" t="s">
        <v>3751</v>
      </c>
      <c r="I617" s="33" t="s">
        <v>39</v>
      </c>
      <c r="J617" s="33" t="s">
        <v>40</v>
      </c>
      <c r="K617" s="33" t="s">
        <v>41</v>
      </c>
    </row>
    <row r="618" spans="1:12" hidden="1" x14ac:dyDescent="0.3">
      <c r="A618" s="39">
        <v>46077.457395833335</v>
      </c>
      <c r="B618" s="33">
        <v>1131043888</v>
      </c>
      <c r="C618" s="33" t="s">
        <v>48</v>
      </c>
      <c r="D618" s="33">
        <v>4430265054</v>
      </c>
      <c r="E618" s="33">
        <v>532</v>
      </c>
      <c r="F618" s="33">
        <v>531</v>
      </c>
      <c r="G618" s="33" t="s">
        <v>38</v>
      </c>
      <c r="H618" s="33" t="s">
        <v>3752</v>
      </c>
      <c r="I618" s="33" t="s">
        <v>39</v>
      </c>
      <c r="J618" s="33" t="s">
        <v>40</v>
      </c>
      <c r="K618" s="33" t="s">
        <v>41</v>
      </c>
    </row>
    <row r="619" spans="1:12" hidden="1" x14ac:dyDescent="0.3">
      <c r="A619" s="39">
        <v>46077.454456018517</v>
      </c>
      <c r="B619" s="33">
        <v>4430266744</v>
      </c>
      <c r="C619" s="33" t="s">
        <v>37</v>
      </c>
      <c r="D619" s="33">
        <v>4430265054</v>
      </c>
      <c r="E619" s="33">
        <v>962</v>
      </c>
      <c r="F619" s="33">
        <v>863</v>
      </c>
      <c r="G619" s="33" t="s">
        <v>38</v>
      </c>
      <c r="H619" s="33" t="s">
        <v>3753</v>
      </c>
      <c r="I619" s="33" t="s">
        <v>39</v>
      </c>
      <c r="J619" s="33" t="s">
        <v>40</v>
      </c>
      <c r="K619" s="33" t="s">
        <v>41</v>
      </c>
    </row>
    <row r="620" spans="1:12" hidden="1" x14ac:dyDescent="0.3">
      <c r="A620" s="39">
        <v>46077.449004629627</v>
      </c>
      <c r="B620" s="33">
        <v>4430291622</v>
      </c>
      <c r="C620" s="33" t="s">
        <v>45</v>
      </c>
      <c r="D620" s="33">
        <v>4430265054</v>
      </c>
      <c r="E620" s="33">
        <v>1444</v>
      </c>
      <c r="F620" s="33">
        <v>1429</v>
      </c>
      <c r="G620" s="33" t="s">
        <v>38</v>
      </c>
      <c r="H620" s="33" t="s">
        <v>3754</v>
      </c>
      <c r="I620" s="33" t="s">
        <v>39</v>
      </c>
      <c r="J620" s="33" t="s">
        <v>40</v>
      </c>
      <c r="K620" s="33" t="s">
        <v>41</v>
      </c>
    </row>
    <row r="621" spans="1:12" hidden="1" x14ac:dyDescent="0.3">
      <c r="A621" s="39">
        <v>46077.443032407406</v>
      </c>
      <c r="B621" s="33">
        <v>1131043888</v>
      </c>
      <c r="C621" s="33" t="s">
        <v>44</v>
      </c>
      <c r="D621" s="33">
        <v>4430265054</v>
      </c>
      <c r="E621" s="33">
        <v>1579</v>
      </c>
      <c r="F621" s="33">
        <v>1559</v>
      </c>
      <c r="G621" s="33" t="s">
        <v>38</v>
      </c>
      <c r="H621" s="33" t="s">
        <v>3755</v>
      </c>
      <c r="I621" s="33" t="s">
        <v>39</v>
      </c>
      <c r="J621" s="33" t="s">
        <v>40</v>
      </c>
      <c r="K621" s="33" t="s">
        <v>41</v>
      </c>
    </row>
    <row r="622" spans="1:12" hidden="1" x14ac:dyDescent="0.3">
      <c r="A622" s="39">
        <v>46077.440370370372</v>
      </c>
      <c r="B622" s="33" t="s">
        <v>42</v>
      </c>
      <c r="C622" s="33">
        <v>4430162376</v>
      </c>
      <c r="E622" s="33">
        <v>231</v>
      </c>
      <c r="F622" s="33">
        <v>215</v>
      </c>
      <c r="G622" s="33" t="s">
        <v>38</v>
      </c>
      <c r="H622" s="33" t="s">
        <v>5403</v>
      </c>
      <c r="I622" s="33" t="s">
        <v>46</v>
      </c>
      <c r="J622" s="33" t="s">
        <v>40</v>
      </c>
    </row>
    <row r="623" spans="1:12" hidden="1" x14ac:dyDescent="0.3">
      <c r="A623" s="39">
        <v>46077.440300925926</v>
      </c>
      <c r="B623" s="33" t="s">
        <v>42</v>
      </c>
      <c r="C623" s="33">
        <v>4430162376</v>
      </c>
      <c r="E623" s="33">
        <v>3</v>
      </c>
      <c r="F623" s="33">
        <v>0</v>
      </c>
      <c r="G623" s="33" t="s">
        <v>47</v>
      </c>
      <c r="H623" s="33" t="s">
        <v>5404</v>
      </c>
      <c r="I623" s="33" t="s">
        <v>46</v>
      </c>
      <c r="J623" s="33" t="s">
        <v>40</v>
      </c>
    </row>
    <row r="624" spans="1:12" hidden="1" x14ac:dyDescent="0.3">
      <c r="A624" s="39">
        <v>46077.439351851855</v>
      </c>
      <c r="B624" s="33">
        <v>1131043888</v>
      </c>
      <c r="C624" s="33" t="s">
        <v>43</v>
      </c>
      <c r="D624" s="33">
        <v>4430265054</v>
      </c>
      <c r="E624" s="33">
        <v>178</v>
      </c>
      <c r="F624" s="33">
        <v>91</v>
      </c>
      <c r="G624" s="33" t="s">
        <v>38</v>
      </c>
      <c r="H624" s="33" t="s">
        <v>3756</v>
      </c>
      <c r="I624" s="33" t="s">
        <v>39</v>
      </c>
      <c r="J624" s="33" t="s">
        <v>40</v>
      </c>
      <c r="K624" s="33" t="s">
        <v>41</v>
      </c>
    </row>
    <row r="625" spans="1:12" hidden="1" x14ac:dyDescent="0.3">
      <c r="A625" s="39">
        <v>46077.433240740742</v>
      </c>
      <c r="B625" s="33">
        <v>44998703003</v>
      </c>
      <c r="C625" s="33" t="s">
        <v>37</v>
      </c>
      <c r="D625" s="33">
        <v>4430265054</v>
      </c>
      <c r="E625" s="33">
        <v>1524</v>
      </c>
      <c r="F625" s="33">
        <v>1496</v>
      </c>
      <c r="G625" s="33" t="s">
        <v>38</v>
      </c>
      <c r="H625" s="33" t="s">
        <v>3757</v>
      </c>
      <c r="I625" s="33" t="s">
        <v>39</v>
      </c>
      <c r="J625" s="33" t="s">
        <v>40</v>
      </c>
      <c r="K625" s="33" t="s">
        <v>41</v>
      </c>
    </row>
    <row r="626" spans="1:12" hidden="1" x14ac:dyDescent="0.3">
      <c r="A626" s="39">
        <v>46077.433020833334</v>
      </c>
      <c r="B626" s="33">
        <v>83988398480</v>
      </c>
      <c r="C626" s="33" t="s">
        <v>3627</v>
      </c>
      <c r="D626" s="33">
        <v>4430265054</v>
      </c>
      <c r="E626" s="33">
        <v>336</v>
      </c>
      <c r="F626" s="33">
        <v>284</v>
      </c>
      <c r="G626" s="33" t="s">
        <v>38</v>
      </c>
      <c r="H626" s="33" t="s">
        <v>5405</v>
      </c>
      <c r="I626" s="33" t="s">
        <v>39</v>
      </c>
      <c r="J626" s="33" t="s">
        <v>3629</v>
      </c>
      <c r="K626" s="33" t="s">
        <v>50</v>
      </c>
    </row>
    <row r="627" spans="1:12" hidden="1" x14ac:dyDescent="0.3">
      <c r="A627" s="39">
        <v>46077.432835648149</v>
      </c>
      <c r="B627" s="33" t="s">
        <v>44</v>
      </c>
      <c r="C627" s="33">
        <v>44997734943</v>
      </c>
      <c r="E627" s="33">
        <v>73</v>
      </c>
      <c r="F627" s="33">
        <v>66</v>
      </c>
      <c r="G627" s="33" t="s">
        <v>38</v>
      </c>
      <c r="H627" s="33" t="s">
        <v>5406</v>
      </c>
      <c r="I627" s="33" t="s">
        <v>46</v>
      </c>
      <c r="J627" s="33" t="s">
        <v>40</v>
      </c>
    </row>
    <row r="628" spans="1:12" hidden="1" x14ac:dyDescent="0.3">
      <c r="A628" s="39">
        <v>46077.429513888892</v>
      </c>
      <c r="B628" s="33">
        <v>4334226481</v>
      </c>
      <c r="C628" s="33" t="s">
        <v>43</v>
      </c>
      <c r="D628" s="33">
        <v>4430265054</v>
      </c>
      <c r="E628" s="33">
        <v>612</v>
      </c>
      <c r="F628" s="33">
        <v>552</v>
      </c>
      <c r="G628" s="33" t="s">
        <v>38</v>
      </c>
      <c r="H628" s="33" t="s">
        <v>3758</v>
      </c>
      <c r="I628" s="33" t="s">
        <v>39</v>
      </c>
      <c r="J628" s="33" t="s">
        <v>40</v>
      </c>
      <c r="K628" s="33" t="s">
        <v>41</v>
      </c>
    </row>
    <row r="629" spans="1:12" hidden="1" x14ac:dyDescent="0.3">
      <c r="A629" s="39">
        <v>46077.427222222221</v>
      </c>
      <c r="B629" s="33">
        <v>4432325260</v>
      </c>
      <c r="C629" s="33">
        <v>4430265054</v>
      </c>
      <c r="D629" s="33">
        <v>4430265054</v>
      </c>
      <c r="E629" s="33">
        <v>91</v>
      </c>
      <c r="F629" s="33">
        <v>90</v>
      </c>
      <c r="G629" s="33" t="s">
        <v>3449</v>
      </c>
      <c r="H629" s="33" t="s">
        <v>3759</v>
      </c>
      <c r="I629" s="33" t="s">
        <v>39</v>
      </c>
      <c r="J629" s="33" t="s">
        <v>3451</v>
      </c>
      <c r="K629" s="33" t="s">
        <v>41</v>
      </c>
    </row>
    <row r="630" spans="1:12" hidden="1" x14ac:dyDescent="0.3">
      <c r="A630" s="39">
        <v>46077.424525462964</v>
      </c>
      <c r="B630" s="33" t="s">
        <v>44</v>
      </c>
      <c r="C630" s="33">
        <v>44988067937</v>
      </c>
      <c r="E630" s="33">
        <v>540</v>
      </c>
      <c r="F630" s="33">
        <v>524</v>
      </c>
      <c r="G630" s="33" t="s">
        <v>38</v>
      </c>
      <c r="H630" s="33" t="s">
        <v>5407</v>
      </c>
      <c r="I630" s="33" t="s">
        <v>46</v>
      </c>
      <c r="J630" s="33" t="s">
        <v>40</v>
      </c>
    </row>
    <row r="631" spans="1:12" hidden="1" x14ac:dyDescent="0.3">
      <c r="A631" s="39">
        <v>46077.424467592595</v>
      </c>
      <c r="B631" s="33" t="s">
        <v>44</v>
      </c>
      <c r="C631" s="33">
        <v>44988067937</v>
      </c>
      <c r="E631" s="33">
        <v>5</v>
      </c>
      <c r="F631" s="33">
        <v>0</v>
      </c>
      <c r="G631" s="33" t="s">
        <v>47</v>
      </c>
      <c r="H631" s="33" t="s">
        <v>5408</v>
      </c>
      <c r="I631" s="33" t="s">
        <v>46</v>
      </c>
      <c r="J631" s="33" t="s">
        <v>40</v>
      </c>
    </row>
    <row r="632" spans="1:12" hidden="1" x14ac:dyDescent="0.3">
      <c r="A632" s="39">
        <v>46077.422789351855</v>
      </c>
      <c r="B632" s="33">
        <v>4436281154</v>
      </c>
      <c r="C632" s="33" t="s">
        <v>37</v>
      </c>
      <c r="D632" s="33">
        <v>4430265054</v>
      </c>
      <c r="E632" s="33">
        <v>508</v>
      </c>
      <c r="F632" s="33">
        <v>337</v>
      </c>
      <c r="G632" s="33" t="s">
        <v>38</v>
      </c>
      <c r="H632" s="33" t="s">
        <v>3760</v>
      </c>
      <c r="I632" s="33" t="s">
        <v>39</v>
      </c>
      <c r="J632" s="33" t="s">
        <v>40</v>
      </c>
      <c r="K632" s="33" t="s">
        <v>41</v>
      </c>
      <c r="L632" s="33">
        <v>5</v>
      </c>
    </row>
    <row r="633" spans="1:12" hidden="1" x14ac:dyDescent="0.3">
      <c r="A633" s="39">
        <v>46077.415636574071</v>
      </c>
      <c r="B633" s="33" t="s">
        <v>37</v>
      </c>
      <c r="C633" s="33">
        <v>11998030658</v>
      </c>
      <c r="E633" s="33">
        <v>670</v>
      </c>
      <c r="F633" s="33">
        <v>664</v>
      </c>
      <c r="G633" s="33" t="s">
        <v>38</v>
      </c>
      <c r="H633" s="33" t="s">
        <v>5409</v>
      </c>
      <c r="I633" s="33" t="s">
        <v>46</v>
      </c>
      <c r="J633" s="33" t="s">
        <v>40</v>
      </c>
    </row>
    <row r="634" spans="1:12" hidden="1" x14ac:dyDescent="0.3">
      <c r="A634" s="39">
        <v>46077.415486111109</v>
      </c>
      <c r="B634" s="33">
        <v>44988067937</v>
      </c>
      <c r="C634" s="33" t="s">
        <v>44</v>
      </c>
      <c r="D634" s="33">
        <v>4430265054</v>
      </c>
      <c r="E634" s="33">
        <v>178</v>
      </c>
      <c r="F634" s="33">
        <v>127</v>
      </c>
      <c r="G634" s="33" t="s">
        <v>38</v>
      </c>
      <c r="H634" s="33" t="s">
        <v>3761</v>
      </c>
      <c r="I634" s="33" t="s">
        <v>39</v>
      </c>
      <c r="J634" s="33" t="s">
        <v>40</v>
      </c>
      <c r="K634" s="33" t="s">
        <v>41</v>
      </c>
    </row>
    <row r="635" spans="1:12" hidden="1" x14ac:dyDescent="0.3">
      <c r="A635" s="39">
        <v>46077.413912037038</v>
      </c>
      <c r="B635" s="33">
        <v>1131043888</v>
      </c>
      <c r="C635" s="33" t="s">
        <v>42</v>
      </c>
      <c r="D635" s="33">
        <v>4430265054</v>
      </c>
      <c r="E635" s="33">
        <v>181</v>
      </c>
      <c r="F635" s="33">
        <v>157</v>
      </c>
      <c r="G635" s="33" t="s">
        <v>38</v>
      </c>
      <c r="H635" s="33" t="s">
        <v>3762</v>
      </c>
      <c r="I635" s="33" t="s">
        <v>39</v>
      </c>
      <c r="J635" s="33" t="s">
        <v>40</v>
      </c>
      <c r="K635" s="33" t="s">
        <v>41</v>
      </c>
    </row>
    <row r="636" spans="1:12" hidden="1" x14ac:dyDescent="0.3">
      <c r="A636" s="39">
        <v>46077.413287037038</v>
      </c>
      <c r="B636" s="33" t="s">
        <v>45</v>
      </c>
      <c r="C636" s="33">
        <v>12997346335</v>
      </c>
      <c r="E636" s="33">
        <v>2032</v>
      </c>
      <c r="F636" s="33">
        <v>2024</v>
      </c>
      <c r="G636" s="33" t="s">
        <v>38</v>
      </c>
      <c r="H636" s="33" t="s">
        <v>5410</v>
      </c>
      <c r="I636" s="33" t="s">
        <v>46</v>
      </c>
      <c r="J636" s="33" t="s">
        <v>40</v>
      </c>
    </row>
    <row r="637" spans="1:12" hidden="1" x14ac:dyDescent="0.3">
      <c r="A637" s="39">
        <v>46077.411574074074</v>
      </c>
      <c r="B637" s="33">
        <v>11998030658</v>
      </c>
      <c r="C637" s="33" t="s">
        <v>37</v>
      </c>
      <c r="D637" s="33">
        <v>4430265054</v>
      </c>
      <c r="E637" s="33">
        <v>339</v>
      </c>
      <c r="F637" s="33">
        <v>321</v>
      </c>
      <c r="G637" s="33" t="s">
        <v>38</v>
      </c>
      <c r="H637" s="33" t="s">
        <v>3763</v>
      </c>
      <c r="I637" s="33" t="s">
        <v>39</v>
      </c>
      <c r="J637" s="33" t="s">
        <v>40</v>
      </c>
      <c r="K637" s="33" t="s">
        <v>41</v>
      </c>
    </row>
    <row r="638" spans="1:12" hidden="1" x14ac:dyDescent="0.3">
      <c r="A638" s="39">
        <v>46077.402685185189</v>
      </c>
      <c r="B638" s="33" t="s">
        <v>48</v>
      </c>
      <c r="C638" s="33">
        <v>4430451715</v>
      </c>
      <c r="E638" s="33">
        <v>288</v>
      </c>
      <c r="F638" s="33">
        <v>275</v>
      </c>
      <c r="G638" s="33" t="s">
        <v>38</v>
      </c>
      <c r="H638" s="33" t="s">
        <v>5411</v>
      </c>
      <c r="I638" s="33" t="s">
        <v>46</v>
      </c>
      <c r="J638" s="33" t="s">
        <v>40</v>
      </c>
    </row>
    <row r="639" spans="1:12" hidden="1" x14ac:dyDescent="0.3">
      <c r="A639" s="39">
        <v>46077.400636574072</v>
      </c>
      <c r="B639" s="33">
        <v>6230863134</v>
      </c>
      <c r="C639" s="33" t="s">
        <v>43</v>
      </c>
      <c r="D639" s="33">
        <v>4430265054</v>
      </c>
      <c r="E639" s="33">
        <v>382</v>
      </c>
      <c r="F639" s="33">
        <v>299</v>
      </c>
      <c r="G639" s="33" t="s">
        <v>38</v>
      </c>
      <c r="H639" s="33" t="s">
        <v>3764</v>
      </c>
      <c r="I639" s="33" t="s">
        <v>39</v>
      </c>
      <c r="J639" s="33" t="s">
        <v>40</v>
      </c>
      <c r="K639" s="33" t="s">
        <v>41</v>
      </c>
    </row>
    <row r="640" spans="1:12" hidden="1" x14ac:dyDescent="0.3">
      <c r="A640" s="39">
        <v>46077.399861111109</v>
      </c>
      <c r="B640" s="33">
        <v>44997343311</v>
      </c>
      <c r="C640" s="33">
        <v>4430265054</v>
      </c>
      <c r="D640" s="33">
        <v>4430265054</v>
      </c>
      <c r="E640" s="33">
        <v>6</v>
      </c>
      <c r="F640" s="33">
        <v>6</v>
      </c>
      <c r="G640" s="33" t="s">
        <v>3449</v>
      </c>
      <c r="H640" s="33" t="s">
        <v>5412</v>
      </c>
      <c r="I640" s="33" t="s">
        <v>39</v>
      </c>
      <c r="J640" s="33" t="s">
        <v>3451</v>
      </c>
    </row>
    <row r="641" spans="1:12" hidden="1" x14ac:dyDescent="0.3">
      <c r="A641" s="39">
        <v>46077.399178240739</v>
      </c>
      <c r="B641" s="33">
        <v>4432520627</v>
      </c>
      <c r="C641" s="33" t="s">
        <v>43</v>
      </c>
      <c r="D641" s="33">
        <v>4430265054</v>
      </c>
      <c r="E641" s="33">
        <v>174</v>
      </c>
      <c r="F641" s="33">
        <v>116</v>
      </c>
      <c r="G641" s="33" t="s">
        <v>38</v>
      </c>
      <c r="H641" s="33" t="s">
        <v>3765</v>
      </c>
      <c r="I641" s="33" t="s">
        <v>39</v>
      </c>
      <c r="J641" s="33" t="s">
        <v>40</v>
      </c>
      <c r="K641" s="33" t="s">
        <v>41</v>
      </c>
      <c r="L641" s="33">
        <v>5</v>
      </c>
    </row>
    <row r="642" spans="1:12" hidden="1" x14ac:dyDescent="0.3">
      <c r="A642" s="39">
        <v>46077.396238425928</v>
      </c>
      <c r="B642" s="33">
        <v>44999090169</v>
      </c>
      <c r="C642" s="33" t="s">
        <v>42</v>
      </c>
      <c r="D642" s="33">
        <v>4430265054</v>
      </c>
      <c r="E642" s="33">
        <v>880</v>
      </c>
      <c r="F642" s="33">
        <v>855</v>
      </c>
      <c r="G642" s="33" t="s">
        <v>38</v>
      </c>
      <c r="H642" s="33" t="s">
        <v>3766</v>
      </c>
      <c r="I642" s="33" t="s">
        <v>39</v>
      </c>
      <c r="J642" s="33" t="s">
        <v>40</v>
      </c>
      <c r="K642" s="33" t="s">
        <v>41</v>
      </c>
      <c r="L642" s="33">
        <v>5</v>
      </c>
    </row>
    <row r="643" spans="1:12" hidden="1" x14ac:dyDescent="0.3">
      <c r="A643" s="39">
        <v>46077.396018518521</v>
      </c>
      <c r="B643" s="33">
        <v>44999090169</v>
      </c>
      <c r="C643" s="33">
        <v>4430265054</v>
      </c>
      <c r="D643" s="33">
        <v>4430265054</v>
      </c>
      <c r="E643" s="33">
        <v>15</v>
      </c>
      <c r="F643" s="33">
        <v>15</v>
      </c>
      <c r="G643" s="33" t="s">
        <v>3449</v>
      </c>
      <c r="H643" s="33" t="s">
        <v>5413</v>
      </c>
      <c r="I643" s="33" t="s">
        <v>39</v>
      </c>
      <c r="J643" s="33" t="s">
        <v>3451</v>
      </c>
    </row>
    <row r="644" spans="1:12" hidden="1" x14ac:dyDescent="0.3">
      <c r="A644" s="39">
        <v>46077.393553240741</v>
      </c>
      <c r="B644" s="33">
        <v>11916079448</v>
      </c>
      <c r="C644" s="33" t="s">
        <v>43</v>
      </c>
      <c r="D644" s="33">
        <v>4430265054</v>
      </c>
      <c r="E644" s="33">
        <v>217</v>
      </c>
      <c r="F644" s="33">
        <v>185</v>
      </c>
      <c r="G644" s="33" t="s">
        <v>38</v>
      </c>
      <c r="H644" s="33" t="s">
        <v>3767</v>
      </c>
      <c r="I644" s="33" t="s">
        <v>39</v>
      </c>
      <c r="J644" s="33" t="s">
        <v>40</v>
      </c>
      <c r="K644" s="33" t="s">
        <v>41</v>
      </c>
    </row>
    <row r="645" spans="1:12" hidden="1" x14ac:dyDescent="0.3">
      <c r="A645" s="39">
        <v>46077.387696759259</v>
      </c>
      <c r="B645" s="33">
        <v>44997734943</v>
      </c>
      <c r="C645" s="33" t="s">
        <v>44</v>
      </c>
      <c r="D645" s="33">
        <v>4430265054</v>
      </c>
      <c r="E645" s="33">
        <v>331</v>
      </c>
      <c r="F645" s="33">
        <v>312</v>
      </c>
      <c r="G645" s="33" t="s">
        <v>38</v>
      </c>
      <c r="H645" s="33" t="s">
        <v>3768</v>
      </c>
      <c r="I645" s="33" t="s">
        <v>39</v>
      </c>
      <c r="J645" s="33" t="s">
        <v>40</v>
      </c>
      <c r="K645" s="33" t="s">
        <v>41</v>
      </c>
    </row>
    <row r="646" spans="1:12" hidden="1" x14ac:dyDescent="0.3">
      <c r="A646" s="39">
        <v>46077.384965277779</v>
      </c>
      <c r="B646" s="33">
        <v>4430459032</v>
      </c>
      <c r="C646" s="33" t="s">
        <v>43</v>
      </c>
      <c r="D646" s="33">
        <v>4430265054</v>
      </c>
      <c r="E646" s="33">
        <v>264</v>
      </c>
      <c r="F646" s="33">
        <v>146</v>
      </c>
      <c r="G646" s="33" t="s">
        <v>38</v>
      </c>
      <c r="H646" s="33" t="s">
        <v>3769</v>
      </c>
      <c r="I646" s="33" t="s">
        <v>39</v>
      </c>
      <c r="J646" s="33" t="s">
        <v>40</v>
      </c>
      <c r="K646" s="33" t="s">
        <v>41</v>
      </c>
    </row>
    <row r="647" spans="1:12" hidden="1" x14ac:dyDescent="0.3">
      <c r="A647" s="39">
        <v>46077.383067129631</v>
      </c>
      <c r="B647" s="33">
        <v>6236223830</v>
      </c>
      <c r="C647" s="33" t="s">
        <v>43</v>
      </c>
      <c r="D647" s="33">
        <v>4430265054</v>
      </c>
      <c r="E647" s="33">
        <v>181</v>
      </c>
      <c r="F647" s="33">
        <v>143</v>
      </c>
      <c r="G647" s="33" t="s">
        <v>38</v>
      </c>
      <c r="H647" s="33" t="s">
        <v>3770</v>
      </c>
      <c r="I647" s="33" t="s">
        <v>39</v>
      </c>
      <c r="J647" s="33" t="s">
        <v>40</v>
      </c>
      <c r="K647" s="33" t="s">
        <v>41</v>
      </c>
    </row>
    <row r="648" spans="1:12" hidden="1" x14ac:dyDescent="0.3">
      <c r="A648" s="39">
        <v>46077.381921296299</v>
      </c>
      <c r="B648" s="33">
        <v>12997346335</v>
      </c>
      <c r="C648" s="33" t="s">
        <v>45</v>
      </c>
      <c r="D648" s="33">
        <v>4430265054</v>
      </c>
      <c r="E648" s="33">
        <v>2705</v>
      </c>
      <c r="F648" s="33">
        <v>2600</v>
      </c>
      <c r="G648" s="33" t="s">
        <v>38</v>
      </c>
      <c r="H648" s="33" t="s">
        <v>3771</v>
      </c>
      <c r="I648" s="33" t="s">
        <v>39</v>
      </c>
      <c r="J648" s="33" t="s">
        <v>40</v>
      </c>
      <c r="K648" s="33" t="s">
        <v>41</v>
      </c>
    </row>
    <row r="649" spans="1:12" hidden="1" x14ac:dyDescent="0.3">
      <c r="A649" s="39">
        <v>46077.381643518522</v>
      </c>
      <c r="B649" s="33" t="s">
        <v>5173</v>
      </c>
      <c r="C649" s="33">
        <v>67981233817</v>
      </c>
      <c r="E649" s="33">
        <v>13</v>
      </c>
      <c r="F649" s="33">
        <v>3</v>
      </c>
      <c r="G649" s="33" t="s">
        <v>38</v>
      </c>
      <c r="H649" s="33" t="s">
        <v>5414</v>
      </c>
      <c r="I649" s="33" t="s">
        <v>46</v>
      </c>
      <c r="J649" s="33" t="s">
        <v>3629</v>
      </c>
    </row>
    <row r="650" spans="1:12" hidden="1" x14ac:dyDescent="0.3">
      <c r="A650" s="39">
        <v>46077.376238425924</v>
      </c>
      <c r="B650" s="33" t="s">
        <v>5173</v>
      </c>
      <c r="C650" s="33">
        <v>92981211981</v>
      </c>
      <c r="E650" s="33">
        <v>38</v>
      </c>
      <c r="F650" s="33">
        <v>0</v>
      </c>
      <c r="G650" s="33" t="s">
        <v>47</v>
      </c>
      <c r="H650" s="33" t="s">
        <v>5415</v>
      </c>
      <c r="I650" s="33" t="s">
        <v>46</v>
      </c>
      <c r="J650" s="33" t="s">
        <v>3629</v>
      </c>
    </row>
    <row r="651" spans="1:12" hidden="1" x14ac:dyDescent="0.3">
      <c r="A651" s="39">
        <v>46077.37290509259</v>
      </c>
      <c r="B651" s="33" t="s">
        <v>48</v>
      </c>
      <c r="C651" s="33">
        <v>43996567111</v>
      </c>
      <c r="E651" s="33">
        <v>670</v>
      </c>
      <c r="F651" s="33">
        <v>660</v>
      </c>
      <c r="G651" s="33" t="s">
        <v>38</v>
      </c>
      <c r="H651" s="33" t="s">
        <v>5416</v>
      </c>
      <c r="I651" s="33" t="s">
        <v>46</v>
      </c>
      <c r="J651" s="33" t="s">
        <v>40</v>
      </c>
    </row>
    <row r="652" spans="1:12" hidden="1" x14ac:dyDescent="0.3">
      <c r="A652" s="39">
        <v>46077.372418981482</v>
      </c>
      <c r="B652" s="33" t="s">
        <v>48</v>
      </c>
      <c r="C652" s="33">
        <v>43996567111</v>
      </c>
      <c r="E652" s="33">
        <v>37</v>
      </c>
      <c r="F652" s="33">
        <v>0</v>
      </c>
      <c r="G652" s="33" t="s">
        <v>47</v>
      </c>
      <c r="H652" s="33" t="s">
        <v>5417</v>
      </c>
      <c r="I652" s="33" t="s">
        <v>46</v>
      </c>
      <c r="J652" s="33" t="s">
        <v>40</v>
      </c>
    </row>
    <row r="653" spans="1:12" hidden="1" x14ac:dyDescent="0.3">
      <c r="A653" s="39">
        <v>46077.36755787037</v>
      </c>
      <c r="B653" s="33">
        <v>4430191401</v>
      </c>
      <c r="C653" s="33" t="s">
        <v>44</v>
      </c>
      <c r="D653" s="33">
        <v>4430265054</v>
      </c>
      <c r="E653" s="33">
        <v>591</v>
      </c>
      <c r="F653" s="33">
        <v>539</v>
      </c>
      <c r="G653" s="33" t="s">
        <v>38</v>
      </c>
      <c r="H653" s="33" t="s">
        <v>3772</v>
      </c>
      <c r="I653" s="33" t="s">
        <v>39</v>
      </c>
      <c r="J653" s="33" t="s">
        <v>40</v>
      </c>
      <c r="K653" s="33" t="s">
        <v>41</v>
      </c>
    </row>
    <row r="654" spans="1:12" x14ac:dyDescent="0.3">
      <c r="A654" s="39">
        <v>46077.362118055556</v>
      </c>
      <c r="B654" s="33">
        <v>4430141092</v>
      </c>
      <c r="C654" s="33" t="s">
        <v>44</v>
      </c>
      <c r="D654" s="33">
        <v>4430265054</v>
      </c>
      <c r="E654" s="33">
        <v>479</v>
      </c>
      <c r="F654" s="33">
        <v>401</v>
      </c>
      <c r="G654" s="33" t="s">
        <v>38</v>
      </c>
      <c r="H654" s="33" t="s">
        <v>3773</v>
      </c>
      <c r="I654" s="33" t="s">
        <v>39</v>
      </c>
      <c r="J654" s="33" t="s">
        <v>40</v>
      </c>
      <c r="K654" s="33" t="s">
        <v>41</v>
      </c>
      <c r="L654" s="33">
        <v>5</v>
      </c>
    </row>
    <row r="655" spans="1:12" hidden="1" x14ac:dyDescent="0.3">
      <c r="A655" s="39">
        <v>46077.362060185187</v>
      </c>
      <c r="B655" s="33">
        <v>45999211333</v>
      </c>
      <c r="C655" s="33" t="s">
        <v>48</v>
      </c>
      <c r="D655" s="33">
        <v>4430265054</v>
      </c>
      <c r="E655" s="33">
        <v>689</v>
      </c>
      <c r="F655" s="33">
        <v>579</v>
      </c>
      <c r="G655" s="33" t="s">
        <v>38</v>
      </c>
      <c r="H655" s="33" t="s">
        <v>3774</v>
      </c>
      <c r="I655" s="33" t="s">
        <v>39</v>
      </c>
      <c r="J655" s="33" t="s">
        <v>40</v>
      </c>
      <c r="K655" s="33" t="s">
        <v>41</v>
      </c>
      <c r="L655" s="33">
        <v>5</v>
      </c>
    </row>
    <row r="656" spans="1:12" hidden="1" x14ac:dyDescent="0.3">
      <c r="A656" s="39">
        <v>46077.362025462964</v>
      </c>
      <c r="B656" s="33">
        <v>4432321232</v>
      </c>
      <c r="C656" s="33" t="s">
        <v>43</v>
      </c>
      <c r="D656" s="33">
        <v>4430265054</v>
      </c>
      <c r="E656" s="33">
        <v>499</v>
      </c>
      <c r="F656" s="33">
        <v>453</v>
      </c>
      <c r="G656" s="33" t="s">
        <v>38</v>
      </c>
      <c r="H656" s="33" t="s">
        <v>3775</v>
      </c>
      <c r="I656" s="33" t="s">
        <v>39</v>
      </c>
      <c r="J656" s="33" t="s">
        <v>40</v>
      </c>
      <c r="K656" s="33" t="s">
        <v>41</v>
      </c>
    </row>
    <row r="657" spans="1:11" hidden="1" x14ac:dyDescent="0.3">
      <c r="A657" s="39">
        <v>46077.36178240741</v>
      </c>
      <c r="B657" s="33">
        <v>73982188717</v>
      </c>
      <c r="C657" s="33" t="s">
        <v>37</v>
      </c>
      <c r="D657" s="33">
        <v>4430265054</v>
      </c>
      <c r="E657" s="33">
        <v>2299</v>
      </c>
      <c r="F657" s="33">
        <v>2258</v>
      </c>
      <c r="G657" s="33" t="s">
        <v>38</v>
      </c>
      <c r="H657" s="33" t="s">
        <v>3776</v>
      </c>
      <c r="I657" s="33" t="s">
        <v>39</v>
      </c>
      <c r="J657" s="33" t="s">
        <v>40</v>
      </c>
      <c r="K657" s="33" t="s">
        <v>41</v>
      </c>
    </row>
    <row r="658" spans="1:11" hidden="1" x14ac:dyDescent="0.3">
      <c r="A658" s="39">
        <v>46077.357835648145</v>
      </c>
      <c r="B658" s="33">
        <v>4432325260</v>
      </c>
      <c r="C658" s="33">
        <v>4430265054</v>
      </c>
      <c r="D658" s="33">
        <v>4430265054</v>
      </c>
      <c r="E658" s="33">
        <v>50</v>
      </c>
      <c r="F658" s="33">
        <v>49</v>
      </c>
      <c r="G658" s="33" t="s">
        <v>3449</v>
      </c>
      <c r="H658" s="33" t="s">
        <v>3777</v>
      </c>
      <c r="I658" s="33" t="s">
        <v>39</v>
      </c>
      <c r="J658" s="33" t="s">
        <v>3451</v>
      </c>
      <c r="K658" s="33" t="s">
        <v>41</v>
      </c>
    </row>
    <row r="659" spans="1:11" hidden="1" x14ac:dyDescent="0.3">
      <c r="A659" s="39">
        <v>46077.355300925927</v>
      </c>
      <c r="B659" s="33">
        <v>4432322192</v>
      </c>
      <c r="C659" s="33" t="s">
        <v>45</v>
      </c>
      <c r="D659" s="33">
        <v>4430265054</v>
      </c>
      <c r="E659" s="33">
        <v>1180</v>
      </c>
      <c r="F659" s="33">
        <v>1139</v>
      </c>
      <c r="G659" s="33" t="s">
        <v>38</v>
      </c>
      <c r="H659" s="33" t="s">
        <v>3778</v>
      </c>
      <c r="I659" s="33" t="s">
        <v>39</v>
      </c>
      <c r="J659" s="33" t="s">
        <v>40</v>
      </c>
      <c r="K659" s="33" t="s">
        <v>41</v>
      </c>
    </row>
    <row r="660" spans="1:11" hidden="1" x14ac:dyDescent="0.3">
      <c r="A660" s="39">
        <v>46077.354571759257</v>
      </c>
      <c r="B660" s="33">
        <v>44988067937</v>
      </c>
      <c r="C660" s="33" t="s">
        <v>42</v>
      </c>
      <c r="D660" s="33">
        <v>4430265054</v>
      </c>
      <c r="E660" s="33">
        <v>2189</v>
      </c>
      <c r="F660" s="33">
        <v>2095</v>
      </c>
      <c r="G660" s="33" t="s">
        <v>38</v>
      </c>
      <c r="H660" s="33" t="s">
        <v>3779</v>
      </c>
      <c r="I660" s="33" t="s">
        <v>39</v>
      </c>
      <c r="J660" s="33" t="s">
        <v>40</v>
      </c>
      <c r="K660" s="33" t="s">
        <v>41</v>
      </c>
    </row>
    <row r="661" spans="1:11" hidden="1" x14ac:dyDescent="0.3">
      <c r="A661" s="39">
        <v>46077.353495370371</v>
      </c>
      <c r="B661" s="33">
        <v>44988067937</v>
      </c>
      <c r="C661" s="33">
        <v>4430265054</v>
      </c>
      <c r="D661" s="33">
        <v>4430265054</v>
      </c>
      <c r="E661" s="33">
        <v>29</v>
      </c>
      <c r="F661" s="33">
        <v>28</v>
      </c>
      <c r="G661" s="33" t="s">
        <v>3449</v>
      </c>
      <c r="H661" s="33" t="s">
        <v>5418</v>
      </c>
      <c r="I661" s="33" t="s">
        <v>39</v>
      </c>
      <c r="J661" s="33" t="s">
        <v>3451</v>
      </c>
    </row>
    <row r="662" spans="1:11" hidden="1" x14ac:dyDescent="0.3">
      <c r="A662" s="39">
        <v>46077.353483796294</v>
      </c>
      <c r="B662" s="33">
        <v>4432322192</v>
      </c>
      <c r="C662" s="33">
        <v>4430265054</v>
      </c>
      <c r="D662" s="33">
        <v>4430265054</v>
      </c>
      <c r="E662" s="33">
        <v>21</v>
      </c>
      <c r="F662" s="33">
        <v>21</v>
      </c>
      <c r="G662" s="33" t="s">
        <v>3449</v>
      </c>
      <c r="H662" s="33" t="s">
        <v>5419</v>
      </c>
      <c r="I662" s="33" t="s">
        <v>39</v>
      </c>
      <c r="J662" s="33" t="s">
        <v>3451</v>
      </c>
    </row>
    <row r="663" spans="1:11" hidden="1" x14ac:dyDescent="0.3">
      <c r="A663" s="39">
        <v>46077.351631944446</v>
      </c>
      <c r="B663" s="33" t="s">
        <v>3627</v>
      </c>
      <c r="C663" s="33">
        <v>42998373210</v>
      </c>
      <c r="E663" s="33">
        <v>873</v>
      </c>
      <c r="F663" s="33">
        <v>855</v>
      </c>
      <c r="G663" s="33" t="s">
        <v>38</v>
      </c>
      <c r="H663" s="33" t="s">
        <v>5420</v>
      </c>
      <c r="I663" s="33" t="s">
        <v>46</v>
      </c>
      <c r="J663" s="33" t="s">
        <v>3629</v>
      </c>
    </row>
    <row r="664" spans="1:11" hidden="1" x14ac:dyDescent="0.3">
      <c r="A664" s="39">
        <v>46077.340844907405</v>
      </c>
      <c r="B664" s="33">
        <v>45999211333</v>
      </c>
      <c r="C664" s="33">
        <v>4430265054</v>
      </c>
      <c r="D664" s="33">
        <v>4430265054</v>
      </c>
      <c r="E664" s="33">
        <v>13</v>
      </c>
      <c r="F664" s="33">
        <v>12</v>
      </c>
      <c r="G664" s="33" t="s">
        <v>3449</v>
      </c>
      <c r="H664" s="33" t="s">
        <v>5421</v>
      </c>
      <c r="I664" s="33" t="s">
        <v>39</v>
      </c>
      <c r="J664" s="33" t="s">
        <v>3451</v>
      </c>
    </row>
    <row r="665" spans="1:11" hidden="1" x14ac:dyDescent="0.3">
      <c r="A665" s="39">
        <v>46076.736666666664</v>
      </c>
      <c r="B665" s="33" t="s">
        <v>5173</v>
      </c>
      <c r="C665" s="33">
        <v>65999525576</v>
      </c>
      <c r="E665" s="33">
        <v>30</v>
      </c>
      <c r="F665" s="33">
        <v>0</v>
      </c>
      <c r="G665" s="33" t="s">
        <v>47</v>
      </c>
      <c r="H665" s="33" t="s">
        <v>5422</v>
      </c>
      <c r="I665" s="33" t="s">
        <v>46</v>
      </c>
      <c r="J665" s="33" t="s">
        <v>3629</v>
      </c>
    </row>
    <row r="666" spans="1:11" hidden="1" x14ac:dyDescent="0.3">
      <c r="A666" s="39">
        <v>46076.729814814818</v>
      </c>
      <c r="B666" s="33">
        <v>4435235396</v>
      </c>
      <c r="C666" s="33" t="s">
        <v>48</v>
      </c>
      <c r="D666" s="33">
        <v>4430265054</v>
      </c>
      <c r="E666" s="33">
        <v>856</v>
      </c>
      <c r="F666" s="33">
        <v>856</v>
      </c>
      <c r="G666" s="33" t="s">
        <v>38</v>
      </c>
      <c r="H666" s="33" t="s">
        <v>3780</v>
      </c>
      <c r="I666" s="33" t="s">
        <v>39</v>
      </c>
      <c r="J666" s="33" t="s">
        <v>40</v>
      </c>
      <c r="K666" s="33" t="s">
        <v>41</v>
      </c>
    </row>
    <row r="667" spans="1:11" hidden="1" x14ac:dyDescent="0.3">
      <c r="A667" s="39">
        <v>46076.727175925924</v>
      </c>
      <c r="B667" s="33">
        <v>44984241715</v>
      </c>
      <c r="C667" s="33" t="s">
        <v>37</v>
      </c>
      <c r="D667" s="33">
        <v>4430265054</v>
      </c>
      <c r="E667" s="33">
        <v>384</v>
      </c>
      <c r="F667" s="33">
        <v>330</v>
      </c>
      <c r="G667" s="33" t="s">
        <v>38</v>
      </c>
      <c r="H667" s="33" t="s">
        <v>3781</v>
      </c>
      <c r="I667" s="33" t="s">
        <v>39</v>
      </c>
      <c r="J667" s="33" t="s">
        <v>40</v>
      </c>
      <c r="K667" s="33" t="s">
        <v>41</v>
      </c>
    </row>
    <row r="668" spans="1:11" hidden="1" x14ac:dyDescent="0.3">
      <c r="A668" s="39">
        <v>46076.724814814814</v>
      </c>
      <c r="B668" s="33" t="s">
        <v>51</v>
      </c>
      <c r="C668" s="33">
        <v>44999976008</v>
      </c>
      <c r="E668" s="33">
        <v>26</v>
      </c>
      <c r="F668" s="33">
        <v>6</v>
      </c>
      <c r="G668" s="33" t="s">
        <v>38</v>
      </c>
      <c r="H668" s="33" t="s">
        <v>5423</v>
      </c>
      <c r="I668" s="33" t="s">
        <v>46</v>
      </c>
      <c r="J668" s="33" t="s">
        <v>3629</v>
      </c>
    </row>
    <row r="669" spans="1:11" hidden="1" x14ac:dyDescent="0.3">
      <c r="A669" s="39">
        <v>46076.722268518519</v>
      </c>
      <c r="B669" s="33">
        <v>44988255390</v>
      </c>
      <c r="C669" s="33" t="s">
        <v>43</v>
      </c>
      <c r="D669" s="33">
        <v>4430265054</v>
      </c>
      <c r="E669" s="33">
        <v>380</v>
      </c>
      <c r="F669" s="33">
        <v>329</v>
      </c>
      <c r="G669" s="33" t="s">
        <v>38</v>
      </c>
      <c r="H669" s="33" t="s">
        <v>3782</v>
      </c>
      <c r="I669" s="33" t="s">
        <v>39</v>
      </c>
      <c r="J669" s="33" t="s">
        <v>40</v>
      </c>
      <c r="K669" s="33" t="s">
        <v>41</v>
      </c>
    </row>
    <row r="670" spans="1:11" hidden="1" x14ac:dyDescent="0.3">
      <c r="A670" s="39">
        <v>46076.721192129633</v>
      </c>
      <c r="B670" s="33">
        <v>4330332823</v>
      </c>
      <c r="C670" s="33" t="s">
        <v>45</v>
      </c>
      <c r="D670" s="33">
        <v>4430265054</v>
      </c>
      <c r="E670" s="33">
        <v>152</v>
      </c>
      <c r="F670" s="33">
        <v>128</v>
      </c>
      <c r="G670" s="33" t="s">
        <v>38</v>
      </c>
      <c r="H670" s="33" t="s">
        <v>3783</v>
      </c>
      <c r="I670" s="33" t="s">
        <v>39</v>
      </c>
      <c r="J670" s="33" t="s">
        <v>40</v>
      </c>
      <c r="K670" s="33" t="s">
        <v>41</v>
      </c>
    </row>
    <row r="671" spans="1:11" hidden="1" x14ac:dyDescent="0.3">
      <c r="A671" s="39">
        <v>46076.720312500001</v>
      </c>
      <c r="B671" s="33" t="s">
        <v>42</v>
      </c>
      <c r="C671" s="33">
        <v>4430141533</v>
      </c>
      <c r="E671" s="33">
        <v>262</v>
      </c>
      <c r="F671" s="33">
        <v>244</v>
      </c>
      <c r="G671" s="33" t="s">
        <v>38</v>
      </c>
      <c r="H671" s="33" t="s">
        <v>5424</v>
      </c>
      <c r="I671" s="33" t="s">
        <v>46</v>
      </c>
      <c r="J671" s="33" t="s">
        <v>40</v>
      </c>
    </row>
    <row r="672" spans="1:11" hidden="1" x14ac:dyDescent="0.3">
      <c r="A672" s="39">
        <v>46076.710844907408</v>
      </c>
      <c r="B672" s="33">
        <v>6434534421</v>
      </c>
      <c r="C672" s="33" t="s">
        <v>42</v>
      </c>
      <c r="D672" s="33">
        <v>4430265054</v>
      </c>
      <c r="E672" s="33">
        <v>645</v>
      </c>
      <c r="F672" s="33">
        <v>616</v>
      </c>
      <c r="G672" s="33" t="s">
        <v>38</v>
      </c>
      <c r="H672" s="33" t="s">
        <v>3784</v>
      </c>
      <c r="I672" s="33" t="s">
        <v>39</v>
      </c>
      <c r="J672" s="33" t="s">
        <v>40</v>
      </c>
      <c r="K672" s="33" t="s">
        <v>41</v>
      </c>
    </row>
    <row r="673" spans="1:12" hidden="1" x14ac:dyDescent="0.3">
      <c r="A673" s="39">
        <v>46076.709201388891</v>
      </c>
      <c r="B673" s="33" t="s">
        <v>45</v>
      </c>
      <c r="C673" s="33">
        <v>45999211333</v>
      </c>
      <c r="E673" s="33">
        <v>619</v>
      </c>
      <c r="F673" s="33">
        <v>611</v>
      </c>
      <c r="G673" s="33" t="s">
        <v>38</v>
      </c>
      <c r="H673" s="33" t="s">
        <v>5425</v>
      </c>
      <c r="I673" s="33" t="s">
        <v>46</v>
      </c>
      <c r="J673" s="33" t="s">
        <v>40</v>
      </c>
      <c r="L673" s="33">
        <v>5</v>
      </c>
    </row>
    <row r="674" spans="1:12" hidden="1" x14ac:dyDescent="0.3">
      <c r="A674" s="39">
        <v>46076.708912037036</v>
      </c>
      <c r="B674" s="33">
        <v>4430468252</v>
      </c>
      <c r="C674" s="33" t="s">
        <v>48</v>
      </c>
      <c r="D674" s="33">
        <v>4430265054</v>
      </c>
      <c r="E674" s="33">
        <v>147</v>
      </c>
      <c r="F674" s="33">
        <v>146</v>
      </c>
      <c r="G674" s="33" t="s">
        <v>38</v>
      </c>
      <c r="H674" s="33" t="s">
        <v>3785</v>
      </c>
      <c r="I674" s="33" t="s">
        <v>39</v>
      </c>
      <c r="J674" s="33" t="s">
        <v>40</v>
      </c>
      <c r="K674" s="33" t="s">
        <v>41</v>
      </c>
    </row>
    <row r="675" spans="1:12" hidden="1" x14ac:dyDescent="0.3">
      <c r="A675" s="39">
        <v>46076.708726851852</v>
      </c>
      <c r="B675" s="33" t="s">
        <v>45</v>
      </c>
      <c r="C675" s="33">
        <v>45999211333</v>
      </c>
      <c r="E675" s="33">
        <v>35</v>
      </c>
      <c r="F675" s="33">
        <v>21</v>
      </c>
      <c r="G675" s="33" t="s">
        <v>38</v>
      </c>
      <c r="H675" s="33" t="s">
        <v>5426</v>
      </c>
      <c r="I675" s="33" t="s">
        <v>46</v>
      </c>
      <c r="J675" s="33" t="s">
        <v>40</v>
      </c>
    </row>
    <row r="676" spans="1:12" hidden="1" x14ac:dyDescent="0.3">
      <c r="A676" s="39">
        <v>46076.706712962965</v>
      </c>
      <c r="B676" s="33">
        <v>4435224223</v>
      </c>
      <c r="C676" s="33" t="s">
        <v>43</v>
      </c>
      <c r="D676" s="33">
        <v>4430265054</v>
      </c>
      <c r="E676" s="33">
        <v>289</v>
      </c>
      <c r="F676" s="33">
        <v>152</v>
      </c>
      <c r="G676" s="33" t="s">
        <v>38</v>
      </c>
      <c r="H676" s="33" t="s">
        <v>3786</v>
      </c>
      <c r="I676" s="33" t="s">
        <v>39</v>
      </c>
      <c r="J676" s="33" t="s">
        <v>40</v>
      </c>
      <c r="K676" s="33" t="s">
        <v>41</v>
      </c>
    </row>
    <row r="677" spans="1:12" hidden="1" x14ac:dyDescent="0.3">
      <c r="A677" s="39">
        <v>46076.70648148148</v>
      </c>
      <c r="B677" s="33" t="s">
        <v>44</v>
      </c>
      <c r="C677" s="33">
        <v>4432677399</v>
      </c>
      <c r="E677" s="33">
        <v>467</v>
      </c>
      <c r="F677" s="33">
        <v>459</v>
      </c>
      <c r="G677" s="33" t="s">
        <v>38</v>
      </c>
      <c r="H677" s="33" t="s">
        <v>5427</v>
      </c>
      <c r="I677" s="33" t="s">
        <v>46</v>
      </c>
      <c r="J677" s="33" t="s">
        <v>40</v>
      </c>
    </row>
    <row r="678" spans="1:12" hidden="1" x14ac:dyDescent="0.3">
      <c r="A678" s="39">
        <v>46076.706412037034</v>
      </c>
      <c r="B678" s="33" t="s">
        <v>44</v>
      </c>
      <c r="C678" s="33">
        <v>4432677399</v>
      </c>
      <c r="E678" s="33">
        <v>5</v>
      </c>
      <c r="F678" s="33">
        <v>0</v>
      </c>
      <c r="G678" s="33" t="s">
        <v>47</v>
      </c>
      <c r="H678" s="33" t="s">
        <v>5428</v>
      </c>
      <c r="I678" s="33" t="s">
        <v>46</v>
      </c>
      <c r="J678" s="33" t="s">
        <v>40</v>
      </c>
    </row>
    <row r="679" spans="1:12" hidden="1" x14ac:dyDescent="0.3">
      <c r="A679" s="39">
        <v>46076.701967592591</v>
      </c>
      <c r="B679" s="33">
        <v>4430318514</v>
      </c>
      <c r="C679" s="33" t="s">
        <v>37</v>
      </c>
      <c r="D679" s="33">
        <v>4430265054</v>
      </c>
      <c r="E679" s="33">
        <v>826</v>
      </c>
      <c r="F679" s="33">
        <v>744</v>
      </c>
      <c r="G679" s="33" t="s">
        <v>38</v>
      </c>
      <c r="H679" s="33" t="s">
        <v>3787</v>
      </c>
      <c r="I679" s="33" t="s">
        <v>39</v>
      </c>
      <c r="J679" s="33" t="s">
        <v>40</v>
      </c>
      <c r="K679" s="33" t="s">
        <v>41</v>
      </c>
    </row>
    <row r="680" spans="1:12" hidden="1" x14ac:dyDescent="0.3">
      <c r="A680" s="39">
        <v>46076.700069444443</v>
      </c>
      <c r="B680" s="33" t="s">
        <v>5173</v>
      </c>
      <c r="C680" s="33" t="s">
        <v>51</v>
      </c>
      <c r="E680" s="33">
        <v>136</v>
      </c>
      <c r="F680" s="33">
        <v>134</v>
      </c>
      <c r="G680" s="33" t="s">
        <v>38</v>
      </c>
      <c r="H680" s="33" t="s">
        <v>5429</v>
      </c>
      <c r="I680" s="33" t="s">
        <v>52</v>
      </c>
      <c r="J680" s="33" t="s">
        <v>3629</v>
      </c>
    </row>
    <row r="681" spans="1:12" hidden="1" x14ac:dyDescent="0.3">
      <c r="A681" s="39">
        <v>46076.69976851852</v>
      </c>
      <c r="B681" s="33" t="s">
        <v>51</v>
      </c>
      <c r="C681" s="33" t="s">
        <v>5173</v>
      </c>
      <c r="E681" s="33">
        <v>3</v>
      </c>
      <c r="F681" s="33">
        <v>0</v>
      </c>
      <c r="G681" s="33" t="s">
        <v>47</v>
      </c>
      <c r="H681" s="33" t="s">
        <v>5430</v>
      </c>
      <c r="I681" s="33" t="s">
        <v>52</v>
      </c>
      <c r="J681" s="33" t="s">
        <v>3629</v>
      </c>
    </row>
    <row r="682" spans="1:12" hidden="1" x14ac:dyDescent="0.3">
      <c r="A682" s="39">
        <v>46076.686469907407</v>
      </c>
      <c r="B682" s="33" t="s">
        <v>42</v>
      </c>
      <c r="C682" s="33">
        <v>1131515685</v>
      </c>
      <c r="E682" s="33">
        <v>408</v>
      </c>
      <c r="F682" s="33">
        <v>396</v>
      </c>
      <c r="G682" s="33" t="s">
        <v>38</v>
      </c>
      <c r="H682" s="33" t="s">
        <v>5431</v>
      </c>
      <c r="I682" s="33" t="s">
        <v>46</v>
      </c>
      <c r="J682" s="33" t="s">
        <v>40</v>
      </c>
    </row>
    <row r="683" spans="1:12" hidden="1" x14ac:dyDescent="0.3">
      <c r="A683" s="39">
        <v>46076.678587962961</v>
      </c>
      <c r="B683" s="33">
        <v>1131515685</v>
      </c>
      <c r="C683" s="33" t="s">
        <v>42</v>
      </c>
      <c r="D683" s="33">
        <v>4430265054</v>
      </c>
      <c r="E683" s="33">
        <v>275</v>
      </c>
      <c r="F683" s="33">
        <v>186</v>
      </c>
      <c r="G683" s="33" t="s">
        <v>38</v>
      </c>
      <c r="H683" s="33" t="s">
        <v>3788</v>
      </c>
      <c r="I683" s="33" t="s">
        <v>39</v>
      </c>
      <c r="J683" s="33" t="s">
        <v>40</v>
      </c>
      <c r="K683" s="33" t="s">
        <v>41</v>
      </c>
    </row>
    <row r="684" spans="1:12" hidden="1" x14ac:dyDescent="0.3">
      <c r="A684" s="39">
        <v>46076.675821759258</v>
      </c>
      <c r="B684" s="33">
        <v>4435235396</v>
      </c>
      <c r="C684" s="33" t="s">
        <v>42</v>
      </c>
      <c r="D684" s="33">
        <v>4430265054</v>
      </c>
      <c r="E684" s="33">
        <v>163</v>
      </c>
      <c r="F684" s="33">
        <v>91</v>
      </c>
      <c r="G684" s="33" t="s">
        <v>38</v>
      </c>
      <c r="H684" s="33" t="s">
        <v>3789</v>
      </c>
      <c r="I684" s="33" t="s">
        <v>39</v>
      </c>
      <c r="J684" s="33" t="s">
        <v>40</v>
      </c>
      <c r="K684" s="33" t="s">
        <v>41</v>
      </c>
    </row>
    <row r="685" spans="1:12" hidden="1" x14ac:dyDescent="0.3">
      <c r="A685" s="39">
        <v>46076.674675925926</v>
      </c>
      <c r="B685" s="33">
        <v>44991388221</v>
      </c>
      <c r="C685" s="33" t="s">
        <v>44</v>
      </c>
      <c r="D685" s="33">
        <v>4430265054</v>
      </c>
      <c r="E685" s="33">
        <v>158</v>
      </c>
      <c r="F685" s="33">
        <v>59</v>
      </c>
      <c r="G685" s="33" t="s">
        <v>38</v>
      </c>
      <c r="H685" s="33" t="s">
        <v>3790</v>
      </c>
      <c r="I685" s="33" t="s">
        <v>39</v>
      </c>
      <c r="J685" s="33" t="s">
        <v>40</v>
      </c>
      <c r="K685" s="33" t="s">
        <v>41</v>
      </c>
    </row>
    <row r="686" spans="1:12" hidden="1" x14ac:dyDescent="0.3">
      <c r="A686" s="39">
        <v>46076.674178240741</v>
      </c>
      <c r="B686" s="33">
        <v>4436351835</v>
      </c>
      <c r="C686" s="33" t="s">
        <v>43</v>
      </c>
      <c r="D686" s="33">
        <v>4430265054</v>
      </c>
      <c r="E686" s="33">
        <v>570</v>
      </c>
      <c r="F686" s="33">
        <v>511</v>
      </c>
      <c r="G686" s="33" t="s">
        <v>38</v>
      </c>
      <c r="H686" s="33" t="s">
        <v>3791</v>
      </c>
      <c r="I686" s="33" t="s">
        <v>39</v>
      </c>
      <c r="J686" s="33" t="s">
        <v>40</v>
      </c>
      <c r="K686" s="33" t="s">
        <v>41</v>
      </c>
    </row>
    <row r="687" spans="1:12" hidden="1" x14ac:dyDescent="0.3">
      <c r="A687" s="39">
        <v>46076.670868055553</v>
      </c>
      <c r="B687" s="33">
        <v>67992169496</v>
      </c>
      <c r="C687" s="33" t="s">
        <v>42</v>
      </c>
      <c r="D687" s="33">
        <v>4430265054</v>
      </c>
      <c r="E687" s="33">
        <v>282</v>
      </c>
      <c r="F687" s="33">
        <v>208</v>
      </c>
      <c r="G687" s="33" t="s">
        <v>38</v>
      </c>
      <c r="H687" s="33" t="s">
        <v>3792</v>
      </c>
      <c r="I687" s="33" t="s">
        <v>39</v>
      </c>
      <c r="J687" s="33" t="s">
        <v>40</v>
      </c>
      <c r="K687" s="33" t="s">
        <v>41</v>
      </c>
    </row>
    <row r="688" spans="1:12" hidden="1" x14ac:dyDescent="0.3">
      <c r="A688" s="39">
        <v>46076.670648148145</v>
      </c>
      <c r="B688" s="33">
        <v>67992169496</v>
      </c>
      <c r="C688" s="33">
        <v>4430265054</v>
      </c>
      <c r="D688" s="33">
        <v>4430265054</v>
      </c>
      <c r="E688" s="33">
        <v>6</v>
      </c>
      <c r="F688" s="33">
        <v>6</v>
      </c>
      <c r="G688" s="33" t="s">
        <v>3449</v>
      </c>
      <c r="H688" s="33" t="s">
        <v>5432</v>
      </c>
      <c r="I688" s="33" t="s">
        <v>39</v>
      </c>
      <c r="J688" s="33" t="s">
        <v>3451</v>
      </c>
    </row>
    <row r="689" spans="1:12" hidden="1" x14ac:dyDescent="0.3">
      <c r="A689" s="39">
        <v>46076.670636574076</v>
      </c>
      <c r="B689" s="33" t="s">
        <v>51</v>
      </c>
      <c r="C689" s="33">
        <v>4532541996</v>
      </c>
      <c r="E689" s="33">
        <v>408</v>
      </c>
      <c r="F689" s="33">
        <v>399</v>
      </c>
      <c r="G689" s="33" t="s">
        <v>38</v>
      </c>
      <c r="H689" s="33" t="s">
        <v>5433</v>
      </c>
      <c r="I689" s="33" t="s">
        <v>46</v>
      </c>
      <c r="J689" s="33" t="s">
        <v>3629</v>
      </c>
    </row>
    <row r="690" spans="1:12" hidden="1" x14ac:dyDescent="0.3">
      <c r="A690" s="39">
        <v>46076.666956018518</v>
      </c>
      <c r="B690" s="33">
        <v>4436281154</v>
      </c>
      <c r="C690" s="33" t="s">
        <v>37</v>
      </c>
      <c r="D690" s="33">
        <v>4430265054</v>
      </c>
      <c r="E690" s="33">
        <v>758</v>
      </c>
      <c r="F690" s="33">
        <v>734</v>
      </c>
      <c r="G690" s="33" t="s">
        <v>38</v>
      </c>
      <c r="H690" s="33" t="s">
        <v>3793</v>
      </c>
      <c r="I690" s="33" t="s">
        <v>39</v>
      </c>
      <c r="J690" s="33" t="s">
        <v>40</v>
      </c>
      <c r="K690" s="33" t="s">
        <v>41</v>
      </c>
    </row>
    <row r="691" spans="1:12" hidden="1" x14ac:dyDescent="0.3">
      <c r="A691" s="39">
        <v>46076.664942129632</v>
      </c>
      <c r="B691" s="33">
        <v>44999689445</v>
      </c>
      <c r="C691" s="33" t="s">
        <v>45</v>
      </c>
      <c r="D691" s="33">
        <v>4430265054</v>
      </c>
      <c r="E691" s="33">
        <v>1299</v>
      </c>
      <c r="F691" s="33">
        <v>1278</v>
      </c>
      <c r="G691" s="33" t="s">
        <v>38</v>
      </c>
      <c r="H691" s="33" t="s">
        <v>3794</v>
      </c>
      <c r="I691" s="33" t="s">
        <v>39</v>
      </c>
      <c r="J691" s="33" t="s">
        <v>40</v>
      </c>
      <c r="K691" s="33" t="s">
        <v>41</v>
      </c>
    </row>
    <row r="692" spans="1:12" hidden="1" x14ac:dyDescent="0.3">
      <c r="A692" s="39">
        <v>46076.658726851849</v>
      </c>
      <c r="B692" s="33">
        <v>45999211357</v>
      </c>
      <c r="C692" s="33" t="s">
        <v>48</v>
      </c>
      <c r="D692" s="33">
        <v>4431268225</v>
      </c>
      <c r="E692" s="33">
        <v>730</v>
      </c>
      <c r="F692" s="33">
        <v>729</v>
      </c>
      <c r="G692" s="33" t="s">
        <v>38</v>
      </c>
      <c r="H692" s="33" t="s">
        <v>3795</v>
      </c>
      <c r="I692" s="33" t="s">
        <v>39</v>
      </c>
      <c r="J692" s="33" t="s">
        <v>40</v>
      </c>
      <c r="K692" s="33" t="s">
        <v>41</v>
      </c>
    </row>
    <row r="693" spans="1:12" hidden="1" x14ac:dyDescent="0.3">
      <c r="A693" s="39">
        <v>46076.65861111111</v>
      </c>
      <c r="B693" s="33">
        <v>45999211357</v>
      </c>
      <c r="C693" s="33">
        <v>4431268225</v>
      </c>
      <c r="D693" s="33">
        <v>4431268225</v>
      </c>
      <c r="E693" s="33">
        <v>4</v>
      </c>
      <c r="F693" s="33">
        <v>3</v>
      </c>
      <c r="G693" s="33" t="s">
        <v>3449</v>
      </c>
      <c r="H693" s="33" t="s">
        <v>5434</v>
      </c>
      <c r="I693" s="33" t="s">
        <v>39</v>
      </c>
      <c r="J693" s="33" t="s">
        <v>3451</v>
      </c>
    </row>
    <row r="694" spans="1:12" x14ac:dyDescent="0.3">
      <c r="A694" s="39">
        <v>46076.658321759256</v>
      </c>
      <c r="B694" s="33">
        <v>44998068281</v>
      </c>
      <c r="C694" s="33" t="s">
        <v>44</v>
      </c>
      <c r="D694" s="33">
        <v>4430265054</v>
      </c>
      <c r="E694" s="33">
        <v>1017</v>
      </c>
      <c r="F694" s="33">
        <v>972</v>
      </c>
      <c r="G694" s="33" t="s">
        <v>38</v>
      </c>
      <c r="H694" s="33" t="s">
        <v>3796</v>
      </c>
      <c r="I694" s="33" t="s">
        <v>39</v>
      </c>
      <c r="J694" s="33" t="s">
        <v>40</v>
      </c>
      <c r="K694" s="33" t="s">
        <v>41</v>
      </c>
      <c r="L694" s="33">
        <v>5</v>
      </c>
    </row>
    <row r="695" spans="1:12" hidden="1" x14ac:dyDescent="0.3">
      <c r="A695" s="39">
        <v>46076.655706018515</v>
      </c>
      <c r="B695" s="33">
        <v>4430141533</v>
      </c>
      <c r="C695" s="33" t="s">
        <v>42</v>
      </c>
      <c r="D695" s="33">
        <v>4430265054</v>
      </c>
      <c r="E695" s="33">
        <v>560</v>
      </c>
      <c r="F695" s="33">
        <v>518</v>
      </c>
      <c r="G695" s="33" t="s">
        <v>38</v>
      </c>
      <c r="H695" s="33" t="s">
        <v>3797</v>
      </c>
      <c r="I695" s="33" t="s">
        <v>39</v>
      </c>
      <c r="J695" s="33" t="s">
        <v>40</v>
      </c>
      <c r="K695" s="33" t="s">
        <v>41</v>
      </c>
    </row>
    <row r="696" spans="1:12" hidden="1" x14ac:dyDescent="0.3">
      <c r="A696" s="39">
        <v>46076.654583333337</v>
      </c>
      <c r="B696" s="33">
        <v>4134348900</v>
      </c>
      <c r="C696" s="33">
        <v>4531273154</v>
      </c>
      <c r="D696" s="33">
        <v>4531273154</v>
      </c>
      <c r="E696" s="33">
        <v>9</v>
      </c>
      <c r="F696" s="33">
        <v>8</v>
      </c>
      <c r="G696" s="33" t="s">
        <v>3449</v>
      </c>
      <c r="H696" s="33" t="s">
        <v>5435</v>
      </c>
      <c r="I696" s="33" t="s">
        <v>39</v>
      </c>
      <c r="J696" s="33" t="s">
        <v>3451</v>
      </c>
    </row>
    <row r="697" spans="1:12" hidden="1" x14ac:dyDescent="0.3">
      <c r="A697" s="39">
        <v>46076.653900462959</v>
      </c>
      <c r="B697" s="33">
        <v>35998295948</v>
      </c>
      <c r="C697" s="33" t="s">
        <v>45</v>
      </c>
      <c r="D697" s="33">
        <v>4430265054</v>
      </c>
      <c r="E697" s="33">
        <v>555</v>
      </c>
      <c r="F697" s="33">
        <v>538</v>
      </c>
      <c r="G697" s="33" t="s">
        <v>38</v>
      </c>
      <c r="H697" s="33" t="s">
        <v>3798</v>
      </c>
      <c r="I697" s="33" t="s">
        <v>39</v>
      </c>
      <c r="J697" s="33" t="s">
        <v>40</v>
      </c>
      <c r="K697" s="33" t="s">
        <v>41</v>
      </c>
    </row>
    <row r="698" spans="1:12" hidden="1" x14ac:dyDescent="0.3">
      <c r="A698" s="39">
        <v>46076.652303240742</v>
      </c>
      <c r="B698" s="33">
        <v>11916079448</v>
      </c>
      <c r="C698" s="33" t="s">
        <v>43</v>
      </c>
      <c r="D698" s="33">
        <v>4430265054</v>
      </c>
      <c r="E698" s="33">
        <v>1265</v>
      </c>
      <c r="F698" s="33">
        <v>1241</v>
      </c>
      <c r="G698" s="33" t="s">
        <v>38</v>
      </c>
      <c r="H698" s="33" t="s">
        <v>3799</v>
      </c>
      <c r="I698" s="33" t="s">
        <v>39</v>
      </c>
      <c r="J698" s="33" t="s">
        <v>40</v>
      </c>
      <c r="K698" s="33" t="s">
        <v>41</v>
      </c>
      <c r="L698" s="33">
        <v>5</v>
      </c>
    </row>
    <row r="699" spans="1:12" hidden="1" x14ac:dyDescent="0.3">
      <c r="A699" s="39">
        <v>46076.652106481481</v>
      </c>
      <c r="B699" s="33">
        <v>4430315826</v>
      </c>
      <c r="C699" s="33">
        <v>4430265054</v>
      </c>
      <c r="D699" s="33">
        <v>4430265054</v>
      </c>
      <c r="E699" s="33">
        <v>37</v>
      </c>
      <c r="F699" s="33">
        <v>36</v>
      </c>
      <c r="G699" s="33" t="s">
        <v>3449</v>
      </c>
      <c r="H699" s="33" t="s">
        <v>3800</v>
      </c>
      <c r="I699" s="33" t="s">
        <v>39</v>
      </c>
      <c r="J699" s="33" t="s">
        <v>3451</v>
      </c>
      <c r="K699" s="33" t="s">
        <v>41</v>
      </c>
    </row>
    <row r="700" spans="1:12" hidden="1" x14ac:dyDescent="0.3">
      <c r="A700" s="39">
        <v>46076.651574074072</v>
      </c>
      <c r="B700" s="33">
        <v>4430317020</v>
      </c>
      <c r="C700" s="33">
        <v>4430265054</v>
      </c>
      <c r="D700" s="33">
        <v>4430265054</v>
      </c>
      <c r="E700" s="33">
        <v>23</v>
      </c>
      <c r="F700" s="33">
        <v>22</v>
      </c>
      <c r="G700" s="33" t="s">
        <v>3449</v>
      </c>
      <c r="H700" s="33" t="s">
        <v>5436</v>
      </c>
      <c r="I700" s="33" t="s">
        <v>39</v>
      </c>
      <c r="J700" s="33" t="s">
        <v>3451</v>
      </c>
    </row>
    <row r="701" spans="1:12" hidden="1" x14ac:dyDescent="0.3">
      <c r="A701" s="39">
        <v>46076.637708333335</v>
      </c>
      <c r="B701" s="33">
        <v>35998295948</v>
      </c>
      <c r="C701" s="33" t="s">
        <v>45</v>
      </c>
      <c r="D701" s="33">
        <v>4430265054</v>
      </c>
      <c r="E701" s="33">
        <v>218</v>
      </c>
      <c r="F701" s="33">
        <v>192</v>
      </c>
      <c r="G701" s="33" t="s">
        <v>38</v>
      </c>
      <c r="H701" s="33" t="s">
        <v>3801</v>
      </c>
      <c r="I701" s="33" t="s">
        <v>39</v>
      </c>
      <c r="J701" s="33" t="s">
        <v>40</v>
      </c>
      <c r="K701" s="33" t="s">
        <v>41</v>
      </c>
    </row>
    <row r="702" spans="1:12" x14ac:dyDescent="0.3">
      <c r="A702" s="39">
        <v>46076.633831018517</v>
      </c>
      <c r="B702" s="33">
        <v>4430459032</v>
      </c>
      <c r="C702" s="33" t="s">
        <v>44</v>
      </c>
      <c r="D702" s="33">
        <v>4430265054</v>
      </c>
      <c r="E702" s="33">
        <v>306</v>
      </c>
      <c r="F702" s="33">
        <v>224</v>
      </c>
      <c r="G702" s="33" t="s">
        <v>38</v>
      </c>
      <c r="H702" s="33" t="s">
        <v>3802</v>
      </c>
      <c r="I702" s="33" t="s">
        <v>39</v>
      </c>
      <c r="J702" s="33" t="s">
        <v>40</v>
      </c>
      <c r="K702" s="33" t="s">
        <v>41</v>
      </c>
      <c r="L702" s="33">
        <v>5</v>
      </c>
    </row>
    <row r="703" spans="1:12" hidden="1" x14ac:dyDescent="0.3">
      <c r="A703" s="39">
        <v>46076.633518518516</v>
      </c>
      <c r="B703" s="33">
        <v>44991388221</v>
      </c>
      <c r="C703" s="33" t="s">
        <v>37</v>
      </c>
      <c r="D703" s="33">
        <v>4430265054</v>
      </c>
      <c r="E703" s="33">
        <v>2131</v>
      </c>
      <c r="F703" s="33">
        <v>2064</v>
      </c>
      <c r="G703" s="33" t="s">
        <v>38</v>
      </c>
      <c r="H703" s="33" t="s">
        <v>3803</v>
      </c>
      <c r="I703" s="33" t="s">
        <v>39</v>
      </c>
      <c r="J703" s="33" t="s">
        <v>40</v>
      </c>
      <c r="K703" s="33" t="s">
        <v>41</v>
      </c>
    </row>
    <row r="704" spans="1:12" hidden="1" x14ac:dyDescent="0.3">
      <c r="A704" s="39">
        <v>46076.629583333335</v>
      </c>
      <c r="B704" s="33">
        <v>44999689445</v>
      </c>
      <c r="C704" s="33" t="s">
        <v>42</v>
      </c>
      <c r="D704" s="33">
        <v>4430265054</v>
      </c>
      <c r="E704" s="33">
        <v>1538</v>
      </c>
      <c r="F704" s="33">
        <v>1512</v>
      </c>
      <c r="G704" s="33" t="s">
        <v>38</v>
      </c>
      <c r="H704" s="33" t="s">
        <v>3804</v>
      </c>
      <c r="I704" s="33" t="s">
        <v>39</v>
      </c>
      <c r="J704" s="33" t="s">
        <v>40</v>
      </c>
      <c r="K704" s="33" t="s">
        <v>41</v>
      </c>
    </row>
    <row r="705" spans="1:12" hidden="1" x14ac:dyDescent="0.3">
      <c r="A705" s="39">
        <v>46076.626736111109</v>
      </c>
      <c r="B705" s="33">
        <v>45999211333</v>
      </c>
      <c r="C705" s="33" t="s">
        <v>45</v>
      </c>
      <c r="D705" s="33">
        <v>4430265054</v>
      </c>
      <c r="E705" s="33">
        <v>198</v>
      </c>
      <c r="F705" s="33">
        <v>138</v>
      </c>
      <c r="G705" s="33" t="s">
        <v>38</v>
      </c>
      <c r="H705" s="33" t="s">
        <v>3805</v>
      </c>
      <c r="I705" s="33" t="s">
        <v>39</v>
      </c>
      <c r="J705" s="33" t="s">
        <v>40</v>
      </c>
      <c r="K705" s="33" t="s">
        <v>41</v>
      </c>
    </row>
    <row r="706" spans="1:12" hidden="1" x14ac:dyDescent="0.3">
      <c r="A706" s="39">
        <v>46076.621759259258</v>
      </c>
      <c r="B706" s="33">
        <v>4432325260</v>
      </c>
      <c r="C706" s="33" t="s">
        <v>45</v>
      </c>
      <c r="D706" s="33">
        <v>4430265054</v>
      </c>
      <c r="E706" s="33">
        <v>216</v>
      </c>
      <c r="F706" s="33">
        <v>126</v>
      </c>
      <c r="G706" s="33" t="s">
        <v>38</v>
      </c>
      <c r="H706" s="33" t="s">
        <v>3806</v>
      </c>
      <c r="I706" s="33" t="s">
        <v>39</v>
      </c>
      <c r="J706" s="33" t="s">
        <v>40</v>
      </c>
      <c r="K706" s="33" t="s">
        <v>41</v>
      </c>
      <c r="L706" s="33">
        <v>5</v>
      </c>
    </row>
    <row r="707" spans="1:12" hidden="1" x14ac:dyDescent="0.3">
      <c r="A707" s="39">
        <v>46076.621203703704</v>
      </c>
      <c r="B707" s="33">
        <v>4134348900</v>
      </c>
      <c r="C707" s="33">
        <v>4431268238</v>
      </c>
      <c r="D707" s="33">
        <v>4431268238</v>
      </c>
      <c r="E707" s="33">
        <v>9</v>
      </c>
      <c r="F707" s="33">
        <v>8</v>
      </c>
      <c r="G707" s="33" t="s">
        <v>3449</v>
      </c>
      <c r="H707" s="33" t="s">
        <v>5437</v>
      </c>
      <c r="I707" s="33" t="s">
        <v>39</v>
      </c>
      <c r="J707" s="33" t="s">
        <v>3451</v>
      </c>
    </row>
    <row r="708" spans="1:12" hidden="1" x14ac:dyDescent="0.3">
      <c r="A708" s="39">
        <v>46076.617268518516</v>
      </c>
      <c r="B708" s="33">
        <v>83988398480</v>
      </c>
      <c r="C708" s="33" t="s">
        <v>43</v>
      </c>
      <c r="D708" s="33">
        <v>4430265054</v>
      </c>
      <c r="E708" s="33">
        <v>371</v>
      </c>
      <c r="F708" s="33">
        <v>335</v>
      </c>
      <c r="G708" s="33" t="s">
        <v>38</v>
      </c>
      <c r="H708" s="33" t="s">
        <v>3807</v>
      </c>
      <c r="I708" s="33" t="s">
        <v>39</v>
      </c>
      <c r="J708" s="33" t="s">
        <v>40</v>
      </c>
      <c r="K708" s="33" t="s">
        <v>41</v>
      </c>
    </row>
    <row r="709" spans="1:12" hidden="1" x14ac:dyDescent="0.3">
      <c r="A709" s="39">
        <v>46076.615833333337</v>
      </c>
      <c r="B709" s="33">
        <v>4430318516</v>
      </c>
      <c r="C709" s="33" t="s">
        <v>42</v>
      </c>
      <c r="D709" s="33">
        <v>4430265054</v>
      </c>
      <c r="E709" s="33">
        <v>790</v>
      </c>
      <c r="F709" s="33">
        <v>754</v>
      </c>
      <c r="G709" s="33" t="s">
        <v>38</v>
      </c>
      <c r="H709" s="33" t="s">
        <v>3808</v>
      </c>
      <c r="I709" s="33" t="s">
        <v>39</v>
      </c>
      <c r="J709" s="33" t="s">
        <v>40</v>
      </c>
      <c r="K709" s="33" t="s">
        <v>41</v>
      </c>
    </row>
    <row r="710" spans="1:12" hidden="1" x14ac:dyDescent="0.3">
      <c r="A710" s="39">
        <v>46076.612442129626</v>
      </c>
      <c r="B710" s="33">
        <v>4134348900</v>
      </c>
      <c r="C710" s="33">
        <v>4531273171</v>
      </c>
      <c r="D710" s="33">
        <v>4531273171</v>
      </c>
      <c r="E710" s="33">
        <v>8</v>
      </c>
      <c r="F710" s="33">
        <v>8</v>
      </c>
      <c r="G710" s="33" t="s">
        <v>3449</v>
      </c>
      <c r="H710" s="33" t="s">
        <v>5438</v>
      </c>
      <c r="I710" s="33" t="s">
        <v>39</v>
      </c>
      <c r="J710" s="33" t="s">
        <v>3451</v>
      </c>
    </row>
    <row r="711" spans="1:12" hidden="1" x14ac:dyDescent="0.3">
      <c r="A711" s="39">
        <v>46076.61136574074</v>
      </c>
      <c r="B711" s="33">
        <v>35998295948</v>
      </c>
      <c r="C711" s="33" t="s">
        <v>45</v>
      </c>
      <c r="D711" s="33">
        <v>4430265054</v>
      </c>
      <c r="E711" s="33">
        <v>469</v>
      </c>
      <c r="F711" s="33">
        <v>326</v>
      </c>
      <c r="G711" s="33" t="s">
        <v>38</v>
      </c>
      <c r="H711" s="33" t="s">
        <v>3809</v>
      </c>
      <c r="I711" s="33" t="s">
        <v>39</v>
      </c>
      <c r="J711" s="33" t="s">
        <v>40</v>
      </c>
      <c r="K711" s="33" t="s">
        <v>41</v>
      </c>
    </row>
    <row r="712" spans="1:12" hidden="1" x14ac:dyDescent="0.3">
      <c r="A712" s="39">
        <v>46076.608182870368</v>
      </c>
      <c r="B712" s="33" t="s">
        <v>37</v>
      </c>
      <c r="C712" s="33">
        <v>44991388221</v>
      </c>
      <c r="E712" s="33">
        <v>974</v>
      </c>
      <c r="F712" s="33">
        <v>967</v>
      </c>
      <c r="G712" s="33" t="s">
        <v>38</v>
      </c>
      <c r="H712" s="33" t="s">
        <v>5439</v>
      </c>
      <c r="I712" s="33" t="s">
        <v>46</v>
      </c>
      <c r="J712" s="33" t="s">
        <v>40</v>
      </c>
      <c r="L712" s="33">
        <v>5</v>
      </c>
    </row>
    <row r="713" spans="1:12" hidden="1" x14ac:dyDescent="0.3">
      <c r="A713" s="39">
        <v>46076.605729166666</v>
      </c>
      <c r="B713" s="33">
        <v>4437711441</v>
      </c>
      <c r="C713" s="33" t="s">
        <v>44</v>
      </c>
      <c r="D713" s="33">
        <v>4430265054</v>
      </c>
      <c r="E713" s="33">
        <v>166</v>
      </c>
      <c r="F713" s="33">
        <v>125</v>
      </c>
      <c r="G713" s="33" t="s">
        <v>38</v>
      </c>
      <c r="H713" s="33" t="s">
        <v>3810</v>
      </c>
      <c r="I713" s="33" t="s">
        <v>39</v>
      </c>
      <c r="J713" s="33" t="s">
        <v>40</v>
      </c>
      <c r="K713" s="33" t="s">
        <v>41</v>
      </c>
    </row>
    <row r="714" spans="1:12" hidden="1" x14ac:dyDescent="0.3">
      <c r="A714" s="39">
        <v>46076.602384259262</v>
      </c>
      <c r="B714" s="33">
        <v>44991354005</v>
      </c>
      <c r="C714" s="33" t="s">
        <v>45</v>
      </c>
      <c r="D714" s="33">
        <v>4430265054</v>
      </c>
      <c r="E714" s="33">
        <v>375</v>
      </c>
      <c r="F714" s="33">
        <v>273</v>
      </c>
      <c r="G714" s="33" t="s">
        <v>38</v>
      </c>
      <c r="H714" s="33" t="s">
        <v>3811</v>
      </c>
      <c r="I714" s="33" t="s">
        <v>39</v>
      </c>
      <c r="J714" s="33" t="s">
        <v>40</v>
      </c>
      <c r="K714" s="33" t="s">
        <v>41</v>
      </c>
      <c r="L714" s="33">
        <v>5</v>
      </c>
    </row>
    <row r="715" spans="1:12" hidden="1" x14ac:dyDescent="0.3">
      <c r="A715" s="39">
        <v>46076.601365740738</v>
      </c>
      <c r="B715" s="33">
        <v>4134348900</v>
      </c>
      <c r="C715" s="33">
        <v>4531273168</v>
      </c>
      <c r="D715" s="33">
        <v>4531273168</v>
      </c>
      <c r="E715" s="33">
        <v>9</v>
      </c>
      <c r="F715" s="33">
        <v>8</v>
      </c>
      <c r="G715" s="33" t="s">
        <v>3449</v>
      </c>
      <c r="H715" s="33" t="s">
        <v>5440</v>
      </c>
      <c r="I715" s="33" t="s">
        <v>39</v>
      </c>
      <c r="J715" s="33" t="s">
        <v>3451</v>
      </c>
    </row>
    <row r="716" spans="1:12" hidden="1" x14ac:dyDescent="0.3">
      <c r="A716" s="39">
        <v>46076.600648148145</v>
      </c>
      <c r="B716" s="33">
        <v>4430284942</v>
      </c>
      <c r="C716" s="33" t="s">
        <v>43</v>
      </c>
      <c r="D716" s="33">
        <v>4430265054</v>
      </c>
      <c r="E716" s="33">
        <v>758</v>
      </c>
      <c r="F716" s="33">
        <v>664</v>
      </c>
      <c r="G716" s="33" t="s">
        <v>38</v>
      </c>
      <c r="H716" s="33" t="s">
        <v>3812</v>
      </c>
      <c r="I716" s="33" t="s">
        <v>39</v>
      </c>
      <c r="J716" s="33" t="s">
        <v>40</v>
      </c>
      <c r="K716" s="33" t="s">
        <v>41</v>
      </c>
    </row>
    <row r="717" spans="1:12" hidden="1" x14ac:dyDescent="0.3">
      <c r="A717" s="39">
        <v>46076.594733796293</v>
      </c>
      <c r="B717" s="33">
        <v>44991388221</v>
      </c>
      <c r="C717" s="33" t="s">
        <v>37</v>
      </c>
      <c r="D717" s="33">
        <v>4430265054</v>
      </c>
      <c r="E717" s="33">
        <v>604</v>
      </c>
      <c r="F717" s="33">
        <v>477</v>
      </c>
      <c r="G717" s="33" t="s">
        <v>38</v>
      </c>
      <c r="H717" s="33" t="s">
        <v>3813</v>
      </c>
      <c r="I717" s="33" t="s">
        <v>39</v>
      </c>
      <c r="J717" s="33" t="s">
        <v>40</v>
      </c>
      <c r="K717" s="33" t="s">
        <v>41</v>
      </c>
    </row>
    <row r="718" spans="1:12" hidden="1" x14ac:dyDescent="0.3">
      <c r="A718" s="39">
        <v>46076.593564814815</v>
      </c>
      <c r="B718" s="33" t="s">
        <v>42</v>
      </c>
      <c r="C718" s="33">
        <v>4440092840</v>
      </c>
      <c r="E718" s="33">
        <v>1274</v>
      </c>
      <c r="F718" s="33">
        <v>1251</v>
      </c>
      <c r="G718" s="33" t="s">
        <v>38</v>
      </c>
      <c r="H718" s="33" t="s">
        <v>5441</v>
      </c>
      <c r="I718" s="33" t="s">
        <v>46</v>
      </c>
      <c r="J718" s="33" t="s">
        <v>40</v>
      </c>
    </row>
    <row r="719" spans="1:12" hidden="1" x14ac:dyDescent="0.3">
      <c r="A719" s="39">
        <v>46076.589421296296</v>
      </c>
      <c r="B719" s="33" t="s">
        <v>44</v>
      </c>
      <c r="C719" s="33">
        <v>1143744993</v>
      </c>
      <c r="E719" s="33">
        <v>334</v>
      </c>
      <c r="F719" s="33">
        <v>325</v>
      </c>
      <c r="G719" s="33" t="s">
        <v>38</v>
      </c>
      <c r="H719" s="33" t="s">
        <v>5442</v>
      </c>
      <c r="I719" s="33" t="s">
        <v>46</v>
      </c>
      <c r="J719" s="33" t="s">
        <v>40</v>
      </c>
      <c r="L719" s="33">
        <v>5</v>
      </c>
    </row>
    <row r="720" spans="1:12" hidden="1" x14ac:dyDescent="0.3">
      <c r="A720" s="39">
        <v>46076.583761574075</v>
      </c>
      <c r="B720" s="33">
        <v>4430318515</v>
      </c>
      <c r="C720" s="33" t="s">
        <v>43</v>
      </c>
      <c r="D720" s="33">
        <v>4430265054</v>
      </c>
      <c r="E720" s="33">
        <v>494</v>
      </c>
      <c r="F720" s="33">
        <v>450</v>
      </c>
      <c r="G720" s="33" t="s">
        <v>38</v>
      </c>
      <c r="H720" s="33" t="s">
        <v>3814</v>
      </c>
      <c r="I720" s="33" t="s">
        <v>39</v>
      </c>
      <c r="J720" s="33" t="s">
        <v>40</v>
      </c>
      <c r="K720" s="33" t="s">
        <v>41</v>
      </c>
    </row>
    <row r="721" spans="1:12" hidden="1" x14ac:dyDescent="0.3">
      <c r="A721" s="39">
        <v>46076.582743055558</v>
      </c>
      <c r="B721" s="33">
        <v>43991364602</v>
      </c>
      <c r="C721" s="33" t="s">
        <v>44</v>
      </c>
      <c r="D721" s="33">
        <v>4430265054</v>
      </c>
      <c r="E721" s="33">
        <v>415</v>
      </c>
      <c r="F721" s="33">
        <v>304</v>
      </c>
      <c r="G721" s="33" t="s">
        <v>38</v>
      </c>
      <c r="H721" s="33" t="s">
        <v>3815</v>
      </c>
      <c r="I721" s="33" t="s">
        <v>39</v>
      </c>
      <c r="J721" s="33" t="s">
        <v>40</v>
      </c>
      <c r="K721" s="33" t="s">
        <v>41</v>
      </c>
    </row>
    <row r="722" spans="1:12" hidden="1" x14ac:dyDescent="0.3">
      <c r="A722" s="39">
        <v>46076.577974537038</v>
      </c>
      <c r="B722" s="33" t="s">
        <v>37</v>
      </c>
      <c r="C722" s="33">
        <v>4434231198</v>
      </c>
      <c r="E722" s="33">
        <v>46</v>
      </c>
      <c r="F722" s="33">
        <v>41</v>
      </c>
      <c r="G722" s="33" t="s">
        <v>38</v>
      </c>
      <c r="H722" s="33" t="s">
        <v>5443</v>
      </c>
      <c r="I722" s="33" t="s">
        <v>46</v>
      </c>
      <c r="J722" s="33" t="s">
        <v>40</v>
      </c>
    </row>
    <row r="723" spans="1:12" hidden="1" x14ac:dyDescent="0.3">
      <c r="A723" s="39">
        <v>46076.573981481481</v>
      </c>
      <c r="B723" s="33">
        <v>44991333591</v>
      </c>
      <c r="C723" s="33" t="s">
        <v>45</v>
      </c>
      <c r="D723" s="33">
        <v>4430265054</v>
      </c>
      <c r="E723" s="33">
        <v>1804</v>
      </c>
      <c r="F723" s="33">
        <v>1751</v>
      </c>
      <c r="G723" s="33" t="s">
        <v>38</v>
      </c>
      <c r="H723" s="33" t="s">
        <v>3816</v>
      </c>
      <c r="I723" s="33" t="s">
        <v>39</v>
      </c>
      <c r="J723" s="33" t="s">
        <v>40</v>
      </c>
      <c r="K723" s="33" t="s">
        <v>41</v>
      </c>
      <c r="L723" s="33">
        <v>5</v>
      </c>
    </row>
    <row r="724" spans="1:12" hidden="1" x14ac:dyDescent="0.3">
      <c r="A724" s="39">
        <v>46076.572418981479</v>
      </c>
      <c r="B724" s="33" t="s">
        <v>5173</v>
      </c>
      <c r="C724" s="33">
        <v>81994195603</v>
      </c>
      <c r="E724" s="33">
        <v>1062</v>
      </c>
      <c r="F724" s="33">
        <v>1052</v>
      </c>
      <c r="G724" s="33" t="s">
        <v>38</v>
      </c>
      <c r="H724" s="33" t="s">
        <v>5444</v>
      </c>
      <c r="I724" s="33" t="s">
        <v>46</v>
      </c>
      <c r="J724" s="33" t="s">
        <v>3629</v>
      </c>
    </row>
    <row r="725" spans="1:12" hidden="1" x14ac:dyDescent="0.3">
      <c r="A725" s="39">
        <v>46076.569074074076</v>
      </c>
      <c r="B725" s="33">
        <v>44991234625</v>
      </c>
      <c r="C725" s="33" t="s">
        <v>45</v>
      </c>
      <c r="D725" s="33">
        <v>4430265054</v>
      </c>
      <c r="E725" s="33">
        <v>241</v>
      </c>
      <c r="F725" s="33">
        <v>183</v>
      </c>
      <c r="G725" s="33" t="s">
        <v>38</v>
      </c>
      <c r="H725" s="33" t="s">
        <v>3817</v>
      </c>
      <c r="I725" s="33" t="s">
        <v>39</v>
      </c>
      <c r="J725" s="33" t="s">
        <v>40</v>
      </c>
      <c r="K725" s="33" t="s">
        <v>41</v>
      </c>
    </row>
    <row r="726" spans="1:12" hidden="1" x14ac:dyDescent="0.3">
      <c r="A726" s="39">
        <v>46076.56695601852</v>
      </c>
      <c r="B726" s="33">
        <v>44998713080</v>
      </c>
      <c r="C726" s="33">
        <v>4430265054</v>
      </c>
      <c r="D726" s="33">
        <v>4430265054</v>
      </c>
      <c r="E726" s="33">
        <v>3</v>
      </c>
      <c r="F726" s="33">
        <v>2</v>
      </c>
      <c r="G726" s="33" t="s">
        <v>3449</v>
      </c>
      <c r="H726" s="33" t="s">
        <v>5445</v>
      </c>
      <c r="I726" s="33" t="s">
        <v>39</v>
      </c>
      <c r="J726" s="33" t="s">
        <v>3451</v>
      </c>
    </row>
    <row r="727" spans="1:12" hidden="1" x14ac:dyDescent="0.3">
      <c r="A727" s="39">
        <v>46076.565636574072</v>
      </c>
      <c r="B727" s="33">
        <v>42998221810</v>
      </c>
      <c r="C727" s="33" t="s">
        <v>37</v>
      </c>
      <c r="D727" s="33">
        <v>4430265054</v>
      </c>
      <c r="E727" s="33">
        <v>768</v>
      </c>
      <c r="F727" s="33">
        <v>690</v>
      </c>
      <c r="G727" s="33" t="s">
        <v>38</v>
      </c>
      <c r="H727" s="33" t="s">
        <v>3818</v>
      </c>
      <c r="I727" s="33" t="s">
        <v>39</v>
      </c>
      <c r="J727" s="33" t="s">
        <v>40</v>
      </c>
      <c r="K727" s="33" t="s">
        <v>41</v>
      </c>
      <c r="L727" s="33">
        <v>5</v>
      </c>
    </row>
    <row r="728" spans="1:12" hidden="1" x14ac:dyDescent="0.3">
      <c r="A728" s="39">
        <v>46076.561712962961</v>
      </c>
      <c r="B728" s="33">
        <v>11964349202</v>
      </c>
      <c r="C728" s="33">
        <v>4430265054</v>
      </c>
      <c r="D728" s="33">
        <v>4430265054</v>
      </c>
      <c r="E728" s="33">
        <v>29</v>
      </c>
      <c r="F728" s="33">
        <v>28</v>
      </c>
      <c r="G728" s="33" t="s">
        <v>3449</v>
      </c>
      <c r="H728" s="33" t="s">
        <v>5446</v>
      </c>
      <c r="I728" s="33" t="s">
        <v>39</v>
      </c>
      <c r="J728" s="33" t="s">
        <v>3451</v>
      </c>
    </row>
    <row r="729" spans="1:12" hidden="1" x14ac:dyDescent="0.3">
      <c r="A729" s="39">
        <v>46076.561180555553</v>
      </c>
      <c r="B729" s="33">
        <v>11964349202</v>
      </c>
      <c r="C729" s="33">
        <v>4430265054</v>
      </c>
      <c r="D729" s="33">
        <v>4430265054</v>
      </c>
      <c r="E729" s="33">
        <v>29</v>
      </c>
      <c r="F729" s="33">
        <v>28</v>
      </c>
      <c r="G729" s="33" t="s">
        <v>3449</v>
      </c>
      <c r="H729" s="33" t="s">
        <v>5447</v>
      </c>
      <c r="I729" s="33" t="s">
        <v>39</v>
      </c>
      <c r="J729" s="33" t="s">
        <v>3451</v>
      </c>
    </row>
    <row r="730" spans="1:12" hidden="1" x14ac:dyDescent="0.3">
      <c r="A730" s="39">
        <v>46076.54483796296</v>
      </c>
      <c r="B730" s="33">
        <v>4134348900</v>
      </c>
      <c r="C730" s="33">
        <v>4531273172</v>
      </c>
      <c r="D730" s="33">
        <v>4531273172</v>
      </c>
      <c r="E730" s="33">
        <v>8</v>
      </c>
      <c r="F730" s="33">
        <v>7</v>
      </c>
      <c r="G730" s="33" t="s">
        <v>3449</v>
      </c>
      <c r="H730" s="33" t="s">
        <v>5448</v>
      </c>
      <c r="I730" s="33" t="s">
        <v>39</v>
      </c>
      <c r="J730" s="33" t="s">
        <v>3451</v>
      </c>
    </row>
    <row r="731" spans="1:12" hidden="1" x14ac:dyDescent="0.3">
      <c r="A731" s="39">
        <v>46076.523969907408</v>
      </c>
      <c r="B731" s="33">
        <v>4134348900</v>
      </c>
      <c r="C731" s="33">
        <v>4531273154</v>
      </c>
      <c r="D731" s="33">
        <v>4531273154</v>
      </c>
      <c r="E731" s="33">
        <v>8</v>
      </c>
      <c r="F731" s="33">
        <v>8</v>
      </c>
      <c r="G731" s="33" t="s">
        <v>3449</v>
      </c>
      <c r="H731" s="33" t="s">
        <v>5449</v>
      </c>
      <c r="I731" s="33" t="s">
        <v>39</v>
      </c>
      <c r="J731" s="33" t="s">
        <v>3451</v>
      </c>
    </row>
    <row r="732" spans="1:12" hidden="1" x14ac:dyDescent="0.3">
      <c r="A732" s="39">
        <v>46076.499664351853</v>
      </c>
      <c r="B732" s="33" t="s">
        <v>37</v>
      </c>
      <c r="C732" s="33">
        <v>11971245198</v>
      </c>
      <c r="E732" s="33">
        <v>137</v>
      </c>
      <c r="F732" s="33">
        <v>126</v>
      </c>
      <c r="G732" s="33" t="s">
        <v>38</v>
      </c>
      <c r="H732" s="33" t="s">
        <v>5450</v>
      </c>
      <c r="I732" s="33" t="s">
        <v>46</v>
      </c>
      <c r="J732" s="33" t="s">
        <v>40</v>
      </c>
    </row>
    <row r="733" spans="1:12" hidden="1" x14ac:dyDescent="0.3">
      <c r="A733" s="39">
        <v>46076.497037037036</v>
      </c>
      <c r="B733" s="33">
        <v>4440092826</v>
      </c>
      <c r="C733" s="33" t="s">
        <v>42</v>
      </c>
      <c r="D733" s="33">
        <v>4430265054</v>
      </c>
      <c r="E733" s="33">
        <v>302</v>
      </c>
      <c r="F733" s="33">
        <v>274</v>
      </c>
      <c r="G733" s="33" t="s">
        <v>38</v>
      </c>
      <c r="H733" s="33" t="s">
        <v>3819</v>
      </c>
      <c r="I733" s="33" t="s">
        <v>39</v>
      </c>
      <c r="J733" s="33" t="s">
        <v>40</v>
      </c>
      <c r="K733" s="33" t="s">
        <v>41</v>
      </c>
    </row>
    <row r="734" spans="1:12" hidden="1" x14ac:dyDescent="0.3">
      <c r="A734" s="39">
        <v>46076.492013888892</v>
      </c>
      <c r="B734" s="33">
        <v>4430318514</v>
      </c>
      <c r="C734" s="33" t="s">
        <v>45</v>
      </c>
      <c r="D734" s="33">
        <v>4430265054</v>
      </c>
      <c r="E734" s="33">
        <v>579</v>
      </c>
      <c r="F734" s="33">
        <v>501</v>
      </c>
      <c r="G734" s="33" t="s">
        <v>38</v>
      </c>
      <c r="H734" s="33" t="s">
        <v>3820</v>
      </c>
      <c r="I734" s="33" t="s">
        <v>39</v>
      </c>
      <c r="J734" s="33" t="s">
        <v>40</v>
      </c>
      <c r="K734" s="33" t="s">
        <v>41</v>
      </c>
    </row>
    <row r="735" spans="1:12" hidden="1" x14ac:dyDescent="0.3">
      <c r="A735" s="39">
        <v>46076.486064814817</v>
      </c>
      <c r="B735" s="33">
        <v>1128787060</v>
      </c>
      <c r="C735" s="33" t="s">
        <v>48</v>
      </c>
      <c r="D735" s="33">
        <v>4430265054</v>
      </c>
      <c r="E735" s="33">
        <v>206</v>
      </c>
      <c r="F735" s="33">
        <v>169</v>
      </c>
      <c r="G735" s="33" t="s">
        <v>38</v>
      </c>
      <c r="H735" s="33" t="s">
        <v>3821</v>
      </c>
      <c r="I735" s="33" t="s">
        <v>39</v>
      </c>
      <c r="J735" s="33" t="s">
        <v>40</v>
      </c>
      <c r="K735" s="33" t="s">
        <v>41</v>
      </c>
    </row>
    <row r="736" spans="1:12" hidden="1" x14ac:dyDescent="0.3">
      <c r="A736" s="39">
        <v>46076.484907407408</v>
      </c>
      <c r="B736" s="33">
        <v>4430288517</v>
      </c>
      <c r="C736" s="33">
        <v>4430265054</v>
      </c>
      <c r="D736" s="33">
        <v>4430265054</v>
      </c>
      <c r="E736" s="33">
        <v>72</v>
      </c>
      <c r="F736" s="33">
        <v>72</v>
      </c>
      <c r="G736" s="33" t="s">
        <v>3449</v>
      </c>
      <c r="H736" s="33" t="s">
        <v>3822</v>
      </c>
      <c r="I736" s="33" t="s">
        <v>39</v>
      </c>
      <c r="J736" s="33" t="s">
        <v>3451</v>
      </c>
      <c r="K736" s="33" t="s">
        <v>41</v>
      </c>
    </row>
    <row r="737" spans="1:12" hidden="1" x14ac:dyDescent="0.3">
      <c r="A737" s="39">
        <v>46076.484780092593</v>
      </c>
      <c r="B737" s="33" t="s">
        <v>51</v>
      </c>
      <c r="C737" s="33">
        <v>44991388221</v>
      </c>
      <c r="E737" s="33">
        <v>94</v>
      </c>
      <c r="F737" s="33">
        <v>85</v>
      </c>
      <c r="G737" s="33" t="s">
        <v>38</v>
      </c>
      <c r="H737" s="33" t="s">
        <v>5451</v>
      </c>
      <c r="I737" s="33" t="s">
        <v>46</v>
      </c>
      <c r="J737" s="33" t="s">
        <v>3629</v>
      </c>
    </row>
    <row r="738" spans="1:12" hidden="1" x14ac:dyDescent="0.3">
      <c r="A738" s="39">
        <v>46076.483946759261</v>
      </c>
      <c r="B738" s="33" t="s">
        <v>37</v>
      </c>
      <c r="C738" s="33">
        <v>4434231198</v>
      </c>
      <c r="E738" s="33">
        <v>122</v>
      </c>
      <c r="F738" s="33">
        <v>117</v>
      </c>
      <c r="G738" s="33" t="s">
        <v>38</v>
      </c>
      <c r="H738" s="33" t="s">
        <v>5452</v>
      </c>
      <c r="I738" s="33" t="s">
        <v>46</v>
      </c>
      <c r="J738" s="33" t="s">
        <v>40</v>
      </c>
    </row>
    <row r="739" spans="1:12" hidden="1" x14ac:dyDescent="0.3">
      <c r="A739" s="39">
        <v>46076.482557870368</v>
      </c>
      <c r="B739" s="33">
        <v>4432272377</v>
      </c>
      <c r="C739" s="33" t="s">
        <v>48</v>
      </c>
      <c r="D739" s="33">
        <v>4430265054</v>
      </c>
      <c r="E739" s="33">
        <v>303</v>
      </c>
      <c r="F739" s="33">
        <v>303</v>
      </c>
      <c r="G739" s="33" t="s">
        <v>38</v>
      </c>
      <c r="H739" s="33" t="s">
        <v>3823</v>
      </c>
      <c r="I739" s="33" t="s">
        <v>39</v>
      </c>
      <c r="J739" s="33" t="s">
        <v>40</v>
      </c>
      <c r="K739" s="33" t="s">
        <v>41</v>
      </c>
      <c r="L739" s="33">
        <v>5</v>
      </c>
    </row>
    <row r="740" spans="1:12" hidden="1" x14ac:dyDescent="0.3">
      <c r="A740" s="39">
        <v>46076.482175925928</v>
      </c>
      <c r="B740" s="33">
        <v>4532541802</v>
      </c>
      <c r="C740" s="33" t="s">
        <v>43</v>
      </c>
      <c r="D740" s="33">
        <v>4430265054</v>
      </c>
      <c r="E740" s="33">
        <v>341</v>
      </c>
      <c r="F740" s="33">
        <v>323</v>
      </c>
      <c r="G740" s="33" t="s">
        <v>38</v>
      </c>
      <c r="H740" s="33" t="s">
        <v>3824</v>
      </c>
      <c r="I740" s="33" t="s">
        <v>39</v>
      </c>
      <c r="J740" s="33" t="s">
        <v>40</v>
      </c>
      <c r="K740" s="33" t="s">
        <v>41</v>
      </c>
    </row>
    <row r="741" spans="1:12" hidden="1" x14ac:dyDescent="0.3">
      <c r="A741" s="39">
        <v>46076.481388888889</v>
      </c>
      <c r="B741" s="33">
        <v>4430318515</v>
      </c>
      <c r="C741" s="33" t="s">
        <v>44</v>
      </c>
      <c r="D741" s="33">
        <v>4430265054</v>
      </c>
      <c r="E741" s="33">
        <v>180</v>
      </c>
      <c r="F741" s="33">
        <v>111</v>
      </c>
      <c r="G741" s="33" t="s">
        <v>38</v>
      </c>
      <c r="H741" s="33" t="s">
        <v>3825</v>
      </c>
      <c r="I741" s="33" t="s">
        <v>39</v>
      </c>
      <c r="J741" s="33" t="s">
        <v>40</v>
      </c>
      <c r="K741" s="33" t="s">
        <v>41</v>
      </c>
    </row>
    <row r="742" spans="1:12" hidden="1" x14ac:dyDescent="0.3">
      <c r="A742" s="39">
        <v>46076.479641203703</v>
      </c>
      <c r="B742" s="33">
        <v>4432268889</v>
      </c>
      <c r="C742" s="33">
        <v>4430265054</v>
      </c>
      <c r="D742" s="33">
        <v>4430265054</v>
      </c>
      <c r="E742" s="33">
        <v>17</v>
      </c>
      <c r="F742" s="33">
        <v>16</v>
      </c>
      <c r="G742" s="33" t="s">
        <v>3449</v>
      </c>
      <c r="H742" s="33" t="s">
        <v>5453</v>
      </c>
      <c r="I742" s="33" t="s">
        <v>39</v>
      </c>
      <c r="J742" s="33" t="s">
        <v>3451</v>
      </c>
    </row>
    <row r="743" spans="1:12" hidden="1" x14ac:dyDescent="0.3">
      <c r="A743" s="39">
        <v>46076.478159722225</v>
      </c>
      <c r="B743" s="33">
        <v>83988398480</v>
      </c>
      <c r="C743" s="33" t="s">
        <v>44</v>
      </c>
      <c r="D743" s="33">
        <v>4430265054</v>
      </c>
      <c r="E743" s="33">
        <v>150</v>
      </c>
      <c r="F743" s="33">
        <v>98</v>
      </c>
      <c r="G743" s="33" t="s">
        <v>38</v>
      </c>
      <c r="H743" s="33" t="s">
        <v>3826</v>
      </c>
      <c r="I743" s="33" t="s">
        <v>39</v>
      </c>
      <c r="J743" s="33" t="s">
        <v>40</v>
      </c>
      <c r="K743" s="33" t="s">
        <v>41</v>
      </c>
    </row>
    <row r="744" spans="1:12" hidden="1" x14ac:dyDescent="0.3">
      <c r="A744" s="39">
        <v>46076.477812500001</v>
      </c>
      <c r="B744" s="33">
        <v>91985176746</v>
      </c>
      <c r="C744" s="33" t="s">
        <v>43</v>
      </c>
      <c r="D744" s="33">
        <v>4430265054</v>
      </c>
      <c r="E744" s="33">
        <v>269</v>
      </c>
      <c r="F744" s="33">
        <v>239</v>
      </c>
      <c r="G744" s="33" t="s">
        <v>38</v>
      </c>
      <c r="H744" s="33" t="s">
        <v>3827</v>
      </c>
      <c r="I744" s="33" t="s">
        <v>39</v>
      </c>
      <c r="J744" s="33" t="s">
        <v>40</v>
      </c>
      <c r="K744" s="33" t="s">
        <v>41</v>
      </c>
    </row>
    <row r="745" spans="1:12" hidden="1" x14ac:dyDescent="0.3">
      <c r="A745" s="39">
        <v>46076.475659722222</v>
      </c>
      <c r="B745" s="33" t="s">
        <v>42</v>
      </c>
      <c r="C745" s="33">
        <v>4440092801</v>
      </c>
      <c r="E745" s="33">
        <v>652</v>
      </c>
      <c r="F745" s="33">
        <v>642</v>
      </c>
      <c r="G745" s="33" t="s">
        <v>38</v>
      </c>
      <c r="H745" s="33" t="s">
        <v>5454</v>
      </c>
      <c r="I745" s="33" t="s">
        <v>46</v>
      </c>
      <c r="J745" s="33" t="s">
        <v>40</v>
      </c>
    </row>
    <row r="746" spans="1:12" hidden="1" x14ac:dyDescent="0.3">
      <c r="A746" s="39">
        <v>46076.475497685184</v>
      </c>
      <c r="B746" s="33" t="s">
        <v>42</v>
      </c>
      <c r="C746" s="33">
        <v>4440092826</v>
      </c>
      <c r="E746" s="33">
        <v>5</v>
      </c>
      <c r="F746" s="33">
        <v>0</v>
      </c>
      <c r="G746" s="33" t="s">
        <v>47</v>
      </c>
      <c r="H746" s="33" t="s">
        <v>5455</v>
      </c>
      <c r="I746" s="33" t="s">
        <v>46</v>
      </c>
      <c r="J746" s="33" t="s">
        <v>40</v>
      </c>
    </row>
    <row r="747" spans="1:12" hidden="1" x14ac:dyDescent="0.3">
      <c r="A747" s="39">
        <v>46076.475115740737</v>
      </c>
      <c r="B747" s="33">
        <v>11971245198</v>
      </c>
      <c r="C747" s="33" t="s">
        <v>37</v>
      </c>
      <c r="D747" s="33">
        <v>4430265054</v>
      </c>
      <c r="E747" s="33">
        <v>670</v>
      </c>
      <c r="F747" s="33">
        <v>644</v>
      </c>
      <c r="G747" s="33" t="s">
        <v>38</v>
      </c>
      <c r="H747" s="33" t="s">
        <v>3828</v>
      </c>
      <c r="I747" s="33" t="s">
        <v>39</v>
      </c>
      <c r="J747" s="33" t="s">
        <v>40</v>
      </c>
      <c r="K747" s="33" t="s">
        <v>41</v>
      </c>
    </row>
    <row r="748" spans="1:12" hidden="1" x14ac:dyDescent="0.3">
      <c r="A748" s="39">
        <v>46076.474849537037</v>
      </c>
      <c r="B748" s="33" t="s">
        <v>45</v>
      </c>
      <c r="C748" s="33">
        <v>4330333542</v>
      </c>
      <c r="E748" s="33">
        <v>39</v>
      </c>
      <c r="F748" s="33">
        <v>30</v>
      </c>
      <c r="G748" s="33" t="s">
        <v>38</v>
      </c>
      <c r="H748" s="33" t="s">
        <v>5456</v>
      </c>
      <c r="I748" s="33" t="s">
        <v>46</v>
      </c>
      <c r="J748" s="33" t="s">
        <v>40</v>
      </c>
    </row>
    <row r="749" spans="1:12" hidden="1" x14ac:dyDescent="0.3">
      <c r="A749" s="39">
        <v>46076.459282407406</v>
      </c>
      <c r="B749" s="33">
        <v>4330333542</v>
      </c>
      <c r="C749" s="33" t="s">
        <v>45</v>
      </c>
      <c r="D749" s="33">
        <v>4430265054</v>
      </c>
      <c r="E749" s="33">
        <v>887</v>
      </c>
      <c r="F749" s="33">
        <v>770</v>
      </c>
      <c r="G749" s="33" t="s">
        <v>38</v>
      </c>
      <c r="H749" s="33" t="s">
        <v>3829</v>
      </c>
      <c r="I749" s="33" t="s">
        <v>39</v>
      </c>
      <c r="J749" s="33" t="s">
        <v>40</v>
      </c>
      <c r="K749" s="33" t="s">
        <v>41</v>
      </c>
    </row>
    <row r="750" spans="1:12" hidden="1" x14ac:dyDescent="0.3">
      <c r="A750" s="39">
        <v>46076.456238425926</v>
      </c>
      <c r="B750" s="33">
        <v>4134348900</v>
      </c>
      <c r="C750" s="33">
        <v>4431268238</v>
      </c>
      <c r="D750" s="33">
        <v>4431268238</v>
      </c>
      <c r="E750" s="33">
        <v>9</v>
      </c>
      <c r="F750" s="33">
        <v>8</v>
      </c>
      <c r="G750" s="33" t="s">
        <v>3449</v>
      </c>
      <c r="H750" s="33" t="s">
        <v>5457</v>
      </c>
      <c r="I750" s="33" t="s">
        <v>39</v>
      </c>
      <c r="J750" s="33" t="s">
        <v>3451</v>
      </c>
    </row>
    <row r="751" spans="1:12" hidden="1" x14ac:dyDescent="0.3">
      <c r="A751" s="39">
        <v>46076.45616898148</v>
      </c>
      <c r="B751" s="33">
        <v>4334226481</v>
      </c>
      <c r="C751" s="33" t="s">
        <v>43</v>
      </c>
      <c r="D751" s="33">
        <v>4430265054</v>
      </c>
      <c r="E751" s="33">
        <v>1429</v>
      </c>
      <c r="F751" s="33">
        <v>1388</v>
      </c>
      <c r="G751" s="33" t="s">
        <v>38</v>
      </c>
      <c r="H751" s="33" t="s">
        <v>3830</v>
      </c>
      <c r="I751" s="33" t="s">
        <v>39</v>
      </c>
      <c r="J751" s="33" t="s">
        <v>40</v>
      </c>
      <c r="K751" s="33" t="s">
        <v>41</v>
      </c>
      <c r="L751" s="33">
        <v>5</v>
      </c>
    </row>
    <row r="752" spans="1:12" hidden="1" x14ac:dyDescent="0.3">
      <c r="A752" s="39">
        <v>46076.452465277776</v>
      </c>
      <c r="B752" s="33">
        <v>1128897100</v>
      </c>
      <c r="C752" s="33">
        <v>4430265054</v>
      </c>
      <c r="D752" s="33">
        <v>4430265054</v>
      </c>
      <c r="E752" s="33">
        <v>100</v>
      </c>
      <c r="F752" s="33">
        <v>99</v>
      </c>
      <c r="G752" s="33" t="s">
        <v>3449</v>
      </c>
      <c r="H752" s="33" t="s">
        <v>5458</v>
      </c>
      <c r="I752" s="33" t="s">
        <v>39</v>
      </c>
      <c r="J752" s="33" t="s">
        <v>3451</v>
      </c>
      <c r="K752" s="33" t="s">
        <v>50</v>
      </c>
    </row>
    <row r="753" spans="1:12" hidden="1" x14ac:dyDescent="0.3">
      <c r="A753" s="39">
        <v>46076.451122685183</v>
      </c>
      <c r="B753" s="33">
        <v>45999211333</v>
      </c>
      <c r="C753" s="33" t="s">
        <v>37</v>
      </c>
      <c r="D753" s="33">
        <v>4430265054</v>
      </c>
      <c r="E753" s="33">
        <v>897</v>
      </c>
      <c r="F753" s="33">
        <v>865</v>
      </c>
      <c r="G753" s="33" t="s">
        <v>38</v>
      </c>
      <c r="H753" s="33" t="s">
        <v>3831</v>
      </c>
      <c r="I753" s="33" t="s">
        <v>39</v>
      </c>
      <c r="J753" s="33" t="s">
        <v>40</v>
      </c>
      <c r="K753" s="33" t="s">
        <v>41</v>
      </c>
    </row>
    <row r="754" spans="1:12" hidden="1" x14ac:dyDescent="0.3">
      <c r="A754" s="39">
        <v>46076.450416666667</v>
      </c>
      <c r="B754" s="33" t="s">
        <v>44</v>
      </c>
      <c r="C754" s="33">
        <v>4432677399</v>
      </c>
      <c r="E754" s="33">
        <v>875</v>
      </c>
      <c r="F754" s="33">
        <v>863</v>
      </c>
      <c r="G754" s="33" t="s">
        <v>38</v>
      </c>
      <c r="H754" s="33" t="s">
        <v>5459</v>
      </c>
      <c r="I754" s="33" t="s">
        <v>46</v>
      </c>
      <c r="J754" s="33" t="s">
        <v>40</v>
      </c>
    </row>
    <row r="755" spans="1:12" hidden="1" x14ac:dyDescent="0.3">
      <c r="A755" s="39">
        <v>46076.450358796297</v>
      </c>
      <c r="B755" s="33" t="s">
        <v>44</v>
      </c>
      <c r="C755" s="33">
        <v>4432677399</v>
      </c>
      <c r="E755" s="33">
        <v>5</v>
      </c>
      <c r="F755" s="33">
        <v>0</v>
      </c>
      <c r="G755" s="33" t="s">
        <v>47</v>
      </c>
      <c r="H755" s="33" t="s">
        <v>5460</v>
      </c>
      <c r="I755" s="33" t="s">
        <v>46</v>
      </c>
      <c r="J755" s="33" t="s">
        <v>40</v>
      </c>
    </row>
    <row r="756" spans="1:12" hidden="1" x14ac:dyDescent="0.3">
      <c r="A756" s="39">
        <v>46076.450266203705</v>
      </c>
      <c r="B756" s="33">
        <v>4134348900</v>
      </c>
      <c r="C756" s="33">
        <v>4531273171</v>
      </c>
      <c r="D756" s="33">
        <v>4531273171</v>
      </c>
      <c r="E756" s="33">
        <v>9</v>
      </c>
      <c r="F756" s="33">
        <v>8</v>
      </c>
      <c r="G756" s="33" t="s">
        <v>3449</v>
      </c>
      <c r="H756" s="33" t="s">
        <v>5461</v>
      </c>
      <c r="I756" s="33" t="s">
        <v>39</v>
      </c>
      <c r="J756" s="33" t="s">
        <v>3451</v>
      </c>
    </row>
    <row r="757" spans="1:12" hidden="1" x14ac:dyDescent="0.3">
      <c r="A757" s="39">
        <v>46076.447291666664</v>
      </c>
      <c r="B757" s="33">
        <v>99984754234</v>
      </c>
      <c r="C757" s="33" t="s">
        <v>48</v>
      </c>
      <c r="D757" s="33">
        <v>4430265054</v>
      </c>
      <c r="E757" s="33">
        <v>592</v>
      </c>
      <c r="F757" s="33">
        <v>572</v>
      </c>
      <c r="G757" s="33" t="s">
        <v>38</v>
      </c>
      <c r="H757" s="33" t="s">
        <v>3832</v>
      </c>
      <c r="I757" s="33" t="s">
        <v>39</v>
      </c>
      <c r="J757" s="33" t="s">
        <v>40</v>
      </c>
      <c r="K757" s="33" t="s">
        <v>41</v>
      </c>
    </row>
    <row r="758" spans="1:12" hidden="1" x14ac:dyDescent="0.3">
      <c r="A758" s="39">
        <v>46076.446562500001</v>
      </c>
      <c r="B758" s="33">
        <v>4432322192</v>
      </c>
      <c r="C758" s="33">
        <v>4430265054</v>
      </c>
      <c r="D758" s="33">
        <v>4430265054</v>
      </c>
      <c r="E758" s="33">
        <v>160</v>
      </c>
      <c r="F758" s="33">
        <v>160</v>
      </c>
      <c r="G758" s="33" t="s">
        <v>3449</v>
      </c>
      <c r="H758" s="33" t="s">
        <v>5462</v>
      </c>
      <c r="I758" s="33" t="s">
        <v>39</v>
      </c>
      <c r="J758" s="33" t="s">
        <v>3451</v>
      </c>
      <c r="K758" s="33" t="s">
        <v>50</v>
      </c>
    </row>
    <row r="759" spans="1:12" hidden="1" x14ac:dyDescent="0.3">
      <c r="A759" s="39">
        <v>46076.446203703701</v>
      </c>
      <c r="B759" s="33">
        <v>1128787060</v>
      </c>
      <c r="C759" s="33" t="s">
        <v>5173</v>
      </c>
      <c r="D759" s="33">
        <v>4430265054</v>
      </c>
      <c r="E759" s="33">
        <v>191</v>
      </c>
      <c r="F759" s="33">
        <v>122</v>
      </c>
      <c r="G759" s="33" t="s">
        <v>38</v>
      </c>
      <c r="H759" s="33" t="s">
        <v>5463</v>
      </c>
      <c r="I759" s="33" t="s">
        <v>39</v>
      </c>
      <c r="J759" s="33" t="s">
        <v>3629</v>
      </c>
      <c r="K759" s="33" t="s">
        <v>50</v>
      </c>
    </row>
    <row r="760" spans="1:12" hidden="1" x14ac:dyDescent="0.3">
      <c r="A760" s="39">
        <v>46076.446018518516</v>
      </c>
      <c r="B760" s="33">
        <v>4430141533</v>
      </c>
      <c r="C760" s="33" t="s">
        <v>43</v>
      </c>
      <c r="D760" s="33">
        <v>4430265054</v>
      </c>
      <c r="E760" s="33">
        <v>293</v>
      </c>
      <c r="F760" s="33">
        <v>272</v>
      </c>
      <c r="G760" s="33" t="s">
        <v>38</v>
      </c>
      <c r="H760" s="33" t="s">
        <v>3833</v>
      </c>
      <c r="I760" s="33" t="s">
        <v>39</v>
      </c>
      <c r="J760" s="33" t="s">
        <v>40</v>
      </c>
      <c r="K760" s="33" t="s">
        <v>41</v>
      </c>
    </row>
    <row r="761" spans="1:12" x14ac:dyDescent="0.3">
      <c r="A761" s="39">
        <v>46076.445520833331</v>
      </c>
      <c r="B761" s="33">
        <v>4432697000</v>
      </c>
      <c r="C761" s="33" t="s">
        <v>44</v>
      </c>
      <c r="D761" s="33">
        <v>4430265054</v>
      </c>
      <c r="E761" s="33">
        <v>237</v>
      </c>
      <c r="F761" s="33">
        <v>213</v>
      </c>
      <c r="G761" s="33" t="s">
        <v>38</v>
      </c>
      <c r="H761" s="33" t="s">
        <v>3834</v>
      </c>
      <c r="I761" s="33" t="s">
        <v>39</v>
      </c>
      <c r="J761" s="33" t="s">
        <v>40</v>
      </c>
      <c r="K761" s="33" t="s">
        <v>41</v>
      </c>
      <c r="L761" s="33">
        <v>5</v>
      </c>
    </row>
    <row r="762" spans="1:12" hidden="1" x14ac:dyDescent="0.3">
      <c r="A762" s="39">
        <v>46076.443726851852</v>
      </c>
      <c r="B762" s="33">
        <v>1128787060</v>
      </c>
      <c r="C762" s="33" t="s">
        <v>5173</v>
      </c>
      <c r="D762" s="33">
        <v>4430265054</v>
      </c>
      <c r="E762" s="33">
        <v>196</v>
      </c>
      <c r="F762" s="33">
        <v>174</v>
      </c>
      <c r="G762" s="33" t="s">
        <v>38</v>
      </c>
      <c r="H762" s="33" t="s">
        <v>5464</v>
      </c>
      <c r="I762" s="33" t="s">
        <v>39</v>
      </c>
      <c r="J762" s="33" t="s">
        <v>3629</v>
      </c>
      <c r="K762" s="33" t="s">
        <v>50</v>
      </c>
    </row>
    <row r="763" spans="1:12" hidden="1" x14ac:dyDescent="0.3">
      <c r="A763" s="39">
        <v>46076.442511574074</v>
      </c>
      <c r="B763" s="33">
        <v>4430318514</v>
      </c>
      <c r="C763" s="33" t="s">
        <v>37</v>
      </c>
      <c r="D763" s="33">
        <v>4430265054</v>
      </c>
      <c r="E763" s="33">
        <v>716</v>
      </c>
      <c r="F763" s="33">
        <v>663</v>
      </c>
      <c r="G763" s="33" t="s">
        <v>38</v>
      </c>
      <c r="H763" s="33" t="s">
        <v>3835</v>
      </c>
      <c r="I763" s="33" t="s">
        <v>39</v>
      </c>
      <c r="J763" s="33" t="s">
        <v>40</v>
      </c>
      <c r="K763" s="33" t="s">
        <v>41</v>
      </c>
      <c r="L763" s="33">
        <v>5</v>
      </c>
    </row>
    <row r="764" spans="1:12" hidden="1" x14ac:dyDescent="0.3">
      <c r="A764" s="39">
        <v>46076.442256944443</v>
      </c>
      <c r="B764" s="33">
        <v>44988067937</v>
      </c>
      <c r="C764" s="33" t="s">
        <v>45</v>
      </c>
      <c r="D764" s="33">
        <v>4430265054</v>
      </c>
      <c r="E764" s="33">
        <v>1440</v>
      </c>
      <c r="F764" s="33">
        <v>1381</v>
      </c>
      <c r="G764" s="33" t="s">
        <v>38</v>
      </c>
      <c r="H764" s="33" t="s">
        <v>3836</v>
      </c>
      <c r="I764" s="33" t="s">
        <v>39</v>
      </c>
      <c r="J764" s="33" t="s">
        <v>40</v>
      </c>
      <c r="K764" s="33" t="s">
        <v>41</v>
      </c>
    </row>
    <row r="765" spans="1:12" hidden="1" x14ac:dyDescent="0.3">
      <c r="A765" s="39">
        <v>46076.439687500002</v>
      </c>
      <c r="B765" s="33" t="s">
        <v>37</v>
      </c>
      <c r="C765" s="33">
        <v>4430145172</v>
      </c>
      <c r="E765" s="33">
        <v>114</v>
      </c>
      <c r="F765" s="33">
        <v>112</v>
      </c>
      <c r="G765" s="33" t="s">
        <v>38</v>
      </c>
      <c r="H765" s="33" t="s">
        <v>5465</v>
      </c>
      <c r="I765" s="33" t="s">
        <v>46</v>
      </c>
      <c r="J765" s="33" t="s">
        <v>40</v>
      </c>
      <c r="L765" s="33">
        <v>5</v>
      </c>
    </row>
    <row r="766" spans="1:12" hidden="1" x14ac:dyDescent="0.3">
      <c r="A766" s="39">
        <v>46076.43240740741</v>
      </c>
      <c r="B766" s="33">
        <v>4430191401</v>
      </c>
      <c r="C766" s="33" t="s">
        <v>45</v>
      </c>
      <c r="D766" s="33">
        <v>4430265054</v>
      </c>
      <c r="E766" s="33">
        <v>792</v>
      </c>
      <c r="F766" s="33">
        <v>667</v>
      </c>
      <c r="G766" s="33" t="s">
        <v>38</v>
      </c>
      <c r="H766" s="33" t="s">
        <v>3837</v>
      </c>
      <c r="I766" s="33" t="s">
        <v>39</v>
      </c>
      <c r="J766" s="33" t="s">
        <v>40</v>
      </c>
      <c r="K766" s="33" t="s">
        <v>41</v>
      </c>
      <c r="L766" s="33">
        <v>5</v>
      </c>
    </row>
    <row r="767" spans="1:12" hidden="1" x14ac:dyDescent="0.3">
      <c r="A767" s="39">
        <v>46076.432071759256</v>
      </c>
      <c r="B767" s="33">
        <v>4440092826</v>
      </c>
      <c r="C767" s="33" t="s">
        <v>42</v>
      </c>
      <c r="D767" s="33">
        <v>4430265054</v>
      </c>
      <c r="E767" s="33">
        <v>3654</v>
      </c>
      <c r="F767" s="33">
        <v>3612</v>
      </c>
      <c r="G767" s="33" t="s">
        <v>38</v>
      </c>
      <c r="H767" s="33" t="s">
        <v>3838</v>
      </c>
      <c r="I767" s="33" t="s">
        <v>39</v>
      </c>
      <c r="J767" s="33" t="s">
        <v>40</v>
      </c>
      <c r="K767" s="33" t="s">
        <v>41</v>
      </c>
    </row>
    <row r="768" spans="1:12" hidden="1" x14ac:dyDescent="0.3">
      <c r="A768" s="39">
        <v>46076.429039351853</v>
      </c>
      <c r="B768" s="33">
        <v>4532541802</v>
      </c>
      <c r="C768" s="33" t="s">
        <v>48</v>
      </c>
      <c r="D768" s="33">
        <v>4430265054</v>
      </c>
      <c r="E768" s="33">
        <v>745</v>
      </c>
      <c r="F768" s="33">
        <v>744</v>
      </c>
      <c r="G768" s="33" t="s">
        <v>38</v>
      </c>
      <c r="H768" s="33" t="s">
        <v>3839</v>
      </c>
      <c r="I768" s="33" t="s">
        <v>39</v>
      </c>
      <c r="J768" s="33" t="s">
        <v>40</v>
      </c>
      <c r="K768" s="33" t="s">
        <v>41</v>
      </c>
      <c r="L768" s="33">
        <v>5</v>
      </c>
    </row>
    <row r="769" spans="1:12" hidden="1" x14ac:dyDescent="0.3">
      <c r="A769" s="39">
        <v>46076.42596064815</v>
      </c>
      <c r="B769" s="33">
        <v>44998717172</v>
      </c>
      <c r="C769" s="33" t="s">
        <v>44</v>
      </c>
      <c r="D769" s="33">
        <v>4430265054</v>
      </c>
      <c r="E769" s="33">
        <v>158</v>
      </c>
      <c r="F769" s="33">
        <v>134</v>
      </c>
      <c r="G769" s="33" t="s">
        <v>38</v>
      </c>
      <c r="H769" s="33" t="s">
        <v>3840</v>
      </c>
      <c r="I769" s="33" t="s">
        <v>39</v>
      </c>
      <c r="J769" s="33" t="s">
        <v>40</v>
      </c>
      <c r="K769" s="33" t="s">
        <v>41</v>
      </c>
    </row>
    <row r="770" spans="1:12" hidden="1" x14ac:dyDescent="0.3">
      <c r="A770" s="39">
        <v>46076.422152777777</v>
      </c>
      <c r="B770" s="33">
        <v>99984754234</v>
      </c>
      <c r="C770" s="33" t="s">
        <v>43</v>
      </c>
      <c r="D770" s="33">
        <v>4430265054</v>
      </c>
      <c r="E770" s="33">
        <v>1087</v>
      </c>
      <c r="F770" s="33">
        <v>1049</v>
      </c>
      <c r="G770" s="33" t="s">
        <v>38</v>
      </c>
      <c r="H770" s="33" t="s">
        <v>3841</v>
      </c>
      <c r="I770" s="33" t="s">
        <v>39</v>
      </c>
      <c r="J770" s="33" t="s">
        <v>40</v>
      </c>
      <c r="K770" s="33" t="s">
        <v>41</v>
      </c>
    </row>
    <row r="771" spans="1:12" hidden="1" x14ac:dyDescent="0.3">
      <c r="A771" s="39">
        <v>46076.417743055557</v>
      </c>
      <c r="B771" s="33">
        <v>45999211333</v>
      </c>
      <c r="C771" s="33" t="s">
        <v>37</v>
      </c>
      <c r="D771" s="33">
        <v>4430265054</v>
      </c>
      <c r="E771" s="33">
        <v>1196</v>
      </c>
      <c r="F771" s="33">
        <v>1164</v>
      </c>
      <c r="G771" s="33" t="s">
        <v>38</v>
      </c>
      <c r="H771" s="33" t="s">
        <v>3842</v>
      </c>
      <c r="I771" s="33" t="s">
        <v>39</v>
      </c>
      <c r="J771" s="33" t="s">
        <v>40</v>
      </c>
      <c r="K771" s="33" t="s">
        <v>41</v>
      </c>
    </row>
    <row r="772" spans="1:12" hidden="1" x14ac:dyDescent="0.3">
      <c r="A772" s="39">
        <v>46076.413090277776</v>
      </c>
      <c r="B772" s="33">
        <v>45988084123</v>
      </c>
      <c r="C772" s="33">
        <v>4531273168</v>
      </c>
      <c r="D772" s="33">
        <v>4531273168</v>
      </c>
      <c r="E772" s="33">
        <v>9</v>
      </c>
      <c r="F772" s="33">
        <v>9</v>
      </c>
      <c r="G772" s="33" t="s">
        <v>3449</v>
      </c>
      <c r="H772" s="33" t="s">
        <v>5466</v>
      </c>
      <c r="I772" s="33" t="s">
        <v>39</v>
      </c>
      <c r="J772" s="33" t="s">
        <v>3451</v>
      </c>
    </row>
    <row r="773" spans="1:12" hidden="1" x14ac:dyDescent="0.3">
      <c r="A773" s="39">
        <v>46076.409490740742</v>
      </c>
      <c r="B773" s="33" t="s">
        <v>44</v>
      </c>
      <c r="C773" s="33">
        <v>4432677399</v>
      </c>
      <c r="E773" s="33">
        <v>27</v>
      </c>
      <c r="F773" s="33">
        <v>20</v>
      </c>
      <c r="G773" s="33" t="s">
        <v>38</v>
      </c>
      <c r="H773" s="33" t="s">
        <v>5467</v>
      </c>
      <c r="I773" s="33" t="s">
        <v>46</v>
      </c>
      <c r="J773" s="33" t="s">
        <v>40</v>
      </c>
    </row>
    <row r="774" spans="1:12" hidden="1" x14ac:dyDescent="0.3">
      <c r="A774" s="39">
        <v>46076.409178240741</v>
      </c>
      <c r="B774" s="33">
        <v>4334234629</v>
      </c>
      <c r="C774" s="33" t="s">
        <v>45</v>
      </c>
      <c r="D774" s="33">
        <v>4430265054</v>
      </c>
      <c r="E774" s="33">
        <v>1989</v>
      </c>
      <c r="F774" s="33">
        <v>1969</v>
      </c>
      <c r="G774" s="33" t="s">
        <v>38</v>
      </c>
      <c r="H774" s="33" t="s">
        <v>3843</v>
      </c>
      <c r="I774" s="33" t="s">
        <v>39</v>
      </c>
      <c r="J774" s="33" t="s">
        <v>40</v>
      </c>
      <c r="K774" s="33" t="s">
        <v>41</v>
      </c>
      <c r="L774" s="33">
        <v>5</v>
      </c>
    </row>
    <row r="775" spans="1:12" hidden="1" x14ac:dyDescent="0.3">
      <c r="A775" s="39">
        <v>46076.408645833333</v>
      </c>
      <c r="B775" s="33" t="s">
        <v>43</v>
      </c>
      <c r="C775" s="33">
        <v>44997571961</v>
      </c>
      <c r="E775" s="33">
        <v>262</v>
      </c>
      <c r="F775" s="33">
        <v>260</v>
      </c>
      <c r="G775" s="33" t="s">
        <v>38</v>
      </c>
      <c r="H775" s="33" t="s">
        <v>5468</v>
      </c>
      <c r="I775" s="33" t="s">
        <v>46</v>
      </c>
      <c r="J775" s="33" t="s">
        <v>40</v>
      </c>
    </row>
    <row r="776" spans="1:12" hidden="1" x14ac:dyDescent="0.3">
      <c r="A776" s="39">
        <v>46076.408576388887</v>
      </c>
      <c r="B776" s="33" t="s">
        <v>44</v>
      </c>
      <c r="C776" s="33">
        <v>4432677399</v>
      </c>
      <c r="E776" s="33">
        <v>1</v>
      </c>
      <c r="F776" s="33">
        <v>0</v>
      </c>
      <c r="G776" s="33" t="s">
        <v>47</v>
      </c>
      <c r="H776" s="33" t="s">
        <v>5469</v>
      </c>
      <c r="I776" s="33" t="s">
        <v>46</v>
      </c>
      <c r="J776" s="33" t="s">
        <v>40</v>
      </c>
    </row>
    <row r="777" spans="1:12" hidden="1" x14ac:dyDescent="0.3">
      <c r="A777" s="39">
        <v>46076.408530092594</v>
      </c>
      <c r="B777" s="33" t="s">
        <v>44</v>
      </c>
      <c r="C777" s="33">
        <v>4432677399</v>
      </c>
      <c r="E777" s="33">
        <v>3</v>
      </c>
      <c r="F777" s="33">
        <v>0</v>
      </c>
      <c r="G777" s="33" t="s">
        <v>47</v>
      </c>
      <c r="H777" s="33" t="s">
        <v>5470</v>
      </c>
      <c r="I777" s="33" t="s">
        <v>46</v>
      </c>
      <c r="J777" s="33" t="s">
        <v>40</v>
      </c>
    </row>
    <row r="778" spans="1:12" hidden="1" x14ac:dyDescent="0.3">
      <c r="A778" s="39">
        <v>46076.408449074072</v>
      </c>
      <c r="B778" s="33" t="s">
        <v>43</v>
      </c>
      <c r="C778" s="33">
        <v>44997571961</v>
      </c>
      <c r="E778" s="33">
        <v>10</v>
      </c>
      <c r="F778" s="33">
        <v>3</v>
      </c>
      <c r="G778" s="33" t="s">
        <v>38</v>
      </c>
      <c r="H778" s="33" t="s">
        <v>5471</v>
      </c>
      <c r="I778" s="33" t="s">
        <v>46</v>
      </c>
      <c r="J778" s="33" t="s">
        <v>40</v>
      </c>
    </row>
    <row r="779" spans="1:12" hidden="1" x14ac:dyDescent="0.3">
      <c r="A779" s="39">
        <v>46076.408402777779</v>
      </c>
      <c r="B779" s="33" t="s">
        <v>44</v>
      </c>
      <c r="C779" s="33">
        <v>4432677399</v>
      </c>
      <c r="E779" s="33">
        <v>9</v>
      </c>
      <c r="F779" s="33">
        <v>0</v>
      </c>
      <c r="G779" s="33" t="s">
        <v>47</v>
      </c>
      <c r="H779" s="33" t="s">
        <v>5472</v>
      </c>
      <c r="I779" s="33" t="s">
        <v>46</v>
      </c>
      <c r="J779" s="33" t="s">
        <v>40</v>
      </c>
    </row>
    <row r="780" spans="1:12" hidden="1" x14ac:dyDescent="0.3">
      <c r="A780" s="39">
        <v>46076.408101851855</v>
      </c>
      <c r="B780" s="33">
        <v>44997571961</v>
      </c>
      <c r="C780" s="33">
        <v>4430265054</v>
      </c>
      <c r="D780" s="33">
        <v>4430265054</v>
      </c>
      <c r="E780" s="33">
        <v>44</v>
      </c>
      <c r="F780" s="33">
        <v>44</v>
      </c>
      <c r="G780" s="33" t="s">
        <v>3449</v>
      </c>
      <c r="H780" s="33" t="s">
        <v>3844</v>
      </c>
      <c r="I780" s="33" t="s">
        <v>39</v>
      </c>
      <c r="J780" s="33" t="s">
        <v>3451</v>
      </c>
      <c r="K780" s="33" t="s">
        <v>41</v>
      </c>
    </row>
    <row r="781" spans="1:12" hidden="1" x14ac:dyDescent="0.3">
      <c r="A781" s="39">
        <v>46076.406354166669</v>
      </c>
      <c r="B781" s="33">
        <v>44997571961</v>
      </c>
      <c r="C781" s="33" t="s">
        <v>43</v>
      </c>
      <c r="D781" s="33">
        <v>4430265054</v>
      </c>
      <c r="E781" s="33">
        <v>145</v>
      </c>
      <c r="F781" s="33">
        <v>107</v>
      </c>
      <c r="G781" s="33" t="s">
        <v>38</v>
      </c>
      <c r="H781" s="33" t="s">
        <v>3845</v>
      </c>
      <c r="I781" s="33" t="s">
        <v>39</v>
      </c>
      <c r="J781" s="33" t="s">
        <v>40</v>
      </c>
      <c r="K781" s="33" t="s">
        <v>41</v>
      </c>
    </row>
    <row r="782" spans="1:12" hidden="1" x14ac:dyDescent="0.3">
      <c r="A782" s="39">
        <v>46076.399895833332</v>
      </c>
      <c r="B782" s="33">
        <v>4334226481</v>
      </c>
      <c r="C782" s="33" t="s">
        <v>45</v>
      </c>
      <c r="D782" s="33">
        <v>4430265054</v>
      </c>
      <c r="E782" s="33">
        <v>778</v>
      </c>
      <c r="F782" s="33">
        <v>693</v>
      </c>
      <c r="G782" s="33" t="s">
        <v>38</v>
      </c>
      <c r="H782" s="33" t="s">
        <v>3846</v>
      </c>
      <c r="I782" s="33" t="s">
        <v>39</v>
      </c>
      <c r="J782" s="33" t="s">
        <v>40</v>
      </c>
      <c r="K782" s="33" t="s">
        <v>41</v>
      </c>
    </row>
    <row r="783" spans="1:12" hidden="1" x14ac:dyDescent="0.3">
      <c r="A783" s="39">
        <v>46076.383773148147</v>
      </c>
      <c r="B783" s="33" t="s">
        <v>5173</v>
      </c>
      <c r="C783" s="33">
        <v>44997561804</v>
      </c>
      <c r="E783" s="33">
        <v>963</v>
      </c>
      <c r="F783" s="33">
        <v>959</v>
      </c>
      <c r="G783" s="33" t="s">
        <v>38</v>
      </c>
      <c r="H783" s="33" t="s">
        <v>5473</v>
      </c>
      <c r="I783" s="33" t="s">
        <v>46</v>
      </c>
      <c r="J783" s="33" t="s">
        <v>3629</v>
      </c>
    </row>
    <row r="784" spans="1:12" hidden="1" x14ac:dyDescent="0.3">
      <c r="A784" s="39">
        <v>46076.383032407408</v>
      </c>
      <c r="B784" s="33">
        <v>44991471285</v>
      </c>
      <c r="C784" s="33" t="s">
        <v>37</v>
      </c>
      <c r="D784" s="33">
        <v>4430265054</v>
      </c>
      <c r="E784" s="33">
        <v>312</v>
      </c>
      <c r="F784" s="33">
        <v>166</v>
      </c>
      <c r="G784" s="33" t="s">
        <v>38</v>
      </c>
      <c r="H784" s="33" t="s">
        <v>3847</v>
      </c>
      <c r="I784" s="33" t="s">
        <v>39</v>
      </c>
      <c r="J784" s="33" t="s">
        <v>40</v>
      </c>
      <c r="K784" s="33" t="s">
        <v>41</v>
      </c>
    </row>
    <row r="785" spans="1:12" hidden="1" x14ac:dyDescent="0.3">
      <c r="A785" s="39">
        <v>46076.381944444445</v>
      </c>
      <c r="B785" s="33" t="s">
        <v>5173</v>
      </c>
      <c r="C785" s="33">
        <v>44997561804</v>
      </c>
      <c r="E785" s="33">
        <v>46</v>
      </c>
      <c r="F785" s="33">
        <v>9</v>
      </c>
      <c r="G785" s="33" t="s">
        <v>38</v>
      </c>
      <c r="H785" s="33" t="s">
        <v>5474</v>
      </c>
      <c r="I785" s="33" t="s">
        <v>46</v>
      </c>
      <c r="J785" s="33" t="s">
        <v>3629</v>
      </c>
    </row>
    <row r="786" spans="1:12" hidden="1" x14ac:dyDescent="0.3">
      <c r="A786" s="39">
        <v>46076.380706018521</v>
      </c>
      <c r="B786" s="33">
        <v>44984140993</v>
      </c>
      <c r="C786" s="33" t="s">
        <v>43</v>
      </c>
      <c r="D786" s="33">
        <v>4430265054</v>
      </c>
      <c r="E786" s="33">
        <v>82</v>
      </c>
      <c r="F786" s="33">
        <v>42</v>
      </c>
      <c r="G786" s="33" t="s">
        <v>38</v>
      </c>
      <c r="H786" s="33" t="s">
        <v>3848</v>
      </c>
      <c r="I786" s="33" t="s">
        <v>39</v>
      </c>
      <c r="J786" s="33" t="s">
        <v>40</v>
      </c>
      <c r="K786" s="33" t="s">
        <v>41</v>
      </c>
    </row>
    <row r="787" spans="1:12" hidden="1" x14ac:dyDescent="0.3">
      <c r="A787" s="39">
        <v>46076.380243055559</v>
      </c>
      <c r="B787" s="33" t="s">
        <v>43</v>
      </c>
      <c r="C787" s="33">
        <v>44984140993</v>
      </c>
      <c r="E787" s="33">
        <v>26</v>
      </c>
      <c r="F787" s="33">
        <v>0</v>
      </c>
      <c r="G787" s="33" t="s">
        <v>47</v>
      </c>
      <c r="H787" s="33" t="s">
        <v>5475</v>
      </c>
      <c r="I787" s="33" t="s">
        <v>46</v>
      </c>
      <c r="J787" s="33" t="s">
        <v>40</v>
      </c>
    </row>
    <row r="788" spans="1:12" hidden="1" x14ac:dyDescent="0.3">
      <c r="A788" s="39">
        <v>46076.380185185182</v>
      </c>
      <c r="B788" s="33" t="s">
        <v>43</v>
      </c>
      <c r="C788" s="33">
        <v>44984140993</v>
      </c>
      <c r="E788" s="33">
        <v>2</v>
      </c>
      <c r="F788" s="33">
        <v>0</v>
      </c>
      <c r="G788" s="33" t="s">
        <v>47</v>
      </c>
      <c r="H788" s="33" t="s">
        <v>5476</v>
      </c>
      <c r="I788" s="33" t="s">
        <v>46</v>
      </c>
      <c r="J788" s="33" t="s">
        <v>40</v>
      </c>
    </row>
    <row r="789" spans="1:12" hidden="1" x14ac:dyDescent="0.3">
      <c r="A789" s="39">
        <v>46076.37877314815</v>
      </c>
      <c r="B789" s="33">
        <v>44984140993</v>
      </c>
      <c r="C789" s="33" t="s">
        <v>43</v>
      </c>
      <c r="D789" s="33">
        <v>4430265054</v>
      </c>
      <c r="E789" s="33">
        <v>148</v>
      </c>
      <c r="F789" s="33">
        <v>116</v>
      </c>
      <c r="G789" s="33" t="s">
        <v>38</v>
      </c>
      <c r="H789" s="33" t="s">
        <v>3849</v>
      </c>
      <c r="I789" s="33" t="s">
        <v>39</v>
      </c>
      <c r="J789" s="33" t="s">
        <v>40</v>
      </c>
      <c r="K789" s="33" t="s">
        <v>41</v>
      </c>
    </row>
    <row r="790" spans="1:12" hidden="1" x14ac:dyDescent="0.3">
      <c r="A790" s="39">
        <v>46076.375277777777</v>
      </c>
      <c r="B790" s="33">
        <v>12997346335</v>
      </c>
      <c r="C790" s="33" t="s">
        <v>42</v>
      </c>
      <c r="D790" s="33">
        <v>4430265054</v>
      </c>
      <c r="E790" s="33">
        <v>566</v>
      </c>
      <c r="F790" s="33">
        <v>527</v>
      </c>
      <c r="G790" s="33" t="s">
        <v>38</v>
      </c>
      <c r="H790" s="33" t="s">
        <v>3850</v>
      </c>
      <c r="I790" s="33" t="s">
        <v>39</v>
      </c>
      <c r="J790" s="33" t="s">
        <v>40</v>
      </c>
      <c r="K790" s="33" t="s">
        <v>41</v>
      </c>
      <c r="L790" s="33">
        <v>5</v>
      </c>
    </row>
    <row r="791" spans="1:12" hidden="1" x14ac:dyDescent="0.3">
      <c r="A791" s="39">
        <v>46076.372766203705</v>
      </c>
      <c r="B791" s="33">
        <v>44984140993</v>
      </c>
      <c r="C791" s="33" t="s">
        <v>43</v>
      </c>
      <c r="D791" s="33">
        <v>4430265054</v>
      </c>
      <c r="E791" s="33">
        <v>533</v>
      </c>
      <c r="F791" s="33">
        <v>439</v>
      </c>
      <c r="G791" s="33" t="s">
        <v>38</v>
      </c>
      <c r="H791" s="33" t="s">
        <v>3851</v>
      </c>
      <c r="I791" s="33" t="s">
        <v>39</v>
      </c>
      <c r="J791" s="33" t="s">
        <v>40</v>
      </c>
      <c r="K791" s="33" t="s">
        <v>41</v>
      </c>
    </row>
    <row r="792" spans="1:12" hidden="1" x14ac:dyDescent="0.3">
      <c r="A792" s="39">
        <v>46076.372083333335</v>
      </c>
      <c r="B792" s="33">
        <v>4432677399</v>
      </c>
      <c r="C792" s="33" t="s">
        <v>44</v>
      </c>
      <c r="D792" s="33">
        <v>4430265054</v>
      </c>
      <c r="E792" s="33">
        <v>900</v>
      </c>
      <c r="F792" s="33">
        <v>780</v>
      </c>
      <c r="G792" s="33" t="s">
        <v>38</v>
      </c>
      <c r="H792" s="33" t="s">
        <v>3852</v>
      </c>
      <c r="I792" s="33" t="s">
        <v>39</v>
      </c>
      <c r="J792" s="33" t="s">
        <v>40</v>
      </c>
      <c r="K792" s="33" t="s">
        <v>41</v>
      </c>
    </row>
    <row r="793" spans="1:12" hidden="1" x14ac:dyDescent="0.3">
      <c r="A793" s="39">
        <v>46076.365879629629</v>
      </c>
      <c r="B793" s="33">
        <v>44991388221</v>
      </c>
      <c r="C793" s="33" t="s">
        <v>45</v>
      </c>
      <c r="D793" s="33">
        <v>4430265054</v>
      </c>
      <c r="E793" s="33">
        <v>1684</v>
      </c>
      <c r="F793" s="33">
        <v>1662</v>
      </c>
      <c r="G793" s="33" t="s">
        <v>38</v>
      </c>
      <c r="H793" s="33" t="s">
        <v>3853</v>
      </c>
      <c r="I793" s="33" t="s">
        <v>39</v>
      </c>
      <c r="J793" s="33" t="s">
        <v>40</v>
      </c>
      <c r="K793" s="33" t="s">
        <v>41</v>
      </c>
      <c r="L793" s="33">
        <v>5</v>
      </c>
    </row>
    <row r="794" spans="1:12" hidden="1" x14ac:dyDescent="0.3">
      <c r="A794" s="39">
        <v>46076.365300925929</v>
      </c>
      <c r="B794" s="33">
        <v>44998046835</v>
      </c>
      <c r="C794" s="33">
        <v>4430265054</v>
      </c>
      <c r="D794" s="33">
        <v>4430265054</v>
      </c>
      <c r="E794" s="33">
        <v>11</v>
      </c>
      <c r="F794" s="33">
        <v>10</v>
      </c>
      <c r="G794" s="33" t="s">
        <v>3449</v>
      </c>
      <c r="H794" s="33" t="s">
        <v>5477</v>
      </c>
      <c r="I794" s="33" t="s">
        <v>39</v>
      </c>
      <c r="J794" s="33" t="s">
        <v>3451</v>
      </c>
    </row>
    <row r="795" spans="1:12" hidden="1" x14ac:dyDescent="0.3">
      <c r="A795" s="39">
        <v>46076.348333333335</v>
      </c>
      <c r="B795" s="33" t="s">
        <v>5173</v>
      </c>
      <c r="C795" s="33">
        <v>91980285021</v>
      </c>
      <c r="E795" s="33">
        <v>10</v>
      </c>
      <c r="F795" s="33">
        <v>0</v>
      </c>
      <c r="G795" s="33" t="s">
        <v>47</v>
      </c>
      <c r="H795" s="33" t="s">
        <v>5478</v>
      </c>
      <c r="I795" s="33" t="s">
        <v>46</v>
      </c>
      <c r="J795" s="33" t="s">
        <v>3629</v>
      </c>
    </row>
    <row r="796" spans="1:12" hidden="1" x14ac:dyDescent="0.3">
      <c r="A796" s="39">
        <v>46076.342974537038</v>
      </c>
      <c r="B796" s="33" t="s">
        <v>45</v>
      </c>
      <c r="C796" s="33">
        <v>4436249360</v>
      </c>
      <c r="E796" s="33">
        <v>336</v>
      </c>
      <c r="F796" s="33">
        <v>325</v>
      </c>
      <c r="G796" s="33" t="s">
        <v>38</v>
      </c>
      <c r="H796" s="33" t="s">
        <v>5479</v>
      </c>
      <c r="I796" s="33" t="s">
        <v>46</v>
      </c>
      <c r="J796" s="33" t="s">
        <v>40</v>
      </c>
    </row>
    <row r="797" spans="1:12" hidden="1" x14ac:dyDescent="0.3">
      <c r="A797" s="39">
        <v>46076.342812499999</v>
      </c>
      <c r="B797" s="33" t="s">
        <v>45</v>
      </c>
      <c r="C797" s="33">
        <v>4436249360</v>
      </c>
      <c r="E797" s="33">
        <v>9</v>
      </c>
      <c r="F797" s="33">
        <v>0</v>
      </c>
      <c r="G797" s="33" t="s">
        <v>47</v>
      </c>
      <c r="H797" s="33" t="s">
        <v>5480</v>
      </c>
      <c r="I797" s="33" t="s">
        <v>46</v>
      </c>
      <c r="J797" s="33" t="s">
        <v>40</v>
      </c>
    </row>
    <row r="798" spans="1:12" hidden="1" x14ac:dyDescent="0.3">
      <c r="A798" s="39">
        <v>46076.342430555553</v>
      </c>
      <c r="B798" s="33" t="s">
        <v>45</v>
      </c>
      <c r="C798" s="33">
        <v>44991041123</v>
      </c>
      <c r="E798" s="33">
        <v>36</v>
      </c>
      <c r="F798" s="33">
        <v>27</v>
      </c>
      <c r="G798" s="33" t="s">
        <v>38</v>
      </c>
      <c r="H798" s="33" t="s">
        <v>5481</v>
      </c>
      <c r="I798" s="33" t="s">
        <v>46</v>
      </c>
      <c r="J798" s="33" t="s">
        <v>40</v>
      </c>
    </row>
    <row r="799" spans="1:12" hidden="1" x14ac:dyDescent="0.3">
      <c r="A799" s="39">
        <v>46075.884745370371</v>
      </c>
      <c r="B799" s="33">
        <v>12997346335</v>
      </c>
      <c r="C799" s="33">
        <v>4430265054</v>
      </c>
      <c r="D799" s="33">
        <v>4430265054</v>
      </c>
      <c r="E799" s="33">
        <v>11</v>
      </c>
      <c r="F799" s="33">
        <v>10</v>
      </c>
      <c r="G799" s="33" t="s">
        <v>3449</v>
      </c>
      <c r="H799" s="33" t="s">
        <v>5482</v>
      </c>
      <c r="I799" s="33" t="s">
        <v>39</v>
      </c>
      <c r="J799" s="33" t="s">
        <v>3451</v>
      </c>
    </row>
    <row r="800" spans="1:12" hidden="1" x14ac:dyDescent="0.3">
      <c r="A800" s="39">
        <v>46074.571342592593</v>
      </c>
      <c r="B800" s="33">
        <v>44998594624</v>
      </c>
      <c r="C800" s="33">
        <v>4430265054</v>
      </c>
      <c r="D800" s="33">
        <v>4430265054</v>
      </c>
      <c r="E800" s="33">
        <v>20</v>
      </c>
      <c r="F800" s="33">
        <v>19</v>
      </c>
      <c r="G800" s="33" t="s">
        <v>3449</v>
      </c>
      <c r="H800" s="33" t="s">
        <v>5483</v>
      </c>
      <c r="I800" s="33" t="s">
        <v>39</v>
      </c>
      <c r="J800" s="33" t="s">
        <v>3451</v>
      </c>
    </row>
    <row r="801" spans="1:11" hidden="1" x14ac:dyDescent="0.3">
      <c r="A801" s="39">
        <v>46074.490960648145</v>
      </c>
      <c r="B801" s="33">
        <v>44988266421</v>
      </c>
      <c r="C801" s="33">
        <v>4430265054</v>
      </c>
      <c r="D801" s="33">
        <v>4430265054</v>
      </c>
      <c r="E801" s="33">
        <v>9</v>
      </c>
      <c r="F801" s="33">
        <v>8</v>
      </c>
      <c r="G801" s="33" t="s">
        <v>3449</v>
      </c>
      <c r="H801" s="33" t="s">
        <v>5484</v>
      </c>
      <c r="I801" s="33" t="s">
        <v>39</v>
      </c>
      <c r="J801" s="33" t="s">
        <v>3451</v>
      </c>
    </row>
    <row r="802" spans="1:11" hidden="1" x14ac:dyDescent="0.3">
      <c r="A802" s="39">
        <v>46074.440358796295</v>
      </c>
      <c r="B802" s="33">
        <v>1438160351</v>
      </c>
      <c r="C802" s="33">
        <v>4430265054</v>
      </c>
      <c r="D802" s="33">
        <v>4430265054</v>
      </c>
      <c r="E802" s="33">
        <v>9</v>
      </c>
      <c r="F802" s="33">
        <v>8</v>
      </c>
      <c r="G802" s="33" t="s">
        <v>3449</v>
      </c>
      <c r="H802" s="33" t="s">
        <v>5485</v>
      </c>
      <c r="I802" s="33" t="s">
        <v>39</v>
      </c>
      <c r="J802" s="33" t="s">
        <v>3451</v>
      </c>
    </row>
    <row r="803" spans="1:11" hidden="1" x14ac:dyDescent="0.3">
      <c r="A803" s="39">
        <v>46074.337025462963</v>
      </c>
      <c r="B803" s="33">
        <v>1438160351</v>
      </c>
      <c r="C803" s="33">
        <v>4430265054</v>
      </c>
      <c r="D803" s="33">
        <v>4430265054</v>
      </c>
      <c r="E803" s="33">
        <v>8</v>
      </c>
      <c r="F803" s="33">
        <v>8</v>
      </c>
      <c r="G803" s="33" t="s">
        <v>3449</v>
      </c>
      <c r="H803" s="33" t="s">
        <v>5486</v>
      </c>
      <c r="I803" s="33" t="s">
        <v>39</v>
      </c>
      <c r="J803" s="33" t="s">
        <v>3451</v>
      </c>
    </row>
    <row r="804" spans="1:11" hidden="1" x14ac:dyDescent="0.3">
      <c r="A804" s="39">
        <v>46073.736261574071</v>
      </c>
      <c r="B804" s="33">
        <v>91981481202</v>
      </c>
      <c r="C804" s="33" t="s">
        <v>37</v>
      </c>
      <c r="D804" s="33">
        <v>4430265054</v>
      </c>
      <c r="E804" s="33">
        <v>620</v>
      </c>
      <c r="F804" s="33">
        <v>530</v>
      </c>
      <c r="G804" s="33" t="s">
        <v>38</v>
      </c>
      <c r="H804" s="33" t="s">
        <v>3854</v>
      </c>
      <c r="I804" s="33" t="s">
        <v>39</v>
      </c>
      <c r="J804" s="33" t="s">
        <v>40</v>
      </c>
      <c r="K804" s="33" t="s">
        <v>41</v>
      </c>
    </row>
    <row r="805" spans="1:11" hidden="1" x14ac:dyDescent="0.3">
      <c r="A805" s="39">
        <v>46073.732986111114</v>
      </c>
      <c r="B805" s="33" t="s">
        <v>3627</v>
      </c>
      <c r="C805" s="33">
        <v>92994673937</v>
      </c>
      <c r="E805" s="33">
        <v>49</v>
      </c>
      <c r="F805" s="33">
        <v>10</v>
      </c>
      <c r="G805" s="33" t="s">
        <v>38</v>
      </c>
      <c r="H805" s="33" t="s">
        <v>5487</v>
      </c>
      <c r="I805" s="33" t="s">
        <v>46</v>
      </c>
      <c r="J805" s="33" t="s">
        <v>3629</v>
      </c>
    </row>
    <row r="806" spans="1:11" hidden="1" x14ac:dyDescent="0.3">
      <c r="A806" s="39">
        <v>46073.732164351852</v>
      </c>
      <c r="B806" s="33" t="s">
        <v>3627</v>
      </c>
      <c r="C806" s="33">
        <v>51999084942</v>
      </c>
      <c r="E806" s="33">
        <v>32</v>
      </c>
      <c r="F806" s="33">
        <v>14</v>
      </c>
      <c r="G806" s="33" t="s">
        <v>38</v>
      </c>
      <c r="H806" s="33" t="s">
        <v>5488</v>
      </c>
      <c r="I806" s="33" t="s">
        <v>46</v>
      </c>
      <c r="J806" s="33" t="s">
        <v>3629</v>
      </c>
    </row>
    <row r="807" spans="1:11" hidden="1" x14ac:dyDescent="0.3">
      <c r="A807" s="39">
        <v>46073.727673611109</v>
      </c>
      <c r="B807" s="33" t="s">
        <v>44</v>
      </c>
      <c r="C807" s="33">
        <v>44988067937</v>
      </c>
      <c r="E807" s="33">
        <v>197</v>
      </c>
      <c r="F807" s="33">
        <v>167</v>
      </c>
      <c r="G807" s="33" t="s">
        <v>38</v>
      </c>
      <c r="H807" s="33" t="s">
        <v>5489</v>
      </c>
      <c r="I807" s="33" t="s">
        <v>46</v>
      </c>
      <c r="J807" s="33" t="s">
        <v>40</v>
      </c>
    </row>
    <row r="808" spans="1:11" hidden="1" x14ac:dyDescent="0.3">
      <c r="A808" s="39">
        <v>46073.726851851854</v>
      </c>
      <c r="B808" s="33" t="s">
        <v>3627</v>
      </c>
      <c r="C808" s="33">
        <v>14996339191</v>
      </c>
      <c r="E808" s="33">
        <v>8</v>
      </c>
      <c r="F808" s="33">
        <v>0</v>
      </c>
      <c r="G808" s="33" t="s">
        <v>47</v>
      </c>
      <c r="H808" s="33" t="s">
        <v>5490</v>
      </c>
      <c r="I808" s="33" t="s">
        <v>46</v>
      </c>
      <c r="J808" s="33" t="s">
        <v>3629</v>
      </c>
    </row>
    <row r="809" spans="1:11" hidden="1" x14ac:dyDescent="0.3">
      <c r="A809" s="39">
        <v>46073.72314814815</v>
      </c>
      <c r="B809" s="33" t="s">
        <v>42</v>
      </c>
      <c r="C809" s="33">
        <v>4432268889</v>
      </c>
      <c r="E809" s="33">
        <v>495</v>
      </c>
      <c r="F809" s="33">
        <v>481</v>
      </c>
      <c r="G809" s="33" t="s">
        <v>38</v>
      </c>
      <c r="H809" s="33" t="s">
        <v>5491</v>
      </c>
      <c r="I809" s="33" t="s">
        <v>46</v>
      </c>
      <c r="J809" s="33" t="s">
        <v>40</v>
      </c>
    </row>
    <row r="810" spans="1:11" hidden="1" x14ac:dyDescent="0.3">
      <c r="A810" s="39">
        <v>46073.720833333333</v>
      </c>
      <c r="B810" s="33">
        <v>44991484476</v>
      </c>
      <c r="C810" s="33" t="s">
        <v>45</v>
      </c>
      <c r="D810" s="33">
        <v>4430265054</v>
      </c>
      <c r="E810" s="33">
        <v>1347</v>
      </c>
      <c r="F810" s="33">
        <v>1325</v>
      </c>
      <c r="G810" s="33" t="s">
        <v>38</v>
      </c>
      <c r="H810" s="33" t="s">
        <v>3855</v>
      </c>
      <c r="I810" s="33" t="s">
        <v>39</v>
      </c>
      <c r="J810" s="33" t="s">
        <v>40</v>
      </c>
      <c r="K810" s="33" t="s">
        <v>41</v>
      </c>
    </row>
    <row r="811" spans="1:11" hidden="1" x14ac:dyDescent="0.3">
      <c r="A811" s="39">
        <v>46073.717499999999</v>
      </c>
      <c r="B811" s="33" t="s">
        <v>44</v>
      </c>
      <c r="C811" s="33">
        <v>44988067937</v>
      </c>
      <c r="E811" s="33">
        <v>70</v>
      </c>
      <c r="F811" s="33">
        <v>31</v>
      </c>
      <c r="G811" s="33" t="s">
        <v>38</v>
      </c>
      <c r="H811" s="33" t="s">
        <v>5492</v>
      </c>
      <c r="I811" s="33" t="s">
        <v>46</v>
      </c>
      <c r="J811" s="33" t="s">
        <v>40</v>
      </c>
    </row>
    <row r="812" spans="1:11" hidden="1" x14ac:dyDescent="0.3">
      <c r="A812" s="39">
        <v>46073.717002314814</v>
      </c>
      <c r="B812" s="33" t="s">
        <v>44</v>
      </c>
      <c r="C812" s="33">
        <v>44988067937</v>
      </c>
      <c r="E812" s="33">
        <v>68</v>
      </c>
      <c r="F812" s="33">
        <v>29</v>
      </c>
      <c r="G812" s="33" t="s">
        <v>38</v>
      </c>
      <c r="H812" s="33" t="s">
        <v>5493</v>
      </c>
      <c r="I812" s="33" t="s">
        <v>46</v>
      </c>
      <c r="J812" s="33" t="s">
        <v>40</v>
      </c>
    </row>
    <row r="813" spans="1:11" hidden="1" x14ac:dyDescent="0.3">
      <c r="A813" s="39">
        <v>46073.716944444444</v>
      </c>
      <c r="B813" s="33" t="s">
        <v>44</v>
      </c>
      <c r="C813" s="33">
        <v>44988067937</v>
      </c>
      <c r="E813" s="33">
        <v>4</v>
      </c>
      <c r="F813" s="33">
        <v>0</v>
      </c>
      <c r="G813" s="33" t="s">
        <v>47</v>
      </c>
      <c r="H813" s="33" t="s">
        <v>5494</v>
      </c>
      <c r="I813" s="33" t="s">
        <v>46</v>
      </c>
      <c r="J813" s="33" t="s">
        <v>40</v>
      </c>
    </row>
    <row r="814" spans="1:11" hidden="1" x14ac:dyDescent="0.3">
      <c r="A814" s="39">
        <v>46073.71398148148</v>
      </c>
      <c r="B814" s="33">
        <v>4433543396</v>
      </c>
      <c r="C814" s="33" t="s">
        <v>43</v>
      </c>
      <c r="D814" s="33">
        <v>4430265054</v>
      </c>
      <c r="E814" s="33">
        <v>166</v>
      </c>
      <c r="F814" s="33">
        <v>90</v>
      </c>
      <c r="G814" s="33" t="s">
        <v>38</v>
      </c>
      <c r="H814" s="33" t="s">
        <v>3856</v>
      </c>
      <c r="I814" s="33" t="s">
        <v>39</v>
      </c>
      <c r="J814" s="33" t="s">
        <v>40</v>
      </c>
      <c r="K814" s="33" t="s">
        <v>41</v>
      </c>
    </row>
    <row r="815" spans="1:11" hidden="1" x14ac:dyDescent="0.3">
      <c r="A815" s="39">
        <v>46073.7112037037</v>
      </c>
      <c r="B815" s="33">
        <v>44988255390</v>
      </c>
      <c r="C815" s="33" t="s">
        <v>43</v>
      </c>
      <c r="D815" s="33">
        <v>4430265054</v>
      </c>
      <c r="E815" s="33">
        <v>182</v>
      </c>
      <c r="F815" s="33">
        <v>107</v>
      </c>
      <c r="G815" s="33" t="s">
        <v>38</v>
      </c>
      <c r="H815" s="33" t="s">
        <v>3857</v>
      </c>
      <c r="I815" s="33" t="s">
        <v>39</v>
      </c>
      <c r="J815" s="33" t="s">
        <v>40</v>
      </c>
      <c r="K815" s="33" t="s">
        <v>41</v>
      </c>
    </row>
    <row r="816" spans="1:11" hidden="1" x14ac:dyDescent="0.3">
      <c r="A816" s="39">
        <v>46073.711122685185</v>
      </c>
      <c r="B816" s="33">
        <v>44991484476</v>
      </c>
      <c r="C816" s="33" t="s">
        <v>45</v>
      </c>
      <c r="D816" s="33">
        <v>4430265054</v>
      </c>
      <c r="E816" s="33">
        <v>472</v>
      </c>
      <c r="F816" s="33">
        <v>429</v>
      </c>
      <c r="G816" s="33" t="s">
        <v>38</v>
      </c>
      <c r="H816" s="33" t="s">
        <v>3858</v>
      </c>
      <c r="I816" s="33" t="s">
        <v>39</v>
      </c>
      <c r="J816" s="33" t="s">
        <v>40</v>
      </c>
      <c r="K816" s="33" t="s">
        <v>41</v>
      </c>
    </row>
    <row r="817" spans="1:12" hidden="1" x14ac:dyDescent="0.3">
      <c r="A817" s="39">
        <v>46073.707685185182</v>
      </c>
      <c r="B817" s="33">
        <v>4430318514</v>
      </c>
      <c r="C817" s="33" t="s">
        <v>43</v>
      </c>
      <c r="D817" s="33">
        <v>4430265054</v>
      </c>
      <c r="E817" s="33">
        <v>93</v>
      </c>
      <c r="F817" s="33">
        <v>53</v>
      </c>
      <c r="G817" s="33" t="s">
        <v>38</v>
      </c>
      <c r="H817" s="33" t="s">
        <v>3859</v>
      </c>
      <c r="I817" s="33" t="s">
        <v>39</v>
      </c>
      <c r="J817" s="33" t="s">
        <v>40</v>
      </c>
      <c r="K817" s="33" t="s">
        <v>41</v>
      </c>
    </row>
    <row r="818" spans="1:12" hidden="1" x14ac:dyDescent="0.3">
      <c r="A818" s="39">
        <v>46073.705995370372</v>
      </c>
      <c r="B818" s="33">
        <v>44991388221</v>
      </c>
      <c r="C818" s="33" t="s">
        <v>42</v>
      </c>
      <c r="D818" s="33">
        <v>4430265054</v>
      </c>
      <c r="E818" s="33">
        <v>1143</v>
      </c>
      <c r="F818" s="33">
        <v>1040</v>
      </c>
      <c r="G818" s="33" t="s">
        <v>38</v>
      </c>
      <c r="H818" s="33" t="s">
        <v>3860</v>
      </c>
      <c r="I818" s="33" t="s">
        <v>39</v>
      </c>
      <c r="J818" s="33" t="s">
        <v>40</v>
      </c>
      <c r="K818" s="33" t="s">
        <v>41</v>
      </c>
      <c r="L818" s="33">
        <v>5</v>
      </c>
    </row>
    <row r="819" spans="1:12" hidden="1" x14ac:dyDescent="0.3">
      <c r="A819" s="39">
        <v>46073.705520833333</v>
      </c>
      <c r="B819" s="33">
        <v>4430289386</v>
      </c>
      <c r="C819" s="33" t="s">
        <v>48</v>
      </c>
      <c r="D819" s="33">
        <v>4430265054</v>
      </c>
      <c r="E819" s="33">
        <v>185</v>
      </c>
      <c r="F819" s="33">
        <v>98</v>
      </c>
      <c r="G819" s="33" t="s">
        <v>38</v>
      </c>
      <c r="H819" s="33" t="s">
        <v>3861</v>
      </c>
      <c r="I819" s="33" t="s">
        <v>39</v>
      </c>
      <c r="J819" s="33" t="s">
        <v>40</v>
      </c>
      <c r="K819" s="33" t="s">
        <v>41</v>
      </c>
    </row>
    <row r="820" spans="1:12" hidden="1" x14ac:dyDescent="0.3">
      <c r="A820" s="39">
        <v>46073.705208333333</v>
      </c>
      <c r="B820" s="33">
        <v>1143744993</v>
      </c>
      <c r="C820" s="33" t="s">
        <v>44</v>
      </c>
      <c r="D820" s="33">
        <v>4431268225</v>
      </c>
      <c r="E820" s="33">
        <v>766</v>
      </c>
      <c r="F820" s="33">
        <v>676</v>
      </c>
      <c r="G820" s="33" t="s">
        <v>38</v>
      </c>
      <c r="H820" s="33" t="s">
        <v>3862</v>
      </c>
      <c r="I820" s="33" t="s">
        <v>39</v>
      </c>
      <c r="J820" s="33" t="s">
        <v>40</v>
      </c>
      <c r="K820" s="33" t="s">
        <v>41</v>
      </c>
    </row>
    <row r="821" spans="1:12" hidden="1" x14ac:dyDescent="0.3">
      <c r="A821" s="39">
        <v>46073.702800925923</v>
      </c>
      <c r="B821" s="33">
        <v>4532541802</v>
      </c>
      <c r="C821" s="33" t="s">
        <v>45</v>
      </c>
      <c r="D821" s="33">
        <v>4430265054</v>
      </c>
      <c r="E821" s="33">
        <v>401</v>
      </c>
      <c r="F821" s="33">
        <v>342</v>
      </c>
      <c r="G821" s="33" t="s">
        <v>38</v>
      </c>
      <c r="H821" s="33" t="s">
        <v>3863</v>
      </c>
      <c r="I821" s="33" t="s">
        <v>39</v>
      </c>
      <c r="J821" s="33" t="s">
        <v>40</v>
      </c>
      <c r="K821" s="33" t="s">
        <v>41</v>
      </c>
    </row>
    <row r="822" spans="1:12" hidden="1" x14ac:dyDescent="0.3">
      <c r="A822" s="39">
        <v>46073.702164351853</v>
      </c>
      <c r="B822" s="33">
        <v>4435223408</v>
      </c>
      <c r="C822" s="33" t="s">
        <v>43</v>
      </c>
      <c r="D822" s="33">
        <v>4430265054</v>
      </c>
      <c r="E822" s="33">
        <v>458</v>
      </c>
      <c r="F822" s="33">
        <v>433</v>
      </c>
      <c r="G822" s="33" t="s">
        <v>38</v>
      </c>
      <c r="H822" s="33" t="s">
        <v>3864</v>
      </c>
      <c r="I822" s="33" t="s">
        <v>39</v>
      </c>
      <c r="J822" s="33" t="s">
        <v>40</v>
      </c>
      <c r="K822" s="33" t="s">
        <v>41</v>
      </c>
    </row>
    <row r="823" spans="1:12" hidden="1" x14ac:dyDescent="0.3">
      <c r="A823" s="39">
        <v>46073.701689814814</v>
      </c>
      <c r="B823" s="33">
        <v>4430318516</v>
      </c>
      <c r="C823" s="33" t="s">
        <v>45</v>
      </c>
      <c r="D823" s="33">
        <v>4430265054</v>
      </c>
      <c r="E823" s="33">
        <v>52</v>
      </c>
      <c r="F823" s="33">
        <v>11</v>
      </c>
      <c r="G823" s="33" t="s">
        <v>38</v>
      </c>
      <c r="H823" s="33" t="s">
        <v>3865</v>
      </c>
      <c r="I823" s="33" t="s">
        <v>39</v>
      </c>
      <c r="J823" s="33" t="s">
        <v>40</v>
      </c>
      <c r="K823" s="33" t="s">
        <v>41</v>
      </c>
    </row>
    <row r="824" spans="1:12" hidden="1" x14ac:dyDescent="0.3">
      <c r="A824" s="39">
        <v>46073.698287037034</v>
      </c>
      <c r="B824" s="33">
        <v>4435224223</v>
      </c>
      <c r="C824" s="33">
        <v>4430265054</v>
      </c>
      <c r="D824" s="33">
        <v>4430265054</v>
      </c>
      <c r="E824" s="33">
        <v>60</v>
      </c>
      <c r="F824" s="33">
        <v>60</v>
      </c>
      <c r="G824" s="33" t="s">
        <v>3449</v>
      </c>
      <c r="H824" s="33" t="s">
        <v>3866</v>
      </c>
      <c r="I824" s="33" t="s">
        <v>39</v>
      </c>
      <c r="J824" s="33" t="s">
        <v>3451</v>
      </c>
      <c r="K824" s="33" t="s">
        <v>41</v>
      </c>
    </row>
    <row r="825" spans="1:12" hidden="1" x14ac:dyDescent="0.3">
      <c r="A825" s="39">
        <v>46073.697569444441</v>
      </c>
      <c r="B825" s="33" t="s">
        <v>45</v>
      </c>
      <c r="C825" s="33">
        <v>4430162848</v>
      </c>
      <c r="E825" s="33">
        <v>80</v>
      </c>
      <c r="F825" s="33">
        <v>58</v>
      </c>
      <c r="G825" s="33" t="s">
        <v>38</v>
      </c>
      <c r="H825" s="33" t="s">
        <v>5495</v>
      </c>
      <c r="I825" s="33" t="s">
        <v>46</v>
      </c>
      <c r="J825" s="33" t="s">
        <v>40</v>
      </c>
    </row>
    <row r="826" spans="1:12" hidden="1" x14ac:dyDescent="0.3">
      <c r="A826" s="39">
        <v>46073.697511574072</v>
      </c>
      <c r="B826" s="33" t="s">
        <v>45</v>
      </c>
      <c r="C826" s="33">
        <v>4430162384</v>
      </c>
      <c r="E826" s="33">
        <v>1</v>
      </c>
      <c r="F826" s="33">
        <v>0</v>
      </c>
      <c r="G826" s="33" t="s">
        <v>47</v>
      </c>
      <c r="H826" s="33" t="s">
        <v>5496</v>
      </c>
      <c r="I826" s="33" t="s">
        <v>46</v>
      </c>
      <c r="J826" s="33" t="s">
        <v>40</v>
      </c>
    </row>
    <row r="827" spans="1:12" hidden="1" x14ac:dyDescent="0.3">
      <c r="A827" s="39">
        <v>46073.697488425925</v>
      </c>
      <c r="B827" s="33">
        <v>41996631918</v>
      </c>
      <c r="C827" s="33" t="s">
        <v>37</v>
      </c>
      <c r="D827" s="33">
        <v>4430265054</v>
      </c>
      <c r="E827" s="33">
        <v>1583</v>
      </c>
      <c r="F827" s="33">
        <v>1565</v>
      </c>
      <c r="G827" s="33" t="s">
        <v>38</v>
      </c>
      <c r="H827" s="33" t="s">
        <v>3867</v>
      </c>
      <c r="I827" s="33" t="s">
        <v>39</v>
      </c>
      <c r="J827" s="33" t="s">
        <v>40</v>
      </c>
      <c r="K827" s="33" t="s">
        <v>41</v>
      </c>
      <c r="L827" s="33">
        <v>5</v>
      </c>
    </row>
    <row r="828" spans="1:12" hidden="1" x14ac:dyDescent="0.3">
      <c r="A828" s="39">
        <v>46073.697442129633</v>
      </c>
      <c r="B828" s="33" t="s">
        <v>45</v>
      </c>
      <c r="C828" s="33">
        <v>4430162384</v>
      </c>
      <c r="E828" s="33">
        <v>2</v>
      </c>
      <c r="F828" s="33">
        <v>0</v>
      </c>
      <c r="G828" s="33" t="s">
        <v>47</v>
      </c>
      <c r="H828" s="33" t="s">
        <v>5497</v>
      </c>
      <c r="I828" s="33" t="s">
        <v>46</v>
      </c>
      <c r="J828" s="33" t="s">
        <v>40</v>
      </c>
    </row>
    <row r="829" spans="1:12" hidden="1" x14ac:dyDescent="0.3">
      <c r="A829" s="39">
        <v>46073.69736111111</v>
      </c>
      <c r="B829" s="33" t="s">
        <v>45</v>
      </c>
      <c r="C829" s="33">
        <v>4430162384</v>
      </c>
      <c r="E829" s="33">
        <v>1</v>
      </c>
      <c r="F829" s="33">
        <v>0</v>
      </c>
      <c r="G829" s="33" t="s">
        <v>47</v>
      </c>
      <c r="H829" s="33" t="s">
        <v>5498</v>
      </c>
      <c r="I829" s="33" t="s">
        <v>46</v>
      </c>
      <c r="J829" s="33" t="s">
        <v>40</v>
      </c>
    </row>
    <row r="830" spans="1:12" hidden="1" x14ac:dyDescent="0.3">
      <c r="A830" s="39">
        <v>46073.69730324074</v>
      </c>
      <c r="B830" s="33" t="s">
        <v>45</v>
      </c>
      <c r="C830" s="33">
        <v>4430162384</v>
      </c>
      <c r="E830" s="33">
        <v>1</v>
      </c>
      <c r="F830" s="33">
        <v>0</v>
      </c>
      <c r="G830" s="33" t="s">
        <v>47</v>
      </c>
      <c r="H830" s="33" t="s">
        <v>5499</v>
      </c>
      <c r="I830" s="33" t="s">
        <v>46</v>
      </c>
      <c r="J830" s="33" t="s">
        <v>40</v>
      </c>
    </row>
    <row r="831" spans="1:12" hidden="1" x14ac:dyDescent="0.3">
      <c r="A831" s="39">
        <v>46073.695868055554</v>
      </c>
      <c r="B831" s="33">
        <v>6234347959</v>
      </c>
      <c r="C831" s="33" t="s">
        <v>42</v>
      </c>
      <c r="D831" s="33">
        <v>4430265054</v>
      </c>
      <c r="E831" s="33">
        <v>893</v>
      </c>
      <c r="F831" s="33">
        <v>810</v>
      </c>
      <c r="G831" s="33" t="s">
        <v>38</v>
      </c>
      <c r="H831" s="33" t="s">
        <v>3868</v>
      </c>
      <c r="I831" s="33" t="s">
        <v>39</v>
      </c>
      <c r="J831" s="33" t="s">
        <v>40</v>
      </c>
      <c r="K831" s="33" t="s">
        <v>41</v>
      </c>
    </row>
    <row r="832" spans="1:12" hidden="1" x14ac:dyDescent="0.3">
      <c r="A832" s="39">
        <v>46073.695555555554</v>
      </c>
      <c r="B832" s="33" t="s">
        <v>45</v>
      </c>
      <c r="C832" s="33">
        <v>4430290001</v>
      </c>
      <c r="E832" s="33">
        <v>79</v>
      </c>
      <c r="F832" s="33">
        <v>71</v>
      </c>
      <c r="G832" s="33" t="s">
        <v>38</v>
      </c>
      <c r="H832" s="33" t="s">
        <v>5500</v>
      </c>
      <c r="I832" s="33" t="s">
        <v>46</v>
      </c>
      <c r="J832" s="33" t="s">
        <v>40</v>
      </c>
    </row>
    <row r="833" spans="1:12" hidden="1" x14ac:dyDescent="0.3">
      <c r="A833" s="39">
        <v>46073.691643518519</v>
      </c>
      <c r="B833" s="33">
        <v>43999855301</v>
      </c>
      <c r="C833" s="33" t="s">
        <v>45</v>
      </c>
      <c r="D833" s="33">
        <v>4430265054</v>
      </c>
      <c r="E833" s="33">
        <v>309</v>
      </c>
      <c r="F833" s="33">
        <v>273</v>
      </c>
      <c r="G833" s="33" t="s">
        <v>38</v>
      </c>
      <c r="H833" s="33" t="s">
        <v>3869</v>
      </c>
      <c r="I833" s="33" t="s">
        <v>39</v>
      </c>
      <c r="J833" s="33" t="s">
        <v>40</v>
      </c>
      <c r="K833" s="33" t="s">
        <v>41</v>
      </c>
      <c r="L833" s="33">
        <v>5</v>
      </c>
    </row>
    <row r="834" spans="1:12" hidden="1" x14ac:dyDescent="0.3">
      <c r="A834" s="39">
        <v>46073.691527777781</v>
      </c>
      <c r="B834" s="33" t="s">
        <v>45</v>
      </c>
      <c r="C834" s="33">
        <v>4334232912</v>
      </c>
      <c r="E834" s="33">
        <v>36</v>
      </c>
      <c r="F834" s="33">
        <v>26</v>
      </c>
      <c r="G834" s="33" t="s">
        <v>38</v>
      </c>
      <c r="H834" s="33" t="s">
        <v>5501</v>
      </c>
      <c r="I834" s="33" t="s">
        <v>46</v>
      </c>
      <c r="J834" s="33" t="s">
        <v>40</v>
      </c>
    </row>
    <row r="835" spans="1:12" hidden="1" x14ac:dyDescent="0.3">
      <c r="A835" s="39">
        <v>46073.690821759257</v>
      </c>
      <c r="B835" s="33" t="s">
        <v>42</v>
      </c>
      <c r="C835" s="33">
        <v>44991388221</v>
      </c>
      <c r="E835" s="33">
        <v>37</v>
      </c>
      <c r="F835" s="33">
        <v>0</v>
      </c>
      <c r="G835" s="33" t="s">
        <v>47</v>
      </c>
      <c r="H835" s="33" t="s">
        <v>5502</v>
      </c>
      <c r="I835" s="33" t="s">
        <v>46</v>
      </c>
      <c r="J835" s="33" t="s">
        <v>40</v>
      </c>
    </row>
    <row r="836" spans="1:12" hidden="1" x14ac:dyDescent="0.3">
      <c r="A836" s="39">
        <v>46073.690567129626</v>
      </c>
      <c r="B836" s="33" t="s">
        <v>3627</v>
      </c>
      <c r="C836" s="33">
        <v>11992383072</v>
      </c>
      <c r="E836" s="33">
        <v>43</v>
      </c>
      <c r="F836" s="33">
        <v>0</v>
      </c>
      <c r="G836" s="33" t="s">
        <v>47</v>
      </c>
      <c r="H836" s="33" t="s">
        <v>5503</v>
      </c>
      <c r="I836" s="33" t="s">
        <v>46</v>
      </c>
      <c r="J836" s="33" t="s">
        <v>3629</v>
      </c>
    </row>
    <row r="837" spans="1:12" hidden="1" x14ac:dyDescent="0.3">
      <c r="A837" s="39">
        <v>46073.686284722222</v>
      </c>
      <c r="B837" s="33">
        <v>1131515685</v>
      </c>
      <c r="C837" s="33" t="s">
        <v>44</v>
      </c>
      <c r="D837" s="33">
        <v>4430265054</v>
      </c>
      <c r="E837" s="33">
        <v>505</v>
      </c>
      <c r="F837" s="33">
        <v>385</v>
      </c>
      <c r="G837" s="33" t="s">
        <v>38</v>
      </c>
      <c r="H837" s="33" t="s">
        <v>3870</v>
      </c>
      <c r="I837" s="33" t="s">
        <v>39</v>
      </c>
      <c r="J837" s="33" t="s">
        <v>40</v>
      </c>
      <c r="K837" s="33" t="s">
        <v>41</v>
      </c>
    </row>
    <row r="838" spans="1:12" hidden="1" x14ac:dyDescent="0.3">
      <c r="A838" s="39">
        <v>46073.683240740742</v>
      </c>
      <c r="B838" s="33">
        <v>44984140993</v>
      </c>
      <c r="C838" s="33" t="s">
        <v>37</v>
      </c>
      <c r="D838" s="33">
        <v>4430265054</v>
      </c>
      <c r="E838" s="33">
        <v>829</v>
      </c>
      <c r="F838" s="33">
        <v>787</v>
      </c>
      <c r="G838" s="33" t="s">
        <v>38</v>
      </c>
      <c r="H838" s="33" t="s">
        <v>3871</v>
      </c>
      <c r="I838" s="33" t="s">
        <v>39</v>
      </c>
      <c r="J838" s="33" t="s">
        <v>40</v>
      </c>
      <c r="K838" s="33" t="s">
        <v>41</v>
      </c>
    </row>
    <row r="839" spans="1:12" hidden="1" x14ac:dyDescent="0.3">
      <c r="A839" s="39">
        <v>46073.681643518517</v>
      </c>
      <c r="B839" s="33" t="s">
        <v>48</v>
      </c>
      <c r="C839" s="33">
        <v>4130760170</v>
      </c>
      <c r="E839" s="33">
        <v>232</v>
      </c>
      <c r="F839" s="33">
        <v>221</v>
      </c>
      <c r="G839" s="33" t="s">
        <v>38</v>
      </c>
      <c r="H839" s="33" t="s">
        <v>5504</v>
      </c>
      <c r="I839" s="33" t="s">
        <v>46</v>
      </c>
      <c r="J839" s="33" t="s">
        <v>40</v>
      </c>
    </row>
    <row r="840" spans="1:12" hidden="1" x14ac:dyDescent="0.3">
      <c r="A840" s="39">
        <v>46073.679675925923</v>
      </c>
      <c r="B840" s="33">
        <v>44991388221</v>
      </c>
      <c r="C840" s="33" t="s">
        <v>42</v>
      </c>
      <c r="D840" s="33">
        <v>4430265054</v>
      </c>
      <c r="E840" s="33">
        <v>879</v>
      </c>
      <c r="F840" s="33">
        <v>844</v>
      </c>
      <c r="G840" s="33" t="s">
        <v>38</v>
      </c>
      <c r="H840" s="33" t="s">
        <v>3872</v>
      </c>
      <c r="I840" s="33" t="s">
        <v>39</v>
      </c>
      <c r="J840" s="33" t="s">
        <v>40</v>
      </c>
      <c r="K840" s="33" t="s">
        <v>41</v>
      </c>
    </row>
    <row r="841" spans="1:12" hidden="1" x14ac:dyDescent="0.3">
      <c r="A841" s="39">
        <v>46073.668622685182</v>
      </c>
      <c r="B841" s="33">
        <v>4433543396</v>
      </c>
      <c r="C841" s="33" t="s">
        <v>3873</v>
      </c>
      <c r="D841" s="33">
        <v>4430265054</v>
      </c>
      <c r="E841" s="33">
        <v>1171</v>
      </c>
      <c r="F841" s="33">
        <v>945</v>
      </c>
      <c r="G841" s="33" t="s">
        <v>38</v>
      </c>
      <c r="H841" s="33" t="s">
        <v>3874</v>
      </c>
      <c r="I841" s="33" t="s">
        <v>39</v>
      </c>
      <c r="J841" s="33" t="s">
        <v>3451</v>
      </c>
      <c r="K841" s="33" t="s">
        <v>41</v>
      </c>
    </row>
    <row r="842" spans="1:12" hidden="1" x14ac:dyDescent="0.3">
      <c r="A842" s="39">
        <v>46073.666006944448</v>
      </c>
      <c r="B842" s="33">
        <v>4432272377</v>
      </c>
      <c r="C842" s="33" t="s">
        <v>42</v>
      </c>
      <c r="D842" s="33">
        <v>4430265054</v>
      </c>
      <c r="E842" s="33">
        <v>652</v>
      </c>
      <c r="F842" s="33">
        <v>627</v>
      </c>
      <c r="G842" s="33" t="s">
        <v>38</v>
      </c>
      <c r="H842" s="33" t="s">
        <v>3875</v>
      </c>
      <c r="I842" s="33" t="s">
        <v>39</v>
      </c>
      <c r="J842" s="33" t="s">
        <v>40</v>
      </c>
      <c r="K842" s="33" t="s">
        <v>41</v>
      </c>
    </row>
    <row r="843" spans="1:12" hidden="1" x14ac:dyDescent="0.3">
      <c r="A843" s="39">
        <v>46073.663726851853</v>
      </c>
      <c r="B843" s="33">
        <v>4130760170</v>
      </c>
      <c r="C843" s="33" t="s">
        <v>48</v>
      </c>
      <c r="D843" s="33">
        <v>4430265054</v>
      </c>
      <c r="E843" s="33">
        <v>937</v>
      </c>
      <c r="F843" s="33">
        <v>911</v>
      </c>
      <c r="G843" s="33" t="s">
        <v>38</v>
      </c>
      <c r="H843" s="33" t="s">
        <v>3876</v>
      </c>
      <c r="I843" s="33" t="s">
        <v>39</v>
      </c>
      <c r="J843" s="33" t="s">
        <v>40</v>
      </c>
      <c r="K843" s="33" t="s">
        <v>41</v>
      </c>
    </row>
    <row r="844" spans="1:12" hidden="1" x14ac:dyDescent="0.3">
      <c r="A844" s="39">
        <v>46073.661423611113</v>
      </c>
      <c r="B844" s="33">
        <v>4435223408</v>
      </c>
      <c r="C844" s="33">
        <v>4430265054</v>
      </c>
      <c r="D844" s="33">
        <v>4430265054</v>
      </c>
      <c r="E844" s="33">
        <v>243</v>
      </c>
      <c r="F844" s="33">
        <v>243</v>
      </c>
      <c r="G844" s="33" t="s">
        <v>3449</v>
      </c>
      <c r="H844" s="33" t="s">
        <v>3877</v>
      </c>
      <c r="I844" s="33" t="s">
        <v>39</v>
      </c>
      <c r="J844" s="33" t="s">
        <v>3451</v>
      </c>
      <c r="K844" s="33" t="s">
        <v>41</v>
      </c>
    </row>
    <row r="845" spans="1:12" hidden="1" x14ac:dyDescent="0.3">
      <c r="A845" s="39">
        <v>46073.661203703705</v>
      </c>
      <c r="B845" s="33">
        <v>4432325260</v>
      </c>
      <c r="C845" s="33">
        <v>4430265054</v>
      </c>
      <c r="D845" s="33">
        <v>4430265054</v>
      </c>
      <c r="E845" s="33">
        <v>205</v>
      </c>
      <c r="F845" s="33">
        <v>204</v>
      </c>
      <c r="G845" s="33" t="s">
        <v>3449</v>
      </c>
      <c r="H845" s="33" t="s">
        <v>3878</v>
      </c>
      <c r="I845" s="33" t="s">
        <v>39</v>
      </c>
      <c r="J845" s="33" t="s">
        <v>3451</v>
      </c>
      <c r="K845" s="33" t="s">
        <v>41</v>
      </c>
    </row>
    <row r="846" spans="1:12" hidden="1" x14ac:dyDescent="0.3">
      <c r="A846" s="39">
        <v>46073.661180555559</v>
      </c>
      <c r="B846" s="33">
        <v>91981481202</v>
      </c>
      <c r="C846" s="33" t="s">
        <v>43</v>
      </c>
      <c r="D846" s="33">
        <v>4430265054</v>
      </c>
      <c r="E846" s="33">
        <v>1149</v>
      </c>
      <c r="F846" s="33">
        <v>1139</v>
      </c>
      <c r="G846" s="33" t="s">
        <v>38</v>
      </c>
      <c r="H846" s="33" t="s">
        <v>3879</v>
      </c>
      <c r="I846" s="33" t="s">
        <v>39</v>
      </c>
      <c r="J846" s="33" t="s">
        <v>40</v>
      </c>
      <c r="K846" s="33" t="s">
        <v>41</v>
      </c>
    </row>
    <row r="847" spans="1:12" hidden="1" x14ac:dyDescent="0.3">
      <c r="A847" s="39">
        <v>46073.660937499997</v>
      </c>
      <c r="B847" s="33">
        <v>44984140993</v>
      </c>
      <c r="C847" s="33">
        <v>4430265054</v>
      </c>
      <c r="D847" s="33">
        <v>4430265054</v>
      </c>
      <c r="E847" s="33">
        <v>155</v>
      </c>
      <c r="F847" s="33">
        <v>155</v>
      </c>
      <c r="G847" s="33" t="s">
        <v>3449</v>
      </c>
      <c r="H847" s="33" t="s">
        <v>3880</v>
      </c>
      <c r="I847" s="33" t="s">
        <v>39</v>
      </c>
      <c r="J847" s="33" t="s">
        <v>3451</v>
      </c>
      <c r="K847" s="33" t="s">
        <v>41</v>
      </c>
    </row>
    <row r="848" spans="1:12" hidden="1" x14ac:dyDescent="0.3">
      <c r="A848" s="39">
        <v>46073.660520833335</v>
      </c>
      <c r="B848" s="33">
        <v>44998860140</v>
      </c>
      <c r="C848" s="33" t="s">
        <v>48</v>
      </c>
      <c r="D848" s="33">
        <v>4430265054</v>
      </c>
      <c r="E848" s="33">
        <v>257</v>
      </c>
      <c r="F848" s="33">
        <v>256</v>
      </c>
      <c r="G848" s="33" t="s">
        <v>38</v>
      </c>
      <c r="H848" s="33" t="s">
        <v>3881</v>
      </c>
      <c r="I848" s="33" t="s">
        <v>39</v>
      </c>
      <c r="J848" s="33" t="s">
        <v>40</v>
      </c>
      <c r="K848" s="33" t="s">
        <v>41</v>
      </c>
    </row>
    <row r="849" spans="1:12" x14ac:dyDescent="0.3">
      <c r="A849" s="39">
        <v>46073.656990740739</v>
      </c>
      <c r="B849" s="33">
        <v>44999670264</v>
      </c>
      <c r="C849" s="33" t="s">
        <v>44</v>
      </c>
      <c r="D849" s="33">
        <v>4430265054</v>
      </c>
      <c r="E849" s="33">
        <v>1315</v>
      </c>
      <c r="F849" s="33">
        <v>1266</v>
      </c>
      <c r="G849" s="33" t="s">
        <v>38</v>
      </c>
      <c r="H849" s="33" t="s">
        <v>3882</v>
      </c>
      <c r="I849" s="33" t="s">
        <v>39</v>
      </c>
      <c r="J849" s="33" t="s">
        <v>40</v>
      </c>
      <c r="K849" s="33" t="s">
        <v>41</v>
      </c>
      <c r="L849" s="33">
        <v>5</v>
      </c>
    </row>
    <row r="850" spans="1:12" hidden="1" x14ac:dyDescent="0.3">
      <c r="A850" s="39">
        <v>46073.6565162037</v>
      </c>
      <c r="B850" s="33">
        <v>4433543396</v>
      </c>
      <c r="C850" s="33" t="s">
        <v>43</v>
      </c>
      <c r="D850" s="33">
        <v>4430265054</v>
      </c>
      <c r="E850" s="33">
        <v>237</v>
      </c>
      <c r="F850" s="33">
        <v>195</v>
      </c>
      <c r="G850" s="33" t="s">
        <v>38</v>
      </c>
      <c r="H850" s="33" t="s">
        <v>3883</v>
      </c>
      <c r="I850" s="33" t="s">
        <v>39</v>
      </c>
      <c r="J850" s="33" t="s">
        <v>40</v>
      </c>
      <c r="K850" s="33" t="s">
        <v>41</v>
      </c>
    </row>
    <row r="851" spans="1:12" hidden="1" x14ac:dyDescent="0.3">
      <c r="A851" s="39">
        <v>46073.654861111114</v>
      </c>
      <c r="B851" s="33">
        <v>4430162384</v>
      </c>
      <c r="C851" s="33" t="s">
        <v>44</v>
      </c>
      <c r="D851" s="33">
        <v>4430265054</v>
      </c>
      <c r="E851" s="33">
        <v>117</v>
      </c>
      <c r="F851" s="33">
        <v>54</v>
      </c>
      <c r="G851" s="33" t="s">
        <v>38</v>
      </c>
      <c r="H851" s="33" t="s">
        <v>3884</v>
      </c>
      <c r="I851" s="33" t="s">
        <v>39</v>
      </c>
      <c r="J851" s="33" t="s">
        <v>40</v>
      </c>
      <c r="K851" s="33" t="s">
        <v>41</v>
      </c>
    </row>
    <row r="852" spans="1:12" hidden="1" x14ac:dyDescent="0.3">
      <c r="A852" s="39">
        <v>46073.649675925924</v>
      </c>
      <c r="B852" s="33">
        <v>44997561804</v>
      </c>
      <c r="C852" s="33" t="s">
        <v>48</v>
      </c>
      <c r="D852" s="33">
        <v>4430265054</v>
      </c>
      <c r="E852" s="33">
        <v>148</v>
      </c>
      <c r="F852" s="33">
        <v>147</v>
      </c>
      <c r="G852" s="33" t="s">
        <v>38</v>
      </c>
      <c r="H852" s="33" t="s">
        <v>3885</v>
      </c>
      <c r="I852" s="33" t="s">
        <v>39</v>
      </c>
      <c r="J852" s="33" t="s">
        <v>40</v>
      </c>
      <c r="K852" s="33" t="s">
        <v>41</v>
      </c>
    </row>
    <row r="853" spans="1:12" hidden="1" x14ac:dyDescent="0.3">
      <c r="A853" s="39">
        <v>46073.647731481484</v>
      </c>
      <c r="B853" s="33">
        <v>44999670264</v>
      </c>
      <c r="C853" s="33" t="s">
        <v>42</v>
      </c>
      <c r="D853" s="33">
        <v>4430265054</v>
      </c>
      <c r="E853" s="33">
        <v>369</v>
      </c>
      <c r="F853" s="33">
        <v>285</v>
      </c>
      <c r="G853" s="33" t="s">
        <v>38</v>
      </c>
      <c r="H853" s="33" t="s">
        <v>3886</v>
      </c>
      <c r="I853" s="33" t="s">
        <v>39</v>
      </c>
      <c r="J853" s="33" t="s">
        <v>40</v>
      </c>
      <c r="K853" s="33" t="s">
        <v>41</v>
      </c>
      <c r="L853" s="33">
        <v>5</v>
      </c>
    </row>
    <row r="854" spans="1:12" hidden="1" x14ac:dyDescent="0.3">
      <c r="A854" s="39">
        <v>46073.643043981479</v>
      </c>
      <c r="B854" s="33">
        <v>44998849102</v>
      </c>
      <c r="C854" s="33" t="s">
        <v>48</v>
      </c>
      <c r="D854" s="33">
        <v>4430265054</v>
      </c>
      <c r="E854" s="33">
        <v>183</v>
      </c>
      <c r="F854" s="33">
        <v>161</v>
      </c>
      <c r="G854" s="33" t="s">
        <v>38</v>
      </c>
      <c r="H854" s="33" t="s">
        <v>3887</v>
      </c>
      <c r="I854" s="33" t="s">
        <v>39</v>
      </c>
      <c r="J854" s="33" t="s">
        <v>40</v>
      </c>
      <c r="K854" s="33" t="s">
        <v>41</v>
      </c>
    </row>
    <row r="855" spans="1:12" hidden="1" x14ac:dyDescent="0.3">
      <c r="A855" s="39">
        <v>46073.641099537039</v>
      </c>
      <c r="B855" s="33">
        <v>1131515685</v>
      </c>
      <c r="C855" s="33" t="s">
        <v>48</v>
      </c>
      <c r="D855" s="33">
        <v>4430265054</v>
      </c>
      <c r="E855" s="33">
        <v>129</v>
      </c>
      <c r="F855" s="33">
        <v>105</v>
      </c>
      <c r="G855" s="33" t="s">
        <v>38</v>
      </c>
      <c r="H855" s="33" t="s">
        <v>3888</v>
      </c>
      <c r="I855" s="33" t="s">
        <v>39</v>
      </c>
      <c r="J855" s="33" t="s">
        <v>40</v>
      </c>
      <c r="K855" s="33" t="s">
        <v>41</v>
      </c>
    </row>
    <row r="856" spans="1:12" hidden="1" x14ac:dyDescent="0.3">
      <c r="A856" s="39">
        <v>46073.640949074077</v>
      </c>
      <c r="B856" s="33">
        <v>4437711441</v>
      </c>
      <c r="C856" s="33" t="s">
        <v>42</v>
      </c>
      <c r="D856" s="33">
        <v>4430265054</v>
      </c>
      <c r="E856" s="33">
        <v>291</v>
      </c>
      <c r="F856" s="33">
        <v>270</v>
      </c>
      <c r="G856" s="33" t="s">
        <v>38</v>
      </c>
      <c r="H856" s="33" t="s">
        <v>3889</v>
      </c>
      <c r="I856" s="33" t="s">
        <v>39</v>
      </c>
      <c r="J856" s="33" t="s">
        <v>40</v>
      </c>
      <c r="K856" s="33" t="s">
        <v>41</v>
      </c>
      <c r="L856" s="33">
        <v>5</v>
      </c>
    </row>
    <row r="857" spans="1:12" hidden="1" x14ac:dyDescent="0.3">
      <c r="A857" s="39">
        <v>46073.640428240738</v>
      </c>
      <c r="B857" s="33" t="s">
        <v>45</v>
      </c>
      <c r="C857" s="33">
        <v>4334232912</v>
      </c>
      <c r="E857" s="33">
        <v>3644</v>
      </c>
      <c r="F857" s="33">
        <v>3636</v>
      </c>
      <c r="G857" s="33" t="s">
        <v>38</v>
      </c>
      <c r="H857" s="33" t="s">
        <v>5505</v>
      </c>
      <c r="I857" s="33" t="s">
        <v>46</v>
      </c>
      <c r="J857" s="33" t="s">
        <v>40</v>
      </c>
    </row>
    <row r="858" spans="1:12" hidden="1" x14ac:dyDescent="0.3">
      <c r="A858" s="39">
        <v>46073.640173611115</v>
      </c>
      <c r="B858" s="33">
        <v>4334234629</v>
      </c>
      <c r="C858" s="33" t="s">
        <v>44</v>
      </c>
      <c r="D858" s="33">
        <v>4430265054</v>
      </c>
      <c r="E858" s="33">
        <v>282</v>
      </c>
      <c r="F858" s="33">
        <v>218</v>
      </c>
      <c r="G858" s="33" t="s">
        <v>38</v>
      </c>
      <c r="H858" s="33" t="s">
        <v>3890</v>
      </c>
      <c r="I858" s="33" t="s">
        <v>39</v>
      </c>
      <c r="J858" s="33" t="s">
        <v>40</v>
      </c>
      <c r="K858" s="33" t="s">
        <v>41</v>
      </c>
    </row>
    <row r="859" spans="1:12" hidden="1" x14ac:dyDescent="0.3">
      <c r="A859" s="39">
        <v>46073.640046296299</v>
      </c>
      <c r="B859" s="33" t="s">
        <v>45</v>
      </c>
      <c r="C859" s="33">
        <v>4334232912</v>
      </c>
      <c r="E859" s="33">
        <v>30</v>
      </c>
      <c r="F859" s="33">
        <v>22</v>
      </c>
      <c r="G859" s="33" t="s">
        <v>38</v>
      </c>
      <c r="H859" s="33" t="s">
        <v>5506</v>
      </c>
      <c r="I859" s="33" t="s">
        <v>46</v>
      </c>
      <c r="J859" s="33" t="s">
        <v>40</v>
      </c>
    </row>
    <row r="860" spans="1:12" hidden="1" x14ac:dyDescent="0.3">
      <c r="A860" s="39">
        <v>46073.637557870374</v>
      </c>
      <c r="B860" s="33" t="s">
        <v>48</v>
      </c>
      <c r="C860" s="33">
        <v>44999195785</v>
      </c>
      <c r="E860" s="33">
        <v>37</v>
      </c>
      <c r="F860" s="33">
        <v>0</v>
      </c>
      <c r="G860" s="33" t="s">
        <v>47</v>
      </c>
      <c r="H860" s="33" t="s">
        <v>5507</v>
      </c>
      <c r="I860" s="33" t="s">
        <v>46</v>
      </c>
      <c r="J860" s="33" t="s">
        <v>40</v>
      </c>
    </row>
    <row r="861" spans="1:12" hidden="1" x14ac:dyDescent="0.3">
      <c r="A861" s="39">
        <v>46073.636643518519</v>
      </c>
      <c r="B861" s="33" t="s">
        <v>48</v>
      </c>
      <c r="C861" s="33">
        <v>4433050408</v>
      </c>
      <c r="E861" s="33">
        <v>79</v>
      </c>
      <c r="F861" s="33">
        <v>62</v>
      </c>
      <c r="G861" s="33" t="s">
        <v>38</v>
      </c>
      <c r="H861" s="33" t="s">
        <v>5508</v>
      </c>
      <c r="I861" s="33" t="s">
        <v>46</v>
      </c>
      <c r="J861" s="33" t="s">
        <v>40</v>
      </c>
    </row>
    <row r="862" spans="1:12" hidden="1" x14ac:dyDescent="0.3">
      <c r="A862" s="39">
        <v>46073.636076388888</v>
      </c>
      <c r="B862" s="33">
        <v>18996991511</v>
      </c>
      <c r="C862" s="33" t="s">
        <v>43</v>
      </c>
      <c r="D862" s="33">
        <v>4430265054</v>
      </c>
      <c r="E862" s="33">
        <v>1207</v>
      </c>
      <c r="F862" s="33">
        <v>1162</v>
      </c>
      <c r="G862" s="33" t="s">
        <v>38</v>
      </c>
      <c r="H862" s="33" t="s">
        <v>3891</v>
      </c>
      <c r="I862" s="33" t="s">
        <v>39</v>
      </c>
      <c r="J862" s="33" t="s">
        <v>40</v>
      </c>
      <c r="K862" s="33" t="s">
        <v>41</v>
      </c>
    </row>
    <row r="863" spans="1:12" hidden="1" x14ac:dyDescent="0.3">
      <c r="A863" s="39">
        <v>46073.633726851855</v>
      </c>
      <c r="B863" s="33">
        <v>4334232912</v>
      </c>
      <c r="C863" s="33" t="s">
        <v>45</v>
      </c>
      <c r="D863" s="33">
        <v>4430265054</v>
      </c>
      <c r="E863" s="33">
        <v>540</v>
      </c>
      <c r="F863" s="33">
        <v>498</v>
      </c>
      <c r="G863" s="33" t="s">
        <v>38</v>
      </c>
      <c r="H863" s="33" t="s">
        <v>3892</v>
      </c>
      <c r="I863" s="33" t="s">
        <v>39</v>
      </c>
      <c r="J863" s="33" t="s">
        <v>40</v>
      </c>
      <c r="K863" s="33" t="s">
        <v>41</v>
      </c>
    </row>
    <row r="864" spans="1:12" hidden="1" x14ac:dyDescent="0.3">
      <c r="A864" s="39">
        <v>46073.633032407408</v>
      </c>
      <c r="B864" s="33">
        <v>4437711441</v>
      </c>
      <c r="C864" s="33">
        <v>4430265054</v>
      </c>
      <c r="D864" s="33">
        <v>4430265054</v>
      </c>
      <c r="E864" s="33">
        <v>33</v>
      </c>
      <c r="F864" s="33">
        <v>32</v>
      </c>
      <c r="G864" s="33" t="s">
        <v>3449</v>
      </c>
      <c r="H864" s="33" t="s">
        <v>3893</v>
      </c>
      <c r="I864" s="33" t="s">
        <v>39</v>
      </c>
      <c r="J864" s="33" t="s">
        <v>3451</v>
      </c>
      <c r="K864" s="33" t="s">
        <v>41</v>
      </c>
    </row>
    <row r="865" spans="1:12" hidden="1" x14ac:dyDescent="0.3">
      <c r="A865" s="39">
        <v>46073.622673611113</v>
      </c>
      <c r="B865" s="33">
        <v>1128897100</v>
      </c>
      <c r="C865" s="33" t="s">
        <v>48</v>
      </c>
      <c r="D865" s="33">
        <v>4430265054</v>
      </c>
      <c r="E865" s="33">
        <v>201</v>
      </c>
      <c r="F865" s="33">
        <v>150</v>
      </c>
      <c r="G865" s="33" t="s">
        <v>38</v>
      </c>
      <c r="H865" s="33" t="s">
        <v>3894</v>
      </c>
      <c r="I865" s="33" t="s">
        <v>39</v>
      </c>
      <c r="J865" s="33" t="s">
        <v>40</v>
      </c>
      <c r="K865" s="33" t="s">
        <v>41</v>
      </c>
    </row>
    <row r="866" spans="1:12" hidden="1" x14ac:dyDescent="0.3">
      <c r="A866" s="39">
        <v>46073.618715277778</v>
      </c>
      <c r="B866" s="33">
        <v>4432522019</v>
      </c>
      <c r="C866" s="33" t="s">
        <v>45</v>
      </c>
      <c r="D866" s="33">
        <v>4430265054</v>
      </c>
      <c r="E866" s="33">
        <v>609</v>
      </c>
      <c r="F866" s="33">
        <v>571</v>
      </c>
      <c r="G866" s="33" t="s">
        <v>38</v>
      </c>
      <c r="H866" s="33" t="s">
        <v>3895</v>
      </c>
      <c r="I866" s="33" t="s">
        <v>39</v>
      </c>
      <c r="J866" s="33" t="s">
        <v>40</v>
      </c>
      <c r="K866" s="33" t="s">
        <v>41</v>
      </c>
    </row>
    <row r="867" spans="1:12" hidden="1" x14ac:dyDescent="0.3">
      <c r="A867" s="39">
        <v>46073.610486111109</v>
      </c>
      <c r="B867" s="33">
        <v>4334226481</v>
      </c>
      <c r="C867" s="33" t="s">
        <v>43</v>
      </c>
      <c r="D867" s="33">
        <v>4430265054</v>
      </c>
      <c r="E867" s="33">
        <v>524</v>
      </c>
      <c r="F867" s="33">
        <v>454</v>
      </c>
      <c r="G867" s="33" t="s">
        <v>38</v>
      </c>
      <c r="H867" s="33" t="s">
        <v>3896</v>
      </c>
      <c r="I867" s="33" t="s">
        <v>39</v>
      </c>
      <c r="J867" s="33" t="s">
        <v>40</v>
      </c>
      <c r="K867" s="33" t="s">
        <v>41</v>
      </c>
    </row>
    <row r="868" spans="1:12" hidden="1" x14ac:dyDescent="0.3">
      <c r="A868" s="39">
        <v>46073.610439814816</v>
      </c>
      <c r="B868" s="33" t="s">
        <v>45</v>
      </c>
      <c r="C868" s="33">
        <v>44999841615</v>
      </c>
      <c r="E868" s="33">
        <v>253</v>
      </c>
      <c r="F868" s="33">
        <v>244</v>
      </c>
      <c r="G868" s="33" t="s">
        <v>38</v>
      </c>
      <c r="H868" s="33" t="s">
        <v>5509</v>
      </c>
      <c r="I868" s="33" t="s">
        <v>46</v>
      </c>
      <c r="J868" s="33" t="s">
        <v>40</v>
      </c>
    </row>
    <row r="869" spans="1:12" hidden="1" x14ac:dyDescent="0.3">
      <c r="A869" s="39">
        <v>46073.610324074078</v>
      </c>
      <c r="B869" s="33" t="s">
        <v>45</v>
      </c>
      <c r="C869" s="33">
        <v>44999689445</v>
      </c>
      <c r="E869" s="33">
        <v>4</v>
      </c>
      <c r="F869" s="33">
        <v>0</v>
      </c>
      <c r="G869" s="33" t="s">
        <v>47</v>
      </c>
      <c r="H869" s="33" t="s">
        <v>5510</v>
      </c>
      <c r="I869" s="33" t="s">
        <v>46</v>
      </c>
      <c r="J869" s="33" t="s">
        <v>40</v>
      </c>
    </row>
    <row r="870" spans="1:12" hidden="1" x14ac:dyDescent="0.3">
      <c r="A870" s="39">
        <v>46073.599618055552</v>
      </c>
      <c r="B870" s="33" t="s">
        <v>45</v>
      </c>
      <c r="C870" s="33">
        <v>44999236655</v>
      </c>
      <c r="E870" s="33">
        <v>305</v>
      </c>
      <c r="F870" s="33">
        <v>293</v>
      </c>
      <c r="G870" s="33" t="s">
        <v>38</v>
      </c>
      <c r="H870" s="33" t="s">
        <v>5511</v>
      </c>
      <c r="I870" s="33" t="s">
        <v>46</v>
      </c>
      <c r="J870" s="33" t="s">
        <v>40</v>
      </c>
    </row>
    <row r="871" spans="1:12" hidden="1" x14ac:dyDescent="0.3">
      <c r="A871" s="39">
        <v>46073.597546296296</v>
      </c>
      <c r="B871" s="33">
        <v>4430141533</v>
      </c>
      <c r="C871" s="33">
        <v>4430265054</v>
      </c>
      <c r="D871" s="33">
        <v>4430265054</v>
      </c>
      <c r="E871" s="33">
        <v>79</v>
      </c>
      <c r="F871" s="33">
        <v>78</v>
      </c>
      <c r="G871" s="33" t="s">
        <v>3449</v>
      </c>
      <c r="H871" s="33" t="s">
        <v>3897</v>
      </c>
      <c r="I871" s="33" t="s">
        <v>39</v>
      </c>
      <c r="J871" s="33" t="s">
        <v>3451</v>
      </c>
      <c r="K871" s="33" t="s">
        <v>41</v>
      </c>
    </row>
    <row r="872" spans="1:12" hidden="1" x14ac:dyDescent="0.3">
      <c r="A872" s="39">
        <v>46073.595381944448</v>
      </c>
      <c r="B872" s="33">
        <v>61981761181</v>
      </c>
      <c r="C872" s="33" t="s">
        <v>44</v>
      </c>
      <c r="D872" s="33">
        <v>4430265054</v>
      </c>
      <c r="E872" s="33">
        <v>395</v>
      </c>
      <c r="F872" s="33">
        <v>349</v>
      </c>
      <c r="G872" s="33" t="s">
        <v>38</v>
      </c>
      <c r="H872" s="33" t="s">
        <v>3898</v>
      </c>
      <c r="I872" s="33" t="s">
        <v>39</v>
      </c>
      <c r="J872" s="33" t="s">
        <v>40</v>
      </c>
      <c r="K872" s="33" t="s">
        <v>41</v>
      </c>
    </row>
    <row r="873" spans="1:12" hidden="1" x14ac:dyDescent="0.3">
      <c r="A873" s="39">
        <v>46073.59412037037</v>
      </c>
      <c r="B873" s="33">
        <v>44999389014</v>
      </c>
      <c r="C873" s="33" t="s">
        <v>42</v>
      </c>
      <c r="D873" s="33">
        <v>4430265054</v>
      </c>
      <c r="E873" s="33">
        <v>691</v>
      </c>
      <c r="F873" s="33">
        <v>576</v>
      </c>
      <c r="G873" s="33" t="s">
        <v>38</v>
      </c>
      <c r="H873" s="33" t="s">
        <v>3899</v>
      </c>
      <c r="I873" s="33" t="s">
        <v>39</v>
      </c>
      <c r="J873" s="33" t="s">
        <v>40</v>
      </c>
      <c r="K873" s="33" t="s">
        <v>41</v>
      </c>
      <c r="L873" s="33">
        <v>5</v>
      </c>
    </row>
    <row r="874" spans="1:12" hidden="1" x14ac:dyDescent="0.3">
      <c r="A874" s="39">
        <v>46073.593622685185</v>
      </c>
      <c r="B874" s="33">
        <v>11998030658</v>
      </c>
      <c r="C874" s="33" t="s">
        <v>45</v>
      </c>
      <c r="D874" s="33">
        <v>4430265054</v>
      </c>
      <c r="E874" s="33">
        <v>187</v>
      </c>
      <c r="F874" s="33">
        <v>170</v>
      </c>
      <c r="G874" s="33" t="s">
        <v>38</v>
      </c>
      <c r="H874" s="33" t="s">
        <v>3900</v>
      </c>
      <c r="I874" s="33" t="s">
        <v>39</v>
      </c>
      <c r="J874" s="33" t="s">
        <v>40</v>
      </c>
      <c r="K874" s="33" t="s">
        <v>41</v>
      </c>
      <c r="L874" s="33">
        <v>5</v>
      </c>
    </row>
    <row r="875" spans="1:12" hidden="1" x14ac:dyDescent="0.3">
      <c r="A875" s="39">
        <v>46073.591087962966</v>
      </c>
      <c r="B875" s="33" t="s">
        <v>45</v>
      </c>
      <c r="C875" s="33">
        <v>44999841615</v>
      </c>
      <c r="E875" s="33">
        <v>234</v>
      </c>
      <c r="F875" s="33">
        <v>226</v>
      </c>
      <c r="G875" s="33" t="s">
        <v>38</v>
      </c>
      <c r="H875" s="33" t="s">
        <v>5512</v>
      </c>
      <c r="I875" s="33" t="s">
        <v>46</v>
      </c>
      <c r="J875" s="33" t="s">
        <v>40</v>
      </c>
    </row>
    <row r="876" spans="1:12" hidden="1" x14ac:dyDescent="0.3">
      <c r="A876" s="39">
        <v>46073.59070601852</v>
      </c>
      <c r="B876" s="33">
        <v>61981761181</v>
      </c>
      <c r="C876" s="33">
        <v>4430265054</v>
      </c>
      <c r="D876" s="33">
        <v>4430265054</v>
      </c>
      <c r="E876" s="33">
        <v>131</v>
      </c>
      <c r="F876" s="33">
        <v>131</v>
      </c>
      <c r="G876" s="33" t="s">
        <v>3449</v>
      </c>
      <c r="H876" s="33" t="s">
        <v>3901</v>
      </c>
      <c r="I876" s="33" t="s">
        <v>39</v>
      </c>
      <c r="J876" s="33" t="s">
        <v>3451</v>
      </c>
      <c r="K876" s="33" t="s">
        <v>41</v>
      </c>
    </row>
    <row r="877" spans="1:12" hidden="1" x14ac:dyDescent="0.3">
      <c r="A877" s="39">
        <v>46073.589965277781</v>
      </c>
      <c r="B877" s="33">
        <v>1131043888</v>
      </c>
      <c r="C877" s="33">
        <v>4430265054</v>
      </c>
      <c r="D877" s="33">
        <v>4430265054</v>
      </c>
      <c r="E877" s="33">
        <v>38</v>
      </c>
      <c r="F877" s="33">
        <v>37</v>
      </c>
      <c r="G877" s="33" t="s">
        <v>3449</v>
      </c>
      <c r="H877" s="33" t="s">
        <v>3902</v>
      </c>
      <c r="I877" s="33" t="s">
        <v>39</v>
      </c>
      <c r="J877" s="33" t="s">
        <v>3451</v>
      </c>
      <c r="K877" s="33" t="s">
        <v>41</v>
      </c>
    </row>
    <row r="878" spans="1:12" hidden="1" x14ac:dyDescent="0.3">
      <c r="A878" s="39">
        <v>46073.588495370372</v>
      </c>
      <c r="B878" s="33">
        <v>1131043888</v>
      </c>
      <c r="C878" s="33">
        <v>4430265054</v>
      </c>
      <c r="D878" s="33">
        <v>4430265054</v>
      </c>
      <c r="E878" s="33">
        <v>58</v>
      </c>
      <c r="F878" s="33">
        <v>58</v>
      </c>
      <c r="G878" s="33" t="s">
        <v>3449</v>
      </c>
      <c r="H878" s="33" t="s">
        <v>3903</v>
      </c>
      <c r="I878" s="33" t="s">
        <v>39</v>
      </c>
      <c r="J878" s="33" t="s">
        <v>3451</v>
      </c>
      <c r="K878" s="33" t="s">
        <v>41</v>
      </c>
    </row>
    <row r="879" spans="1:12" hidden="1" x14ac:dyDescent="0.3">
      <c r="A879" s="39">
        <v>46073.584456018521</v>
      </c>
      <c r="B879" s="33">
        <v>44988067937</v>
      </c>
      <c r="C879" s="33" t="s">
        <v>44</v>
      </c>
      <c r="D879" s="33">
        <v>4430265054</v>
      </c>
      <c r="E879" s="33">
        <v>376</v>
      </c>
      <c r="F879" s="33">
        <v>313</v>
      </c>
      <c r="G879" s="33" t="s">
        <v>38</v>
      </c>
      <c r="H879" s="33" t="s">
        <v>3904</v>
      </c>
      <c r="I879" s="33" t="s">
        <v>39</v>
      </c>
      <c r="J879" s="33" t="s">
        <v>40</v>
      </c>
      <c r="K879" s="33" t="s">
        <v>41</v>
      </c>
    </row>
    <row r="880" spans="1:12" hidden="1" x14ac:dyDescent="0.3">
      <c r="A880" s="39">
        <v>46073.581423611111</v>
      </c>
      <c r="B880" s="33">
        <v>4430141092</v>
      </c>
      <c r="C880" s="33" t="s">
        <v>42</v>
      </c>
      <c r="D880" s="33">
        <v>4430265054</v>
      </c>
      <c r="E880" s="33">
        <v>1079</v>
      </c>
      <c r="F880" s="33">
        <v>1057</v>
      </c>
      <c r="G880" s="33" t="s">
        <v>38</v>
      </c>
      <c r="H880" s="33" t="s">
        <v>3905</v>
      </c>
      <c r="I880" s="33" t="s">
        <v>39</v>
      </c>
      <c r="J880" s="33" t="s">
        <v>40</v>
      </c>
      <c r="K880" s="33" t="s">
        <v>41</v>
      </c>
      <c r="L880" s="33">
        <v>5</v>
      </c>
    </row>
    <row r="881" spans="1:12" hidden="1" x14ac:dyDescent="0.3">
      <c r="A881" s="39">
        <v>46073.581412037034</v>
      </c>
      <c r="B881" s="33">
        <v>44999689445</v>
      </c>
      <c r="C881" s="33" t="s">
        <v>45</v>
      </c>
      <c r="D881" s="33">
        <v>4430265054</v>
      </c>
      <c r="E881" s="33">
        <v>421</v>
      </c>
      <c r="F881" s="33">
        <v>382</v>
      </c>
      <c r="G881" s="33" t="s">
        <v>38</v>
      </c>
      <c r="H881" s="33" t="s">
        <v>3906</v>
      </c>
      <c r="I881" s="33" t="s">
        <v>39</v>
      </c>
      <c r="J881" s="33" t="s">
        <v>40</v>
      </c>
      <c r="K881" s="33" t="s">
        <v>41</v>
      </c>
    </row>
    <row r="882" spans="1:12" hidden="1" x14ac:dyDescent="0.3">
      <c r="A882" s="39">
        <v>46073.580833333333</v>
      </c>
      <c r="B882" s="33" t="s">
        <v>48</v>
      </c>
      <c r="C882" s="33">
        <v>4532541802</v>
      </c>
      <c r="E882" s="33">
        <v>1090</v>
      </c>
      <c r="F882" s="33">
        <v>1088</v>
      </c>
      <c r="G882" s="33" t="s">
        <v>38</v>
      </c>
      <c r="H882" s="33" t="s">
        <v>5513</v>
      </c>
      <c r="I882" s="33" t="s">
        <v>46</v>
      </c>
      <c r="J882" s="33" t="s">
        <v>40</v>
      </c>
      <c r="L882" s="33">
        <v>5</v>
      </c>
    </row>
    <row r="883" spans="1:12" hidden="1" x14ac:dyDescent="0.3">
      <c r="A883" s="39">
        <v>46073.57503472222</v>
      </c>
      <c r="B883" s="33">
        <v>4432525112</v>
      </c>
      <c r="C883" s="33" t="s">
        <v>45</v>
      </c>
      <c r="D883" s="33">
        <v>4430265054</v>
      </c>
      <c r="E883" s="33">
        <v>193</v>
      </c>
      <c r="F883" s="33">
        <v>147</v>
      </c>
      <c r="G883" s="33" t="s">
        <v>38</v>
      </c>
      <c r="H883" s="33" t="s">
        <v>3907</v>
      </c>
      <c r="I883" s="33" t="s">
        <v>39</v>
      </c>
      <c r="J883" s="33" t="s">
        <v>40</v>
      </c>
      <c r="K883" s="33" t="s">
        <v>41</v>
      </c>
      <c r="L883" s="33">
        <v>5</v>
      </c>
    </row>
    <row r="884" spans="1:12" hidden="1" x14ac:dyDescent="0.3">
      <c r="A884" s="39">
        <v>46073.574560185189</v>
      </c>
      <c r="B884" s="33">
        <v>4334226481</v>
      </c>
      <c r="C884" s="33" t="s">
        <v>43</v>
      </c>
      <c r="D884" s="33">
        <v>4430265054</v>
      </c>
      <c r="E884" s="33">
        <v>2246</v>
      </c>
      <c r="F884" s="33">
        <v>2227</v>
      </c>
      <c r="G884" s="33" t="s">
        <v>38</v>
      </c>
      <c r="H884" s="33" t="s">
        <v>3908</v>
      </c>
      <c r="I884" s="33" t="s">
        <v>39</v>
      </c>
      <c r="J884" s="33" t="s">
        <v>40</v>
      </c>
      <c r="K884" s="33" t="s">
        <v>41</v>
      </c>
      <c r="L884" s="33">
        <v>5</v>
      </c>
    </row>
    <row r="885" spans="1:12" hidden="1" x14ac:dyDescent="0.3">
      <c r="A885" s="39">
        <v>46073.57234953704</v>
      </c>
      <c r="B885" s="33">
        <v>4430414545</v>
      </c>
      <c r="C885" s="33" t="s">
        <v>42</v>
      </c>
      <c r="D885" s="33">
        <v>4430265054</v>
      </c>
      <c r="E885" s="33">
        <v>446</v>
      </c>
      <c r="F885" s="33">
        <v>424</v>
      </c>
      <c r="G885" s="33" t="s">
        <v>38</v>
      </c>
      <c r="H885" s="33" t="s">
        <v>3909</v>
      </c>
      <c r="I885" s="33" t="s">
        <v>39</v>
      </c>
      <c r="J885" s="33" t="s">
        <v>40</v>
      </c>
      <c r="K885" s="33" t="s">
        <v>41</v>
      </c>
    </row>
    <row r="886" spans="1:12" hidden="1" x14ac:dyDescent="0.3">
      <c r="A886" s="39">
        <v>46073.572233796294</v>
      </c>
      <c r="B886" s="33">
        <v>1438160351</v>
      </c>
      <c r="C886" s="33">
        <v>4430265054</v>
      </c>
      <c r="D886" s="33">
        <v>4430265054</v>
      </c>
      <c r="E886" s="33">
        <v>9</v>
      </c>
      <c r="F886" s="33">
        <v>8</v>
      </c>
      <c r="G886" s="33" t="s">
        <v>3449</v>
      </c>
      <c r="H886" s="33" t="s">
        <v>5514</v>
      </c>
      <c r="I886" s="33" t="s">
        <v>39</v>
      </c>
      <c r="J886" s="33" t="s">
        <v>3451</v>
      </c>
    </row>
    <row r="887" spans="1:12" hidden="1" x14ac:dyDescent="0.3">
      <c r="A887" s="39">
        <v>46073.569166666668</v>
      </c>
      <c r="B887" s="33">
        <v>44997571961</v>
      </c>
      <c r="C887" s="33" t="s">
        <v>45</v>
      </c>
      <c r="D887" s="33">
        <v>4430265054</v>
      </c>
      <c r="E887" s="33">
        <v>520</v>
      </c>
      <c r="F887" s="33">
        <v>486</v>
      </c>
      <c r="G887" s="33" t="s">
        <v>38</v>
      </c>
      <c r="H887" s="33" t="s">
        <v>3910</v>
      </c>
      <c r="I887" s="33" t="s">
        <v>39</v>
      </c>
      <c r="J887" s="33" t="s">
        <v>40</v>
      </c>
      <c r="K887" s="33" t="s">
        <v>41</v>
      </c>
      <c r="L887" s="33">
        <v>5</v>
      </c>
    </row>
    <row r="888" spans="1:12" x14ac:dyDescent="0.3">
      <c r="A888" s="39">
        <v>46073.564756944441</v>
      </c>
      <c r="B888" s="33">
        <v>42998221810</v>
      </c>
      <c r="C888" s="33" t="s">
        <v>44</v>
      </c>
      <c r="D888" s="33">
        <v>4430265054</v>
      </c>
      <c r="E888" s="33">
        <v>908</v>
      </c>
      <c r="F888" s="33">
        <v>801</v>
      </c>
      <c r="G888" s="33" t="s">
        <v>38</v>
      </c>
      <c r="H888" s="33" t="s">
        <v>3911</v>
      </c>
      <c r="I888" s="33" t="s">
        <v>39</v>
      </c>
      <c r="J888" s="33" t="s">
        <v>40</v>
      </c>
      <c r="K888" s="33" t="s">
        <v>41</v>
      </c>
      <c r="L888" s="33">
        <v>5</v>
      </c>
    </row>
    <row r="889" spans="1:12" hidden="1" x14ac:dyDescent="0.3">
      <c r="A889" s="39">
        <v>46073.564456018517</v>
      </c>
      <c r="B889" s="33">
        <v>4432524652</v>
      </c>
      <c r="C889" s="33" t="s">
        <v>42</v>
      </c>
      <c r="D889" s="33">
        <v>4430265054</v>
      </c>
      <c r="E889" s="33">
        <v>414</v>
      </c>
      <c r="F889" s="33">
        <v>328</v>
      </c>
      <c r="G889" s="33" t="s">
        <v>38</v>
      </c>
      <c r="H889" s="33" t="s">
        <v>3912</v>
      </c>
      <c r="I889" s="33" t="s">
        <v>39</v>
      </c>
      <c r="J889" s="33" t="s">
        <v>40</v>
      </c>
      <c r="K889" s="33" t="s">
        <v>41</v>
      </c>
    </row>
    <row r="890" spans="1:12" hidden="1" x14ac:dyDescent="0.3">
      <c r="A890" s="39">
        <v>46073.562800925924</v>
      </c>
      <c r="B890" s="33">
        <v>12997346335</v>
      </c>
      <c r="C890" s="33" t="s">
        <v>43</v>
      </c>
      <c r="D890" s="33">
        <v>4430265054</v>
      </c>
      <c r="E890" s="33">
        <v>310</v>
      </c>
      <c r="F890" s="33">
        <v>193</v>
      </c>
      <c r="G890" s="33" t="s">
        <v>38</v>
      </c>
      <c r="H890" s="33" t="s">
        <v>3913</v>
      </c>
      <c r="I890" s="33" t="s">
        <v>39</v>
      </c>
      <c r="J890" s="33" t="s">
        <v>40</v>
      </c>
      <c r="K890" s="33" t="s">
        <v>41</v>
      </c>
      <c r="L890" s="33">
        <v>5</v>
      </c>
    </row>
    <row r="891" spans="1:12" hidden="1" x14ac:dyDescent="0.3">
      <c r="A891" s="39">
        <v>46073.560706018521</v>
      </c>
      <c r="B891" s="33">
        <v>4432525112</v>
      </c>
      <c r="C891" s="33">
        <v>4430265054</v>
      </c>
      <c r="D891" s="33">
        <v>4430265054</v>
      </c>
      <c r="E891" s="33">
        <v>22</v>
      </c>
      <c r="F891" s="33">
        <v>22</v>
      </c>
      <c r="G891" s="33" t="s">
        <v>3449</v>
      </c>
      <c r="H891" s="33" t="s">
        <v>5515</v>
      </c>
      <c r="I891" s="33" t="s">
        <v>39</v>
      </c>
      <c r="J891" s="33" t="s">
        <v>3451</v>
      </c>
    </row>
    <row r="892" spans="1:12" hidden="1" x14ac:dyDescent="0.3">
      <c r="A892" s="39">
        <v>46073.55804398148</v>
      </c>
      <c r="B892" s="33">
        <v>4430414545</v>
      </c>
      <c r="C892" s="33">
        <v>4430265054</v>
      </c>
      <c r="D892" s="33">
        <v>4430265054</v>
      </c>
      <c r="E892" s="33">
        <v>29</v>
      </c>
      <c r="F892" s="33">
        <v>28</v>
      </c>
      <c r="G892" s="33" t="s">
        <v>3449</v>
      </c>
      <c r="H892" s="33" t="s">
        <v>5516</v>
      </c>
      <c r="I892" s="33" t="s">
        <v>39</v>
      </c>
      <c r="J892" s="33" t="s">
        <v>3451</v>
      </c>
    </row>
    <row r="893" spans="1:12" hidden="1" x14ac:dyDescent="0.3">
      <c r="A893" s="39">
        <v>46073.557118055556</v>
      </c>
      <c r="B893" s="33">
        <v>4430414545</v>
      </c>
      <c r="C893" s="33">
        <v>4430265054</v>
      </c>
      <c r="D893" s="33">
        <v>4430265054</v>
      </c>
      <c r="E893" s="33">
        <v>29</v>
      </c>
      <c r="F893" s="33">
        <v>28</v>
      </c>
      <c r="G893" s="33" t="s">
        <v>3449</v>
      </c>
      <c r="H893" s="33" t="s">
        <v>5517</v>
      </c>
      <c r="I893" s="33" t="s">
        <v>39</v>
      </c>
      <c r="J893" s="33" t="s">
        <v>3451</v>
      </c>
    </row>
    <row r="894" spans="1:12" hidden="1" x14ac:dyDescent="0.3">
      <c r="A894" s="39">
        <v>46073.552395833336</v>
      </c>
      <c r="B894" s="33">
        <v>4430141533</v>
      </c>
      <c r="C894" s="33">
        <v>4430265054</v>
      </c>
      <c r="D894" s="33">
        <v>4430265054</v>
      </c>
      <c r="E894" s="33">
        <v>25</v>
      </c>
      <c r="F894" s="33">
        <v>24</v>
      </c>
      <c r="G894" s="33" t="s">
        <v>3449</v>
      </c>
      <c r="H894" s="33" t="s">
        <v>5518</v>
      </c>
      <c r="I894" s="33" t="s">
        <v>39</v>
      </c>
      <c r="J894" s="33" t="s">
        <v>3451</v>
      </c>
    </row>
    <row r="895" spans="1:12" hidden="1" x14ac:dyDescent="0.3">
      <c r="A895" s="39">
        <v>46073.536446759259</v>
      </c>
      <c r="B895" s="33">
        <v>1129630984</v>
      </c>
      <c r="C895" s="33">
        <v>4430265054</v>
      </c>
      <c r="D895" s="33">
        <v>4430265054</v>
      </c>
      <c r="E895" s="33">
        <v>15</v>
      </c>
      <c r="F895" s="33">
        <v>15</v>
      </c>
      <c r="G895" s="33" t="s">
        <v>3449</v>
      </c>
      <c r="H895" s="33" t="s">
        <v>5519</v>
      </c>
      <c r="I895" s="33" t="s">
        <v>39</v>
      </c>
      <c r="J895" s="33" t="s">
        <v>3451</v>
      </c>
    </row>
    <row r="896" spans="1:12" hidden="1" x14ac:dyDescent="0.3">
      <c r="A896" s="39">
        <v>46073.504467592589</v>
      </c>
      <c r="B896" s="33">
        <v>1128897100</v>
      </c>
      <c r="C896" s="33">
        <v>4430265054</v>
      </c>
      <c r="D896" s="33">
        <v>4430265054</v>
      </c>
      <c r="E896" s="33">
        <v>22</v>
      </c>
      <c r="F896" s="33">
        <v>22</v>
      </c>
      <c r="G896" s="33" t="s">
        <v>3449</v>
      </c>
      <c r="H896" s="33" t="s">
        <v>5520</v>
      </c>
      <c r="I896" s="33" t="s">
        <v>39</v>
      </c>
      <c r="J896" s="33" t="s">
        <v>3451</v>
      </c>
    </row>
    <row r="897" spans="1:12" hidden="1" x14ac:dyDescent="0.3">
      <c r="A897" s="39">
        <v>46073.484930555554</v>
      </c>
      <c r="B897" s="33">
        <v>1732146970</v>
      </c>
      <c r="C897" s="33" t="s">
        <v>5173</v>
      </c>
      <c r="D897" s="33">
        <v>4431268225</v>
      </c>
      <c r="E897" s="33">
        <v>70</v>
      </c>
      <c r="F897" s="33">
        <v>44</v>
      </c>
      <c r="G897" s="33" t="s">
        <v>38</v>
      </c>
      <c r="H897" s="33" t="s">
        <v>5521</v>
      </c>
      <c r="I897" s="33" t="s">
        <v>39</v>
      </c>
      <c r="J897" s="33" t="s">
        <v>3629</v>
      </c>
      <c r="K897" s="33" t="s">
        <v>50</v>
      </c>
    </row>
    <row r="898" spans="1:12" hidden="1" x14ac:dyDescent="0.3">
      <c r="A898" s="39">
        <v>46073.478182870371</v>
      </c>
      <c r="B898" s="33">
        <v>4435223408</v>
      </c>
      <c r="C898" s="33" t="s">
        <v>44</v>
      </c>
      <c r="D898" s="33">
        <v>4430265054</v>
      </c>
      <c r="E898" s="33">
        <v>819</v>
      </c>
      <c r="F898" s="33">
        <v>719</v>
      </c>
      <c r="G898" s="33" t="s">
        <v>38</v>
      </c>
      <c r="H898" s="33" t="s">
        <v>3914</v>
      </c>
      <c r="I898" s="33" t="s">
        <v>39</v>
      </c>
      <c r="J898" s="33" t="s">
        <v>40</v>
      </c>
      <c r="K898" s="33" t="s">
        <v>41</v>
      </c>
    </row>
    <row r="899" spans="1:12" hidden="1" x14ac:dyDescent="0.3">
      <c r="A899" s="39">
        <v>46073.47583333333</v>
      </c>
      <c r="B899" s="33">
        <v>62994086124</v>
      </c>
      <c r="C899" s="33" t="s">
        <v>43</v>
      </c>
      <c r="D899" s="33">
        <v>4430265054</v>
      </c>
      <c r="E899" s="33">
        <v>280</v>
      </c>
      <c r="F899" s="33">
        <v>224</v>
      </c>
      <c r="G899" s="33" t="s">
        <v>38</v>
      </c>
      <c r="H899" s="33" t="s">
        <v>3915</v>
      </c>
      <c r="I899" s="33" t="s">
        <v>39</v>
      </c>
      <c r="J899" s="33" t="s">
        <v>40</v>
      </c>
      <c r="K899" s="33" t="s">
        <v>41</v>
      </c>
    </row>
    <row r="900" spans="1:12" hidden="1" x14ac:dyDescent="0.3">
      <c r="A900" s="39">
        <v>46073.475127314814</v>
      </c>
      <c r="B900" s="33" t="s">
        <v>37</v>
      </c>
      <c r="C900" s="33">
        <v>4432226677</v>
      </c>
      <c r="E900" s="33">
        <v>195</v>
      </c>
      <c r="F900" s="33">
        <v>183</v>
      </c>
      <c r="G900" s="33" t="s">
        <v>38</v>
      </c>
      <c r="H900" s="33" t="s">
        <v>5522</v>
      </c>
      <c r="I900" s="33" t="s">
        <v>46</v>
      </c>
      <c r="J900" s="33" t="s">
        <v>40</v>
      </c>
    </row>
    <row r="901" spans="1:12" hidden="1" x14ac:dyDescent="0.3">
      <c r="A901" s="39">
        <v>46073.473425925928</v>
      </c>
      <c r="B901" s="33">
        <v>4334226481</v>
      </c>
      <c r="C901" s="33">
        <v>4430265054</v>
      </c>
      <c r="D901" s="33">
        <v>4430265054</v>
      </c>
      <c r="E901" s="33">
        <v>45</v>
      </c>
      <c r="F901" s="33">
        <v>44</v>
      </c>
      <c r="G901" s="33" t="s">
        <v>3449</v>
      </c>
      <c r="H901" s="33" t="s">
        <v>3916</v>
      </c>
      <c r="I901" s="33" t="s">
        <v>39</v>
      </c>
      <c r="J901" s="33" t="s">
        <v>3451</v>
      </c>
      <c r="K901" s="33" t="s">
        <v>41</v>
      </c>
    </row>
    <row r="902" spans="1:12" hidden="1" x14ac:dyDescent="0.3">
      <c r="A902" s="39">
        <v>46073.468333333331</v>
      </c>
      <c r="B902" s="33">
        <v>91981481202</v>
      </c>
      <c r="C902" s="33" t="s">
        <v>42</v>
      </c>
      <c r="D902" s="33">
        <v>4430265054</v>
      </c>
      <c r="E902" s="33">
        <v>351</v>
      </c>
      <c r="F902" s="33">
        <v>324</v>
      </c>
      <c r="G902" s="33" t="s">
        <v>38</v>
      </c>
      <c r="H902" s="33" t="s">
        <v>3917</v>
      </c>
      <c r="I902" s="33" t="s">
        <v>39</v>
      </c>
      <c r="J902" s="33" t="s">
        <v>40</v>
      </c>
      <c r="K902" s="33" t="s">
        <v>41</v>
      </c>
    </row>
    <row r="903" spans="1:12" hidden="1" x14ac:dyDescent="0.3">
      <c r="A903" s="39">
        <v>46073.466319444444</v>
      </c>
      <c r="B903" s="33">
        <v>4635363602</v>
      </c>
      <c r="C903" s="33" t="s">
        <v>3627</v>
      </c>
      <c r="D903" s="33">
        <v>4430265054</v>
      </c>
      <c r="E903" s="33">
        <v>314</v>
      </c>
      <c r="F903" s="33">
        <v>242</v>
      </c>
      <c r="G903" s="33" t="s">
        <v>38</v>
      </c>
      <c r="H903" s="33" t="s">
        <v>3918</v>
      </c>
      <c r="I903" s="33" t="s">
        <v>39</v>
      </c>
      <c r="J903" s="33" t="s">
        <v>3629</v>
      </c>
      <c r="K903" s="33" t="s">
        <v>41</v>
      </c>
    </row>
    <row r="904" spans="1:12" hidden="1" x14ac:dyDescent="0.3">
      <c r="A904" s="39">
        <v>46073.463807870372</v>
      </c>
      <c r="B904" s="33">
        <v>4635363602</v>
      </c>
      <c r="C904" s="33" t="s">
        <v>42</v>
      </c>
      <c r="D904" s="33">
        <v>4430265054</v>
      </c>
      <c r="E904" s="33">
        <v>211</v>
      </c>
      <c r="F904" s="33">
        <v>166</v>
      </c>
      <c r="G904" s="33" t="s">
        <v>38</v>
      </c>
      <c r="H904" s="33" t="s">
        <v>3919</v>
      </c>
      <c r="I904" s="33" t="s">
        <v>39</v>
      </c>
      <c r="J904" s="33" t="s">
        <v>40</v>
      </c>
      <c r="K904" s="33" t="s">
        <v>41</v>
      </c>
    </row>
    <row r="905" spans="1:12" hidden="1" x14ac:dyDescent="0.3">
      <c r="A905" s="39">
        <v>46073.462442129632</v>
      </c>
      <c r="B905" s="33">
        <v>4334232912</v>
      </c>
      <c r="C905" s="33" t="s">
        <v>45</v>
      </c>
      <c r="D905" s="33">
        <v>4430265054</v>
      </c>
      <c r="E905" s="33">
        <v>2220</v>
      </c>
      <c r="F905" s="33">
        <v>2102</v>
      </c>
      <c r="G905" s="33" t="s">
        <v>38</v>
      </c>
      <c r="H905" s="33" t="s">
        <v>3920</v>
      </c>
      <c r="I905" s="33" t="s">
        <v>39</v>
      </c>
      <c r="J905" s="33" t="s">
        <v>40</v>
      </c>
      <c r="K905" s="33" t="s">
        <v>41</v>
      </c>
    </row>
    <row r="906" spans="1:12" hidden="1" x14ac:dyDescent="0.3">
      <c r="A906" s="39">
        <v>46073.462337962963</v>
      </c>
      <c r="B906" s="33">
        <v>44984140993</v>
      </c>
      <c r="C906" s="33" t="s">
        <v>48</v>
      </c>
      <c r="D906" s="33">
        <v>4430265054</v>
      </c>
      <c r="E906" s="33">
        <v>517</v>
      </c>
      <c r="F906" s="33">
        <v>444</v>
      </c>
      <c r="G906" s="33" t="s">
        <v>38</v>
      </c>
      <c r="H906" s="33" t="s">
        <v>3921</v>
      </c>
      <c r="I906" s="33" t="s">
        <v>39</v>
      </c>
      <c r="J906" s="33" t="s">
        <v>40</v>
      </c>
      <c r="K906" s="33" t="s">
        <v>41</v>
      </c>
    </row>
    <row r="907" spans="1:12" hidden="1" x14ac:dyDescent="0.3">
      <c r="A907" s="39">
        <v>46073.455381944441</v>
      </c>
      <c r="B907" s="33">
        <v>12997346335</v>
      </c>
      <c r="C907" s="33" t="s">
        <v>42</v>
      </c>
      <c r="D907" s="33">
        <v>4430265054</v>
      </c>
      <c r="E907" s="33">
        <v>326</v>
      </c>
      <c r="F907" s="33">
        <v>223</v>
      </c>
      <c r="G907" s="33" t="s">
        <v>38</v>
      </c>
      <c r="H907" s="33" t="s">
        <v>3922</v>
      </c>
      <c r="I907" s="33" t="s">
        <v>39</v>
      </c>
      <c r="J907" s="33" t="s">
        <v>40</v>
      </c>
      <c r="K907" s="33" t="s">
        <v>41</v>
      </c>
      <c r="L907" s="33">
        <v>5</v>
      </c>
    </row>
    <row r="908" spans="1:12" hidden="1" x14ac:dyDescent="0.3">
      <c r="A908" s="39">
        <v>46073.453703703701</v>
      </c>
      <c r="B908" s="33" t="s">
        <v>43</v>
      </c>
      <c r="C908" s="33">
        <v>44991333591</v>
      </c>
      <c r="E908" s="33">
        <v>82</v>
      </c>
      <c r="F908" s="33">
        <v>60</v>
      </c>
      <c r="G908" s="33" t="s">
        <v>38</v>
      </c>
      <c r="H908" s="33" t="s">
        <v>5523</v>
      </c>
      <c r="I908" s="33" t="s">
        <v>46</v>
      </c>
      <c r="J908" s="33" t="s">
        <v>40</v>
      </c>
    </row>
    <row r="909" spans="1:12" hidden="1" x14ac:dyDescent="0.3">
      <c r="A909" s="39">
        <v>46073.448888888888</v>
      </c>
      <c r="B909" s="33">
        <v>44984140993</v>
      </c>
      <c r="C909" s="33" t="s">
        <v>43</v>
      </c>
      <c r="D909" s="33">
        <v>4430265054</v>
      </c>
      <c r="E909" s="33">
        <v>107</v>
      </c>
      <c r="F909" s="33">
        <v>54</v>
      </c>
      <c r="G909" s="33" t="s">
        <v>38</v>
      </c>
      <c r="H909" s="33" t="s">
        <v>3923</v>
      </c>
      <c r="I909" s="33" t="s">
        <v>39</v>
      </c>
      <c r="J909" s="33" t="s">
        <v>40</v>
      </c>
      <c r="K909" s="33" t="s">
        <v>41</v>
      </c>
    </row>
    <row r="910" spans="1:12" hidden="1" x14ac:dyDescent="0.3">
      <c r="A910" s="39">
        <v>46073.446875000001</v>
      </c>
      <c r="B910" s="33">
        <v>4432541200</v>
      </c>
      <c r="C910" s="33" t="s">
        <v>44</v>
      </c>
      <c r="D910" s="33">
        <v>4430265054</v>
      </c>
      <c r="E910" s="33">
        <v>564</v>
      </c>
      <c r="F910" s="33">
        <v>529</v>
      </c>
      <c r="G910" s="33" t="s">
        <v>38</v>
      </c>
      <c r="H910" s="33" t="s">
        <v>3924</v>
      </c>
      <c r="I910" s="33" t="s">
        <v>39</v>
      </c>
      <c r="J910" s="33" t="s">
        <v>40</v>
      </c>
      <c r="K910" s="33" t="s">
        <v>41</v>
      </c>
    </row>
    <row r="911" spans="1:12" hidden="1" x14ac:dyDescent="0.3">
      <c r="A911" s="39">
        <v>46073.445949074077</v>
      </c>
      <c r="B911" s="33">
        <v>4432322192</v>
      </c>
      <c r="C911" s="33" t="s">
        <v>37</v>
      </c>
      <c r="D911" s="33">
        <v>4430265054</v>
      </c>
      <c r="E911" s="33">
        <v>1026</v>
      </c>
      <c r="F911" s="33">
        <v>962</v>
      </c>
      <c r="G911" s="33" t="s">
        <v>38</v>
      </c>
      <c r="H911" s="33" t="s">
        <v>3925</v>
      </c>
      <c r="I911" s="33" t="s">
        <v>39</v>
      </c>
      <c r="J911" s="33" t="s">
        <v>40</v>
      </c>
      <c r="K911" s="33" t="s">
        <v>41</v>
      </c>
    </row>
    <row r="912" spans="1:12" hidden="1" x14ac:dyDescent="0.3">
      <c r="A912" s="39">
        <v>46073.44358796296</v>
      </c>
      <c r="B912" s="33">
        <v>4432322192</v>
      </c>
      <c r="C912" s="33">
        <v>4430265054</v>
      </c>
      <c r="D912" s="33">
        <v>4430265054</v>
      </c>
      <c r="E912" s="33">
        <v>11</v>
      </c>
      <c r="F912" s="33">
        <v>11</v>
      </c>
      <c r="G912" s="33" t="s">
        <v>3449</v>
      </c>
      <c r="H912" s="33" t="s">
        <v>5524</v>
      </c>
      <c r="I912" s="33" t="s">
        <v>39</v>
      </c>
      <c r="J912" s="33" t="s">
        <v>3451</v>
      </c>
    </row>
    <row r="913" spans="1:12" hidden="1" x14ac:dyDescent="0.3">
      <c r="A913" s="39">
        <v>46073.442511574074</v>
      </c>
      <c r="B913" s="33">
        <v>4432322192</v>
      </c>
      <c r="C913" s="33">
        <v>4430265054</v>
      </c>
      <c r="D913" s="33">
        <v>4430265054</v>
      </c>
      <c r="E913" s="33">
        <v>13</v>
      </c>
      <c r="F913" s="33">
        <v>13</v>
      </c>
      <c r="G913" s="33" t="s">
        <v>3449</v>
      </c>
      <c r="H913" s="33" t="s">
        <v>5525</v>
      </c>
      <c r="I913" s="33" t="s">
        <v>39</v>
      </c>
      <c r="J913" s="33" t="s">
        <v>3451</v>
      </c>
    </row>
    <row r="914" spans="1:12" hidden="1" x14ac:dyDescent="0.3">
      <c r="A914" s="39">
        <v>46073.440370370372</v>
      </c>
      <c r="B914" s="33">
        <v>42998221810</v>
      </c>
      <c r="C914" s="33" t="s">
        <v>43</v>
      </c>
      <c r="D914" s="33">
        <v>4430265054</v>
      </c>
      <c r="E914" s="33">
        <v>161</v>
      </c>
      <c r="F914" s="33">
        <v>119</v>
      </c>
      <c r="G914" s="33" t="s">
        <v>38</v>
      </c>
      <c r="H914" s="33" t="s">
        <v>3926</v>
      </c>
      <c r="I914" s="33" t="s">
        <v>39</v>
      </c>
      <c r="J914" s="33" t="s">
        <v>40</v>
      </c>
      <c r="K914" s="33" t="s">
        <v>41</v>
      </c>
    </row>
    <row r="915" spans="1:12" hidden="1" x14ac:dyDescent="0.3">
      <c r="A915" s="39">
        <v>46073.438402777778</v>
      </c>
      <c r="B915" s="33">
        <v>4334232912</v>
      </c>
      <c r="C915" s="33" t="s">
        <v>45</v>
      </c>
      <c r="D915" s="33">
        <v>4430265054</v>
      </c>
      <c r="E915" s="33">
        <v>1990</v>
      </c>
      <c r="F915" s="33">
        <v>1950</v>
      </c>
      <c r="G915" s="33" t="s">
        <v>38</v>
      </c>
      <c r="H915" s="33" t="s">
        <v>3927</v>
      </c>
      <c r="I915" s="33" t="s">
        <v>39</v>
      </c>
      <c r="J915" s="33" t="s">
        <v>40</v>
      </c>
      <c r="K915" s="33" t="s">
        <v>41</v>
      </c>
      <c r="L915" s="33">
        <v>5</v>
      </c>
    </row>
    <row r="916" spans="1:12" hidden="1" x14ac:dyDescent="0.3">
      <c r="A916" s="39">
        <v>46073.43513888889</v>
      </c>
      <c r="B916" s="33">
        <v>44997426611</v>
      </c>
      <c r="C916" s="33" t="s">
        <v>42</v>
      </c>
      <c r="D916" s="33">
        <v>4430265054</v>
      </c>
      <c r="E916" s="33">
        <v>254</v>
      </c>
      <c r="F916" s="33">
        <v>230</v>
      </c>
      <c r="G916" s="33" t="s">
        <v>38</v>
      </c>
      <c r="H916" s="33" t="s">
        <v>3928</v>
      </c>
      <c r="I916" s="33" t="s">
        <v>39</v>
      </c>
      <c r="J916" s="33" t="s">
        <v>40</v>
      </c>
      <c r="K916" s="33" t="s">
        <v>41</v>
      </c>
    </row>
    <row r="917" spans="1:12" hidden="1" x14ac:dyDescent="0.3">
      <c r="A917" s="39">
        <v>46073.432881944442</v>
      </c>
      <c r="B917" s="33">
        <v>44984140993</v>
      </c>
      <c r="C917" s="33" t="s">
        <v>43</v>
      </c>
      <c r="D917" s="33">
        <v>4430265054</v>
      </c>
      <c r="E917" s="33">
        <v>330</v>
      </c>
      <c r="F917" s="33">
        <v>293</v>
      </c>
      <c r="G917" s="33" t="s">
        <v>38</v>
      </c>
      <c r="H917" s="33" t="s">
        <v>3929</v>
      </c>
      <c r="I917" s="33" t="s">
        <v>39</v>
      </c>
      <c r="J917" s="33" t="s">
        <v>40</v>
      </c>
      <c r="K917" s="33" t="s">
        <v>41</v>
      </c>
    </row>
    <row r="918" spans="1:12" hidden="1" x14ac:dyDescent="0.3">
      <c r="A918" s="39">
        <v>46073.427314814813</v>
      </c>
      <c r="B918" s="33" t="s">
        <v>43</v>
      </c>
      <c r="C918" s="33">
        <v>4430293755</v>
      </c>
      <c r="E918" s="33">
        <v>170</v>
      </c>
      <c r="F918" s="33">
        <v>160</v>
      </c>
      <c r="G918" s="33" t="s">
        <v>38</v>
      </c>
      <c r="H918" s="33" t="s">
        <v>5526</v>
      </c>
      <c r="I918" s="33" t="s">
        <v>46</v>
      </c>
      <c r="J918" s="33" t="s">
        <v>40</v>
      </c>
    </row>
    <row r="919" spans="1:12" hidden="1" x14ac:dyDescent="0.3">
      <c r="A919" s="39">
        <v>46073.427256944444</v>
      </c>
      <c r="B919" s="33" t="s">
        <v>43</v>
      </c>
      <c r="C919" s="33">
        <v>4430293755</v>
      </c>
      <c r="E919" s="33">
        <v>1</v>
      </c>
      <c r="F919" s="33">
        <v>0</v>
      </c>
      <c r="G919" s="33" t="s">
        <v>47</v>
      </c>
      <c r="H919" s="33" t="s">
        <v>5527</v>
      </c>
      <c r="I919" s="33" t="s">
        <v>46</v>
      </c>
      <c r="J919" s="33" t="s">
        <v>40</v>
      </c>
    </row>
    <row r="920" spans="1:12" hidden="1" x14ac:dyDescent="0.3">
      <c r="A920" s="39">
        <v>46073.427199074074</v>
      </c>
      <c r="B920" s="33" t="s">
        <v>43</v>
      </c>
      <c r="C920" s="33">
        <v>4430293755</v>
      </c>
      <c r="E920" s="33">
        <v>3</v>
      </c>
      <c r="F920" s="33">
        <v>0</v>
      </c>
      <c r="G920" s="33" t="s">
        <v>47</v>
      </c>
      <c r="H920" s="33" t="s">
        <v>5528</v>
      </c>
      <c r="I920" s="33" t="s">
        <v>46</v>
      </c>
      <c r="J920" s="33" t="s">
        <v>40</v>
      </c>
    </row>
    <row r="921" spans="1:12" hidden="1" x14ac:dyDescent="0.3">
      <c r="A921" s="39">
        <v>46073.425046296295</v>
      </c>
      <c r="B921" s="33">
        <v>1128897100</v>
      </c>
      <c r="C921" s="33" t="s">
        <v>5173</v>
      </c>
      <c r="D921" s="33">
        <v>4430265054</v>
      </c>
      <c r="E921" s="33">
        <v>217</v>
      </c>
      <c r="F921" s="33">
        <v>195</v>
      </c>
      <c r="G921" s="33" t="s">
        <v>38</v>
      </c>
      <c r="H921" s="33" t="s">
        <v>5529</v>
      </c>
      <c r="I921" s="33" t="s">
        <v>39</v>
      </c>
      <c r="J921" s="33" t="s">
        <v>3629</v>
      </c>
      <c r="K921" s="33" t="s">
        <v>50</v>
      </c>
    </row>
    <row r="922" spans="1:12" hidden="1" x14ac:dyDescent="0.3">
      <c r="A922" s="39">
        <v>46073.422361111108</v>
      </c>
      <c r="B922" s="33">
        <v>11964349202</v>
      </c>
      <c r="C922" s="33" t="s">
        <v>43</v>
      </c>
      <c r="D922" s="33">
        <v>4430265054</v>
      </c>
      <c r="E922" s="33">
        <v>192</v>
      </c>
      <c r="F922" s="33">
        <v>148</v>
      </c>
      <c r="G922" s="33" t="s">
        <v>38</v>
      </c>
      <c r="H922" s="33" t="s">
        <v>3930</v>
      </c>
      <c r="I922" s="33" t="s">
        <v>39</v>
      </c>
      <c r="J922" s="33" t="s">
        <v>40</v>
      </c>
      <c r="K922" s="33" t="s">
        <v>41</v>
      </c>
    </row>
    <row r="923" spans="1:12" hidden="1" x14ac:dyDescent="0.3">
      <c r="A923" s="39">
        <v>46073.421724537038</v>
      </c>
      <c r="B923" s="33" t="s">
        <v>42</v>
      </c>
      <c r="C923" s="33">
        <v>4430459001</v>
      </c>
      <c r="E923" s="33">
        <v>164</v>
      </c>
      <c r="F923" s="33">
        <v>149</v>
      </c>
      <c r="G923" s="33" t="s">
        <v>38</v>
      </c>
      <c r="H923" s="33" t="s">
        <v>5530</v>
      </c>
      <c r="I923" s="33" t="s">
        <v>46</v>
      </c>
      <c r="J923" s="33" t="s">
        <v>40</v>
      </c>
    </row>
    <row r="924" spans="1:12" hidden="1" x14ac:dyDescent="0.3">
      <c r="A924" s="39">
        <v>46073.420740740738</v>
      </c>
      <c r="B924" s="33">
        <v>44988255390</v>
      </c>
      <c r="C924" s="33" t="s">
        <v>37</v>
      </c>
      <c r="D924" s="33">
        <v>4430265054</v>
      </c>
      <c r="E924" s="33">
        <v>850</v>
      </c>
      <c r="F924" s="33">
        <v>713</v>
      </c>
      <c r="G924" s="33" t="s">
        <v>38</v>
      </c>
      <c r="H924" s="33" t="s">
        <v>3931</v>
      </c>
      <c r="I924" s="33" t="s">
        <v>39</v>
      </c>
      <c r="J924" s="33" t="s">
        <v>40</v>
      </c>
      <c r="K924" s="33" t="s">
        <v>41</v>
      </c>
    </row>
    <row r="925" spans="1:12" hidden="1" x14ac:dyDescent="0.3">
      <c r="A925" s="39">
        <v>46073.413472222222</v>
      </c>
      <c r="B925" s="33">
        <v>44991388221</v>
      </c>
      <c r="C925" s="33" t="s">
        <v>37</v>
      </c>
      <c r="D925" s="33">
        <v>4430265054</v>
      </c>
      <c r="E925" s="33">
        <v>517</v>
      </c>
      <c r="F925" s="33">
        <v>490</v>
      </c>
      <c r="G925" s="33" t="s">
        <v>38</v>
      </c>
      <c r="H925" s="33" t="s">
        <v>3932</v>
      </c>
      <c r="I925" s="33" t="s">
        <v>39</v>
      </c>
      <c r="J925" s="33" t="s">
        <v>40</v>
      </c>
      <c r="K925" s="33" t="s">
        <v>41</v>
      </c>
      <c r="L925" s="33">
        <v>5</v>
      </c>
    </row>
    <row r="926" spans="1:12" hidden="1" x14ac:dyDescent="0.3">
      <c r="A926" s="39">
        <v>46073.40215277778</v>
      </c>
      <c r="B926" s="33" t="s">
        <v>43</v>
      </c>
      <c r="C926" s="33">
        <v>4436351414</v>
      </c>
      <c r="E926" s="33">
        <v>25</v>
      </c>
      <c r="F926" s="33">
        <v>16</v>
      </c>
      <c r="G926" s="33" t="s">
        <v>38</v>
      </c>
      <c r="H926" s="33" t="s">
        <v>5531</v>
      </c>
      <c r="I926" s="33" t="s">
        <v>46</v>
      </c>
      <c r="J926" s="33" t="s">
        <v>40</v>
      </c>
    </row>
    <row r="927" spans="1:12" hidden="1" x14ac:dyDescent="0.3">
      <c r="A927" s="39">
        <v>46073.402083333334</v>
      </c>
      <c r="B927" s="33" t="s">
        <v>43</v>
      </c>
      <c r="C927" s="33">
        <v>4436351414</v>
      </c>
      <c r="E927" s="33">
        <v>5</v>
      </c>
      <c r="F927" s="33">
        <v>0</v>
      </c>
      <c r="G927" s="33" t="s">
        <v>47</v>
      </c>
      <c r="H927" s="33" t="s">
        <v>5532</v>
      </c>
      <c r="I927" s="33" t="s">
        <v>46</v>
      </c>
      <c r="J927" s="33" t="s">
        <v>40</v>
      </c>
    </row>
    <row r="928" spans="1:12" hidden="1" x14ac:dyDescent="0.3">
      <c r="A928" s="39">
        <v>46073.400925925926</v>
      </c>
      <c r="B928" s="33">
        <v>4430459032</v>
      </c>
      <c r="C928" s="33" t="s">
        <v>42</v>
      </c>
      <c r="D928" s="33">
        <v>4430265054</v>
      </c>
      <c r="E928" s="33">
        <v>859</v>
      </c>
      <c r="F928" s="33">
        <v>845</v>
      </c>
      <c r="G928" s="33" t="s">
        <v>38</v>
      </c>
      <c r="H928" s="33" t="s">
        <v>3933</v>
      </c>
      <c r="I928" s="33" t="s">
        <v>39</v>
      </c>
      <c r="J928" s="33" t="s">
        <v>40</v>
      </c>
      <c r="K928" s="33" t="s">
        <v>41</v>
      </c>
      <c r="L928" s="33">
        <v>5</v>
      </c>
    </row>
    <row r="929" spans="1:12" hidden="1" x14ac:dyDescent="0.3">
      <c r="A929" s="39">
        <v>46073.400405092594</v>
      </c>
      <c r="B929" s="33">
        <v>43991762957</v>
      </c>
      <c r="C929" s="33" t="s">
        <v>37</v>
      </c>
      <c r="D929" s="33">
        <v>4430265054</v>
      </c>
      <c r="E929" s="33">
        <v>334</v>
      </c>
      <c r="F929" s="33">
        <v>311</v>
      </c>
      <c r="G929" s="33" t="s">
        <v>38</v>
      </c>
      <c r="H929" s="33" t="s">
        <v>3934</v>
      </c>
      <c r="I929" s="33" t="s">
        <v>39</v>
      </c>
      <c r="J929" s="33" t="s">
        <v>40</v>
      </c>
      <c r="K929" s="33" t="s">
        <v>41</v>
      </c>
    </row>
    <row r="930" spans="1:12" hidden="1" x14ac:dyDescent="0.3">
      <c r="A930" s="39">
        <v>46073.3984375</v>
      </c>
      <c r="B930" s="33">
        <v>4430459032</v>
      </c>
      <c r="C930" s="33">
        <v>4430265054</v>
      </c>
      <c r="D930" s="33">
        <v>4430265054</v>
      </c>
      <c r="E930" s="33">
        <v>39</v>
      </c>
      <c r="F930" s="33">
        <v>38</v>
      </c>
      <c r="G930" s="33" t="s">
        <v>3449</v>
      </c>
      <c r="H930" s="33" t="s">
        <v>3935</v>
      </c>
      <c r="I930" s="33" t="s">
        <v>39</v>
      </c>
      <c r="J930" s="33" t="s">
        <v>3451</v>
      </c>
      <c r="K930" s="33" t="s">
        <v>41</v>
      </c>
    </row>
    <row r="931" spans="1:12" hidden="1" x14ac:dyDescent="0.3">
      <c r="A931" s="39">
        <v>46073.398379629631</v>
      </c>
      <c r="B931" s="33" t="s">
        <v>3627</v>
      </c>
      <c r="C931" s="33">
        <v>31993151774</v>
      </c>
      <c r="E931" s="33">
        <v>28</v>
      </c>
      <c r="F931" s="33">
        <v>19</v>
      </c>
      <c r="G931" s="33" t="s">
        <v>38</v>
      </c>
      <c r="H931" s="33" t="s">
        <v>5533</v>
      </c>
      <c r="I931" s="33" t="s">
        <v>46</v>
      </c>
      <c r="J931" s="33" t="s">
        <v>3629</v>
      </c>
    </row>
    <row r="932" spans="1:12" hidden="1" x14ac:dyDescent="0.3">
      <c r="A932" s="39">
        <v>46073.393784722219</v>
      </c>
      <c r="B932" s="33" t="s">
        <v>48</v>
      </c>
      <c r="C932" s="33">
        <v>4532541802</v>
      </c>
      <c r="E932" s="33">
        <v>1179</v>
      </c>
      <c r="F932" s="33">
        <v>1178</v>
      </c>
      <c r="G932" s="33" t="s">
        <v>38</v>
      </c>
      <c r="H932" s="33" t="s">
        <v>5534</v>
      </c>
      <c r="I932" s="33" t="s">
        <v>46</v>
      </c>
      <c r="J932" s="33" t="s">
        <v>40</v>
      </c>
    </row>
    <row r="933" spans="1:12" hidden="1" x14ac:dyDescent="0.3">
      <c r="A933" s="39">
        <v>46073.393472222226</v>
      </c>
      <c r="B933" s="33">
        <v>44984241715</v>
      </c>
      <c r="C933" s="33" t="s">
        <v>37</v>
      </c>
      <c r="D933" s="33">
        <v>4430265054</v>
      </c>
      <c r="E933" s="33">
        <v>135</v>
      </c>
      <c r="F933" s="33">
        <v>111</v>
      </c>
      <c r="G933" s="33" t="s">
        <v>38</v>
      </c>
      <c r="H933" s="33" t="s">
        <v>3936</v>
      </c>
      <c r="I933" s="33" t="s">
        <v>39</v>
      </c>
      <c r="J933" s="33" t="s">
        <v>40</v>
      </c>
      <c r="K933" s="33" t="s">
        <v>41</v>
      </c>
    </row>
    <row r="934" spans="1:12" hidden="1" x14ac:dyDescent="0.3">
      <c r="A934" s="39">
        <v>46073.391851851855</v>
      </c>
      <c r="B934" s="33">
        <v>44999430528</v>
      </c>
      <c r="C934" s="33" t="s">
        <v>45</v>
      </c>
      <c r="D934" s="33">
        <v>4430265054</v>
      </c>
      <c r="E934" s="33">
        <v>938</v>
      </c>
      <c r="F934" s="33">
        <v>895</v>
      </c>
      <c r="G934" s="33" t="s">
        <v>38</v>
      </c>
      <c r="H934" s="33" t="s">
        <v>3937</v>
      </c>
      <c r="I934" s="33" t="s">
        <v>39</v>
      </c>
      <c r="J934" s="33" t="s">
        <v>40</v>
      </c>
      <c r="K934" s="33" t="s">
        <v>41</v>
      </c>
      <c r="L934" s="33">
        <v>5</v>
      </c>
    </row>
    <row r="935" spans="1:12" hidden="1" x14ac:dyDescent="0.3">
      <c r="A935" s="39">
        <v>46073.390115740738</v>
      </c>
      <c r="B935" s="33">
        <v>43988030048</v>
      </c>
      <c r="C935" s="33">
        <v>4430265054</v>
      </c>
      <c r="D935" s="33">
        <v>4430265054</v>
      </c>
      <c r="E935" s="33">
        <v>55</v>
      </c>
      <c r="F935" s="33">
        <v>54</v>
      </c>
      <c r="G935" s="33" t="s">
        <v>3449</v>
      </c>
      <c r="H935" s="33" t="s">
        <v>3938</v>
      </c>
      <c r="I935" s="33" t="s">
        <v>39</v>
      </c>
      <c r="J935" s="33" t="s">
        <v>3451</v>
      </c>
      <c r="K935" s="33" t="s">
        <v>41</v>
      </c>
    </row>
    <row r="936" spans="1:12" hidden="1" x14ac:dyDescent="0.3">
      <c r="A936" s="39">
        <v>46073.38753472222</v>
      </c>
      <c r="B936" s="33">
        <v>43988030048</v>
      </c>
      <c r="C936" s="33" t="s">
        <v>45</v>
      </c>
      <c r="D936" s="33">
        <v>4430265054</v>
      </c>
      <c r="E936" s="33">
        <v>100</v>
      </c>
      <c r="F936" s="33">
        <v>8</v>
      </c>
      <c r="G936" s="33" t="s">
        <v>38</v>
      </c>
      <c r="H936" s="33" t="s">
        <v>3939</v>
      </c>
      <c r="I936" s="33" t="s">
        <v>39</v>
      </c>
      <c r="J936" s="33" t="s">
        <v>40</v>
      </c>
      <c r="K936" s="33" t="s">
        <v>41</v>
      </c>
    </row>
    <row r="937" spans="1:12" hidden="1" x14ac:dyDescent="0.3">
      <c r="A937" s="39">
        <v>46073.38486111111</v>
      </c>
      <c r="B937" s="33">
        <v>4430450103</v>
      </c>
      <c r="C937" s="33" t="s">
        <v>43</v>
      </c>
      <c r="D937" s="33">
        <v>4430265054</v>
      </c>
      <c r="E937" s="33">
        <v>262</v>
      </c>
      <c r="F937" s="33">
        <v>203</v>
      </c>
      <c r="G937" s="33" t="s">
        <v>38</v>
      </c>
      <c r="H937" s="33" t="s">
        <v>3940</v>
      </c>
      <c r="I937" s="33" t="s">
        <v>39</v>
      </c>
      <c r="J937" s="33" t="s">
        <v>40</v>
      </c>
      <c r="K937" s="33" t="s">
        <v>41</v>
      </c>
      <c r="L937" s="33">
        <v>5</v>
      </c>
    </row>
    <row r="938" spans="1:12" hidden="1" x14ac:dyDescent="0.3">
      <c r="A938" s="39">
        <v>46073.376539351855</v>
      </c>
      <c r="B938" s="33" t="s">
        <v>43</v>
      </c>
      <c r="C938" s="33">
        <v>4436351414</v>
      </c>
      <c r="E938" s="33">
        <v>26</v>
      </c>
      <c r="F938" s="33">
        <v>16</v>
      </c>
      <c r="G938" s="33" t="s">
        <v>38</v>
      </c>
      <c r="H938" s="33" t="s">
        <v>5535</v>
      </c>
      <c r="I938" s="33" t="s">
        <v>46</v>
      </c>
      <c r="J938" s="33" t="s">
        <v>40</v>
      </c>
    </row>
    <row r="939" spans="1:12" hidden="1" x14ac:dyDescent="0.3">
      <c r="A939" s="39">
        <v>46073.376493055555</v>
      </c>
      <c r="B939" s="33" t="s">
        <v>43</v>
      </c>
      <c r="C939" s="33">
        <v>4436351414</v>
      </c>
      <c r="E939" s="33">
        <v>2</v>
      </c>
      <c r="F939" s="33">
        <v>0</v>
      </c>
      <c r="G939" s="33" t="s">
        <v>47</v>
      </c>
      <c r="H939" s="33" t="s">
        <v>5536</v>
      </c>
      <c r="I939" s="33" t="s">
        <v>46</v>
      </c>
      <c r="J939" s="33" t="s">
        <v>40</v>
      </c>
    </row>
    <row r="940" spans="1:12" hidden="1" x14ac:dyDescent="0.3">
      <c r="A940" s="39">
        <v>46073.376423611109</v>
      </c>
      <c r="B940" s="33" t="s">
        <v>43</v>
      </c>
      <c r="C940" s="33">
        <v>4436351414</v>
      </c>
      <c r="E940" s="33">
        <v>5</v>
      </c>
      <c r="F940" s="33">
        <v>0</v>
      </c>
      <c r="G940" s="33" t="s">
        <v>47</v>
      </c>
      <c r="H940" s="33" t="s">
        <v>5537</v>
      </c>
      <c r="I940" s="33" t="s">
        <v>46</v>
      </c>
      <c r="J940" s="33" t="s">
        <v>40</v>
      </c>
    </row>
    <row r="941" spans="1:12" hidden="1" x14ac:dyDescent="0.3">
      <c r="A941" s="39">
        <v>46073.374467592592</v>
      </c>
      <c r="B941" s="33" t="s">
        <v>44</v>
      </c>
      <c r="C941" s="33">
        <v>4532541802</v>
      </c>
      <c r="E941" s="33">
        <v>305</v>
      </c>
      <c r="F941" s="33">
        <v>305</v>
      </c>
      <c r="G941" s="33" t="s">
        <v>38</v>
      </c>
      <c r="H941" s="33" t="s">
        <v>5538</v>
      </c>
      <c r="I941" s="33" t="s">
        <v>46</v>
      </c>
      <c r="J941" s="33" t="s">
        <v>40</v>
      </c>
      <c r="L941" s="33">
        <v>5</v>
      </c>
    </row>
    <row r="942" spans="1:12" hidden="1" x14ac:dyDescent="0.3">
      <c r="A942" s="39">
        <v>46073.371238425927</v>
      </c>
      <c r="B942" s="33" t="s">
        <v>43</v>
      </c>
      <c r="C942" s="33">
        <v>4532541802</v>
      </c>
      <c r="E942" s="33">
        <v>60</v>
      </c>
      <c r="F942" s="33">
        <v>59</v>
      </c>
      <c r="G942" s="33" t="s">
        <v>38</v>
      </c>
      <c r="H942" s="33" t="s">
        <v>5539</v>
      </c>
      <c r="I942" s="33" t="s">
        <v>46</v>
      </c>
      <c r="J942" s="33" t="s">
        <v>40</v>
      </c>
    </row>
    <row r="943" spans="1:12" hidden="1" x14ac:dyDescent="0.3">
      <c r="A943" s="39">
        <v>46073.371203703704</v>
      </c>
      <c r="B943" s="33">
        <v>4431337559</v>
      </c>
      <c r="C943" s="33">
        <v>4430265054</v>
      </c>
      <c r="D943" s="33">
        <v>4430265054</v>
      </c>
      <c r="E943" s="33">
        <v>14</v>
      </c>
      <c r="F943" s="33">
        <v>13</v>
      </c>
      <c r="G943" s="33" t="s">
        <v>3449</v>
      </c>
      <c r="H943" s="33" t="s">
        <v>3941</v>
      </c>
      <c r="I943" s="33" t="s">
        <v>39</v>
      </c>
      <c r="J943" s="33" t="s">
        <v>3451</v>
      </c>
      <c r="K943" s="33" t="s">
        <v>41</v>
      </c>
    </row>
    <row r="944" spans="1:12" hidden="1" x14ac:dyDescent="0.3">
      <c r="A944" s="39">
        <v>46073.370173611111</v>
      </c>
      <c r="B944" s="33">
        <v>43999965552</v>
      </c>
      <c r="C944" s="33" t="s">
        <v>45</v>
      </c>
      <c r="D944" s="33">
        <v>4431268225</v>
      </c>
      <c r="E944" s="33">
        <v>512</v>
      </c>
      <c r="F944" s="33">
        <v>488</v>
      </c>
      <c r="G944" s="33" t="s">
        <v>38</v>
      </c>
      <c r="H944" s="33" t="s">
        <v>3942</v>
      </c>
      <c r="I944" s="33" t="s">
        <v>39</v>
      </c>
      <c r="J944" s="33" t="s">
        <v>40</v>
      </c>
      <c r="K944" s="33" t="s">
        <v>41</v>
      </c>
    </row>
    <row r="945" spans="1:12" hidden="1" x14ac:dyDescent="0.3">
      <c r="A945" s="39">
        <v>46073.369699074072</v>
      </c>
      <c r="B945" s="33" t="s">
        <v>3627</v>
      </c>
      <c r="C945" s="33">
        <v>11976856165</v>
      </c>
      <c r="E945" s="33">
        <v>47</v>
      </c>
      <c r="F945" s="33">
        <v>0</v>
      </c>
      <c r="G945" s="33" t="s">
        <v>47</v>
      </c>
      <c r="H945" s="33" t="s">
        <v>5540</v>
      </c>
      <c r="I945" s="33" t="s">
        <v>46</v>
      </c>
      <c r="J945" s="33" t="s">
        <v>3629</v>
      </c>
    </row>
    <row r="946" spans="1:12" hidden="1" x14ac:dyDescent="0.3">
      <c r="A946" s="39">
        <v>46073.367928240739</v>
      </c>
      <c r="B946" s="33" t="s">
        <v>45</v>
      </c>
      <c r="C946" s="33">
        <v>43999965552</v>
      </c>
      <c r="E946" s="33">
        <v>36</v>
      </c>
      <c r="F946" s="33">
        <v>30</v>
      </c>
      <c r="G946" s="33" t="s">
        <v>38</v>
      </c>
      <c r="H946" s="33" t="s">
        <v>5541</v>
      </c>
      <c r="I946" s="33" t="s">
        <v>46</v>
      </c>
      <c r="J946" s="33" t="s">
        <v>40</v>
      </c>
    </row>
    <row r="947" spans="1:12" hidden="1" x14ac:dyDescent="0.3">
      <c r="A947" s="39">
        <v>46073.36791666667</v>
      </c>
      <c r="B947" s="33" t="s">
        <v>43</v>
      </c>
      <c r="C947" s="33">
        <v>4331622700</v>
      </c>
      <c r="E947" s="33">
        <v>67</v>
      </c>
      <c r="F947" s="33">
        <v>64</v>
      </c>
      <c r="G947" s="33" t="s">
        <v>38</v>
      </c>
      <c r="H947" s="33" t="s">
        <v>5542</v>
      </c>
      <c r="I947" s="33" t="s">
        <v>46</v>
      </c>
      <c r="J947" s="33" t="s">
        <v>40</v>
      </c>
    </row>
    <row r="948" spans="1:12" hidden="1" x14ac:dyDescent="0.3">
      <c r="A948" s="39">
        <v>46073.367800925924</v>
      </c>
      <c r="B948" s="33" t="s">
        <v>45</v>
      </c>
      <c r="C948" s="33">
        <v>43999965552</v>
      </c>
      <c r="E948" s="33">
        <v>36</v>
      </c>
      <c r="F948" s="33">
        <v>28</v>
      </c>
      <c r="G948" s="33" t="s">
        <v>38</v>
      </c>
      <c r="H948" s="33" t="s">
        <v>5543</v>
      </c>
      <c r="I948" s="33" t="s">
        <v>46</v>
      </c>
      <c r="J948" s="33" t="s">
        <v>40</v>
      </c>
    </row>
    <row r="949" spans="1:12" hidden="1" x14ac:dyDescent="0.3">
      <c r="A949" s="39">
        <v>46073.367071759261</v>
      </c>
      <c r="B949" s="33" t="s">
        <v>43</v>
      </c>
      <c r="C949" s="33">
        <v>4430293755</v>
      </c>
      <c r="E949" s="33">
        <v>44</v>
      </c>
      <c r="F949" s="33">
        <v>22</v>
      </c>
      <c r="G949" s="33" t="s">
        <v>38</v>
      </c>
      <c r="H949" s="33" t="s">
        <v>5544</v>
      </c>
      <c r="I949" s="33" t="s">
        <v>46</v>
      </c>
      <c r="J949" s="33" t="s">
        <v>40</v>
      </c>
    </row>
    <row r="950" spans="1:12" hidden="1" x14ac:dyDescent="0.3">
      <c r="A950" s="39">
        <v>46073.366979166669</v>
      </c>
      <c r="B950" s="33" t="s">
        <v>43</v>
      </c>
      <c r="C950" s="33">
        <v>4430293755</v>
      </c>
      <c r="E950" s="33">
        <v>6</v>
      </c>
      <c r="F950" s="33">
        <v>0</v>
      </c>
      <c r="G950" s="33" t="s">
        <v>47</v>
      </c>
      <c r="H950" s="33" t="s">
        <v>5545</v>
      </c>
      <c r="I950" s="33" t="s">
        <v>46</v>
      </c>
      <c r="J950" s="33" t="s">
        <v>40</v>
      </c>
    </row>
    <row r="951" spans="1:12" hidden="1" x14ac:dyDescent="0.3">
      <c r="A951" s="39">
        <v>46073.363958333335</v>
      </c>
      <c r="B951" s="33" t="s">
        <v>45</v>
      </c>
      <c r="C951" s="33">
        <v>43999965552</v>
      </c>
      <c r="E951" s="33">
        <v>172</v>
      </c>
      <c r="F951" s="33">
        <v>161</v>
      </c>
      <c r="G951" s="33" t="s">
        <v>38</v>
      </c>
      <c r="H951" s="33" t="s">
        <v>5546</v>
      </c>
      <c r="I951" s="33" t="s">
        <v>46</v>
      </c>
      <c r="J951" s="33" t="s">
        <v>40</v>
      </c>
    </row>
    <row r="952" spans="1:12" hidden="1" x14ac:dyDescent="0.3">
      <c r="A952" s="39">
        <v>46073.36346064815</v>
      </c>
      <c r="B952" s="33">
        <v>4133491428</v>
      </c>
      <c r="C952" s="33" t="s">
        <v>37</v>
      </c>
      <c r="D952" s="33">
        <v>4430265054</v>
      </c>
      <c r="E952" s="33">
        <v>183</v>
      </c>
      <c r="F952" s="33">
        <v>146</v>
      </c>
      <c r="G952" s="33" t="s">
        <v>38</v>
      </c>
      <c r="H952" s="33" t="s">
        <v>3943</v>
      </c>
      <c r="I952" s="33" t="s">
        <v>39</v>
      </c>
      <c r="J952" s="33" t="s">
        <v>40</v>
      </c>
      <c r="K952" s="33" t="s">
        <v>41</v>
      </c>
    </row>
    <row r="953" spans="1:12" hidden="1" x14ac:dyDescent="0.3">
      <c r="A953" s="39">
        <v>46073.362928240742</v>
      </c>
      <c r="B953" s="33">
        <v>43999965552</v>
      </c>
      <c r="C953" s="33" t="s">
        <v>45</v>
      </c>
      <c r="D953" s="33">
        <v>4430265054</v>
      </c>
      <c r="E953" s="33">
        <v>99</v>
      </c>
      <c r="F953" s="33">
        <v>43</v>
      </c>
      <c r="G953" s="33" t="s">
        <v>38</v>
      </c>
      <c r="H953" s="33" t="s">
        <v>3944</v>
      </c>
      <c r="I953" s="33" t="s">
        <v>39</v>
      </c>
      <c r="J953" s="33" t="s">
        <v>40</v>
      </c>
      <c r="K953" s="33" t="s">
        <v>41</v>
      </c>
    </row>
    <row r="954" spans="1:12" hidden="1" x14ac:dyDescent="0.3">
      <c r="A954" s="39">
        <v>46073.358182870368</v>
      </c>
      <c r="B954" s="33">
        <v>4430141092</v>
      </c>
      <c r="C954" s="33" t="s">
        <v>45</v>
      </c>
      <c r="D954" s="33">
        <v>4430265054</v>
      </c>
      <c r="E954" s="33">
        <v>481</v>
      </c>
      <c r="F954" s="33">
        <v>387</v>
      </c>
      <c r="G954" s="33" t="s">
        <v>38</v>
      </c>
      <c r="H954" s="33" t="s">
        <v>3945</v>
      </c>
      <c r="I954" s="33" t="s">
        <v>39</v>
      </c>
      <c r="J954" s="33" t="s">
        <v>40</v>
      </c>
      <c r="K954" s="33" t="s">
        <v>41</v>
      </c>
      <c r="L954" s="33">
        <v>5</v>
      </c>
    </row>
    <row r="955" spans="1:12" hidden="1" x14ac:dyDescent="0.3">
      <c r="A955" s="39">
        <v>46073.356516203705</v>
      </c>
      <c r="B955" s="33">
        <v>81983567163</v>
      </c>
      <c r="C955" s="33" t="s">
        <v>43</v>
      </c>
      <c r="D955" s="33">
        <v>4431268225</v>
      </c>
      <c r="E955" s="33">
        <v>812</v>
      </c>
      <c r="F955" s="33">
        <v>805</v>
      </c>
      <c r="G955" s="33" t="s">
        <v>38</v>
      </c>
      <c r="H955" s="33" t="s">
        <v>3946</v>
      </c>
      <c r="I955" s="33" t="s">
        <v>39</v>
      </c>
      <c r="J955" s="33" t="s">
        <v>40</v>
      </c>
      <c r="K955" s="33" t="s">
        <v>41</v>
      </c>
      <c r="L955" s="33">
        <v>5</v>
      </c>
    </row>
    <row r="956" spans="1:12" hidden="1" x14ac:dyDescent="0.3">
      <c r="A956" s="39">
        <v>46073.355555555558</v>
      </c>
      <c r="B956" s="33" t="s">
        <v>42</v>
      </c>
      <c r="C956" s="33">
        <v>44997400641</v>
      </c>
      <c r="E956" s="33">
        <v>878</v>
      </c>
      <c r="F956" s="33">
        <v>864</v>
      </c>
      <c r="G956" s="33" t="s">
        <v>38</v>
      </c>
      <c r="H956" s="33" t="s">
        <v>5547</v>
      </c>
      <c r="I956" s="33" t="s">
        <v>46</v>
      </c>
      <c r="J956" s="33" t="s">
        <v>40</v>
      </c>
    </row>
    <row r="957" spans="1:12" hidden="1" x14ac:dyDescent="0.3">
      <c r="A957" s="39">
        <v>46073.355462962965</v>
      </c>
      <c r="B957" s="33">
        <v>4436351818</v>
      </c>
      <c r="C957" s="33" t="s">
        <v>44</v>
      </c>
      <c r="D957" s="33">
        <v>4430265054</v>
      </c>
      <c r="E957" s="33">
        <v>482</v>
      </c>
      <c r="F957" s="33">
        <v>437</v>
      </c>
      <c r="G957" s="33" t="s">
        <v>38</v>
      </c>
      <c r="H957" s="33" t="s">
        <v>3947</v>
      </c>
      <c r="I957" s="33" t="s">
        <v>39</v>
      </c>
      <c r="J957" s="33" t="s">
        <v>40</v>
      </c>
      <c r="K957" s="33" t="s">
        <v>41</v>
      </c>
    </row>
    <row r="958" spans="1:12" hidden="1" x14ac:dyDescent="0.3">
      <c r="A958" s="39">
        <v>46073.354641203703</v>
      </c>
      <c r="B958" s="33">
        <v>1732146970</v>
      </c>
      <c r="C958" s="33" t="s">
        <v>37</v>
      </c>
      <c r="D958" s="33">
        <v>4431268225</v>
      </c>
      <c r="E958" s="33">
        <v>421</v>
      </c>
      <c r="F958" s="33">
        <v>338</v>
      </c>
      <c r="G958" s="33" t="s">
        <v>38</v>
      </c>
      <c r="H958" s="33" t="s">
        <v>3948</v>
      </c>
      <c r="I958" s="33" t="s">
        <v>39</v>
      </c>
      <c r="J958" s="33" t="s">
        <v>40</v>
      </c>
      <c r="K958" s="33" t="s">
        <v>41</v>
      </c>
      <c r="L958" s="33">
        <v>5</v>
      </c>
    </row>
    <row r="959" spans="1:12" hidden="1" x14ac:dyDescent="0.3">
      <c r="A959" s="39">
        <v>46073.353368055556</v>
      </c>
      <c r="B959" s="33">
        <v>1732146970</v>
      </c>
      <c r="C959" s="33">
        <v>4431268225</v>
      </c>
      <c r="D959" s="33">
        <v>4431268225</v>
      </c>
      <c r="E959" s="33">
        <v>29</v>
      </c>
      <c r="F959" s="33">
        <v>28</v>
      </c>
      <c r="G959" s="33" t="s">
        <v>3449</v>
      </c>
      <c r="H959" s="33" t="s">
        <v>5548</v>
      </c>
      <c r="I959" s="33" t="s">
        <v>39</v>
      </c>
      <c r="J959" s="33" t="s">
        <v>3451</v>
      </c>
    </row>
    <row r="960" spans="1:12" hidden="1" x14ac:dyDescent="0.3">
      <c r="A960" s="39">
        <v>46073.350335648145</v>
      </c>
      <c r="B960" s="33" t="s">
        <v>42</v>
      </c>
      <c r="C960" s="33">
        <v>4430285070</v>
      </c>
      <c r="E960" s="33">
        <v>194</v>
      </c>
      <c r="F960" s="33">
        <v>182</v>
      </c>
      <c r="G960" s="33" t="s">
        <v>38</v>
      </c>
      <c r="H960" s="33" t="s">
        <v>5549</v>
      </c>
      <c r="I960" s="33" t="s">
        <v>46</v>
      </c>
      <c r="J960" s="33" t="s">
        <v>40</v>
      </c>
      <c r="L960" s="33">
        <v>5</v>
      </c>
    </row>
    <row r="961" spans="1:12" hidden="1" x14ac:dyDescent="0.3">
      <c r="A961" s="39">
        <v>46073.350231481483</v>
      </c>
      <c r="B961" s="33" t="s">
        <v>42</v>
      </c>
      <c r="C961" s="33">
        <v>4430285070</v>
      </c>
      <c r="E961" s="33">
        <v>5</v>
      </c>
      <c r="F961" s="33">
        <v>0</v>
      </c>
      <c r="G961" s="33" t="s">
        <v>47</v>
      </c>
      <c r="H961" s="33" t="s">
        <v>5550</v>
      </c>
      <c r="I961" s="33" t="s">
        <v>46</v>
      </c>
      <c r="J961" s="33" t="s">
        <v>40</v>
      </c>
    </row>
    <row r="962" spans="1:12" hidden="1" x14ac:dyDescent="0.3">
      <c r="A962" s="39">
        <v>46073.346817129626</v>
      </c>
      <c r="B962" s="33">
        <v>81983567163</v>
      </c>
      <c r="C962" s="33">
        <v>4431268225</v>
      </c>
      <c r="D962" s="33">
        <v>4431268225</v>
      </c>
      <c r="E962" s="33">
        <v>9</v>
      </c>
      <c r="F962" s="33">
        <v>9</v>
      </c>
      <c r="G962" s="33" t="s">
        <v>3449</v>
      </c>
      <c r="H962" s="33" t="s">
        <v>5551</v>
      </c>
      <c r="I962" s="33" t="s">
        <v>39</v>
      </c>
      <c r="J962" s="33" t="s">
        <v>3451</v>
      </c>
    </row>
    <row r="963" spans="1:12" hidden="1" x14ac:dyDescent="0.3">
      <c r="A963" s="39">
        <v>46073.33792824074</v>
      </c>
      <c r="B963" s="33">
        <v>43999965552</v>
      </c>
      <c r="C963" s="33">
        <v>4430265054</v>
      </c>
      <c r="D963" s="33">
        <v>4430265054</v>
      </c>
      <c r="E963" s="33">
        <v>13</v>
      </c>
      <c r="F963" s="33">
        <v>12</v>
      </c>
      <c r="G963" s="33" t="s">
        <v>3449</v>
      </c>
      <c r="H963" s="33" t="s">
        <v>5552</v>
      </c>
      <c r="I963" s="33" t="s">
        <v>39</v>
      </c>
      <c r="J963" s="33" t="s">
        <v>3451</v>
      </c>
    </row>
    <row r="964" spans="1:12" x14ac:dyDescent="0.3">
      <c r="A964" s="39">
        <v>46072.745856481481</v>
      </c>
      <c r="B964" s="33">
        <v>45999334612</v>
      </c>
      <c r="C964" s="33" t="s">
        <v>44</v>
      </c>
      <c r="D964" s="33">
        <v>4430265054</v>
      </c>
      <c r="E964" s="33">
        <v>188</v>
      </c>
      <c r="F964" s="33">
        <v>129</v>
      </c>
      <c r="G964" s="33" t="s">
        <v>38</v>
      </c>
      <c r="H964" s="33" t="s">
        <v>3949</v>
      </c>
      <c r="I964" s="33" t="s">
        <v>39</v>
      </c>
      <c r="J964" s="33" t="s">
        <v>40</v>
      </c>
      <c r="K964" s="33" t="s">
        <v>41</v>
      </c>
      <c r="L964" s="33">
        <v>5</v>
      </c>
    </row>
    <row r="965" spans="1:12" hidden="1" x14ac:dyDescent="0.3">
      <c r="A965" s="39">
        <v>46072.744293981479</v>
      </c>
      <c r="B965" s="33">
        <v>4436351414</v>
      </c>
      <c r="C965" s="33" t="s">
        <v>43</v>
      </c>
      <c r="D965" s="33">
        <v>4430265054</v>
      </c>
      <c r="E965" s="33">
        <v>187</v>
      </c>
      <c r="F965" s="33">
        <v>67</v>
      </c>
      <c r="G965" s="33" t="s">
        <v>38</v>
      </c>
      <c r="H965" s="33" t="s">
        <v>3950</v>
      </c>
      <c r="I965" s="33" t="s">
        <v>39</v>
      </c>
      <c r="J965" s="33" t="s">
        <v>40</v>
      </c>
      <c r="K965" s="33" t="s">
        <v>41</v>
      </c>
    </row>
    <row r="966" spans="1:12" hidden="1" x14ac:dyDescent="0.3">
      <c r="A966" s="39">
        <v>46072.734814814816</v>
      </c>
      <c r="B966" s="33" t="s">
        <v>43</v>
      </c>
      <c r="C966" s="33">
        <v>4331622700</v>
      </c>
      <c r="E966" s="33">
        <v>40</v>
      </c>
      <c r="F966" s="33">
        <v>36</v>
      </c>
      <c r="G966" s="33" t="s">
        <v>38</v>
      </c>
      <c r="H966" s="33" t="s">
        <v>5553</v>
      </c>
      <c r="I966" s="33" t="s">
        <v>46</v>
      </c>
      <c r="J966" s="33" t="s">
        <v>40</v>
      </c>
    </row>
    <row r="967" spans="1:12" hidden="1" x14ac:dyDescent="0.3">
      <c r="A967" s="39">
        <v>46072.734039351853</v>
      </c>
      <c r="B967" s="33" t="s">
        <v>43</v>
      </c>
      <c r="C967" s="33">
        <v>4331622700</v>
      </c>
      <c r="E967" s="33">
        <v>68</v>
      </c>
      <c r="F967" s="33">
        <v>65</v>
      </c>
      <c r="G967" s="33" t="s">
        <v>38</v>
      </c>
      <c r="H967" s="33" t="s">
        <v>5554</v>
      </c>
      <c r="I967" s="33" t="s">
        <v>46</v>
      </c>
      <c r="J967" s="33" t="s">
        <v>40</v>
      </c>
    </row>
    <row r="968" spans="1:12" hidden="1" x14ac:dyDescent="0.3">
      <c r="A968" s="39">
        <v>46072.733726851853</v>
      </c>
      <c r="B968" s="33" t="s">
        <v>43</v>
      </c>
      <c r="C968" s="33">
        <v>4331622700</v>
      </c>
      <c r="E968" s="33">
        <v>1</v>
      </c>
      <c r="F968" s="33">
        <v>0</v>
      </c>
      <c r="G968" s="33" t="s">
        <v>47</v>
      </c>
      <c r="H968" s="33" t="s">
        <v>5555</v>
      </c>
      <c r="I968" s="33" t="s">
        <v>46</v>
      </c>
      <c r="J968" s="33" t="s">
        <v>40</v>
      </c>
    </row>
    <row r="969" spans="1:12" hidden="1" x14ac:dyDescent="0.3">
      <c r="A969" s="39">
        <v>46072.732870370368</v>
      </c>
      <c r="B969" s="33">
        <v>44999646909</v>
      </c>
      <c r="C969" s="33" t="s">
        <v>37</v>
      </c>
      <c r="D969" s="33">
        <v>4430265054</v>
      </c>
      <c r="E969" s="33">
        <v>446</v>
      </c>
      <c r="F969" s="33">
        <v>375</v>
      </c>
      <c r="G969" s="33" t="s">
        <v>38</v>
      </c>
      <c r="H969" s="33" t="s">
        <v>3951</v>
      </c>
      <c r="I969" s="33" t="s">
        <v>39</v>
      </c>
      <c r="J969" s="33" t="s">
        <v>40</v>
      </c>
      <c r="K969" s="33" t="s">
        <v>41</v>
      </c>
    </row>
    <row r="970" spans="1:12" hidden="1" x14ac:dyDescent="0.3">
      <c r="A970" s="39">
        <v>46072.731261574074</v>
      </c>
      <c r="B970" s="33">
        <v>67992169496</v>
      </c>
      <c r="C970" s="33" t="s">
        <v>45</v>
      </c>
      <c r="D970" s="33">
        <v>4430265054</v>
      </c>
      <c r="E970" s="33">
        <v>212</v>
      </c>
      <c r="F970" s="33">
        <v>180</v>
      </c>
      <c r="G970" s="33" t="s">
        <v>38</v>
      </c>
      <c r="H970" s="33" t="s">
        <v>3952</v>
      </c>
      <c r="I970" s="33" t="s">
        <v>39</v>
      </c>
      <c r="J970" s="33" t="s">
        <v>40</v>
      </c>
      <c r="K970" s="33" t="s">
        <v>41</v>
      </c>
    </row>
    <row r="971" spans="1:12" hidden="1" x14ac:dyDescent="0.3">
      <c r="A971" s="39">
        <v>46072.724143518521</v>
      </c>
      <c r="B971" s="33">
        <v>41996175686</v>
      </c>
      <c r="C971" s="33" t="s">
        <v>37</v>
      </c>
      <c r="D971" s="33">
        <v>4430265054</v>
      </c>
      <c r="E971" s="33">
        <v>495</v>
      </c>
      <c r="F971" s="33">
        <v>450</v>
      </c>
      <c r="G971" s="33" t="s">
        <v>38</v>
      </c>
      <c r="H971" s="33" t="s">
        <v>3953</v>
      </c>
      <c r="I971" s="33" t="s">
        <v>39</v>
      </c>
      <c r="J971" s="33" t="s">
        <v>40</v>
      </c>
      <c r="K971" s="33" t="s">
        <v>41</v>
      </c>
      <c r="L971" s="33">
        <v>5</v>
      </c>
    </row>
    <row r="972" spans="1:12" hidden="1" x14ac:dyDescent="0.3">
      <c r="A972" s="39">
        <v>46072.72278935185</v>
      </c>
      <c r="B972" s="33">
        <v>4331622700</v>
      </c>
      <c r="C972" s="33" t="s">
        <v>43</v>
      </c>
      <c r="D972" s="33">
        <v>4430265054</v>
      </c>
      <c r="E972" s="33">
        <v>333</v>
      </c>
      <c r="F972" s="33">
        <v>277</v>
      </c>
      <c r="G972" s="33" t="s">
        <v>38</v>
      </c>
      <c r="H972" s="33" t="s">
        <v>3954</v>
      </c>
      <c r="I972" s="33" t="s">
        <v>39</v>
      </c>
      <c r="J972" s="33" t="s">
        <v>40</v>
      </c>
      <c r="K972" s="33" t="s">
        <v>41</v>
      </c>
      <c r="L972" s="33">
        <v>5</v>
      </c>
    </row>
    <row r="973" spans="1:12" hidden="1" x14ac:dyDescent="0.3">
      <c r="A973" s="39">
        <v>46072.719537037039</v>
      </c>
      <c r="B973" s="33">
        <v>44997343311</v>
      </c>
      <c r="C973" s="33">
        <v>4430265054</v>
      </c>
      <c r="D973" s="33">
        <v>4430265054</v>
      </c>
      <c r="E973" s="33">
        <v>21</v>
      </c>
      <c r="F973" s="33">
        <v>21</v>
      </c>
      <c r="G973" s="33" t="s">
        <v>3449</v>
      </c>
      <c r="H973" s="33" t="s">
        <v>5556</v>
      </c>
      <c r="I973" s="33" t="s">
        <v>39</v>
      </c>
      <c r="J973" s="33" t="s">
        <v>3451</v>
      </c>
    </row>
    <row r="974" spans="1:12" hidden="1" x14ac:dyDescent="0.3">
      <c r="A974" s="39">
        <v>46072.716145833336</v>
      </c>
      <c r="B974" s="33">
        <v>44984140993</v>
      </c>
      <c r="C974" s="33" t="s">
        <v>37</v>
      </c>
      <c r="D974" s="33">
        <v>4430265054</v>
      </c>
      <c r="E974" s="33">
        <v>261</v>
      </c>
      <c r="F974" s="33">
        <v>144</v>
      </c>
      <c r="G974" s="33" t="s">
        <v>38</v>
      </c>
      <c r="H974" s="33" t="s">
        <v>3955</v>
      </c>
      <c r="I974" s="33" t="s">
        <v>39</v>
      </c>
      <c r="J974" s="33" t="s">
        <v>40</v>
      </c>
      <c r="K974" s="33" t="s">
        <v>41</v>
      </c>
    </row>
    <row r="975" spans="1:12" hidden="1" x14ac:dyDescent="0.3">
      <c r="A975" s="39">
        <v>46072.71534722222</v>
      </c>
      <c r="B975" s="33">
        <v>6234347959</v>
      </c>
      <c r="C975" s="33" t="s">
        <v>48</v>
      </c>
      <c r="D975" s="33">
        <v>4430265054</v>
      </c>
      <c r="E975" s="33">
        <v>332</v>
      </c>
      <c r="F975" s="33">
        <v>228</v>
      </c>
      <c r="G975" s="33" t="s">
        <v>38</v>
      </c>
      <c r="H975" s="33" t="s">
        <v>3956</v>
      </c>
      <c r="I975" s="33" t="s">
        <v>39</v>
      </c>
      <c r="J975" s="33" t="s">
        <v>40</v>
      </c>
      <c r="K975" s="33" t="s">
        <v>41</v>
      </c>
    </row>
    <row r="976" spans="1:12" hidden="1" x14ac:dyDescent="0.3">
      <c r="A976" s="39">
        <v>46072.715208333335</v>
      </c>
      <c r="B976" s="33">
        <v>4133491428</v>
      </c>
      <c r="C976" s="33" t="s">
        <v>43</v>
      </c>
      <c r="D976" s="33">
        <v>4430265054</v>
      </c>
      <c r="E976" s="33">
        <v>235</v>
      </c>
      <c r="F976" s="33">
        <v>216</v>
      </c>
      <c r="G976" s="33" t="s">
        <v>38</v>
      </c>
      <c r="H976" s="33" t="s">
        <v>3957</v>
      </c>
      <c r="I976" s="33" t="s">
        <v>39</v>
      </c>
      <c r="J976" s="33" t="s">
        <v>40</v>
      </c>
      <c r="K976" s="33" t="s">
        <v>41</v>
      </c>
    </row>
    <row r="977" spans="1:12" hidden="1" x14ac:dyDescent="0.3">
      <c r="A977" s="39">
        <v>46072.711111111108</v>
      </c>
      <c r="B977" s="33">
        <v>4334234629</v>
      </c>
      <c r="C977" s="33" t="s">
        <v>42</v>
      </c>
      <c r="D977" s="33">
        <v>4430265054</v>
      </c>
      <c r="E977" s="33">
        <v>2662</v>
      </c>
      <c r="F977" s="33">
        <v>2577</v>
      </c>
      <c r="G977" s="33" t="s">
        <v>38</v>
      </c>
      <c r="H977" s="33" t="s">
        <v>3958</v>
      </c>
      <c r="I977" s="33" t="s">
        <v>39</v>
      </c>
      <c r="J977" s="33" t="s">
        <v>40</v>
      </c>
      <c r="K977" s="33" t="s">
        <v>41</v>
      </c>
      <c r="L977" s="33">
        <v>5</v>
      </c>
    </row>
    <row r="978" spans="1:12" x14ac:dyDescent="0.3">
      <c r="A978" s="39">
        <v>46072.710243055553</v>
      </c>
      <c r="B978" s="33">
        <v>44988255390</v>
      </c>
      <c r="C978" s="33" t="s">
        <v>44</v>
      </c>
      <c r="D978" s="33">
        <v>4430265054</v>
      </c>
      <c r="E978" s="33">
        <v>1481</v>
      </c>
      <c r="F978" s="33">
        <v>1428</v>
      </c>
      <c r="G978" s="33" t="s">
        <v>38</v>
      </c>
      <c r="H978" s="33" t="s">
        <v>3959</v>
      </c>
      <c r="I978" s="33" t="s">
        <v>39</v>
      </c>
      <c r="J978" s="33" t="s">
        <v>40</v>
      </c>
      <c r="K978" s="33" t="s">
        <v>41</v>
      </c>
      <c r="L978" s="33">
        <v>5</v>
      </c>
    </row>
    <row r="979" spans="1:12" hidden="1" x14ac:dyDescent="0.3">
      <c r="A979" s="39">
        <v>46072.709421296298</v>
      </c>
      <c r="B979" s="33">
        <v>44997343311</v>
      </c>
      <c r="C979" s="33" t="s">
        <v>37</v>
      </c>
      <c r="D979" s="33">
        <v>4430265054</v>
      </c>
      <c r="E979" s="33">
        <v>635</v>
      </c>
      <c r="F979" s="33">
        <v>572</v>
      </c>
      <c r="G979" s="33" t="s">
        <v>38</v>
      </c>
      <c r="H979" s="33" t="s">
        <v>3960</v>
      </c>
      <c r="I979" s="33" t="s">
        <v>39</v>
      </c>
      <c r="J979" s="33" t="s">
        <v>40</v>
      </c>
      <c r="K979" s="33" t="s">
        <v>41</v>
      </c>
      <c r="L979" s="33">
        <v>5</v>
      </c>
    </row>
    <row r="980" spans="1:12" hidden="1" x14ac:dyDescent="0.3">
      <c r="A980" s="39">
        <v>46072.704953703702</v>
      </c>
      <c r="B980" s="33">
        <v>11964449514</v>
      </c>
      <c r="C980" s="33" t="s">
        <v>37</v>
      </c>
      <c r="D980" s="33">
        <v>4431268225</v>
      </c>
      <c r="E980" s="33">
        <v>198</v>
      </c>
      <c r="F980" s="33">
        <v>176</v>
      </c>
      <c r="G980" s="33" t="s">
        <v>38</v>
      </c>
      <c r="H980" s="33" t="s">
        <v>3961</v>
      </c>
      <c r="I980" s="33" t="s">
        <v>39</v>
      </c>
      <c r="J980" s="33" t="s">
        <v>40</v>
      </c>
      <c r="K980" s="33" t="s">
        <v>41</v>
      </c>
      <c r="L980" s="33">
        <v>5</v>
      </c>
    </row>
    <row r="981" spans="1:12" hidden="1" x14ac:dyDescent="0.3">
      <c r="A981" s="39">
        <v>46072.700300925928</v>
      </c>
      <c r="B981" s="33" t="s">
        <v>51</v>
      </c>
      <c r="C981" s="33" t="s">
        <v>5173</v>
      </c>
      <c r="E981" s="33">
        <v>206</v>
      </c>
      <c r="F981" s="33">
        <v>203</v>
      </c>
      <c r="G981" s="33" t="s">
        <v>38</v>
      </c>
      <c r="H981" s="33" t="s">
        <v>5557</v>
      </c>
      <c r="I981" s="33" t="s">
        <v>52</v>
      </c>
      <c r="J981" s="33" t="s">
        <v>3629</v>
      </c>
    </row>
    <row r="982" spans="1:12" hidden="1" x14ac:dyDescent="0.3">
      <c r="A982" s="39">
        <v>46072.697430555556</v>
      </c>
      <c r="B982" s="33">
        <v>44991041123</v>
      </c>
      <c r="C982" s="33" t="s">
        <v>45</v>
      </c>
      <c r="D982" s="33">
        <v>4430265054</v>
      </c>
      <c r="E982" s="33">
        <v>2327</v>
      </c>
      <c r="F982" s="33">
        <v>2239</v>
      </c>
      <c r="G982" s="33" t="s">
        <v>38</v>
      </c>
      <c r="H982" s="33" t="s">
        <v>3962</v>
      </c>
      <c r="I982" s="33" t="s">
        <v>39</v>
      </c>
      <c r="J982" s="33" t="s">
        <v>40</v>
      </c>
      <c r="K982" s="33" t="s">
        <v>41</v>
      </c>
    </row>
    <row r="983" spans="1:12" hidden="1" x14ac:dyDescent="0.3">
      <c r="A983" s="39">
        <v>46072.693854166668</v>
      </c>
      <c r="B983" s="33" t="s">
        <v>5173</v>
      </c>
      <c r="C983" s="33">
        <v>19981194037</v>
      </c>
      <c r="E983" s="33">
        <v>478</v>
      </c>
      <c r="F983" s="33">
        <v>452</v>
      </c>
      <c r="G983" s="33" t="s">
        <v>38</v>
      </c>
      <c r="H983" s="33" t="s">
        <v>5558</v>
      </c>
      <c r="I983" s="33" t="s">
        <v>46</v>
      </c>
      <c r="J983" s="33" t="s">
        <v>3629</v>
      </c>
    </row>
    <row r="984" spans="1:12" hidden="1" x14ac:dyDescent="0.3">
      <c r="A984" s="39">
        <v>46072.689988425926</v>
      </c>
      <c r="B984" s="33">
        <v>11913138110</v>
      </c>
      <c r="C984" s="33" t="s">
        <v>37</v>
      </c>
      <c r="D984" s="33">
        <v>4431268225</v>
      </c>
      <c r="E984" s="33">
        <v>592</v>
      </c>
      <c r="F984" s="33">
        <v>530</v>
      </c>
      <c r="G984" s="33" t="s">
        <v>38</v>
      </c>
      <c r="H984" s="33" t="s">
        <v>3963</v>
      </c>
      <c r="I984" s="33" t="s">
        <v>39</v>
      </c>
      <c r="J984" s="33" t="s">
        <v>40</v>
      </c>
      <c r="K984" s="33" t="s">
        <v>41</v>
      </c>
      <c r="L984" s="33">
        <v>5</v>
      </c>
    </row>
    <row r="985" spans="1:12" hidden="1" x14ac:dyDescent="0.3">
      <c r="A985" s="39">
        <v>46072.688437500001</v>
      </c>
      <c r="B985" s="33">
        <v>6234347959</v>
      </c>
      <c r="C985" s="33" t="s">
        <v>45</v>
      </c>
      <c r="D985" s="33">
        <v>4430265054</v>
      </c>
      <c r="E985" s="33">
        <v>729</v>
      </c>
      <c r="F985" s="33">
        <v>638</v>
      </c>
      <c r="G985" s="33" t="s">
        <v>38</v>
      </c>
      <c r="H985" s="33" t="s">
        <v>3964</v>
      </c>
      <c r="I985" s="33" t="s">
        <v>39</v>
      </c>
      <c r="J985" s="33" t="s">
        <v>40</v>
      </c>
      <c r="K985" s="33" t="s">
        <v>41</v>
      </c>
    </row>
    <row r="986" spans="1:12" hidden="1" x14ac:dyDescent="0.3">
      <c r="A986" s="39">
        <v>46072.68650462963</v>
      </c>
      <c r="B986" s="33" t="s">
        <v>44</v>
      </c>
      <c r="C986" s="33">
        <v>4432637197</v>
      </c>
      <c r="E986" s="33">
        <v>62</v>
      </c>
      <c r="F986" s="33">
        <v>48</v>
      </c>
      <c r="G986" s="33" t="s">
        <v>38</v>
      </c>
      <c r="H986" s="33" t="s">
        <v>5559</v>
      </c>
      <c r="I986" s="33" t="s">
        <v>46</v>
      </c>
      <c r="J986" s="33" t="s">
        <v>40</v>
      </c>
    </row>
    <row r="987" spans="1:12" hidden="1" x14ac:dyDescent="0.3">
      <c r="A987" s="39">
        <v>46072.686435185184</v>
      </c>
      <c r="B987" s="33" t="s">
        <v>44</v>
      </c>
      <c r="C987" s="33">
        <v>4432637197</v>
      </c>
      <c r="E987" s="33">
        <v>5</v>
      </c>
      <c r="F987" s="33">
        <v>0</v>
      </c>
      <c r="G987" s="33" t="s">
        <v>47</v>
      </c>
      <c r="H987" s="33" t="s">
        <v>5560</v>
      </c>
      <c r="I987" s="33" t="s">
        <v>46</v>
      </c>
      <c r="J987" s="33" t="s">
        <v>40</v>
      </c>
    </row>
    <row r="988" spans="1:12" hidden="1" x14ac:dyDescent="0.3">
      <c r="A988" s="39">
        <v>46072.685844907406</v>
      </c>
      <c r="B988" s="33">
        <v>17981577787</v>
      </c>
      <c r="C988" s="33" t="s">
        <v>45</v>
      </c>
      <c r="D988" s="33">
        <v>4430265054</v>
      </c>
      <c r="E988" s="33">
        <v>53</v>
      </c>
      <c r="F988" s="33">
        <v>2</v>
      </c>
      <c r="G988" s="33" t="s">
        <v>38</v>
      </c>
      <c r="H988" s="33" t="s">
        <v>3965</v>
      </c>
      <c r="I988" s="33" t="s">
        <v>39</v>
      </c>
      <c r="J988" s="33" t="s">
        <v>40</v>
      </c>
      <c r="K988" s="33" t="s">
        <v>41</v>
      </c>
    </row>
    <row r="989" spans="1:12" hidden="1" x14ac:dyDescent="0.3">
      <c r="A989" s="39">
        <v>46072.684398148151</v>
      </c>
      <c r="B989" s="33" t="s">
        <v>48</v>
      </c>
      <c r="C989" s="33">
        <v>1131043888</v>
      </c>
      <c r="E989" s="33">
        <v>163</v>
      </c>
      <c r="F989" s="33">
        <v>162</v>
      </c>
      <c r="G989" s="33" t="s">
        <v>38</v>
      </c>
      <c r="H989" s="33" t="s">
        <v>5561</v>
      </c>
      <c r="I989" s="33" t="s">
        <v>46</v>
      </c>
      <c r="J989" s="33" t="s">
        <v>40</v>
      </c>
    </row>
    <row r="990" spans="1:12" hidden="1" x14ac:dyDescent="0.3">
      <c r="A990" s="39">
        <v>46072.684108796297</v>
      </c>
      <c r="B990" s="33">
        <v>17981577787</v>
      </c>
      <c r="C990" s="33">
        <v>4430265054</v>
      </c>
      <c r="D990" s="33">
        <v>4430265054</v>
      </c>
      <c r="E990" s="33">
        <v>41</v>
      </c>
      <c r="F990" s="33">
        <v>41</v>
      </c>
      <c r="G990" s="33" t="s">
        <v>3449</v>
      </c>
      <c r="H990" s="33" t="s">
        <v>3966</v>
      </c>
      <c r="I990" s="33" t="s">
        <v>39</v>
      </c>
      <c r="J990" s="33" t="s">
        <v>3451</v>
      </c>
      <c r="K990" s="33" t="s">
        <v>41</v>
      </c>
    </row>
    <row r="991" spans="1:12" hidden="1" x14ac:dyDescent="0.3">
      <c r="A991" s="39">
        <v>46072.682951388888</v>
      </c>
      <c r="B991" s="33" t="s">
        <v>45</v>
      </c>
      <c r="C991" s="33">
        <v>4436291345</v>
      </c>
      <c r="E991" s="33">
        <v>242</v>
      </c>
      <c r="F991" s="33">
        <v>236</v>
      </c>
      <c r="G991" s="33" t="s">
        <v>38</v>
      </c>
      <c r="H991" s="33" t="s">
        <v>5562</v>
      </c>
      <c r="I991" s="33" t="s">
        <v>46</v>
      </c>
      <c r="J991" s="33" t="s">
        <v>40</v>
      </c>
    </row>
    <row r="992" spans="1:12" hidden="1" x14ac:dyDescent="0.3">
      <c r="A992" s="39">
        <v>46072.682893518519</v>
      </c>
      <c r="B992" s="33" t="s">
        <v>45</v>
      </c>
      <c r="C992" s="33">
        <v>4436291345</v>
      </c>
      <c r="E992" s="33">
        <v>3</v>
      </c>
      <c r="F992" s="33">
        <v>0</v>
      </c>
      <c r="G992" s="33" t="s">
        <v>47</v>
      </c>
      <c r="H992" s="33" t="s">
        <v>5563</v>
      </c>
      <c r="I992" s="33" t="s">
        <v>46</v>
      </c>
      <c r="J992" s="33" t="s">
        <v>40</v>
      </c>
    </row>
    <row r="993" spans="1:12" hidden="1" x14ac:dyDescent="0.3">
      <c r="A993" s="39">
        <v>46072.678773148145</v>
      </c>
      <c r="B993" s="33">
        <v>17981577787</v>
      </c>
      <c r="C993" s="33">
        <v>4430265054</v>
      </c>
      <c r="D993" s="33">
        <v>4430265054</v>
      </c>
      <c r="E993" s="33">
        <v>42</v>
      </c>
      <c r="F993" s="33">
        <v>41</v>
      </c>
      <c r="G993" s="33" t="s">
        <v>3449</v>
      </c>
      <c r="H993" s="33" t="s">
        <v>3967</v>
      </c>
      <c r="I993" s="33" t="s">
        <v>39</v>
      </c>
      <c r="J993" s="33" t="s">
        <v>3451</v>
      </c>
      <c r="K993" s="33" t="s">
        <v>41</v>
      </c>
    </row>
    <row r="994" spans="1:12" hidden="1" x14ac:dyDescent="0.3">
      <c r="A994" s="39">
        <v>46072.676446759258</v>
      </c>
      <c r="B994" s="33">
        <v>17981577787</v>
      </c>
      <c r="C994" s="33">
        <v>4430265054</v>
      </c>
      <c r="D994" s="33">
        <v>4430265054</v>
      </c>
      <c r="E994" s="33">
        <v>44</v>
      </c>
      <c r="F994" s="33">
        <v>44</v>
      </c>
      <c r="G994" s="33" t="s">
        <v>3449</v>
      </c>
      <c r="H994" s="33" t="s">
        <v>3968</v>
      </c>
      <c r="I994" s="33" t="s">
        <v>39</v>
      </c>
      <c r="J994" s="33" t="s">
        <v>3451</v>
      </c>
      <c r="K994" s="33" t="s">
        <v>41</v>
      </c>
    </row>
    <row r="995" spans="1:12" hidden="1" x14ac:dyDescent="0.3">
      <c r="A995" s="39">
        <v>46072.673750000002</v>
      </c>
      <c r="B995" s="33">
        <v>17981577787</v>
      </c>
      <c r="C995" s="33">
        <v>4430265054</v>
      </c>
      <c r="D995" s="33">
        <v>4430265054</v>
      </c>
      <c r="E995" s="33">
        <v>52</v>
      </c>
      <c r="F995" s="33">
        <v>52</v>
      </c>
      <c r="G995" s="33" t="s">
        <v>3449</v>
      </c>
      <c r="H995" s="33" t="s">
        <v>3969</v>
      </c>
      <c r="I995" s="33" t="s">
        <v>39</v>
      </c>
      <c r="J995" s="33" t="s">
        <v>3451</v>
      </c>
      <c r="K995" s="33" t="s">
        <v>41</v>
      </c>
    </row>
    <row r="996" spans="1:12" hidden="1" x14ac:dyDescent="0.3">
      <c r="A996" s="39">
        <v>46072.669814814813</v>
      </c>
      <c r="B996" s="33">
        <v>4430288517</v>
      </c>
      <c r="C996" s="33" t="s">
        <v>42</v>
      </c>
      <c r="D996" s="33">
        <v>4430265054</v>
      </c>
      <c r="E996" s="33">
        <v>1778</v>
      </c>
      <c r="F996" s="33">
        <v>1747</v>
      </c>
      <c r="G996" s="33" t="s">
        <v>38</v>
      </c>
      <c r="H996" s="33" t="s">
        <v>3970</v>
      </c>
      <c r="I996" s="33" t="s">
        <v>39</v>
      </c>
      <c r="J996" s="33" t="s">
        <v>40</v>
      </c>
      <c r="K996" s="33" t="s">
        <v>41</v>
      </c>
    </row>
    <row r="997" spans="1:12" hidden="1" x14ac:dyDescent="0.3">
      <c r="A997" s="39">
        <v>46072.66978009259</v>
      </c>
      <c r="B997" s="33">
        <v>4432520627</v>
      </c>
      <c r="C997" s="33" t="s">
        <v>48</v>
      </c>
      <c r="D997" s="33">
        <v>4430265054</v>
      </c>
      <c r="E997" s="33">
        <v>252</v>
      </c>
      <c r="F997" s="33">
        <v>226</v>
      </c>
      <c r="G997" s="33" t="s">
        <v>38</v>
      </c>
      <c r="H997" s="33" t="s">
        <v>3971</v>
      </c>
      <c r="I997" s="33" t="s">
        <v>39</v>
      </c>
      <c r="J997" s="33" t="s">
        <v>40</v>
      </c>
      <c r="K997" s="33" t="s">
        <v>41</v>
      </c>
      <c r="L997" s="33">
        <v>5</v>
      </c>
    </row>
    <row r="998" spans="1:12" hidden="1" x14ac:dyDescent="0.3">
      <c r="A998" s="39">
        <v>46072.669270833336</v>
      </c>
      <c r="B998" s="33" t="s">
        <v>43</v>
      </c>
      <c r="C998" s="33">
        <v>35997000807</v>
      </c>
      <c r="E998" s="33">
        <v>3522</v>
      </c>
      <c r="F998" s="33">
        <v>3514</v>
      </c>
      <c r="G998" s="33" t="s">
        <v>38</v>
      </c>
      <c r="H998" s="33" t="s">
        <v>5564</v>
      </c>
      <c r="I998" s="33" t="s">
        <v>46</v>
      </c>
      <c r="J998" s="33" t="s">
        <v>40</v>
      </c>
    </row>
    <row r="999" spans="1:12" hidden="1" x14ac:dyDescent="0.3">
      <c r="A999" s="39">
        <v>46072.668009259258</v>
      </c>
      <c r="B999" s="33">
        <v>44999676986</v>
      </c>
      <c r="C999" s="33" t="s">
        <v>45</v>
      </c>
      <c r="D999" s="33">
        <v>4430265054</v>
      </c>
      <c r="E999" s="33">
        <v>281</v>
      </c>
      <c r="F999" s="33">
        <v>140</v>
      </c>
      <c r="G999" s="33" t="s">
        <v>38</v>
      </c>
      <c r="H999" s="33" t="s">
        <v>3972</v>
      </c>
      <c r="I999" s="33" t="s">
        <v>39</v>
      </c>
      <c r="J999" s="33" t="s">
        <v>40</v>
      </c>
      <c r="K999" s="33" t="s">
        <v>41</v>
      </c>
    </row>
    <row r="1000" spans="1:12" x14ac:dyDescent="0.3">
      <c r="A1000" s="39">
        <v>46072.663113425922</v>
      </c>
      <c r="B1000" s="33">
        <v>4432272377</v>
      </c>
      <c r="C1000" s="33" t="s">
        <v>44</v>
      </c>
      <c r="D1000" s="33">
        <v>4430265054</v>
      </c>
      <c r="E1000" s="33">
        <v>913</v>
      </c>
      <c r="F1000" s="33">
        <v>806</v>
      </c>
      <c r="G1000" s="33" t="s">
        <v>38</v>
      </c>
      <c r="H1000" s="33" t="s">
        <v>3973</v>
      </c>
      <c r="I1000" s="33" t="s">
        <v>39</v>
      </c>
      <c r="J1000" s="33" t="s">
        <v>40</v>
      </c>
      <c r="K1000" s="33" t="s">
        <v>41</v>
      </c>
      <c r="L1000" s="33">
        <v>5</v>
      </c>
    </row>
    <row r="1001" spans="1:12" hidden="1" x14ac:dyDescent="0.3">
      <c r="A1001" s="39">
        <v>46072.662592592591</v>
      </c>
      <c r="B1001" s="33" t="s">
        <v>45</v>
      </c>
      <c r="C1001" s="33">
        <v>44999854893</v>
      </c>
      <c r="E1001" s="33">
        <v>46</v>
      </c>
      <c r="F1001" s="33">
        <v>36</v>
      </c>
      <c r="G1001" s="33" t="s">
        <v>38</v>
      </c>
      <c r="H1001" s="33" t="s">
        <v>5565</v>
      </c>
      <c r="I1001" s="33" t="s">
        <v>46</v>
      </c>
      <c r="J1001" s="33" t="s">
        <v>40</v>
      </c>
    </row>
    <row r="1002" spans="1:12" hidden="1" x14ac:dyDescent="0.3">
      <c r="A1002" s="39">
        <v>46072.661944444444</v>
      </c>
      <c r="B1002" s="33" t="s">
        <v>45</v>
      </c>
      <c r="C1002" s="33">
        <v>44999854893</v>
      </c>
      <c r="E1002" s="33">
        <v>46</v>
      </c>
      <c r="F1002" s="33">
        <v>33</v>
      </c>
      <c r="G1002" s="33" t="s">
        <v>38</v>
      </c>
      <c r="H1002" s="33" t="s">
        <v>5566</v>
      </c>
      <c r="I1002" s="33" t="s">
        <v>46</v>
      </c>
      <c r="J1002" s="33" t="s">
        <v>40</v>
      </c>
    </row>
    <row r="1003" spans="1:12" hidden="1" x14ac:dyDescent="0.3">
      <c r="A1003" s="39">
        <v>46072.661782407406</v>
      </c>
      <c r="B1003" s="33">
        <v>4432226677</v>
      </c>
      <c r="C1003" s="33" t="s">
        <v>37</v>
      </c>
      <c r="D1003" s="33">
        <v>4430265054</v>
      </c>
      <c r="E1003" s="33">
        <v>1123</v>
      </c>
      <c r="F1003" s="33">
        <v>1099</v>
      </c>
      <c r="G1003" s="33" t="s">
        <v>38</v>
      </c>
      <c r="H1003" s="33" t="s">
        <v>3974</v>
      </c>
      <c r="I1003" s="33" t="s">
        <v>39</v>
      </c>
      <c r="J1003" s="33" t="s">
        <v>40</v>
      </c>
      <c r="K1003" s="33" t="s">
        <v>41</v>
      </c>
      <c r="L1003" s="33">
        <v>5</v>
      </c>
    </row>
    <row r="1004" spans="1:12" hidden="1" x14ac:dyDescent="0.3">
      <c r="A1004" s="39">
        <v>46072.660046296296</v>
      </c>
      <c r="B1004" s="33">
        <v>44997400641</v>
      </c>
      <c r="C1004" s="33" t="s">
        <v>42</v>
      </c>
      <c r="D1004" s="33">
        <v>4430265054</v>
      </c>
      <c r="E1004" s="33">
        <v>871</v>
      </c>
      <c r="F1004" s="33">
        <v>794</v>
      </c>
      <c r="G1004" s="33" t="s">
        <v>38</v>
      </c>
      <c r="H1004" s="33" t="s">
        <v>3975</v>
      </c>
      <c r="I1004" s="33" t="s">
        <v>39</v>
      </c>
      <c r="J1004" s="33" t="s">
        <v>40</v>
      </c>
      <c r="K1004" s="33" t="s">
        <v>41</v>
      </c>
      <c r="L1004" s="33">
        <v>5</v>
      </c>
    </row>
    <row r="1005" spans="1:12" hidden="1" x14ac:dyDescent="0.3">
      <c r="A1005" s="39">
        <v>46072.657337962963</v>
      </c>
      <c r="B1005" s="33">
        <v>1131043888</v>
      </c>
      <c r="C1005" s="33" t="s">
        <v>43</v>
      </c>
      <c r="D1005" s="33">
        <v>4430265054</v>
      </c>
      <c r="E1005" s="33">
        <v>421</v>
      </c>
      <c r="F1005" s="33">
        <v>353</v>
      </c>
      <c r="G1005" s="33" t="s">
        <v>38</v>
      </c>
      <c r="H1005" s="33" t="s">
        <v>3976</v>
      </c>
      <c r="I1005" s="33" t="s">
        <v>39</v>
      </c>
      <c r="J1005" s="33" t="s">
        <v>40</v>
      </c>
      <c r="K1005" s="33" t="s">
        <v>41</v>
      </c>
    </row>
    <row r="1006" spans="1:12" hidden="1" x14ac:dyDescent="0.3">
      <c r="A1006" s="39">
        <v>46072.654745370368</v>
      </c>
      <c r="B1006" s="33" t="s">
        <v>3627</v>
      </c>
      <c r="C1006" s="33">
        <v>85991579477</v>
      </c>
      <c r="E1006" s="33">
        <v>42</v>
      </c>
      <c r="F1006" s="33">
        <v>0</v>
      </c>
      <c r="G1006" s="33" t="s">
        <v>47</v>
      </c>
      <c r="H1006" s="33" t="s">
        <v>5567</v>
      </c>
      <c r="I1006" s="33" t="s">
        <v>46</v>
      </c>
      <c r="J1006" s="33" t="s">
        <v>3629</v>
      </c>
    </row>
    <row r="1007" spans="1:12" hidden="1" x14ac:dyDescent="0.3">
      <c r="A1007" s="39">
        <v>46072.652951388889</v>
      </c>
      <c r="B1007" s="33">
        <v>44997450437</v>
      </c>
      <c r="C1007" s="33" t="s">
        <v>43</v>
      </c>
      <c r="D1007" s="33">
        <v>4430265054</v>
      </c>
      <c r="E1007" s="33">
        <v>381</v>
      </c>
      <c r="F1007" s="33">
        <v>347</v>
      </c>
      <c r="G1007" s="33" t="s">
        <v>38</v>
      </c>
      <c r="H1007" s="33" t="s">
        <v>3977</v>
      </c>
      <c r="I1007" s="33" t="s">
        <v>39</v>
      </c>
      <c r="J1007" s="33" t="s">
        <v>40</v>
      </c>
      <c r="K1007" s="33" t="s">
        <v>41</v>
      </c>
    </row>
    <row r="1008" spans="1:12" hidden="1" x14ac:dyDescent="0.3">
      <c r="A1008" s="39">
        <v>46072.651180555556</v>
      </c>
      <c r="B1008" s="33">
        <v>44999195785</v>
      </c>
      <c r="C1008" s="33" t="s">
        <v>37</v>
      </c>
      <c r="D1008" s="33">
        <v>4430265054</v>
      </c>
      <c r="E1008" s="33">
        <v>183</v>
      </c>
      <c r="F1008" s="33">
        <v>71</v>
      </c>
      <c r="G1008" s="33" t="s">
        <v>38</v>
      </c>
      <c r="H1008" s="33" t="s">
        <v>3978</v>
      </c>
      <c r="I1008" s="33" t="s">
        <v>39</v>
      </c>
      <c r="J1008" s="33" t="s">
        <v>40</v>
      </c>
      <c r="K1008" s="33" t="s">
        <v>41</v>
      </c>
    </row>
    <row r="1009" spans="1:12" hidden="1" x14ac:dyDescent="0.3">
      <c r="A1009" s="39">
        <v>46072.65047453704</v>
      </c>
      <c r="B1009" s="33">
        <v>44988255390</v>
      </c>
      <c r="C1009" s="33" t="s">
        <v>44</v>
      </c>
      <c r="D1009" s="33">
        <v>4430265054</v>
      </c>
      <c r="E1009" s="33">
        <v>1017</v>
      </c>
      <c r="F1009" s="33">
        <v>859</v>
      </c>
      <c r="G1009" s="33" t="s">
        <v>38</v>
      </c>
      <c r="H1009" s="33" t="s">
        <v>3979</v>
      </c>
      <c r="I1009" s="33" t="s">
        <v>39</v>
      </c>
      <c r="J1009" s="33" t="s">
        <v>40</v>
      </c>
      <c r="K1009" s="33" t="s">
        <v>41</v>
      </c>
    </row>
    <row r="1010" spans="1:12" hidden="1" x14ac:dyDescent="0.3">
      <c r="A1010" s="39">
        <v>46072.649606481478</v>
      </c>
      <c r="B1010" s="33">
        <v>44988255390</v>
      </c>
      <c r="C1010" s="33">
        <v>4430265054</v>
      </c>
      <c r="D1010" s="33">
        <v>4430265054</v>
      </c>
      <c r="E1010" s="33">
        <v>36</v>
      </c>
      <c r="F1010" s="33">
        <v>36</v>
      </c>
      <c r="G1010" s="33" t="s">
        <v>3449</v>
      </c>
      <c r="H1010" s="33" t="s">
        <v>3980</v>
      </c>
      <c r="I1010" s="33" t="s">
        <v>39</v>
      </c>
      <c r="J1010" s="33" t="s">
        <v>3451</v>
      </c>
      <c r="K1010" s="33" t="s">
        <v>41</v>
      </c>
    </row>
    <row r="1011" spans="1:12" hidden="1" x14ac:dyDescent="0.3">
      <c r="A1011" s="39">
        <v>46072.64744212963</v>
      </c>
      <c r="B1011" s="33">
        <v>44984140993</v>
      </c>
      <c r="C1011" s="33" t="s">
        <v>48</v>
      </c>
      <c r="D1011" s="33">
        <v>4430265054</v>
      </c>
      <c r="E1011" s="33">
        <v>409</v>
      </c>
      <c r="F1011" s="33">
        <v>347</v>
      </c>
      <c r="G1011" s="33" t="s">
        <v>38</v>
      </c>
      <c r="H1011" s="33" t="s">
        <v>3981</v>
      </c>
      <c r="I1011" s="33" t="s">
        <v>39</v>
      </c>
      <c r="J1011" s="33" t="s">
        <v>40</v>
      </c>
      <c r="K1011" s="33" t="s">
        <v>41</v>
      </c>
    </row>
    <row r="1012" spans="1:12" hidden="1" x14ac:dyDescent="0.3">
      <c r="A1012" s="39">
        <v>46072.645671296297</v>
      </c>
      <c r="B1012" s="33">
        <v>44984241715</v>
      </c>
      <c r="C1012" s="33" t="s">
        <v>37</v>
      </c>
      <c r="D1012" s="33">
        <v>4430265054</v>
      </c>
      <c r="E1012" s="33">
        <v>462</v>
      </c>
      <c r="F1012" s="33">
        <v>366</v>
      </c>
      <c r="G1012" s="33" t="s">
        <v>38</v>
      </c>
      <c r="H1012" s="33" t="s">
        <v>3982</v>
      </c>
      <c r="I1012" s="33" t="s">
        <v>39</v>
      </c>
      <c r="J1012" s="33" t="s">
        <v>40</v>
      </c>
      <c r="K1012" s="33" t="s">
        <v>41</v>
      </c>
      <c r="L1012" s="33">
        <v>4</v>
      </c>
    </row>
    <row r="1013" spans="1:12" hidden="1" x14ac:dyDescent="0.3">
      <c r="A1013" s="39">
        <v>46072.640949074077</v>
      </c>
      <c r="B1013" s="33">
        <v>44999195785</v>
      </c>
      <c r="C1013" s="33" t="s">
        <v>44</v>
      </c>
      <c r="D1013" s="33">
        <v>4430265054</v>
      </c>
      <c r="E1013" s="33">
        <v>872</v>
      </c>
      <c r="F1013" s="33">
        <v>814</v>
      </c>
      <c r="G1013" s="33" t="s">
        <v>38</v>
      </c>
      <c r="H1013" s="33" t="s">
        <v>3983</v>
      </c>
      <c r="I1013" s="33" t="s">
        <v>39</v>
      </c>
      <c r="J1013" s="33" t="s">
        <v>40</v>
      </c>
      <c r="K1013" s="33" t="s">
        <v>41</v>
      </c>
    </row>
    <row r="1014" spans="1:12" hidden="1" x14ac:dyDescent="0.3">
      <c r="A1014" s="39">
        <v>46072.639155092591</v>
      </c>
      <c r="B1014" s="33" t="s">
        <v>3627</v>
      </c>
      <c r="C1014" s="33">
        <v>85991579477</v>
      </c>
      <c r="E1014" s="33">
        <v>18</v>
      </c>
      <c r="F1014" s="33">
        <v>0</v>
      </c>
      <c r="G1014" s="33" t="s">
        <v>47</v>
      </c>
      <c r="H1014" s="33" t="s">
        <v>5568</v>
      </c>
      <c r="I1014" s="33" t="s">
        <v>46</v>
      </c>
      <c r="J1014" s="33" t="s">
        <v>3629</v>
      </c>
    </row>
    <row r="1015" spans="1:12" hidden="1" x14ac:dyDescent="0.3">
      <c r="A1015" s="39">
        <v>46072.63721064815</v>
      </c>
      <c r="B1015" s="33">
        <v>4334226481</v>
      </c>
      <c r="C1015" s="33" t="s">
        <v>43</v>
      </c>
      <c r="D1015" s="33">
        <v>4430265054</v>
      </c>
      <c r="E1015" s="33">
        <v>1229</v>
      </c>
      <c r="F1015" s="33">
        <v>1147</v>
      </c>
      <c r="G1015" s="33" t="s">
        <v>38</v>
      </c>
      <c r="H1015" s="33" t="s">
        <v>3984</v>
      </c>
      <c r="I1015" s="33" t="s">
        <v>39</v>
      </c>
      <c r="J1015" s="33" t="s">
        <v>40</v>
      </c>
      <c r="K1015" s="33" t="s">
        <v>41</v>
      </c>
      <c r="L1015" s="33">
        <v>5</v>
      </c>
    </row>
    <row r="1016" spans="1:12" hidden="1" x14ac:dyDescent="0.3">
      <c r="A1016" s="39">
        <v>46072.635381944441</v>
      </c>
      <c r="B1016" s="33">
        <v>44988255390</v>
      </c>
      <c r="C1016" s="33" t="s">
        <v>48</v>
      </c>
      <c r="D1016" s="33">
        <v>4430265054</v>
      </c>
      <c r="E1016" s="33">
        <v>859</v>
      </c>
      <c r="F1016" s="33">
        <v>767</v>
      </c>
      <c r="G1016" s="33" t="s">
        <v>38</v>
      </c>
      <c r="H1016" s="33" t="s">
        <v>3985</v>
      </c>
      <c r="I1016" s="33" t="s">
        <v>39</v>
      </c>
      <c r="J1016" s="33" t="s">
        <v>40</v>
      </c>
      <c r="K1016" s="33" t="s">
        <v>41</v>
      </c>
    </row>
    <row r="1017" spans="1:12" hidden="1" x14ac:dyDescent="0.3">
      <c r="A1017" s="39">
        <v>46072.635324074072</v>
      </c>
      <c r="B1017" s="33">
        <v>11965990735</v>
      </c>
      <c r="C1017" s="33" t="s">
        <v>43</v>
      </c>
      <c r="D1017" s="33">
        <v>4430265054</v>
      </c>
      <c r="E1017" s="33">
        <v>204</v>
      </c>
      <c r="F1017" s="33">
        <v>185</v>
      </c>
      <c r="G1017" s="33" t="s">
        <v>38</v>
      </c>
      <c r="H1017" s="33" t="s">
        <v>3986</v>
      </c>
      <c r="I1017" s="33" t="s">
        <v>39</v>
      </c>
      <c r="J1017" s="33" t="s">
        <v>40</v>
      </c>
      <c r="K1017" s="33" t="s">
        <v>41</v>
      </c>
    </row>
    <row r="1018" spans="1:12" x14ac:dyDescent="0.3">
      <c r="A1018" s="39">
        <v>46072.634976851848</v>
      </c>
      <c r="B1018" s="33">
        <v>11964449514</v>
      </c>
      <c r="C1018" s="33" t="s">
        <v>44</v>
      </c>
      <c r="D1018" s="33">
        <v>4431268225</v>
      </c>
      <c r="E1018" s="33">
        <v>442</v>
      </c>
      <c r="F1018" s="33">
        <v>402</v>
      </c>
      <c r="G1018" s="33" t="s">
        <v>38</v>
      </c>
      <c r="H1018" s="33" t="s">
        <v>3987</v>
      </c>
      <c r="I1018" s="33" t="s">
        <v>39</v>
      </c>
      <c r="J1018" s="33" t="s">
        <v>40</v>
      </c>
      <c r="K1018" s="33" t="s">
        <v>41</v>
      </c>
      <c r="L1018" s="33">
        <v>5</v>
      </c>
    </row>
    <row r="1019" spans="1:12" hidden="1" x14ac:dyDescent="0.3">
      <c r="A1019" s="39">
        <v>46072.634166666663</v>
      </c>
      <c r="B1019" s="33">
        <v>44998860140</v>
      </c>
      <c r="C1019" s="33" t="s">
        <v>45</v>
      </c>
      <c r="D1019" s="33">
        <v>4430265054</v>
      </c>
      <c r="E1019" s="33">
        <v>1267</v>
      </c>
      <c r="F1019" s="33">
        <v>1204</v>
      </c>
      <c r="G1019" s="33" t="s">
        <v>38</v>
      </c>
      <c r="H1019" s="33" t="s">
        <v>3988</v>
      </c>
      <c r="I1019" s="33" t="s">
        <v>39</v>
      </c>
      <c r="J1019" s="33" t="s">
        <v>40</v>
      </c>
      <c r="K1019" s="33" t="s">
        <v>41</v>
      </c>
      <c r="L1019" s="33">
        <v>5</v>
      </c>
    </row>
    <row r="1020" spans="1:12" hidden="1" x14ac:dyDescent="0.3">
      <c r="A1020" s="39">
        <v>46072.633553240739</v>
      </c>
      <c r="B1020" s="33">
        <v>44998860140</v>
      </c>
      <c r="C1020" s="33">
        <v>4430265054</v>
      </c>
      <c r="D1020" s="33">
        <v>4430265054</v>
      </c>
      <c r="E1020" s="33">
        <v>1</v>
      </c>
      <c r="F1020" s="33">
        <v>0</v>
      </c>
      <c r="G1020" s="33" t="s">
        <v>3449</v>
      </c>
      <c r="H1020" s="33" t="s">
        <v>5569</v>
      </c>
      <c r="I1020" s="33" t="s">
        <v>39</v>
      </c>
      <c r="J1020" s="33" t="s">
        <v>3451</v>
      </c>
    </row>
    <row r="1021" spans="1:12" hidden="1" x14ac:dyDescent="0.3">
      <c r="A1021" s="39">
        <v>46072.626759259256</v>
      </c>
      <c r="B1021" s="33" t="s">
        <v>45</v>
      </c>
      <c r="C1021" s="33">
        <v>44999854893</v>
      </c>
      <c r="E1021" s="33">
        <v>27</v>
      </c>
      <c r="F1021" s="33">
        <v>14</v>
      </c>
      <c r="G1021" s="33" t="s">
        <v>38</v>
      </c>
      <c r="H1021" s="33" t="s">
        <v>5570</v>
      </c>
      <c r="I1021" s="33" t="s">
        <v>46</v>
      </c>
      <c r="J1021" s="33" t="s">
        <v>40</v>
      </c>
    </row>
    <row r="1022" spans="1:12" hidden="1" x14ac:dyDescent="0.3">
      <c r="A1022" s="39">
        <v>46072.626215277778</v>
      </c>
      <c r="B1022" s="33" t="s">
        <v>45</v>
      </c>
      <c r="C1022" s="33">
        <v>44999854893</v>
      </c>
      <c r="E1022" s="33">
        <v>16</v>
      </c>
      <c r="F1022" s="33">
        <v>0</v>
      </c>
      <c r="G1022" s="33" t="s">
        <v>47</v>
      </c>
      <c r="H1022" s="33" t="s">
        <v>5571</v>
      </c>
      <c r="I1022" s="33" t="s">
        <v>46</v>
      </c>
      <c r="J1022" s="33" t="s">
        <v>40</v>
      </c>
    </row>
    <row r="1023" spans="1:12" hidden="1" x14ac:dyDescent="0.3">
      <c r="A1023" s="39">
        <v>46072.625486111108</v>
      </c>
      <c r="B1023" s="33">
        <v>4430188650</v>
      </c>
      <c r="C1023" s="33" t="s">
        <v>37</v>
      </c>
      <c r="D1023" s="33">
        <v>4430265054</v>
      </c>
      <c r="E1023" s="33">
        <v>984</v>
      </c>
      <c r="F1023" s="33">
        <v>935</v>
      </c>
      <c r="G1023" s="33" t="s">
        <v>38</v>
      </c>
      <c r="H1023" s="33" t="s">
        <v>3989</v>
      </c>
      <c r="I1023" s="33" t="s">
        <v>39</v>
      </c>
      <c r="J1023" s="33" t="s">
        <v>40</v>
      </c>
      <c r="K1023" s="33" t="s">
        <v>41</v>
      </c>
      <c r="L1023" s="33">
        <v>4</v>
      </c>
    </row>
    <row r="1024" spans="1:12" hidden="1" x14ac:dyDescent="0.3">
      <c r="A1024" s="39">
        <v>46072.621122685188</v>
      </c>
      <c r="B1024" s="33" t="s">
        <v>48</v>
      </c>
      <c r="C1024" s="33">
        <v>4430191465</v>
      </c>
      <c r="E1024" s="33">
        <v>252</v>
      </c>
      <c r="F1024" s="33">
        <v>237</v>
      </c>
      <c r="G1024" s="33" t="s">
        <v>38</v>
      </c>
      <c r="H1024" s="33" t="s">
        <v>5572</v>
      </c>
      <c r="I1024" s="33" t="s">
        <v>46</v>
      </c>
      <c r="J1024" s="33" t="s">
        <v>40</v>
      </c>
    </row>
    <row r="1025" spans="1:12" hidden="1" x14ac:dyDescent="0.3">
      <c r="A1025" s="39">
        <v>46072.620115740741</v>
      </c>
      <c r="B1025" s="33" t="s">
        <v>44</v>
      </c>
      <c r="C1025" s="33">
        <v>4532541802</v>
      </c>
      <c r="E1025" s="33">
        <v>230</v>
      </c>
      <c r="F1025" s="33">
        <v>229</v>
      </c>
      <c r="G1025" s="33" t="s">
        <v>38</v>
      </c>
      <c r="H1025" s="33" t="s">
        <v>5573</v>
      </c>
      <c r="I1025" s="33" t="s">
        <v>46</v>
      </c>
      <c r="J1025" s="33" t="s">
        <v>40</v>
      </c>
    </row>
    <row r="1026" spans="1:12" hidden="1" x14ac:dyDescent="0.3">
      <c r="A1026" s="39">
        <v>46072.619340277779</v>
      </c>
      <c r="B1026" s="33">
        <v>4334232912</v>
      </c>
      <c r="C1026" s="33" t="s">
        <v>43</v>
      </c>
      <c r="D1026" s="33">
        <v>4430265054</v>
      </c>
      <c r="E1026" s="33">
        <v>405</v>
      </c>
      <c r="F1026" s="33">
        <v>326</v>
      </c>
      <c r="G1026" s="33" t="s">
        <v>38</v>
      </c>
      <c r="H1026" s="33" t="s">
        <v>3990</v>
      </c>
      <c r="I1026" s="33" t="s">
        <v>39</v>
      </c>
      <c r="J1026" s="33" t="s">
        <v>40</v>
      </c>
      <c r="K1026" s="33" t="s">
        <v>41</v>
      </c>
    </row>
    <row r="1027" spans="1:12" hidden="1" x14ac:dyDescent="0.3">
      <c r="A1027" s="39">
        <v>46072.61478009259</v>
      </c>
      <c r="B1027" s="33">
        <v>44999680829</v>
      </c>
      <c r="C1027" s="33" t="s">
        <v>37</v>
      </c>
      <c r="D1027" s="33">
        <v>4431268225</v>
      </c>
      <c r="E1027" s="33">
        <v>562</v>
      </c>
      <c r="F1027" s="33">
        <v>410</v>
      </c>
      <c r="G1027" s="33" t="s">
        <v>38</v>
      </c>
      <c r="H1027" s="33" t="s">
        <v>3991</v>
      </c>
      <c r="I1027" s="33" t="s">
        <v>39</v>
      </c>
      <c r="J1027" s="33" t="s">
        <v>40</v>
      </c>
      <c r="K1027" s="33" t="s">
        <v>41</v>
      </c>
      <c r="L1027" s="33">
        <v>5</v>
      </c>
    </row>
    <row r="1028" spans="1:12" hidden="1" x14ac:dyDescent="0.3">
      <c r="A1028" s="39">
        <v>46072.614108796297</v>
      </c>
      <c r="B1028" s="33">
        <v>44998068281</v>
      </c>
      <c r="C1028" s="33" t="s">
        <v>42</v>
      </c>
      <c r="D1028" s="33">
        <v>4430265054</v>
      </c>
      <c r="E1028" s="33">
        <v>2982</v>
      </c>
      <c r="F1028" s="33">
        <v>2945</v>
      </c>
      <c r="G1028" s="33" t="s">
        <v>38</v>
      </c>
      <c r="H1028" s="33" t="s">
        <v>3992</v>
      </c>
      <c r="I1028" s="33" t="s">
        <v>39</v>
      </c>
      <c r="J1028" s="33" t="s">
        <v>40</v>
      </c>
      <c r="K1028" s="33" t="s">
        <v>41</v>
      </c>
    </row>
    <row r="1029" spans="1:12" hidden="1" x14ac:dyDescent="0.3">
      <c r="A1029" s="39">
        <v>46072.611226851855</v>
      </c>
      <c r="B1029" s="33">
        <v>4430188650</v>
      </c>
      <c r="C1029" s="33" t="s">
        <v>42</v>
      </c>
      <c r="D1029" s="33">
        <v>4430265054</v>
      </c>
      <c r="E1029" s="33">
        <v>97</v>
      </c>
      <c r="F1029" s="33">
        <v>75</v>
      </c>
      <c r="G1029" s="33" t="s">
        <v>38</v>
      </c>
      <c r="H1029" s="33" t="s">
        <v>3993</v>
      </c>
      <c r="I1029" s="33" t="s">
        <v>39</v>
      </c>
      <c r="J1029" s="33" t="s">
        <v>40</v>
      </c>
      <c r="K1029" s="33" t="s">
        <v>41</v>
      </c>
    </row>
    <row r="1030" spans="1:12" hidden="1" x14ac:dyDescent="0.3">
      <c r="A1030" s="39">
        <v>46072.609988425924</v>
      </c>
      <c r="B1030" s="33">
        <v>44998039090</v>
      </c>
      <c r="C1030" s="33" t="s">
        <v>37</v>
      </c>
      <c r="D1030" s="33">
        <v>4430265054</v>
      </c>
      <c r="E1030" s="33">
        <v>172</v>
      </c>
      <c r="F1030" s="33">
        <v>80</v>
      </c>
      <c r="G1030" s="33" t="s">
        <v>38</v>
      </c>
      <c r="H1030" s="33" t="s">
        <v>3994</v>
      </c>
      <c r="I1030" s="33" t="s">
        <v>39</v>
      </c>
      <c r="J1030" s="33" t="s">
        <v>40</v>
      </c>
      <c r="K1030" s="33" t="s">
        <v>41</v>
      </c>
    </row>
    <row r="1031" spans="1:12" hidden="1" x14ac:dyDescent="0.3">
      <c r="A1031" s="39">
        <v>46072.609212962961</v>
      </c>
      <c r="B1031" s="33">
        <v>11964449514</v>
      </c>
      <c r="C1031" s="33" t="s">
        <v>45</v>
      </c>
      <c r="D1031" s="33">
        <v>4431268225</v>
      </c>
      <c r="E1031" s="33">
        <v>1359</v>
      </c>
      <c r="F1031" s="33">
        <v>1286</v>
      </c>
      <c r="G1031" s="33" t="s">
        <v>38</v>
      </c>
      <c r="H1031" s="33" t="s">
        <v>3995</v>
      </c>
      <c r="I1031" s="33" t="s">
        <v>39</v>
      </c>
      <c r="J1031" s="33" t="s">
        <v>40</v>
      </c>
      <c r="K1031" s="33" t="s">
        <v>41</v>
      </c>
      <c r="L1031" s="33">
        <v>5</v>
      </c>
    </row>
    <row r="1032" spans="1:12" hidden="1" x14ac:dyDescent="0.3">
      <c r="A1032" s="39">
        <v>46072.607789351852</v>
      </c>
      <c r="B1032" s="33" t="s">
        <v>37</v>
      </c>
      <c r="C1032" s="33">
        <v>4132440491</v>
      </c>
      <c r="E1032" s="33">
        <v>3</v>
      </c>
      <c r="F1032" s="33">
        <v>0</v>
      </c>
      <c r="G1032" s="33" t="s">
        <v>47</v>
      </c>
      <c r="H1032" s="33" t="s">
        <v>5574</v>
      </c>
      <c r="I1032" s="33" t="s">
        <v>46</v>
      </c>
      <c r="J1032" s="33" t="s">
        <v>40</v>
      </c>
    </row>
    <row r="1033" spans="1:12" hidden="1" x14ac:dyDescent="0.3">
      <c r="A1033" s="39">
        <v>46072.607662037037</v>
      </c>
      <c r="B1033" s="33" t="s">
        <v>37</v>
      </c>
      <c r="C1033" s="33">
        <v>4132440491</v>
      </c>
      <c r="E1033" s="33">
        <v>5</v>
      </c>
      <c r="F1033" s="33">
        <v>0</v>
      </c>
      <c r="G1033" s="33" t="s">
        <v>47</v>
      </c>
      <c r="H1033" s="33" t="s">
        <v>5575</v>
      </c>
      <c r="I1033" s="33" t="s">
        <v>46</v>
      </c>
      <c r="J1033" s="33" t="s">
        <v>40</v>
      </c>
    </row>
    <row r="1034" spans="1:12" hidden="1" x14ac:dyDescent="0.3">
      <c r="A1034" s="39">
        <v>46072.606956018521</v>
      </c>
      <c r="B1034" s="33" t="s">
        <v>3627</v>
      </c>
      <c r="C1034" s="33">
        <v>21998162371</v>
      </c>
      <c r="E1034" s="33">
        <v>7</v>
      </c>
      <c r="F1034" s="33">
        <v>0</v>
      </c>
      <c r="G1034" s="33" t="s">
        <v>47</v>
      </c>
      <c r="H1034" s="33" t="s">
        <v>5576</v>
      </c>
      <c r="I1034" s="33" t="s">
        <v>46</v>
      </c>
      <c r="J1034" s="33" t="s">
        <v>3629</v>
      </c>
    </row>
    <row r="1035" spans="1:12" hidden="1" x14ac:dyDescent="0.3">
      <c r="A1035" s="39">
        <v>46072.60601851852</v>
      </c>
      <c r="B1035" s="33" t="s">
        <v>3627</v>
      </c>
      <c r="C1035" s="33">
        <v>37998411108</v>
      </c>
      <c r="E1035" s="33">
        <v>15</v>
      </c>
      <c r="F1035" s="33">
        <v>10</v>
      </c>
      <c r="G1035" s="33" t="s">
        <v>38</v>
      </c>
      <c r="H1035" s="33" t="s">
        <v>5577</v>
      </c>
      <c r="I1035" s="33" t="s">
        <v>46</v>
      </c>
      <c r="J1035" s="33" t="s">
        <v>3629</v>
      </c>
    </row>
    <row r="1036" spans="1:12" hidden="1" x14ac:dyDescent="0.3">
      <c r="A1036" s="39">
        <v>46072.604594907411</v>
      </c>
      <c r="B1036" s="33">
        <v>44988067937</v>
      </c>
      <c r="C1036" s="33" t="s">
        <v>48</v>
      </c>
      <c r="D1036" s="33">
        <v>4430265054</v>
      </c>
      <c r="E1036" s="33">
        <v>171</v>
      </c>
      <c r="F1036" s="33">
        <v>135</v>
      </c>
      <c r="G1036" s="33" t="s">
        <v>38</v>
      </c>
      <c r="H1036" s="33" t="s">
        <v>3996</v>
      </c>
      <c r="I1036" s="33" t="s">
        <v>39</v>
      </c>
      <c r="J1036" s="33" t="s">
        <v>40</v>
      </c>
      <c r="K1036" s="33" t="s">
        <v>41</v>
      </c>
    </row>
    <row r="1037" spans="1:12" hidden="1" x14ac:dyDescent="0.3">
      <c r="A1037" s="39">
        <v>46072.60365740741</v>
      </c>
      <c r="B1037" s="33">
        <v>42984113245</v>
      </c>
      <c r="C1037" s="33" t="s">
        <v>44</v>
      </c>
      <c r="D1037" s="33">
        <v>4430265054</v>
      </c>
      <c r="E1037" s="33">
        <v>1263</v>
      </c>
      <c r="F1037" s="33">
        <v>1131</v>
      </c>
      <c r="G1037" s="33" t="s">
        <v>38</v>
      </c>
      <c r="H1037" s="33" t="s">
        <v>3997</v>
      </c>
      <c r="I1037" s="33" t="s">
        <v>39</v>
      </c>
      <c r="J1037" s="33" t="s">
        <v>40</v>
      </c>
      <c r="K1037" s="33" t="s">
        <v>41</v>
      </c>
    </row>
    <row r="1038" spans="1:12" hidden="1" x14ac:dyDescent="0.3">
      <c r="A1038" s="39">
        <v>46072.603298611109</v>
      </c>
      <c r="B1038" s="33">
        <v>42984113245</v>
      </c>
      <c r="C1038" s="33">
        <v>4430265054</v>
      </c>
      <c r="D1038" s="33">
        <v>4430265054</v>
      </c>
      <c r="E1038" s="33">
        <v>21</v>
      </c>
      <c r="F1038" s="33">
        <v>21</v>
      </c>
      <c r="G1038" s="33" t="s">
        <v>3449</v>
      </c>
      <c r="H1038" s="33" t="s">
        <v>3998</v>
      </c>
      <c r="I1038" s="33" t="s">
        <v>39</v>
      </c>
      <c r="J1038" s="33" t="s">
        <v>3451</v>
      </c>
      <c r="K1038" s="33" t="s">
        <v>41</v>
      </c>
    </row>
    <row r="1039" spans="1:12" hidden="1" x14ac:dyDescent="0.3">
      <c r="A1039" s="39">
        <v>46072.601956018516</v>
      </c>
      <c r="B1039" s="33" t="s">
        <v>45</v>
      </c>
      <c r="C1039" s="33">
        <v>44991484476</v>
      </c>
      <c r="E1039" s="33">
        <v>69</v>
      </c>
      <c r="F1039" s="33">
        <v>60</v>
      </c>
      <c r="G1039" s="33" t="s">
        <v>38</v>
      </c>
      <c r="H1039" s="33" t="s">
        <v>5578</v>
      </c>
      <c r="I1039" s="33" t="s">
        <v>46</v>
      </c>
      <c r="J1039" s="33" t="s">
        <v>40</v>
      </c>
    </row>
    <row r="1040" spans="1:12" hidden="1" x14ac:dyDescent="0.3">
      <c r="A1040" s="39">
        <v>46072.601388888892</v>
      </c>
      <c r="B1040" s="33">
        <v>45999334612</v>
      </c>
      <c r="C1040" s="33" t="s">
        <v>43</v>
      </c>
      <c r="D1040" s="33">
        <v>4430265054</v>
      </c>
      <c r="E1040" s="33">
        <v>460</v>
      </c>
      <c r="F1040" s="33">
        <v>436</v>
      </c>
      <c r="G1040" s="33" t="s">
        <v>38</v>
      </c>
      <c r="H1040" s="33" t="s">
        <v>3999</v>
      </c>
      <c r="I1040" s="33" t="s">
        <v>39</v>
      </c>
      <c r="J1040" s="33" t="s">
        <v>40</v>
      </c>
      <c r="K1040" s="33" t="s">
        <v>41</v>
      </c>
      <c r="L1040" s="33">
        <v>5</v>
      </c>
    </row>
    <row r="1041" spans="1:12" x14ac:dyDescent="0.3">
      <c r="A1041" s="39">
        <v>46072.596099537041</v>
      </c>
      <c r="B1041" s="33">
        <v>4432226677</v>
      </c>
      <c r="C1041" s="33" t="s">
        <v>44</v>
      </c>
      <c r="D1041" s="33">
        <v>4430265054</v>
      </c>
      <c r="E1041" s="33">
        <v>592</v>
      </c>
      <c r="F1041" s="33">
        <v>531</v>
      </c>
      <c r="G1041" s="33" t="s">
        <v>38</v>
      </c>
      <c r="H1041" s="33" t="s">
        <v>4000</v>
      </c>
      <c r="I1041" s="33" t="s">
        <v>39</v>
      </c>
      <c r="J1041" s="33" t="s">
        <v>40</v>
      </c>
      <c r="K1041" s="33" t="s">
        <v>41</v>
      </c>
      <c r="L1041" s="33">
        <v>5</v>
      </c>
    </row>
    <row r="1042" spans="1:12" hidden="1" x14ac:dyDescent="0.3">
      <c r="A1042" s="39">
        <v>46072.59275462963</v>
      </c>
      <c r="B1042" s="33">
        <v>43999525597</v>
      </c>
      <c r="C1042" s="33" t="s">
        <v>48</v>
      </c>
      <c r="D1042" s="33">
        <v>4430265054</v>
      </c>
      <c r="E1042" s="33">
        <v>182</v>
      </c>
      <c r="F1042" s="33">
        <v>143</v>
      </c>
      <c r="G1042" s="33" t="s">
        <v>38</v>
      </c>
      <c r="H1042" s="33" t="s">
        <v>4001</v>
      </c>
      <c r="I1042" s="33" t="s">
        <v>39</v>
      </c>
      <c r="J1042" s="33" t="s">
        <v>40</v>
      </c>
      <c r="K1042" s="33" t="s">
        <v>41</v>
      </c>
    </row>
    <row r="1043" spans="1:12" hidden="1" x14ac:dyDescent="0.3">
      <c r="A1043" s="39">
        <v>46072.591481481482</v>
      </c>
      <c r="B1043" s="33">
        <v>17981577787</v>
      </c>
      <c r="C1043" s="33" t="s">
        <v>43</v>
      </c>
      <c r="D1043" s="33">
        <v>4430265054</v>
      </c>
      <c r="E1043" s="33">
        <v>631</v>
      </c>
      <c r="F1043" s="33">
        <v>603</v>
      </c>
      <c r="G1043" s="33" t="s">
        <v>38</v>
      </c>
      <c r="H1043" s="33" t="s">
        <v>4002</v>
      </c>
      <c r="I1043" s="33" t="s">
        <v>39</v>
      </c>
      <c r="J1043" s="33" t="s">
        <v>40</v>
      </c>
      <c r="K1043" s="33" t="s">
        <v>41</v>
      </c>
    </row>
    <row r="1044" spans="1:12" hidden="1" x14ac:dyDescent="0.3">
      <c r="A1044" s="39">
        <v>46072.587789351855</v>
      </c>
      <c r="B1044" s="33">
        <v>4532541802</v>
      </c>
      <c r="C1044" s="33" t="s">
        <v>43</v>
      </c>
      <c r="D1044" s="33">
        <v>4430265054</v>
      </c>
      <c r="E1044" s="33">
        <v>84</v>
      </c>
      <c r="F1044" s="33">
        <v>63</v>
      </c>
      <c r="G1044" s="33" t="s">
        <v>38</v>
      </c>
      <c r="H1044" s="33" t="s">
        <v>4003</v>
      </c>
      <c r="I1044" s="33" t="s">
        <v>39</v>
      </c>
      <c r="J1044" s="33" t="s">
        <v>40</v>
      </c>
      <c r="K1044" s="33" t="s">
        <v>41</v>
      </c>
    </row>
    <row r="1045" spans="1:12" hidden="1" x14ac:dyDescent="0.3">
      <c r="A1045" s="39">
        <v>46072.583460648151</v>
      </c>
      <c r="B1045" s="33">
        <v>6234347959</v>
      </c>
      <c r="C1045" s="33" t="s">
        <v>45</v>
      </c>
      <c r="D1045" s="33">
        <v>4430265054</v>
      </c>
      <c r="E1045" s="33">
        <v>1517</v>
      </c>
      <c r="F1045" s="33">
        <v>1416</v>
      </c>
      <c r="G1045" s="33" t="s">
        <v>38</v>
      </c>
      <c r="H1045" s="33" t="s">
        <v>4004</v>
      </c>
      <c r="I1045" s="33" t="s">
        <v>39</v>
      </c>
      <c r="J1045" s="33" t="s">
        <v>40</v>
      </c>
      <c r="K1045" s="33" t="s">
        <v>41</v>
      </c>
      <c r="L1045" s="33">
        <v>4</v>
      </c>
    </row>
    <row r="1046" spans="1:12" hidden="1" x14ac:dyDescent="0.3">
      <c r="A1046" s="39">
        <v>46072.582187499997</v>
      </c>
      <c r="B1046" s="33">
        <v>43999110029</v>
      </c>
      <c r="C1046" s="33" t="s">
        <v>42</v>
      </c>
      <c r="D1046" s="33">
        <v>4430265054</v>
      </c>
      <c r="E1046" s="33">
        <v>1694</v>
      </c>
      <c r="F1046" s="33">
        <v>1650</v>
      </c>
      <c r="G1046" s="33" t="s">
        <v>38</v>
      </c>
      <c r="H1046" s="33" t="s">
        <v>4005</v>
      </c>
      <c r="I1046" s="33" t="s">
        <v>39</v>
      </c>
      <c r="J1046" s="33" t="s">
        <v>40</v>
      </c>
      <c r="K1046" s="33" t="s">
        <v>41</v>
      </c>
    </row>
    <row r="1047" spans="1:12" hidden="1" x14ac:dyDescent="0.3">
      <c r="A1047" s="39">
        <v>46072.580821759257</v>
      </c>
      <c r="B1047" s="33">
        <v>4532541802</v>
      </c>
      <c r="C1047" s="33" t="s">
        <v>44</v>
      </c>
      <c r="D1047" s="33">
        <v>4430265054</v>
      </c>
      <c r="E1047" s="33">
        <v>1113</v>
      </c>
      <c r="F1047" s="33">
        <v>1064</v>
      </c>
      <c r="G1047" s="33" t="s">
        <v>38</v>
      </c>
      <c r="H1047" s="33" t="s">
        <v>4006</v>
      </c>
      <c r="I1047" s="33" t="s">
        <v>39</v>
      </c>
      <c r="J1047" s="33" t="s">
        <v>40</v>
      </c>
      <c r="K1047" s="33" t="s">
        <v>41</v>
      </c>
    </row>
    <row r="1048" spans="1:12" hidden="1" x14ac:dyDescent="0.3">
      <c r="A1048" s="39">
        <v>46072.578981481478</v>
      </c>
      <c r="B1048" s="33">
        <v>4430293755</v>
      </c>
      <c r="C1048" s="33" t="s">
        <v>43</v>
      </c>
      <c r="D1048" s="33">
        <v>4430265054</v>
      </c>
      <c r="E1048" s="33">
        <v>553</v>
      </c>
      <c r="F1048" s="33">
        <v>522</v>
      </c>
      <c r="G1048" s="33" t="s">
        <v>38</v>
      </c>
      <c r="H1048" s="33" t="s">
        <v>4007</v>
      </c>
      <c r="I1048" s="33" t="s">
        <v>39</v>
      </c>
      <c r="J1048" s="33" t="s">
        <v>40</v>
      </c>
      <c r="K1048" s="33" t="s">
        <v>41</v>
      </c>
    </row>
    <row r="1049" spans="1:12" hidden="1" x14ac:dyDescent="0.3">
      <c r="A1049" s="39">
        <v>46072.578483796293</v>
      </c>
      <c r="B1049" s="33">
        <v>4431414587</v>
      </c>
      <c r="C1049" s="33">
        <v>4430265054</v>
      </c>
      <c r="D1049" s="33">
        <v>4430265054</v>
      </c>
      <c r="E1049" s="33">
        <v>92</v>
      </c>
      <c r="F1049" s="33">
        <v>91</v>
      </c>
      <c r="G1049" s="33" t="s">
        <v>3449</v>
      </c>
      <c r="H1049" s="33" t="s">
        <v>4008</v>
      </c>
      <c r="I1049" s="33" t="s">
        <v>39</v>
      </c>
      <c r="J1049" s="33" t="s">
        <v>3451</v>
      </c>
      <c r="K1049" s="33" t="s">
        <v>41</v>
      </c>
    </row>
    <row r="1050" spans="1:12" hidden="1" x14ac:dyDescent="0.3">
      <c r="A1050" s="39">
        <v>46072.576840277776</v>
      </c>
      <c r="B1050" s="33">
        <v>1131043888</v>
      </c>
      <c r="C1050" s="33" t="s">
        <v>48</v>
      </c>
      <c r="D1050" s="33">
        <v>4430265054</v>
      </c>
      <c r="E1050" s="33">
        <v>1173</v>
      </c>
      <c r="F1050" s="33">
        <v>1153</v>
      </c>
      <c r="G1050" s="33" t="s">
        <v>38</v>
      </c>
      <c r="H1050" s="33" t="s">
        <v>4009</v>
      </c>
      <c r="I1050" s="33" t="s">
        <v>39</v>
      </c>
      <c r="J1050" s="33" t="s">
        <v>40</v>
      </c>
      <c r="K1050" s="33" t="s">
        <v>41</v>
      </c>
    </row>
    <row r="1051" spans="1:12" hidden="1" x14ac:dyDescent="0.3">
      <c r="A1051" s="39">
        <v>46072.574340277781</v>
      </c>
      <c r="B1051" s="33">
        <v>1128787060</v>
      </c>
      <c r="C1051" s="33">
        <v>3000</v>
      </c>
      <c r="D1051" s="33">
        <v>4430265054</v>
      </c>
      <c r="E1051" s="33">
        <v>136</v>
      </c>
      <c r="F1051" s="33">
        <v>123</v>
      </c>
      <c r="G1051" s="33" t="s">
        <v>38</v>
      </c>
      <c r="H1051" s="33" t="s">
        <v>4010</v>
      </c>
      <c r="I1051" s="33" t="s">
        <v>39</v>
      </c>
      <c r="J1051" s="33" t="s">
        <v>3451</v>
      </c>
      <c r="K1051" s="33" t="s">
        <v>41</v>
      </c>
    </row>
    <row r="1052" spans="1:12" hidden="1" x14ac:dyDescent="0.3">
      <c r="A1052" s="39">
        <v>46072.573148148149</v>
      </c>
      <c r="B1052" s="33" t="s">
        <v>42</v>
      </c>
      <c r="C1052" s="33">
        <v>4430459001</v>
      </c>
      <c r="E1052" s="33">
        <v>799</v>
      </c>
      <c r="F1052" s="33">
        <v>777</v>
      </c>
      <c r="G1052" s="33" t="s">
        <v>38</v>
      </c>
      <c r="H1052" s="33" t="s">
        <v>5579</v>
      </c>
      <c r="I1052" s="33" t="s">
        <v>46</v>
      </c>
      <c r="J1052" s="33" t="s">
        <v>40</v>
      </c>
    </row>
    <row r="1053" spans="1:12" hidden="1" x14ac:dyDescent="0.3">
      <c r="A1053" s="39">
        <v>46072.572199074071</v>
      </c>
      <c r="B1053" s="33" t="s">
        <v>42</v>
      </c>
      <c r="C1053" s="33">
        <v>4430459001</v>
      </c>
      <c r="E1053" s="33">
        <v>73</v>
      </c>
      <c r="F1053" s="33">
        <v>31</v>
      </c>
      <c r="G1053" s="33" t="s">
        <v>38</v>
      </c>
      <c r="H1053" s="33" t="s">
        <v>5580</v>
      </c>
      <c r="I1053" s="33" t="s">
        <v>46</v>
      </c>
      <c r="J1053" s="33" t="s">
        <v>40</v>
      </c>
    </row>
    <row r="1054" spans="1:12" hidden="1" x14ac:dyDescent="0.3">
      <c r="A1054" s="39">
        <v>46072.571851851855</v>
      </c>
      <c r="B1054" s="33">
        <v>4430162376</v>
      </c>
      <c r="C1054" s="33" t="s">
        <v>45</v>
      </c>
      <c r="D1054" s="33">
        <v>4430265054</v>
      </c>
      <c r="E1054" s="33">
        <v>960</v>
      </c>
      <c r="F1054" s="33">
        <v>925</v>
      </c>
      <c r="G1054" s="33" t="s">
        <v>38</v>
      </c>
      <c r="H1054" s="33" t="s">
        <v>4011</v>
      </c>
      <c r="I1054" s="33" t="s">
        <v>39</v>
      </c>
      <c r="J1054" s="33" t="s">
        <v>40</v>
      </c>
      <c r="K1054" s="33" t="s">
        <v>41</v>
      </c>
    </row>
    <row r="1055" spans="1:12" hidden="1" x14ac:dyDescent="0.3">
      <c r="A1055" s="39">
        <v>46072.571180555555</v>
      </c>
      <c r="B1055" s="33">
        <v>4430162384</v>
      </c>
      <c r="C1055" s="33">
        <v>4430265054</v>
      </c>
      <c r="D1055" s="33">
        <v>4430265054</v>
      </c>
      <c r="E1055" s="33">
        <v>10</v>
      </c>
      <c r="F1055" s="33">
        <v>9</v>
      </c>
      <c r="G1055" s="33" t="s">
        <v>3449</v>
      </c>
      <c r="H1055" s="33" t="s">
        <v>5581</v>
      </c>
      <c r="I1055" s="33" t="s">
        <v>39</v>
      </c>
      <c r="J1055" s="33" t="s">
        <v>3451</v>
      </c>
    </row>
    <row r="1056" spans="1:12" hidden="1" x14ac:dyDescent="0.3">
      <c r="A1056" s="39">
        <v>46072.570706018516</v>
      </c>
      <c r="B1056" s="33">
        <v>44988255390</v>
      </c>
      <c r="C1056" s="33" t="s">
        <v>44</v>
      </c>
      <c r="D1056" s="33">
        <v>4430265054</v>
      </c>
      <c r="E1056" s="33">
        <v>659</v>
      </c>
      <c r="F1056" s="33">
        <v>603</v>
      </c>
      <c r="G1056" s="33" t="s">
        <v>38</v>
      </c>
      <c r="H1056" s="33" t="s">
        <v>4012</v>
      </c>
      <c r="I1056" s="33" t="s">
        <v>39</v>
      </c>
      <c r="J1056" s="33" t="s">
        <v>40</v>
      </c>
      <c r="K1056" s="33" t="s">
        <v>41</v>
      </c>
    </row>
    <row r="1057" spans="1:12" hidden="1" x14ac:dyDescent="0.3">
      <c r="A1057" s="39">
        <v>46072.570185185185</v>
      </c>
      <c r="B1057" s="33">
        <v>4132440491</v>
      </c>
      <c r="C1057" s="33" t="s">
        <v>37</v>
      </c>
      <c r="D1057" s="33">
        <v>4430265054</v>
      </c>
      <c r="E1057" s="33">
        <v>2732</v>
      </c>
      <c r="F1057" s="33">
        <v>2648</v>
      </c>
      <c r="G1057" s="33" t="s">
        <v>38</v>
      </c>
      <c r="H1057" s="33" t="s">
        <v>4013</v>
      </c>
      <c r="I1057" s="33" t="s">
        <v>39</v>
      </c>
      <c r="J1057" s="33" t="s">
        <v>40</v>
      </c>
      <c r="K1057" s="33" t="s">
        <v>41</v>
      </c>
    </row>
    <row r="1058" spans="1:12" hidden="1" x14ac:dyDescent="0.3">
      <c r="A1058" s="39">
        <v>46072.569374999999</v>
      </c>
      <c r="B1058" s="33">
        <v>4430162384</v>
      </c>
      <c r="C1058" s="33">
        <v>4430265054</v>
      </c>
      <c r="D1058" s="33">
        <v>4430265054</v>
      </c>
      <c r="E1058" s="33">
        <v>80</v>
      </c>
      <c r="F1058" s="33">
        <v>79</v>
      </c>
      <c r="G1058" s="33" t="s">
        <v>3449</v>
      </c>
      <c r="H1058" s="33" t="s">
        <v>4014</v>
      </c>
      <c r="I1058" s="33" t="s">
        <v>39</v>
      </c>
      <c r="J1058" s="33" t="s">
        <v>3451</v>
      </c>
      <c r="K1058" s="33" t="s">
        <v>41</v>
      </c>
    </row>
    <row r="1059" spans="1:12" hidden="1" x14ac:dyDescent="0.3">
      <c r="A1059" s="39">
        <v>46072.56927083333</v>
      </c>
      <c r="B1059" s="33">
        <v>4430318516</v>
      </c>
      <c r="C1059" s="33" t="s">
        <v>43</v>
      </c>
      <c r="D1059" s="33">
        <v>4430265054</v>
      </c>
      <c r="E1059" s="33">
        <v>672</v>
      </c>
      <c r="F1059" s="33">
        <v>614</v>
      </c>
      <c r="G1059" s="33" t="s">
        <v>38</v>
      </c>
      <c r="H1059" s="33" t="s">
        <v>4015</v>
      </c>
      <c r="I1059" s="33" t="s">
        <v>39</v>
      </c>
      <c r="J1059" s="33" t="s">
        <v>40</v>
      </c>
      <c r="K1059" s="33" t="s">
        <v>41</v>
      </c>
    </row>
    <row r="1060" spans="1:12" hidden="1" x14ac:dyDescent="0.3">
      <c r="A1060" s="39">
        <v>46072.566678240742</v>
      </c>
      <c r="B1060" s="33">
        <v>44998636008</v>
      </c>
      <c r="C1060" s="33" t="s">
        <v>45</v>
      </c>
      <c r="D1060" s="33">
        <v>4430265054</v>
      </c>
      <c r="E1060" s="33">
        <v>385</v>
      </c>
      <c r="F1060" s="33">
        <v>337</v>
      </c>
      <c r="G1060" s="33" t="s">
        <v>38</v>
      </c>
      <c r="H1060" s="33" t="s">
        <v>4016</v>
      </c>
      <c r="I1060" s="33" t="s">
        <v>39</v>
      </c>
      <c r="J1060" s="33" t="s">
        <v>40</v>
      </c>
      <c r="K1060" s="33" t="s">
        <v>41</v>
      </c>
      <c r="L1060" s="33">
        <v>5</v>
      </c>
    </row>
    <row r="1061" spans="1:12" hidden="1" x14ac:dyDescent="0.3">
      <c r="A1061" s="39">
        <v>46072.566192129627</v>
      </c>
      <c r="B1061" s="33" t="s">
        <v>48</v>
      </c>
      <c r="C1061" s="33">
        <v>1639391799</v>
      </c>
      <c r="E1061" s="33">
        <v>69</v>
      </c>
      <c r="F1061" s="33">
        <v>52</v>
      </c>
      <c r="G1061" s="33" t="s">
        <v>38</v>
      </c>
      <c r="H1061" s="33" t="s">
        <v>5582</v>
      </c>
      <c r="I1061" s="33" t="s">
        <v>46</v>
      </c>
      <c r="J1061" s="33" t="s">
        <v>40</v>
      </c>
    </row>
    <row r="1062" spans="1:12" hidden="1" x14ac:dyDescent="0.3">
      <c r="A1062" s="39">
        <v>46072.565729166665</v>
      </c>
      <c r="B1062" s="33" t="s">
        <v>48</v>
      </c>
      <c r="C1062" s="33">
        <v>1630127977</v>
      </c>
      <c r="E1062" s="33">
        <v>5</v>
      </c>
      <c r="F1062" s="33">
        <v>0</v>
      </c>
      <c r="G1062" s="33" t="s">
        <v>47</v>
      </c>
      <c r="H1062" s="33" t="s">
        <v>5583</v>
      </c>
      <c r="I1062" s="33" t="s">
        <v>46</v>
      </c>
      <c r="J1062" s="33" t="s">
        <v>40</v>
      </c>
    </row>
    <row r="1063" spans="1:12" hidden="1" x14ac:dyDescent="0.3">
      <c r="A1063" s="39">
        <v>46072.565659722219</v>
      </c>
      <c r="B1063" s="33" t="s">
        <v>48</v>
      </c>
      <c r="C1063" s="33">
        <v>1630127977</v>
      </c>
      <c r="E1063" s="33">
        <v>3</v>
      </c>
      <c r="F1063" s="33">
        <v>0</v>
      </c>
      <c r="G1063" s="33" t="s">
        <v>47</v>
      </c>
      <c r="H1063" s="33" t="s">
        <v>5584</v>
      </c>
      <c r="I1063" s="33" t="s">
        <v>46</v>
      </c>
      <c r="J1063" s="33" t="s">
        <v>40</v>
      </c>
    </row>
    <row r="1064" spans="1:12" hidden="1" x14ac:dyDescent="0.3">
      <c r="A1064" s="39">
        <v>46072.564745370371</v>
      </c>
      <c r="B1064" s="33">
        <v>41996175686</v>
      </c>
      <c r="C1064" s="33">
        <v>4430265054</v>
      </c>
      <c r="D1064" s="33">
        <v>4430265054</v>
      </c>
      <c r="E1064" s="33">
        <v>5</v>
      </c>
      <c r="F1064" s="33">
        <v>4</v>
      </c>
      <c r="G1064" s="33" t="s">
        <v>3449</v>
      </c>
      <c r="H1064" s="33" t="s">
        <v>5585</v>
      </c>
      <c r="I1064" s="33" t="s">
        <v>39</v>
      </c>
      <c r="J1064" s="33" t="s">
        <v>3451</v>
      </c>
    </row>
    <row r="1065" spans="1:12" hidden="1" x14ac:dyDescent="0.3">
      <c r="A1065" s="39">
        <v>46072.56077546296</v>
      </c>
      <c r="B1065" s="33">
        <v>4430459032</v>
      </c>
      <c r="C1065" s="33">
        <v>4430265054</v>
      </c>
      <c r="D1065" s="33">
        <v>4430265054</v>
      </c>
      <c r="E1065" s="33">
        <v>14</v>
      </c>
      <c r="F1065" s="33">
        <v>13</v>
      </c>
      <c r="G1065" s="33" t="s">
        <v>3449</v>
      </c>
      <c r="H1065" s="33" t="s">
        <v>5586</v>
      </c>
      <c r="I1065" s="33" t="s">
        <v>39</v>
      </c>
      <c r="J1065" s="33" t="s">
        <v>3451</v>
      </c>
    </row>
    <row r="1066" spans="1:12" hidden="1" x14ac:dyDescent="0.3">
      <c r="A1066" s="39">
        <v>46072.48810185185</v>
      </c>
      <c r="B1066" s="33">
        <v>44988255390</v>
      </c>
      <c r="C1066" s="33" t="s">
        <v>37</v>
      </c>
      <c r="D1066" s="33">
        <v>4430265054</v>
      </c>
      <c r="E1066" s="33">
        <v>1310</v>
      </c>
      <c r="F1066" s="33">
        <v>1274</v>
      </c>
      <c r="G1066" s="33" t="s">
        <v>38</v>
      </c>
      <c r="H1066" s="33" t="s">
        <v>4017</v>
      </c>
      <c r="I1066" s="33" t="s">
        <v>39</v>
      </c>
      <c r="J1066" s="33" t="s">
        <v>40</v>
      </c>
      <c r="K1066" s="33" t="s">
        <v>41</v>
      </c>
    </row>
    <row r="1067" spans="1:12" hidden="1" x14ac:dyDescent="0.3">
      <c r="A1067" s="39">
        <v>46072.481412037036</v>
      </c>
      <c r="B1067" s="33" t="s">
        <v>37</v>
      </c>
      <c r="C1067" s="33">
        <v>4436196400</v>
      </c>
      <c r="E1067" s="33">
        <v>113</v>
      </c>
      <c r="F1067" s="33">
        <v>72</v>
      </c>
      <c r="G1067" s="33" t="s">
        <v>38</v>
      </c>
      <c r="H1067" s="33" t="s">
        <v>5587</v>
      </c>
      <c r="I1067" s="33" t="s">
        <v>46</v>
      </c>
      <c r="J1067" s="33" t="s">
        <v>40</v>
      </c>
    </row>
    <row r="1068" spans="1:12" hidden="1" x14ac:dyDescent="0.3">
      <c r="A1068" s="39">
        <v>46072.481226851851</v>
      </c>
      <c r="B1068" s="33" t="s">
        <v>37</v>
      </c>
      <c r="C1068" s="33">
        <v>4436196400</v>
      </c>
      <c r="E1068" s="33">
        <v>6</v>
      </c>
      <c r="F1068" s="33">
        <v>2</v>
      </c>
      <c r="G1068" s="33" t="s">
        <v>38</v>
      </c>
      <c r="H1068" s="33" t="s">
        <v>5588</v>
      </c>
      <c r="I1068" s="33" t="s">
        <v>46</v>
      </c>
      <c r="J1068" s="33" t="s">
        <v>40</v>
      </c>
    </row>
    <row r="1069" spans="1:12" hidden="1" x14ac:dyDescent="0.3">
      <c r="A1069" s="39">
        <v>46072.481134259258</v>
      </c>
      <c r="B1069" s="33" t="s">
        <v>37</v>
      </c>
      <c r="C1069" s="33">
        <v>4436196400</v>
      </c>
      <c r="E1069" s="33">
        <v>6</v>
      </c>
      <c r="F1069" s="33">
        <v>2</v>
      </c>
      <c r="G1069" s="33" t="s">
        <v>38</v>
      </c>
      <c r="H1069" s="33" t="s">
        <v>5589</v>
      </c>
      <c r="I1069" s="33" t="s">
        <v>46</v>
      </c>
      <c r="J1069" s="33" t="s">
        <v>40</v>
      </c>
    </row>
    <row r="1070" spans="1:12" hidden="1" x14ac:dyDescent="0.3">
      <c r="A1070" s="39">
        <v>46072.474027777775</v>
      </c>
      <c r="B1070" s="33" t="s">
        <v>3627</v>
      </c>
      <c r="C1070" s="33">
        <v>84996440217</v>
      </c>
      <c r="E1070" s="33">
        <v>17</v>
      </c>
      <c r="F1070" s="33">
        <v>0</v>
      </c>
      <c r="G1070" s="33" t="s">
        <v>47</v>
      </c>
      <c r="H1070" s="33" t="s">
        <v>5590</v>
      </c>
      <c r="I1070" s="33" t="s">
        <v>46</v>
      </c>
      <c r="J1070" s="33" t="s">
        <v>3629</v>
      </c>
    </row>
    <row r="1071" spans="1:12" hidden="1" x14ac:dyDescent="0.3">
      <c r="A1071" s="39">
        <v>46072.473425925928</v>
      </c>
      <c r="B1071" s="33">
        <v>44991668902</v>
      </c>
      <c r="C1071" s="33" t="s">
        <v>48</v>
      </c>
      <c r="D1071" s="33">
        <v>4430265054</v>
      </c>
      <c r="E1071" s="33">
        <v>131</v>
      </c>
      <c r="F1071" s="33">
        <v>92</v>
      </c>
      <c r="G1071" s="33" t="s">
        <v>38</v>
      </c>
      <c r="H1071" s="33" t="s">
        <v>4018</v>
      </c>
      <c r="I1071" s="33" t="s">
        <v>39</v>
      </c>
      <c r="J1071" s="33" t="s">
        <v>40</v>
      </c>
      <c r="K1071" s="33" t="s">
        <v>41</v>
      </c>
    </row>
    <row r="1072" spans="1:12" hidden="1" x14ac:dyDescent="0.3">
      <c r="A1072" s="39">
        <v>46072.473171296297</v>
      </c>
      <c r="B1072" s="33">
        <v>44991484476</v>
      </c>
      <c r="C1072" s="33" t="s">
        <v>43</v>
      </c>
      <c r="D1072" s="33">
        <v>4430265054</v>
      </c>
      <c r="E1072" s="33">
        <v>103</v>
      </c>
      <c r="F1072" s="33">
        <v>40</v>
      </c>
      <c r="G1072" s="33" t="s">
        <v>38</v>
      </c>
      <c r="H1072" s="33" t="s">
        <v>4019</v>
      </c>
      <c r="I1072" s="33" t="s">
        <v>39</v>
      </c>
      <c r="J1072" s="33" t="s">
        <v>40</v>
      </c>
      <c r="K1072" s="33" t="s">
        <v>41</v>
      </c>
    </row>
    <row r="1073" spans="1:12" hidden="1" x14ac:dyDescent="0.3">
      <c r="A1073" s="39">
        <v>46072.472951388889</v>
      </c>
      <c r="B1073" s="33">
        <v>44998068281</v>
      </c>
      <c r="C1073" s="33" t="s">
        <v>45</v>
      </c>
      <c r="D1073" s="33">
        <v>4430265054</v>
      </c>
      <c r="E1073" s="33">
        <v>2327</v>
      </c>
      <c r="F1073" s="33">
        <v>2295</v>
      </c>
      <c r="G1073" s="33" t="s">
        <v>38</v>
      </c>
      <c r="H1073" s="33" t="s">
        <v>4020</v>
      </c>
      <c r="I1073" s="33" t="s">
        <v>39</v>
      </c>
      <c r="J1073" s="33" t="s">
        <v>40</v>
      </c>
      <c r="K1073" s="33" t="s">
        <v>41</v>
      </c>
      <c r="L1073" s="33">
        <v>5</v>
      </c>
    </row>
    <row r="1074" spans="1:12" hidden="1" x14ac:dyDescent="0.3">
      <c r="A1074" s="39">
        <v>46072.47148148148</v>
      </c>
      <c r="B1074" s="33" t="s">
        <v>3627</v>
      </c>
      <c r="C1074" s="33">
        <v>94991985909</v>
      </c>
      <c r="E1074" s="33">
        <v>23</v>
      </c>
      <c r="F1074" s="33">
        <v>8</v>
      </c>
      <c r="G1074" s="33" t="s">
        <v>38</v>
      </c>
      <c r="H1074" s="33" t="s">
        <v>5591</v>
      </c>
      <c r="I1074" s="33" t="s">
        <v>46</v>
      </c>
      <c r="J1074" s="33" t="s">
        <v>3629</v>
      </c>
    </row>
    <row r="1075" spans="1:12" hidden="1" x14ac:dyDescent="0.3">
      <c r="A1075" s="39">
        <v>46072.470219907409</v>
      </c>
      <c r="B1075" s="33">
        <v>4430288517</v>
      </c>
      <c r="C1075" s="33" t="s">
        <v>37</v>
      </c>
      <c r="D1075" s="33">
        <v>4430265054</v>
      </c>
      <c r="E1075" s="33">
        <v>833</v>
      </c>
      <c r="F1075" s="33">
        <v>668</v>
      </c>
      <c r="G1075" s="33" t="s">
        <v>38</v>
      </c>
      <c r="H1075" s="33" t="s">
        <v>4021</v>
      </c>
      <c r="I1075" s="33" t="s">
        <v>39</v>
      </c>
      <c r="J1075" s="33" t="s">
        <v>40</v>
      </c>
      <c r="K1075" s="33" t="s">
        <v>41</v>
      </c>
    </row>
    <row r="1076" spans="1:12" hidden="1" x14ac:dyDescent="0.3">
      <c r="A1076" s="39">
        <v>46072.466828703706</v>
      </c>
      <c r="B1076" s="33">
        <v>44991484476</v>
      </c>
      <c r="C1076" s="33" t="s">
        <v>45</v>
      </c>
      <c r="D1076" s="33">
        <v>4430265054</v>
      </c>
      <c r="E1076" s="33">
        <v>267</v>
      </c>
      <c r="F1076" s="33">
        <v>214</v>
      </c>
      <c r="G1076" s="33" t="s">
        <v>38</v>
      </c>
      <c r="H1076" s="33" t="s">
        <v>4022</v>
      </c>
      <c r="I1076" s="33" t="s">
        <v>39</v>
      </c>
      <c r="J1076" s="33" t="s">
        <v>40</v>
      </c>
      <c r="K1076" s="33" t="s">
        <v>41</v>
      </c>
    </row>
    <row r="1077" spans="1:12" hidden="1" x14ac:dyDescent="0.3">
      <c r="A1077" s="39">
        <v>46072.459976851853</v>
      </c>
      <c r="B1077" s="33">
        <v>44991113954</v>
      </c>
      <c r="C1077" s="33" t="s">
        <v>45</v>
      </c>
      <c r="D1077" s="33">
        <v>4430265054</v>
      </c>
      <c r="E1077" s="33">
        <v>284</v>
      </c>
      <c r="F1077" s="33">
        <v>252</v>
      </c>
      <c r="G1077" s="33" t="s">
        <v>38</v>
      </c>
      <c r="H1077" s="33" t="s">
        <v>4023</v>
      </c>
      <c r="I1077" s="33" t="s">
        <v>39</v>
      </c>
      <c r="J1077" s="33" t="s">
        <v>40</v>
      </c>
      <c r="K1077" s="33" t="s">
        <v>41</v>
      </c>
    </row>
    <row r="1078" spans="1:12" hidden="1" x14ac:dyDescent="0.3">
      <c r="A1078" s="39">
        <v>46072.459421296298</v>
      </c>
      <c r="B1078" s="33" t="s">
        <v>3627</v>
      </c>
      <c r="C1078" s="33">
        <v>88994844555</v>
      </c>
      <c r="E1078" s="33">
        <v>28</v>
      </c>
      <c r="F1078" s="33">
        <v>7</v>
      </c>
      <c r="G1078" s="33" t="s">
        <v>38</v>
      </c>
      <c r="H1078" s="33" t="s">
        <v>5592</v>
      </c>
      <c r="I1078" s="33" t="s">
        <v>46</v>
      </c>
      <c r="J1078" s="33" t="s">
        <v>3629</v>
      </c>
    </row>
    <row r="1079" spans="1:12" hidden="1" x14ac:dyDescent="0.3">
      <c r="A1079" s="39">
        <v>46072.456736111111</v>
      </c>
      <c r="B1079" s="33" t="s">
        <v>48</v>
      </c>
      <c r="C1079" s="33">
        <v>4430451715</v>
      </c>
      <c r="E1079" s="33">
        <v>58</v>
      </c>
      <c r="F1079" s="33">
        <v>51</v>
      </c>
      <c r="G1079" s="33" t="s">
        <v>38</v>
      </c>
      <c r="H1079" s="33" t="s">
        <v>5593</v>
      </c>
      <c r="I1079" s="33" t="s">
        <v>46</v>
      </c>
      <c r="J1079" s="33" t="s">
        <v>40</v>
      </c>
    </row>
    <row r="1080" spans="1:12" hidden="1" x14ac:dyDescent="0.3">
      <c r="A1080" s="39">
        <v>46072.454780092594</v>
      </c>
      <c r="B1080" s="33">
        <v>4430414545</v>
      </c>
      <c r="C1080" s="33" t="s">
        <v>44</v>
      </c>
      <c r="D1080" s="33">
        <v>4430265054</v>
      </c>
      <c r="E1080" s="33">
        <v>840</v>
      </c>
      <c r="F1080" s="33">
        <v>812</v>
      </c>
      <c r="G1080" s="33" t="s">
        <v>38</v>
      </c>
      <c r="H1080" s="33" t="s">
        <v>4024</v>
      </c>
      <c r="I1080" s="33" t="s">
        <v>39</v>
      </c>
      <c r="J1080" s="33" t="s">
        <v>40</v>
      </c>
      <c r="K1080" s="33" t="s">
        <v>41</v>
      </c>
    </row>
    <row r="1081" spans="1:12" hidden="1" x14ac:dyDescent="0.3">
      <c r="A1081" s="39">
        <v>46072.453622685185</v>
      </c>
      <c r="B1081" s="33">
        <v>67996356530</v>
      </c>
      <c r="C1081" s="33" t="s">
        <v>43</v>
      </c>
      <c r="D1081" s="33">
        <v>4430265054</v>
      </c>
      <c r="E1081" s="33">
        <v>728</v>
      </c>
      <c r="F1081" s="33">
        <v>702</v>
      </c>
      <c r="G1081" s="33" t="s">
        <v>38</v>
      </c>
      <c r="H1081" s="33" t="s">
        <v>4025</v>
      </c>
      <c r="I1081" s="33" t="s">
        <v>39</v>
      </c>
      <c r="J1081" s="33" t="s">
        <v>40</v>
      </c>
      <c r="K1081" s="33" t="s">
        <v>41</v>
      </c>
      <c r="L1081" s="33">
        <v>5</v>
      </c>
    </row>
    <row r="1082" spans="1:12" hidden="1" x14ac:dyDescent="0.3">
      <c r="A1082" s="39">
        <v>46072.452974537038</v>
      </c>
      <c r="B1082" s="33">
        <v>4430141533</v>
      </c>
      <c r="C1082" s="33" t="s">
        <v>42</v>
      </c>
      <c r="D1082" s="33">
        <v>4430265054</v>
      </c>
      <c r="E1082" s="33">
        <v>157</v>
      </c>
      <c r="F1082" s="33">
        <v>126</v>
      </c>
      <c r="G1082" s="33" t="s">
        <v>38</v>
      </c>
      <c r="H1082" s="33" t="s">
        <v>4026</v>
      </c>
      <c r="I1082" s="33" t="s">
        <v>39</v>
      </c>
      <c r="J1082" s="33" t="s">
        <v>40</v>
      </c>
      <c r="K1082" s="33" t="s">
        <v>41</v>
      </c>
    </row>
    <row r="1083" spans="1:12" hidden="1" x14ac:dyDescent="0.3">
      <c r="A1083" s="39">
        <v>46072.451516203706</v>
      </c>
      <c r="B1083" s="33">
        <v>4432672194</v>
      </c>
      <c r="C1083" s="33" t="s">
        <v>48</v>
      </c>
      <c r="D1083" s="33">
        <v>4430265054</v>
      </c>
      <c r="E1083" s="33">
        <v>215</v>
      </c>
      <c r="F1083" s="33">
        <v>192</v>
      </c>
      <c r="G1083" s="33" t="s">
        <v>38</v>
      </c>
      <c r="H1083" s="33" t="s">
        <v>4027</v>
      </c>
      <c r="I1083" s="33" t="s">
        <v>39</v>
      </c>
      <c r="J1083" s="33" t="s">
        <v>40</v>
      </c>
      <c r="K1083" s="33" t="s">
        <v>41</v>
      </c>
    </row>
    <row r="1084" spans="1:12" hidden="1" x14ac:dyDescent="0.3">
      <c r="A1084" s="39">
        <v>46072.451157407406</v>
      </c>
      <c r="B1084" s="33">
        <v>4334226481</v>
      </c>
      <c r="C1084" s="33" t="s">
        <v>45</v>
      </c>
      <c r="D1084" s="33">
        <v>4430265054</v>
      </c>
      <c r="E1084" s="33">
        <v>705</v>
      </c>
      <c r="F1084" s="33">
        <v>527</v>
      </c>
      <c r="G1084" s="33" t="s">
        <v>38</v>
      </c>
      <c r="H1084" s="33" t="s">
        <v>4028</v>
      </c>
      <c r="I1084" s="33" t="s">
        <v>39</v>
      </c>
      <c r="J1084" s="33" t="s">
        <v>40</v>
      </c>
      <c r="K1084" s="33" t="s">
        <v>41</v>
      </c>
      <c r="L1084" s="33">
        <v>5</v>
      </c>
    </row>
    <row r="1085" spans="1:12" hidden="1" x14ac:dyDescent="0.3">
      <c r="A1085" s="39">
        <v>46072.447638888887</v>
      </c>
      <c r="B1085" s="33" t="s">
        <v>3627</v>
      </c>
      <c r="C1085" s="33">
        <v>21985342789</v>
      </c>
      <c r="E1085" s="33">
        <v>33</v>
      </c>
      <c r="F1085" s="33">
        <v>0</v>
      </c>
      <c r="G1085" s="33" t="s">
        <v>47</v>
      </c>
      <c r="H1085" s="33" t="s">
        <v>5594</v>
      </c>
      <c r="I1085" s="33" t="s">
        <v>46</v>
      </c>
      <c r="J1085" s="33" t="s">
        <v>3629</v>
      </c>
    </row>
    <row r="1086" spans="1:12" hidden="1" x14ac:dyDescent="0.3">
      <c r="A1086" s="39">
        <v>46072.444699074076</v>
      </c>
      <c r="B1086" s="33">
        <v>44991484476</v>
      </c>
      <c r="C1086" s="33" t="s">
        <v>45</v>
      </c>
      <c r="D1086" s="33">
        <v>4430265054</v>
      </c>
      <c r="E1086" s="33">
        <v>543</v>
      </c>
      <c r="F1086" s="33">
        <v>517</v>
      </c>
      <c r="G1086" s="33" t="s">
        <v>38</v>
      </c>
      <c r="H1086" s="33" t="s">
        <v>4029</v>
      </c>
      <c r="I1086" s="33" t="s">
        <v>39</v>
      </c>
      <c r="J1086" s="33" t="s">
        <v>40</v>
      </c>
      <c r="K1086" s="33" t="s">
        <v>41</v>
      </c>
      <c r="L1086" s="33">
        <v>5</v>
      </c>
    </row>
    <row r="1087" spans="1:12" hidden="1" x14ac:dyDescent="0.3">
      <c r="A1087" s="39">
        <v>46072.443020833336</v>
      </c>
      <c r="B1087" s="33">
        <v>4430414545</v>
      </c>
      <c r="C1087" s="33">
        <v>4430265054</v>
      </c>
      <c r="D1087" s="33">
        <v>4430265054</v>
      </c>
      <c r="E1087" s="33">
        <v>11</v>
      </c>
      <c r="F1087" s="33">
        <v>11</v>
      </c>
      <c r="G1087" s="33" t="s">
        <v>3449</v>
      </c>
      <c r="H1087" s="33" t="s">
        <v>5595</v>
      </c>
      <c r="I1087" s="33" t="s">
        <v>39</v>
      </c>
      <c r="J1087" s="33" t="s">
        <v>3451</v>
      </c>
    </row>
    <row r="1088" spans="1:12" hidden="1" x14ac:dyDescent="0.3">
      <c r="A1088" s="39">
        <v>46072.439571759256</v>
      </c>
      <c r="B1088" s="33" t="s">
        <v>48</v>
      </c>
      <c r="C1088" s="33">
        <v>4430451715</v>
      </c>
      <c r="E1088" s="33">
        <v>25</v>
      </c>
      <c r="F1088" s="33">
        <v>21</v>
      </c>
      <c r="G1088" s="33" t="s">
        <v>38</v>
      </c>
      <c r="H1088" s="33" t="s">
        <v>5596</v>
      </c>
      <c r="I1088" s="33" t="s">
        <v>46</v>
      </c>
      <c r="J1088" s="33" t="s">
        <v>40</v>
      </c>
    </row>
    <row r="1089" spans="1:12" hidden="1" x14ac:dyDescent="0.3">
      <c r="A1089" s="39">
        <v>46072.43513888889</v>
      </c>
      <c r="B1089" s="33">
        <v>44984198651</v>
      </c>
      <c r="C1089" s="33" t="s">
        <v>42</v>
      </c>
      <c r="D1089" s="33">
        <v>4430265054</v>
      </c>
      <c r="E1089" s="33">
        <v>652</v>
      </c>
      <c r="F1089" s="33">
        <v>629</v>
      </c>
      <c r="G1089" s="33" t="s">
        <v>38</v>
      </c>
      <c r="H1089" s="33" t="s">
        <v>4030</v>
      </c>
      <c r="I1089" s="33" t="s">
        <v>39</v>
      </c>
      <c r="J1089" s="33" t="s">
        <v>40</v>
      </c>
      <c r="K1089" s="33" t="s">
        <v>41</v>
      </c>
    </row>
    <row r="1090" spans="1:12" hidden="1" x14ac:dyDescent="0.3">
      <c r="A1090" s="39">
        <v>46072.433229166665</v>
      </c>
      <c r="B1090" s="33">
        <v>11964449514</v>
      </c>
      <c r="C1090" s="33" t="s">
        <v>44</v>
      </c>
      <c r="D1090" s="33">
        <v>4431268225</v>
      </c>
      <c r="E1090" s="33">
        <v>985</v>
      </c>
      <c r="F1090" s="33">
        <v>944</v>
      </c>
      <c r="G1090" s="33" t="s">
        <v>38</v>
      </c>
      <c r="H1090" s="33" t="s">
        <v>4031</v>
      </c>
      <c r="I1090" s="33" t="s">
        <v>39</v>
      </c>
      <c r="J1090" s="33" t="s">
        <v>40</v>
      </c>
      <c r="K1090" s="33" t="s">
        <v>41</v>
      </c>
    </row>
    <row r="1091" spans="1:12" hidden="1" x14ac:dyDescent="0.3">
      <c r="A1091" s="39">
        <v>46072.43141203704</v>
      </c>
      <c r="B1091" s="33">
        <v>44988443028</v>
      </c>
      <c r="C1091" s="33" t="s">
        <v>37</v>
      </c>
      <c r="D1091" s="33">
        <v>4430265054</v>
      </c>
      <c r="E1091" s="33">
        <v>2989</v>
      </c>
      <c r="F1091" s="33">
        <v>2888</v>
      </c>
      <c r="G1091" s="33" t="s">
        <v>38</v>
      </c>
      <c r="H1091" s="33" t="s">
        <v>4032</v>
      </c>
      <c r="I1091" s="33" t="s">
        <v>39</v>
      </c>
      <c r="J1091" s="33" t="s">
        <v>40</v>
      </c>
      <c r="K1091" s="33" t="s">
        <v>41</v>
      </c>
    </row>
    <row r="1092" spans="1:12" hidden="1" x14ac:dyDescent="0.3">
      <c r="A1092" s="39">
        <v>46072.429699074077</v>
      </c>
      <c r="B1092" s="33" t="s">
        <v>48</v>
      </c>
      <c r="C1092" s="33">
        <v>4431337559</v>
      </c>
      <c r="E1092" s="33">
        <v>462</v>
      </c>
      <c r="F1092" s="33">
        <v>450</v>
      </c>
      <c r="G1092" s="33" t="s">
        <v>38</v>
      </c>
      <c r="H1092" s="33" t="s">
        <v>5597</v>
      </c>
      <c r="I1092" s="33" t="s">
        <v>46</v>
      </c>
      <c r="J1092" s="33" t="s">
        <v>40</v>
      </c>
    </row>
    <row r="1093" spans="1:12" hidden="1" x14ac:dyDescent="0.3">
      <c r="A1093" s="39">
        <v>46072.429629629631</v>
      </c>
      <c r="B1093" s="33" t="s">
        <v>48</v>
      </c>
      <c r="C1093" s="33">
        <v>4431337559</v>
      </c>
      <c r="E1093" s="33">
        <v>4</v>
      </c>
      <c r="F1093" s="33">
        <v>0</v>
      </c>
      <c r="G1093" s="33" t="s">
        <v>47</v>
      </c>
      <c r="H1093" s="33" t="s">
        <v>5598</v>
      </c>
      <c r="I1093" s="33" t="s">
        <v>46</v>
      </c>
      <c r="J1093" s="33" t="s">
        <v>40</v>
      </c>
    </row>
    <row r="1094" spans="1:12" hidden="1" x14ac:dyDescent="0.3">
      <c r="A1094" s="39">
        <v>46072.426898148151</v>
      </c>
      <c r="B1094" s="33">
        <v>47999760576</v>
      </c>
      <c r="C1094" s="33" t="s">
        <v>43</v>
      </c>
      <c r="D1094" s="33">
        <v>4430265054</v>
      </c>
      <c r="E1094" s="33">
        <v>255</v>
      </c>
      <c r="F1094" s="33">
        <v>209</v>
      </c>
      <c r="G1094" s="33" t="s">
        <v>38</v>
      </c>
      <c r="H1094" s="33" t="s">
        <v>4033</v>
      </c>
      <c r="I1094" s="33" t="s">
        <v>39</v>
      </c>
      <c r="J1094" s="33" t="s">
        <v>40</v>
      </c>
      <c r="K1094" s="33" t="s">
        <v>41</v>
      </c>
    </row>
    <row r="1095" spans="1:12" hidden="1" x14ac:dyDescent="0.3">
      <c r="A1095" s="39">
        <v>46072.424456018518</v>
      </c>
      <c r="B1095" s="33">
        <v>4133491428</v>
      </c>
      <c r="C1095" s="33" t="s">
        <v>37</v>
      </c>
      <c r="D1095" s="33">
        <v>4430265054</v>
      </c>
      <c r="E1095" s="33">
        <v>364</v>
      </c>
      <c r="F1095" s="33">
        <v>282</v>
      </c>
      <c r="G1095" s="33" t="s">
        <v>38</v>
      </c>
      <c r="H1095" s="33" t="s">
        <v>4034</v>
      </c>
      <c r="I1095" s="33" t="s">
        <v>39</v>
      </c>
      <c r="J1095" s="33" t="s">
        <v>40</v>
      </c>
      <c r="K1095" s="33" t="s">
        <v>41</v>
      </c>
    </row>
    <row r="1096" spans="1:12" hidden="1" x14ac:dyDescent="0.3">
      <c r="A1096" s="39">
        <v>46072.423645833333</v>
      </c>
      <c r="B1096" s="33">
        <v>44988303530</v>
      </c>
      <c r="C1096" s="33" t="s">
        <v>43</v>
      </c>
      <c r="D1096" s="33">
        <v>4430265054</v>
      </c>
      <c r="E1096" s="33">
        <v>302</v>
      </c>
      <c r="F1096" s="33">
        <v>224</v>
      </c>
      <c r="G1096" s="33" t="s">
        <v>38</v>
      </c>
      <c r="H1096" s="33" t="s">
        <v>4035</v>
      </c>
      <c r="I1096" s="33" t="s">
        <v>39</v>
      </c>
      <c r="J1096" s="33" t="s">
        <v>40</v>
      </c>
      <c r="K1096" s="33" t="s">
        <v>41</v>
      </c>
    </row>
    <row r="1097" spans="1:12" hidden="1" x14ac:dyDescent="0.3">
      <c r="A1097" s="39">
        <v>46072.421307870369</v>
      </c>
      <c r="B1097" s="33" t="s">
        <v>45</v>
      </c>
      <c r="C1097" s="33">
        <v>4432325260</v>
      </c>
      <c r="E1097" s="33">
        <v>1660</v>
      </c>
      <c r="F1097" s="33">
        <v>1653</v>
      </c>
      <c r="G1097" s="33" t="s">
        <v>38</v>
      </c>
      <c r="H1097" s="33" t="s">
        <v>5599</v>
      </c>
      <c r="I1097" s="33" t="s">
        <v>46</v>
      </c>
      <c r="J1097" s="33" t="s">
        <v>40</v>
      </c>
      <c r="L1097" s="33">
        <v>5</v>
      </c>
    </row>
    <row r="1098" spans="1:12" hidden="1" x14ac:dyDescent="0.3">
      <c r="A1098" s="39">
        <v>46072.419710648152</v>
      </c>
      <c r="B1098" s="33">
        <v>44997618065</v>
      </c>
      <c r="C1098" s="33" t="s">
        <v>48</v>
      </c>
      <c r="D1098" s="33">
        <v>4430265054</v>
      </c>
      <c r="E1098" s="33">
        <v>652</v>
      </c>
      <c r="F1098" s="33">
        <v>651</v>
      </c>
      <c r="G1098" s="33" t="s">
        <v>38</v>
      </c>
      <c r="H1098" s="33" t="s">
        <v>4036</v>
      </c>
      <c r="I1098" s="33" t="s">
        <v>39</v>
      </c>
      <c r="J1098" s="33" t="s">
        <v>40</v>
      </c>
      <c r="K1098" s="33" t="s">
        <v>41</v>
      </c>
    </row>
    <row r="1099" spans="1:12" hidden="1" x14ac:dyDescent="0.3">
      <c r="A1099" s="39">
        <v>46072.418287037035</v>
      </c>
      <c r="B1099" s="33">
        <v>44984140993</v>
      </c>
      <c r="C1099" s="33" t="s">
        <v>37</v>
      </c>
      <c r="D1099" s="33">
        <v>4430265054</v>
      </c>
      <c r="E1099" s="33">
        <v>333</v>
      </c>
      <c r="F1099" s="33">
        <v>280</v>
      </c>
      <c r="G1099" s="33" t="s">
        <v>38</v>
      </c>
      <c r="H1099" s="33" t="s">
        <v>4037</v>
      </c>
      <c r="I1099" s="33" t="s">
        <v>39</v>
      </c>
      <c r="J1099" s="33" t="s">
        <v>40</v>
      </c>
      <c r="K1099" s="33" t="s">
        <v>41</v>
      </c>
    </row>
    <row r="1100" spans="1:12" hidden="1" x14ac:dyDescent="0.3">
      <c r="A1100" s="39">
        <v>46072.417939814812</v>
      </c>
      <c r="B1100" s="33">
        <v>44998636008</v>
      </c>
      <c r="C1100" s="33" t="s">
        <v>44</v>
      </c>
      <c r="D1100" s="33">
        <v>4430265054</v>
      </c>
      <c r="E1100" s="33">
        <v>220</v>
      </c>
      <c r="F1100" s="33">
        <v>199</v>
      </c>
      <c r="G1100" s="33" t="s">
        <v>38</v>
      </c>
      <c r="H1100" s="33" t="s">
        <v>4038</v>
      </c>
      <c r="I1100" s="33" t="s">
        <v>39</v>
      </c>
      <c r="J1100" s="33" t="s">
        <v>40</v>
      </c>
      <c r="K1100" s="33" t="s">
        <v>41</v>
      </c>
    </row>
    <row r="1101" spans="1:12" hidden="1" x14ac:dyDescent="0.3">
      <c r="A1101" s="39">
        <v>46072.417337962965</v>
      </c>
      <c r="B1101" s="33">
        <v>4430459001</v>
      </c>
      <c r="C1101" s="33" t="s">
        <v>42</v>
      </c>
      <c r="D1101" s="33">
        <v>4430265054</v>
      </c>
      <c r="E1101" s="33">
        <v>1077</v>
      </c>
      <c r="F1101" s="33">
        <v>1029</v>
      </c>
      <c r="G1101" s="33" t="s">
        <v>38</v>
      </c>
      <c r="H1101" s="33" t="s">
        <v>4039</v>
      </c>
      <c r="I1101" s="33" t="s">
        <v>39</v>
      </c>
      <c r="J1101" s="33" t="s">
        <v>40</v>
      </c>
      <c r="K1101" s="33" t="s">
        <v>41</v>
      </c>
    </row>
    <row r="1102" spans="1:12" hidden="1" x14ac:dyDescent="0.3">
      <c r="A1102" s="39">
        <v>46072.417199074072</v>
      </c>
      <c r="B1102" s="33">
        <v>44988067937</v>
      </c>
      <c r="C1102" s="33" t="s">
        <v>37</v>
      </c>
      <c r="D1102" s="33">
        <v>4430265054</v>
      </c>
      <c r="E1102" s="33">
        <v>121</v>
      </c>
      <c r="F1102" s="33">
        <v>76</v>
      </c>
      <c r="G1102" s="33" t="s">
        <v>38</v>
      </c>
      <c r="H1102" s="33" t="s">
        <v>4040</v>
      </c>
      <c r="I1102" s="33" t="s">
        <v>39</v>
      </c>
      <c r="J1102" s="33" t="s">
        <v>40</v>
      </c>
      <c r="K1102" s="33" t="s">
        <v>41</v>
      </c>
    </row>
    <row r="1103" spans="1:12" hidden="1" x14ac:dyDescent="0.3">
      <c r="A1103" s="39">
        <v>46072.414895833332</v>
      </c>
      <c r="B1103" s="33">
        <v>44997734943</v>
      </c>
      <c r="C1103" s="33" t="s">
        <v>43</v>
      </c>
      <c r="D1103" s="33">
        <v>4430265054</v>
      </c>
      <c r="E1103" s="33">
        <v>447</v>
      </c>
      <c r="F1103" s="33">
        <v>419</v>
      </c>
      <c r="G1103" s="33" t="s">
        <v>38</v>
      </c>
      <c r="H1103" s="33" t="s">
        <v>4041</v>
      </c>
      <c r="I1103" s="33" t="s">
        <v>39</v>
      </c>
      <c r="J1103" s="33" t="s">
        <v>40</v>
      </c>
      <c r="K1103" s="33" t="s">
        <v>41</v>
      </c>
      <c r="L1103" s="33">
        <v>5</v>
      </c>
    </row>
    <row r="1104" spans="1:12" hidden="1" x14ac:dyDescent="0.3">
      <c r="A1104" s="39">
        <v>46072.41369212963</v>
      </c>
      <c r="B1104" s="33">
        <v>83988398480</v>
      </c>
      <c r="C1104" s="33" t="s">
        <v>45</v>
      </c>
      <c r="D1104" s="33">
        <v>4430265054</v>
      </c>
      <c r="E1104" s="33">
        <v>650</v>
      </c>
      <c r="F1104" s="33">
        <v>619</v>
      </c>
      <c r="G1104" s="33" t="s">
        <v>38</v>
      </c>
      <c r="H1104" s="33" t="s">
        <v>4042</v>
      </c>
      <c r="I1104" s="33" t="s">
        <v>39</v>
      </c>
      <c r="J1104" s="33" t="s">
        <v>40</v>
      </c>
      <c r="K1104" s="33" t="s">
        <v>41</v>
      </c>
    </row>
    <row r="1105" spans="1:12" hidden="1" x14ac:dyDescent="0.3">
      <c r="A1105" s="39">
        <v>46072.408888888887</v>
      </c>
      <c r="B1105" s="33">
        <v>44991484476</v>
      </c>
      <c r="C1105" s="33" t="s">
        <v>37</v>
      </c>
      <c r="D1105" s="33">
        <v>4430265054</v>
      </c>
      <c r="E1105" s="33">
        <v>450</v>
      </c>
      <c r="F1105" s="33">
        <v>429</v>
      </c>
      <c r="G1105" s="33" t="s">
        <v>38</v>
      </c>
      <c r="H1105" s="33" t="s">
        <v>4043</v>
      </c>
      <c r="I1105" s="33" t="s">
        <v>39</v>
      </c>
      <c r="J1105" s="33" t="s">
        <v>40</v>
      </c>
      <c r="K1105" s="33" t="s">
        <v>41</v>
      </c>
    </row>
    <row r="1106" spans="1:12" hidden="1" x14ac:dyDescent="0.3">
      <c r="A1106" s="39">
        <v>46072.406076388892</v>
      </c>
      <c r="B1106" s="33">
        <v>44997650834</v>
      </c>
      <c r="C1106" s="33" t="s">
        <v>43</v>
      </c>
      <c r="D1106" s="33">
        <v>4430265054</v>
      </c>
      <c r="E1106" s="33">
        <v>447</v>
      </c>
      <c r="F1106" s="33">
        <v>419</v>
      </c>
      <c r="G1106" s="33" t="s">
        <v>38</v>
      </c>
      <c r="H1106" s="33" t="s">
        <v>4044</v>
      </c>
      <c r="I1106" s="33" t="s">
        <v>39</v>
      </c>
      <c r="J1106" s="33" t="s">
        <v>40</v>
      </c>
      <c r="K1106" s="33" t="s">
        <v>41</v>
      </c>
      <c r="L1106" s="33">
        <v>3</v>
      </c>
    </row>
    <row r="1107" spans="1:12" hidden="1" x14ac:dyDescent="0.3">
      <c r="A1107" s="39">
        <v>46072.404768518521</v>
      </c>
      <c r="B1107" s="33">
        <v>4432256273</v>
      </c>
      <c r="C1107" s="33" t="s">
        <v>37</v>
      </c>
      <c r="D1107" s="33">
        <v>4430265054</v>
      </c>
      <c r="E1107" s="33">
        <v>273</v>
      </c>
      <c r="F1107" s="33">
        <v>247</v>
      </c>
      <c r="G1107" s="33" t="s">
        <v>38</v>
      </c>
      <c r="H1107" s="33" t="s">
        <v>4045</v>
      </c>
      <c r="I1107" s="33" t="s">
        <v>39</v>
      </c>
      <c r="J1107" s="33" t="s">
        <v>40</v>
      </c>
      <c r="K1107" s="33" t="s">
        <v>41</v>
      </c>
      <c r="L1107" s="33">
        <v>5</v>
      </c>
    </row>
    <row r="1108" spans="1:12" hidden="1" x14ac:dyDescent="0.3">
      <c r="A1108" s="39">
        <v>46072.401875000003</v>
      </c>
      <c r="B1108" s="33" t="s">
        <v>3627</v>
      </c>
      <c r="C1108" s="33">
        <v>61981828227</v>
      </c>
      <c r="E1108" s="33">
        <v>11</v>
      </c>
      <c r="F1108" s="33">
        <v>5</v>
      </c>
      <c r="G1108" s="33" t="s">
        <v>38</v>
      </c>
      <c r="H1108" s="33" t="s">
        <v>5600</v>
      </c>
      <c r="I1108" s="33" t="s">
        <v>46</v>
      </c>
      <c r="J1108" s="33" t="s">
        <v>3629</v>
      </c>
    </row>
    <row r="1109" spans="1:12" hidden="1" x14ac:dyDescent="0.3">
      <c r="A1109" s="39">
        <v>46072.400972222225</v>
      </c>
      <c r="B1109" s="33" t="s">
        <v>3627</v>
      </c>
      <c r="C1109" s="33">
        <v>88996441336</v>
      </c>
      <c r="E1109" s="33">
        <v>15</v>
      </c>
      <c r="F1109" s="33">
        <v>1</v>
      </c>
      <c r="G1109" s="33" t="s">
        <v>38</v>
      </c>
      <c r="H1109" s="33" t="s">
        <v>5601</v>
      </c>
      <c r="I1109" s="33" t="s">
        <v>46</v>
      </c>
      <c r="J1109" s="33" t="s">
        <v>3629</v>
      </c>
    </row>
    <row r="1110" spans="1:12" x14ac:dyDescent="0.3">
      <c r="A1110" s="39">
        <v>46072.399456018517</v>
      </c>
      <c r="B1110" s="33">
        <v>44988303530</v>
      </c>
      <c r="C1110" s="33" t="s">
        <v>44</v>
      </c>
      <c r="D1110" s="33">
        <v>4430265054</v>
      </c>
      <c r="E1110" s="33">
        <v>538</v>
      </c>
      <c r="F1110" s="33">
        <v>462</v>
      </c>
      <c r="G1110" s="33" t="s">
        <v>38</v>
      </c>
      <c r="H1110" s="33" t="s">
        <v>4046</v>
      </c>
      <c r="I1110" s="33" t="s">
        <v>39</v>
      </c>
      <c r="J1110" s="33" t="s">
        <v>40</v>
      </c>
      <c r="K1110" s="33" t="s">
        <v>41</v>
      </c>
      <c r="L1110" s="33">
        <v>5</v>
      </c>
    </row>
    <row r="1111" spans="1:12" hidden="1" x14ac:dyDescent="0.3">
      <c r="A1111" s="39">
        <v>46072.39640046296</v>
      </c>
      <c r="B1111" s="33" t="s">
        <v>3627</v>
      </c>
      <c r="C1111" s="33">
        <v>2130123005</v>
      </c>
      <c r="E1111" s="33">
        <v>6</v>
      </c>
      <c r="F1111" s="33">
        <v>0</v>
      </c>
      <c r="G1111" s="33" t="s">
        <v>47</v>
      </c>
      <c r="H1111" s="33" t="s">
        <v>5602</v>
      </c>
      <c r="I1111" s="33" t="s">
        <v>46</v>
      </c>
      <c r="J1111" s="33" t="s">
        <v>3629</v>
      </c>
    </row>
    <row r="1112" spans="1:12" hidden="1" x14ac:dyDescent="0.3">
      <c r="A1112" s="39">
        <v>46072.391481481478</v>
      </c>
      <c r="B1112" s="33">
        <v>44984241715</v>
      </c>
      <c r="C1112" s="33" t="s">
        <v>42</v>
      </c>
      <c r="D1112" s="33">
        <v>4430265054</v>
      </c>
      <c r="E1112" s="33">
        <v>2058</v>
      </c>
      <c r="F1112" s="33">
        <v>2017</v>
      </c>
      <c r="G1112" s="33" t="s">
        <v>38</v>
      </c>
      <c r="H1112" s="33" t="s">
        <v>4047</v>
      </c>
      <c r="I1112" s="33" t="s">
        <v>39</v>
      </c>
      <c r="J1112" s="33" t="s">
        <v>40</v>
      </c>
      <c r="K1112" s="33" t="s">
        <v>41</v>
      </c>
      <c r="L1112" s="33">
        <v>5</v>
      </c>
    </row>
    <row r="1113" spans="1:12" hidden="1" x14ac:dyDescent="0.3">
      <c r="A1113" s="39">
        <v>46072.390925925924</v>
      </c>
      <c r="B1113" s="33">
        <v>4432637197</v>
      </c>
      <c r="C1113" s="33" t="s">
        <v>44</v>
      </c>
      <c r="D1113" s="33">
        <v>4430265054</v>
      </c>
      <c r="E1113" s="33">
        <v>489</v>
      </c>
      <c r="F1113" s="33">
        <v>468</v>
      </c>
      <c r="G1113" s="33" t="s">
        <v>38</v>
      </c>
      <c r="H1113" s="33" t="s">
        <v>4048</v>
      </c>
      <c r="I1113" s="33" t="s">
        <v>39</v>
      </c>
      <c r="J1113" s="33" t="s">
        <v>40</v>
      </c>
      <c r="K1113" s="33" t="s">
        <v>41</v>
      </c>
    </row>
    <row r="1114" spans="1:12" hidden="1" x14ac:dyDescent="0.3">
      <c r="A1114" s="39">
        <v>46072.390266203707</v>
      </c>
      <c r="B1114" s="33">
        <v>44988303530</v>
      </c>
      <c r="C1114" s="33" t="s">
        <v>37</v>
      </c>
      <c r="D1114" s="33">
        <v>4430265054</v>
      </c>
      <c r="E1114" s="33">
        <v>286</v>
      </c>
      <c r="F1114" s="33">
        <v>226</v>
      </c>
      <c r="G1114" s="33" t="s">
        <v>38</v>
      </c>
      <c r="H1114" s="33" t="s">
        <v>4049</v>
      </c>
      <c r="I1114" s="33" t="s">
        <v>39</v>
      </c>
      <c r="J1114" s="33" t="s">
        <v>40</v>
      </c>
      <c r="K1114" s="33" t="s">
        <v>41</v>
      </c>
    </row>
    <row r="1115" spans="1:12" hidden="1" x14ac:dyDescent="0.3">
      <c r="A1115" s="39">
        <v>46072.389502314814</v>
      </c>
      <c r="B1115" s="33" t="s">
        <v>45</v>
      </c>
      <c r="C1115" s="33">
        <v>4432325260</v>
      </c>
      <c r="E1115" s="33">
        <v>1651</v>
      </c>
      <c r="F1115" s="33">
        <v>1644</v>
      </c>
      <c r="G1115" s="33" t="s">
        <v>38</v>
      </c>
      <c r="H1115" s="33" t="s">
        <v>5603</v>
      </c>
      <c r="I1115" s="33" t="s">
        <v>46</v>
      </c>
      <c r="J1115" s="33" t="s">
        <v>40</v>
      </c>
    </row>
    <row r="1116" spans="1:12" hidden="1" x14ac:dyDescent="0.3">
      <c r="A1116" s="39">
        <v>46072.388796296298</v>
      </c>
      <c r="B1116" s="33" t="s">
        <v>45</v>
      </c>
      <c r="C1116" s="33">
        <v>4432325260</v>
      </c>
      <c r="E1116" s="33">
        <v>48</v>
      </c>
      <c r="F1116" s="33">
        <v>37</v>
      </c>
      <c r="G1116" s="33" t="s">
        <v>38</v>
      </c>
      <c r="H1116" s="33" t="s">
        <v>5604</v>
      </c>
      <c r="I1116" s="33" t="s">
        <v>46</v>
      </c>
      <c r="J1116" s="33" t="s">
        <v>40</v>
      </c>
    </row>
    <row r="1117" spans="1:12" hidden="1" x14ac:dyDescent="0.3">
      <c r="A1117" s="39">
        <v>46072.385729166665</v>
      </c>
      <c r="B1117" s="33">
        <v>44998860140</v>
      </c>
      <c r="C1117" s="33" t="s">
        <v>42</v>
      </c>
      <c r="D1117" s="33">
        <v>4430265054</v>
      </c>
      <c r="E1117" s="33">
        <v>411</v>
      </c>
      <c r="F1117" s="33">
        <v>346</v>
      </c>
      <c r="G1117" s="33" t="s">
        <v>38</v>
      </c>
      <c r="H1117" s="33" t="s">
        <v>4050</v>
      </c>
      <c r="I1117" s="33" t="s">
        <v>39</v>
      </c>
      <c r="J1117" s="33" t="s">
        <v>40</v>
      </c>
      <c r="K1117" s="33" t="s">
        <v>41</v>
      </c>
    </row>
    <row r="1118" spans="1:12" hidden="1" x14ac:dyDescent="0.3">
      <c r="A1118" s="39">
        <v>46072.384837962964</v>
      </c>
      <c r="B1118" s="33" t="s">
        <v>43</v>
      </c>
      <c r="C1118" s="33">
        <v>4430162384</v>
      </c>
      <c r="E1118" s="33">
        <v>1403</v>
      </c>
      <c r="F1118" s="33">
        <v>1390</v>
      </c>
      <c r="G1118" s="33" t="s">
        <v>38</v>
      </c>
      <c r="H1118" s="33" t="s">
        <v>5605</v>
      </c>
      <c r="I1118" s="33" t="s">
        <v>46</v>
      </c>
      <c r="J1118" s="33" t="s">
        <v>40</v>
      </c>
    </row>
    <row r="1119" spans="1:12" hidden="1" x14ac:dyDescent="0.3">
      <c r="A1119" s="39">
        <v>46072.38040509259</v>
      </c>
      <c r="B1119" s="33">
        <v>43999525597</v>
      </c>
      <c r="C1119" s="33" t="s">
        <v>48</v>
      </c>
      <c r="D1119" s="33">
        <v>4430265054</v>
      </c>
      <c r="E1119" s="33">
        <v>180</v>
      </c>
      <c r="F1119" s="33">
        <v>149</v>
      </c>
      <c r="G1119" s="33" t="s">
        <v>38</v>
      </c>
      <c r="H1119" s="33" t="s">
        <v>4051</v>
      </c>
      <c r="I1119" s="33" t="s">
        <v>39</v>
      </c>
      <c r="J1119" s="33" t="s">
        <v>40</v>
      </c>
      <c r="K1119" s="33" t="s">
        <v>41</v>
      </c>
    </row>
    <row r="1120" spans="1:12" hidden="1" x14ac:dyDescent="0.3">
      <c r="A1120" s="39">
        <v>46072.37976851852</v>
      </c>
      <c r="B1120" s="33">
        <v>4436351818</v>
      </c>
      <c r="C1120" s="33" t="s">
        <v>37</v>
      </c>
      <c r="D1120" s="33">
        <v>4430265054</v>
      </c>
      <c r="E1120" s="33">
        <v>210</v>
      </c>
      <c r="F1120" s="33">
        <v>125</v>
      </c>
      <c r="G1120" s="33" t="s">
        <v>38</v>
      </c>
      <c r="H1120" s="33" t="s">
        <v>4052</v>
      </c>
      <c r="I1120" s="33" t="s">
        <v>39</v>
      </c>
      <c r="J1120" s="33" t="s">
        <v>40</v>
      </c>
      <c r="K1120" s="33" t="s">
        <v>41</v>
      </c>
      <c r="L1120" s="33">
        <v>5</v>
      </c>
    </row>
    <row r="1121" spans="1:12" hidden="1" x14ac:dyDescent="0.3">
      <c r="A1121" s="39">
        <v>46072.379444444443</v>
      </c>
      <c r="B1121" s="33" t="s">
        <v>42</v>
      </c>
      <c r="C1121" s="33">
        <v>4430162376</v>
      </c>
      <c r="E1121" s="33">
        <v>141</v>
      </c>
      <c r="F1121" s="33">
        <v>126</v>
      </c>
      <c r="G1121" s="33" t="s">
        <v>38</v>
      </c>
      <c r="H1121" s="33" t="s">
        <v>5606</v>
      </c>
      <c r="I1121" s="33" t="s">
        <v>46</v>
      </c>
      <c r="J1121" s="33" t="s">
        <v>40</v>
      </c>
    </row>
    <row r="1122" spans="1:12" hidden="1" x14ac:dyDescent="0.3">
      <c r="A1122" s="39">
        <v>46072.379363425927</v>
      </c>
      <c r="B1122" s="33" t="s">
        <v>42</v>
      </c>
      <c r="C1122" s="33">
        <v>4430162376</v>
      </c>
      <c r="E1122" s="33">
        <v>3</v>
      </c>
      <c r="F1122" s="33">
        <v>0</v>
      </c>
      <c r="G1122" s="33" t="s">
        <v>47</v>
      </c>
      <c r="H1122" s="33" t="s">
        <v>5607</v>
      </c>
      <c r="I1122" s="33" t="s">
        <v>46</v>
      </c>
      <c r="J1122" s="33" t="s">
        <v>40</v>
      </c>
    </row>
    <row r="1123" spans="1:12" hidden="1" x14ac:dyDescent="0.3">
      <c r="A1123" s="39">
        <v>46072.376747685186</v>
      </c>
      <c r="B1123" s="33" t="s">
        <v>44</v>
      </c>
      <c r="C1123" s="33">
        <v>44997687156</v>
      </c>
      <c r="E1123" s="33">
        <v>706</v>
      </c>
      <c r="F1123" s="33">
        <v>695</v>
      </c>
      <c r="G1123" s="33" t="s">
        <v>38</v>
      </c>
      <c r="H1123" s="33" t="s">
        <v>5608</v>
      </c>
      <c r="I1123" s="33" t="s">
        <v>46</v>
      </c>
      <c r="J1123" s="33" t="s">
        <v>40</v>
      </c>
    </row>
    <row r="1124" spans="1:12" hidden="1" x14ac:dyDescent="0.3">
      <c r="A1124" s="39">
        <v>46072.376180555555</v>
      </c>
      <c r="B1124" s="33">
        <v>4430162384</v>
      </c>
      <c r="C1124" s="33" t="s">
        <v>42</v>
      </c>
      <c r="D1124" s="33">
        <v>4430265054</v>
      </c>
      <c r="E1124" s="33">
        <v>246</v>
      </c>
      <c r="F1124" s="33">
        <v>177</v>
      </c>
      <c r="G1124" s="33" t="s">
        <v>38</v>
      </c>
      <c r="H1124" s="33" t="s">
        <v>4053</v>
      </c>
      <c r="I1124" s="33" t="s">
        <v>39</v>
      </c>
      <c r="J1124" s="33" t="s">
        <v>40</v>
      </c>
      <c r="K1124" s="33" t="s">
        <v>41</v>
      </c>
    </row>
    <row r="1125" spans="1:12" hidden="1" x14ac:dyDescent="0.3">
      <c r="A1125" s="39">
        <v>46072.370416666665</v>
      </c>
      <c r="B1125" s="33">
        <v>44997687156</v>
      </c>
      <c r="C1125" s="33" t="s">
        <v>44</v>
      </c>
      <c r="D1125" s="33">
        <v>4430265054</v>
      </c>
      <c r="E1125" s="33">
        <v>229</v>
      </c>
      <c r="F1125" s="33">
        <v>187</v>
      </c>
      <c r="G1125" s="33" t="s">
        <v>38</v>
      </c>
      <c r="H1125" s="33" t="s">
        <v>4054</v>
      </c>
      <c r="I1125" s="33" t="s">
        <v>39</v>
      </c>
      <c r="J1125" s="33" t="s">
        <v>40</v>
      </c>
      <c r="K1125" s="33" t="s">
        <v>41</v>
      </c>
    </row>
    <row r="1126" spans="1:12" hidden="1" x14ac:dyDescent="0.3">
      <c r="A1126" s="39">
        <v>46072.367824074077</v>
      </c>
      <c r="B1126" s="33">
        <v>4432256273</v>
      </c>
      <c r="C1126" s="33" t="s">
        <v>43</v>
      </c>
      <c r="D1126" s="33">
        <v>4430265054</v>
      </c>
      <c r="E1126" s="33">
        <v>1334</v>
      </c>
      <c r="F1126" s="33">
        <v>1273</v>
      </c>
      <c r="G1126" s="33" t="s">
        <v>38</v>
      </c>
      <c r="H1126" s="33" t="s">
        <v>4055</v>
      </c>
      <c r="I1126" s="33" t="s">
        <v>39</v>
      </c>
      <c r="J1126" s="33" t="s">
        <v>40</v>
      </c>
      <c r="K1126" s="33" t="s">
        <v>41</v>
      </c>
      <c r="L1126" s="33">
        <v>5</v>
      </c>
    </row>
    <row r="1127" spans="1:12" hidden="1" x14ac:dyDescent="0.3">
      <c r="A1127" s="39">
        <v>46072.367581018516</v>
      </c>
      <c r="B1127" s="33">
        <v>44999979505</v>
      </c>
      <c r="C1127" s="33">
        <v>4430265054</v>
      </c>
      <c r="D1127" s="33">
        <v>4430265054</v>
      </c>
      <c r="E1127" s="33">
        <v>7</v>
      </c>
      <c r="F1127" s="33">
        <v>6</v>
      </c>
      <c r="G1127" s="33" t="s">
        <v>3449</v>
      </c>
      <c r="H1127" s="33" t="s">
        <v>5609</v>
      </c>
      <c r="I1127" s="33" t="s">
        <v>39</v>
      </c>
      <c r="J1127" s="33" t="s">
        <v>3451</v>
      </c>
    </row>
    <row r="1128" spans="1:12" hidden="1" x14ac:dyDescent="0.3">
      <c r="A1128" s="39">
        <v>46072.360682870371</v>
      </c>
      <c r="B1128" s="33">
        <v>91985176746</v>
      </c>
      <c r="C1128" s="33" t="s">
        <v>42</v>
      </c>
      <c r="D1128" s="33">
        <v>4430265054</v>
      </c>
      <c r="E1128" s="33">
        <v>527</v>
      </c>
      <c r="F1128" s="33">
        <v>486</v>
      </c>
      <c r="G1128" s="33" t="s">
        <v>38</v>
      </c>
      <c r="H1128" s="33" t="s">
        <v>4056</v>
      </c>
      <c r="I1128" s="33" t="s">
        <v>39</v>
      </c>
      <c r="J1128" s="33" t="s">
        <v>40</v>
      </c>
      <c r="K1128" s="33" t="s">
        <v>41</v>
      </c>
    </row>
    <row r="1129" spans="1:12" hidden="1" x14ac:dyDescent="0.3">
      <c r="A1129" s="39">
        <v>46072.360543981478</v>
      </c>
      <c r="B1129" s="33">
        <v>44988303530</v>
      </c>
      <c r="C1129" s="33" t="s">
        <v>37</v>
      </c>
      <c r="D1129" s="33">
        <v>4430265054</v>
      </c>
      <c r="E1129" s="33">
        <v>327</v>
      </c>
      <c r="F1129" s="33">
        <v>288</v>
      </c>
      <c r="G1129" s="33" t="s">
        <v>38</v>
      </c>
      <c r="H1129" s="33" t="s">
        <v>4057</v>
      </c>
      <c r="I1129" s="33" t="s">
        <v>39</v>
      </c>
      <c r="J1129" s="33" t="s">
        <v>40</v>
      </c>
      <c r="K1129" s="33" t="s">
        <v>41</v>
      </c>
      <c r="L1129" s="33">
        <v>5</v>
      </c>
    </row>
    <row r="1130" spans="1:12" hidden="1" x14ac:dyDescent="0.3">
      <c r="A1130" s="39">
        <v>46072.360243055555</v>
      </c>
      <c r="B1130" s="33">
        <v>67992169496</v>
      </c>
      <c r="C1130" s="33" t="s">
        <v>45</v>
      </c>
      <c r="D1130" s="33">
        <v>4430265054</v>
      </c>
      <c r="E1130" s="33">
        <v>2234</v>
      </c>
      <c r="F1130" s="33">
        <v>2175</v>
      </c>
      <c r="G1130" s="33" t="s">
        <v>38</v>
      </c>
      <c r="H1130" s="33" t="s">
        <v>4058</v>
      </c>
      <c r="I1130" s="33" t="s">
        <v>39</v>
      </c>
      <c r="J1130" s="33" t="s">
        <v>40</v>
      </c>
      <c r="K1130" s="33" t="s">
        <v>41</v>
      </c>
      <c r="L1130" s="33">
        <v>5</v>
      </c>
    </row>
    <row r="1131" spans="1:12" hidden="1" x14ac:dyDescent="0.3">
      <c r="A1131" s="39">
        <v>46072.356944444444</v>
      </c>
      <c r="B1131" s="33" t="s">
        <v>42</v>
      </c>
      <c r="C1131" s="33">
        <v>4436281154</v>
      </c>
      <c r="E1131" s="33">
        <v>2</v>
      </c>
      <c r="F1131" s="33">
        <v>0</v>
      </c>
      <c r="G1131" s="33" t="s">
        <v>47</v>
      </c>
      <c r="H1131" s="33" t="s">
        <v>5610</v>
      </c>
      <c r="I1131" s="33" t="s">
        <v>46</v>
      </c>
      <c r="J1131" s="33" t="s">
        <v>40</v>
      </c>
    </row>
    <row r="1132" spans="1:12" hidden="1" x14ac:dyDescent="0.3">
      <c r="A1132" s="39">
        <v>46072.356863425928</v>
      </c>
      <c r="B1132" s="33" t="s">
        <v>42</v>
      </c>
      <c r="C1132" s="33">
        <v>4436281154</v>
      </c>
      <c r="E1132" s="33">
        <v>4</v>
      </c>
      <c r="F1132" s="33">
        <v>0</v>
      </c>
      <c r="G1132" s="33" t="s">
        <v>47</v>
      </c>
      <c r="H1132" s="33" t="s">
        <v>5611</v>
      </c>
      <c r="I1132" s="33" t="s">
        <v>46</v>
      </c>
      <c r="J1132" s="33" t="s">
        <v>40</v>
      </c>
    </row>
    <row r="1133" spans="1:12" hidden="1" x14ac:dyDescent="0.3">
      <c r="A1133" s="39">
        <v>46072.355543981481</v>
      </c>
      <c r="B1133" s="33">
        <v>4436351414</v>
      </c>
      <c r="C1133" s="33" t="s">
        <v>37</v>
      </c>
      <c r="D1133" s="33">
        <v>4430265054</v>
      </c>
      <c r="E1133" s="33">
        <v>162</v>
      </c>
      <c r="F1133" s="33">
        <v>141</v>
      </c>
      <c r="G1133" s="33" t="s">
        <v>38</v>
      </c>
      <c r="H1133" s="33" t="s">
        <v>4059</v>
      </c>
      <c r="I1133" s="33" t="s">
        <v>39</v>
      </c>
      <c r="J1133" s="33" t="s">
        <v>40</v>
      </c>
      <c r="K1133" s="33" t="s">
        <v>41</v>
      </c>
      <c r="L1133" s="33">
        <v>5</v>
      </c>
    </row>
    <row r="1134" spans="1:12" hidden="1" x14ac:dyDescent="0.3">
      <c r="A1134" s="39">
        <v>46072.352326388886</v>
      </c>
      <c r="B1134" s="33">
        <v>44984241715</v>
      </c>
      <c r="C1134" s="33">
        <v>4430265054</v>
      </c>
      <c r="D1134" s="33">
        <v>4430265054</v>
      </c>
      <c r="E1134" s="33">
        <v>11</v>
      </c>
      <c r="F1134" s="33">
        <v>10</v>
      </c>
      <c r="G1134" s="33" t="s">
        <v>3449</v>
      </c>
      <c r="H1134" s="33" t="s">
        <v>5612</v>
      </c>
      <c r="I1134" s="33" t="s">
        <v>39</v>
      </c>
      <c r="J1134" s="33" t="s">
        <v>3451</v>
      </c>
    </row>
    <row r="1135" spans="1:12" hidden="1" x14ac:dyDescent="0.3">
      <c r="A1135" s="39">
        <v>46072.344675925924</v>
      </c>
      <c r="B1135" s="33">
        <v>4430459032</v>
      </c>
      <c r="C1135" s="33">
        <v>4430265054</v>
      </c>
      <c r="D1135" s="33">
        <v>4430265054</v>
      </c>
      <c r="E1135" s="33">
        <v>14</v>
      </c>
      <c r="F1135" s="33">
        <v>13</v>
      </c>
      <c r="G1135" s="33" t="s">
        <v>3449</v>
      </c>
      <c r="H1135" s="33" t="s">
        <v>5613</v>
      </c>
      <c r="I1135" s="33" t="s">
        <v>39</v>
      </c>
      <c r="J1135" s="33" t="s">
        <v>3451</v>
      </c>
    </row>
    <row r="1136" spans="1:12" hidden="1" x14ac:dyDescent="0.3">
      <c r="A1136" s="39">
        <v>46072.34175925926</v>
      </c>
      <c r="B1136" s="33" t="s">
        <v>37</v>
      </c>
      <c r="C1136" s="33">
        <v>44988111973</v>
      </c>
      <c r="E1136" s="33">
        <v>4</v>
      </c>
      <c r="F1136" s="33">
        <v>0</v>
      </c>
      <c r="G1136" s="33" t="s">
        <v>47</v>
      </c>
      <c r="H1136" s="33" t="s">
        <v>5614</v>
      </c>
      <c r="I1136" s="33" t="s">
        <v>46</v>
      </c>
      <c r="J1136" s="33" t="s">
        <v>40</v>
      </c>
    </row>
    <row r="1137" spans="1:12" hidden="1" x14ac:dyDescent="0.3">
      <c r="A1137" s="39">
        <v>46072.341458333336</v>
      </c>
      <c r="B1137" s="33" t="s">
        <v>37</v>
      </c>
      <c r="C1137" s="33">
        <v>44988111973</v>
      </c>
      <c r="E1137" s="33">
        <v>18</v>
      </c>
      <c r="F1137" s="33">
        <v>0</v>
      </c>
      <c r="G1137" s="33" t="s">
        <v>47</v>
      </c>
      <c r="H1137" s="33" t="s">
        <v>5615</v>
      </c>
      <c r="I1137" s="33" t="s">
        <v>46</v>
      </c>
      <c r="J1137" s="33" t="s">
        <v>40</v>
      </c>
    </row>
    <row r="1138" spans="1:12" hidden="1" x14ac:dyDescent="0.3">
      <c r="A1138" s="39">
        <v>46072.341354166667</v>
      </c>
      <c r="B1138" s="33" t="s">
        <v>37</v>
      </c>
      <c r="C1138" s="33">
        <v>4432446619</v>
      </c>
      <c r="E1138" s="33">
        <v>3</v>
      </c>
      <c r="F1138" s="33">
        <v>0</v>
      </c>
      <c r="G1138" s="33" t="s">
        <v>47</v>
      </c>
      <c r="H1138" s="33" t="s">
        <v>5616</v>
      </c>
      <c r="I1138" s="33" t="s">
        <v>46</v>
      </c>
      <c r="J1138" s="33" t="s">
        <v>40</v>
      </c>
    </row>
    <row r="1139" spans="1:12" hidden="1" x14ac:dyDescent="0.3">
      <c r="A1139" s="39">
        <v>46072.341261574074</v>
      </c>
      <c r="B1139" s="33" t="s">
        <v>37</v>
      </c>
      <c r="C1139" s="33">
        <v>4432446619</v>
      </c>
      <c r="E1139" s="33">
        <v>4</v>
      </c>
      <c r="F1139" s="33">
        <v>0</v>
      </c>
      <c r="G1139" s="33" t="s">
        <v>47</v>
      </c>
      <c r="H1139" s="33" t="s">
        <v>5617</v>
      </c>
      <c r="I1139" s="33" t="s">
        <v>46</v>
      </c>
      <c r="J1139" s="33" t="s">
        <v>40</v>
      </c>
    </row>
    <row r="1140" spans="1:12" hidden="1" x14ac:dyDescent="0.3">
      <c r="A1140" s="39">
        <v>46072.340497685182</v>
      </c>
      <c r="B1140" s="33" t="s">
        <v>37</v>
      </c>
      <c r="C1140" s="33">
        <v>44988111973</v>
      </c>
      <c r="E1140" s="33">
        <v>49</v>
      </c>
      <c r="F1140" s="33">
        <v>30</v>
      </c>
      <c r="G1140" s="33" t="s">
        <v>38</v>
      </c>
      <c r="H1140" s="33" t="s">
        <v>5618</v>
      </c>
      <c r="I1140" s="33" t="s">
        <v>46</v>
      </c>
      <c r="J1140" s="33" t="s">
        <v>40</v>
      </c>
    </row>
    <row r="1141" spans="1:12" hidden="1" x14ac:dyDescent="0.3">
      <c r="A1141" s="39">
        <v>46072.340266203704</v>
      </c>
      <c r="B1141" s="33" t="s">
        <v>37</v>
      </c>
      <c r="C1141" s="33">
        <v>4432446619</v>
      </c>
      <c r="E1141" s="33">
        <v>9</v>
      </c>
      <c r="F1141" s="33">
        <v>0</v>
      </c>
      <c r="G1141" s="33" t="s">
        <v>47</v>
      </c>
      <c r="H1141" s="33" t="s">
        <v>5619</v>
      </c>
      <c r="I1141" s="33" t="s">
        <v>46</v>
      </c>
      <c r="J1141" s="33" t="s">
        <v>40</v>
      </c>
    </row>
    <row r="1142" spans="1:12" hidden="1" x14ac:dyDescent="0.3">
      <c r="A1142" s="39">
        <v>46071.808472222219</v>
      </c>
      <c r="B1142" s="33">
        <v>44997370183</v>
      </c>
      <c r="C1142" s="33">
        <v>4430265054</v>
      </c>
      <c r="D1142" s="33">
        <v>4430265054</v>
      </c>
      <c r="E1142" s="33">
        <v>3</v>
      </c>
      <c r="F1142" s="33">
        <v>3</v>
      </c>
      <c r="G1142" s="33" t="s">
        <v>3449</v>
      </c>
      <c r="H1142" s="33" t="s">
        <v>5620</v>
      </c>
      <c r="I1142" s="33" t="s">
        <v>39</v>
      </c>
      <c r="J1142" s="33" t="s">
        <v>3451</v>
      </c>
    </row>
    <row r="1143" spans="1:12" hidden="1" x14ac:dyDescent="0.3">
      <c r="A1143" s="39">
        <v>46071.752245370371</v>
      </c>
      <c r="B1143" s="33">
        <v>43999855301</v>
      </c>
      <c r="C1143" s="33">
        <v>4430265054</v>
      </c>
      <c r="D1143" s="33">
        <v>4430265054</v>
      </c>
      <c r="E1143" s="33">
        <v>15</v>
      </c>
      <c r="F1143" s="33">
        <v>14</v>
      </c>
      <c r="G1143" s="33" t="s">
        <v>3449</v>
      </c>
      <c r="H1143" s="33" t="s">
        <v>5621</v>
      </c>
      <c r="I1143" s="33" t="s">
        <v>39</v>
      </c>
      <c r="J1143" s="33" t="s">
        <v>3451</v>
      </c>
    </row>
    <row r="1144" spans="1:12" hidden="1" x14ac:dyDescent="0.3">
      <c r="A1144" s="39">
        <v>46071.746053240742</v>
      </c>
      <c r="B1144" s="33" t="s">
        <v>37</v>
      </c>
      <c r="C1144" s="33">
        <v>1639391799</v>
      </c>
      <c r="E1144" s="33">
        <v>98</v>
      </c>
      <c r="F1144" s="33">
        <v>76</v>
      </c>
      <c r="G1144" s="33" t="s">
        <v>38</v>
      </c>
      <c r="H1144" s="33" t="s">
        <v>5622</v>
      </c>
      <c r="I1144" s="33" t="s">
        <v>46</v>
      </c>
      <c r="J1144" s="33" t="s">
        <v>40</v>
      </c>
    </row>
    <row r="1145" spans="1:12" hidden="1" x14ac:dyDescent="0.3">
      <c r="A1145" s="39">
        <v>46071.742766203701</v>
      </c>
      <c r="B1145" s="33">
        <v>43999855301</v>
      </c>
      <c r="C1145" s="33" t="s">
        <v>43</v>
      </c>
      <c r="D1145" s="33">
        <v>4430265054</v>
      </c>
      <c r="E1145" s="33">
        <v>174</v>
      </c>
      <c r="F1145" s="33">
        <v>114</v>
      </c>
      <c r="G1145" s="33" t="s">
        <v>38</v>
      </c>
      <c r="H1145" s="33" t="s">
        <v>4060</v>
      </c>
      <c r="I1145" s="33" t="s">
        <v>39</v>
      </c>
      <c r="J1145" s="33" t="s">
        <v>40</v>
      </c>
      <c r="K1145" s="33" t="s">
        <v>41</v>
      </c>
    </row>
    <row r="1146" spans="1:12" hidden="1" x14ac:dyDescent="0.3">
      <c r="A1146" s="39">
        <v>46071.742106481484</v>
      </c>
      <c r="B1146" s="33">
        <v>44997400641</v>
      </c>
      <c r="C1146" s="33" t="s">
        <v>42</v>
      </c>
      <c r="D1146" s="33">
        <v>4430265054</v>
      </c>
      <c r="E1146" s="33">
        <v>335</v>
      </c>
      <c r="F1146" s="33">
        <v>239</v>
      </c>
      <c r="G1146" s="33" t="s">
        <v>38</v>
      </c>
      <c r="H1146" s="33" t="s">
        <v>4061</v>
      </c>
      <c r="I1146" s="33" t="s">
        <v>39</v>
      </c>
      <c r="J1146" s="33" t="s">
        <v>40</v>
      </c>
      <c r="K1146" s="33" t="s">
        <v>41</v>
      </c>
    </row>
    <row r="1147" spans="1:12" hidden="1" x14ac:dyDescent="0.3">
      <c r="A1147" s="39">
        <v>46071.73945601852</v>
      </c>
      <c r="B1147" s="33">
        <v>43999855301</v>
      </c>
      <c r="C1147" s="33">
        <v>4430265054</v>
      </c>
      <c r="D1147" s="33">
        <v>4430265054</v>
      </c>
      <c r="E1147" s="33">
        <v>42</v>
      </c>
      <c r="F1147" s="33">
        <v>42</v>
      </c>
      <c r="G1147" s="33" t="s">
        <v>3449</v>
      </c>
      <c r="H1147" s="33" t="s">
        <v>4062</v>
      </c>
      <c r="I1147" s="33" t="s">
        <v>39</v>
      </c>
      <c r="J1147" s="33" t="s">
        <v>3451</v>
      </c>
      <c r="K1147" s="33" t="s">
        <v>41</v>
      </c>
    </row>
    <row r="1148" spans="1:12" hidden="1" x14ac:dyDescent="0.3">
      <c r="A1148" s="39">
        <v>46071.737835648149</v>
      </c>
      <c r="B1148" s="33">
        <v>44998046835</v>
      </c>
      <c r="C1148" s="33">
        <v>4430265054</v>
      </c>
      <c r="D1148" s="33">
        <v>4430265054</v>
      </c>
      <c r="E1148" s="33">
        <v>15</v>
      </c>
      <c r="F1148" s="33">
        <v>15</v>
      </c>
      <c r="G1148" s="33" t="s">
        <v>3449</v>
      </c>
      <c r="H1148" s="33" t="s">
        <v>5623</v>
      </c>
      <c r="I1148" s="33" t="s">
        <v>39</v>
      </c>
      <c r="J1148" s="33" t="s">
        <v>3451</v>
      </c>
    </row>
    <row r="1149" spans="1:12" hidden="1" x14ac:dyDescent="0.3">
      <c r="A1149" s="39">
        <v>46071.716574074075</v>
      </c>
      <c r="B1149" s="33">
        <v>4430145172</v>
      </c>
      <c r="C1149" s="33" t="s">
        <v>48</v>
      </c>
      <c r="D1149" s="33">
        <v>4430265054</v>
      </c>
      <c r="E1149" s="33">
        <v>510</v>
      </c>
      <c r="F1149" s="33">
        <v>342</v>
      </c>
      <c r="G1149" s="33" t="s">
        <v>38</v>
      </c>
      <c r="H1149" s="33" t="s">
        <v>4063</v>
      </c>
      <c r="I1149" s="33" t="s">
        <v>39</v>
      </c>
      <c r="J1149" s="33" t="s">
        <v>40</v>
      </c>
      <c r="K1149" s="33" t="s">
        <v>41</v>
      </c>
    </row>
    <row r="1150" spans="1:12" hidden="1" x14ac:dyDescent="0.3">
      <c r="A1150" s="39">
        <v>46071.71502314815</v>
      </c>
      <c r="B1150" s="33">
        <v>4431337559</v>
      </c>
      <c r="C1150" s="33" t="s">
        <v>48</v>
      </c>
      <c r="D1150" s="33">
        <v>4430265054</v>
      </c>
      <c r="E1150" s="33">
        <v>271</v>
      </c>
      <c r="F1150" s="33">
        <v>258</v>
      </c>
      <c r="G1150" s="33" t="s">
        <v>38</v>
      </c>
      <c r="H1150" s="33" t="s">
        <v>4064</v>
      </c>
      <c r="I1150" s="33" t="s">
        <v>39</v>
      </c>
      <c r="J1150" s="33" t="s">
        <v>40</v>
      </c>
      <c r="K1150" s="33" t="s">
        <v>41</v>
      </c>
    </row>
    <row r="1151" spans="1:12" hidden="1" x14ac:dyDescent="0.3">
      <c r="A1151" s="39">
        <v>46071.713043981479</v>
      </c>
      <c r="B1151" s="33">
        <v>44999710746</v>
      </c>
      <c r="C1151" s="33" t="s">
        <v>43</v>
      </c>
      <c r="D1151" s="33">
        <v>4430265054</v>
      </c>
      <c r="E1151" s="33">
        <v>831</v>
      </c>
      <c r="F1151" s="33">
        <v>796</v>
      </c>
      <c r="G1151" s="33" t="s">
        <v>38</v>
      </c>
      <c r="H1151" s="33" t="s">
        <v>4065</v>
      </c>
      <c r="I1151" s="33" t="s">
        <v>39</v>
      </c>
      <c r="J1151" s="33" t="s">
        <v>40</v>
      </c>
      <c r="K1151" s="33" t="s">
        <v>41</v>
      </c>
      <c r="L1151" s="33">
        <v>5</v>
      </c>
    </row>
    <row r="1152" spans="1:12" hidden="1" x14ac:dyDescent="0.3">
      <c r="A1152" s="39">
        <v>46071.712534722225</v>
      </c>
      <c r="B1152" s="33">
        <v>4432325260</v>
      </c>
      <c r="C1152" s="33" t="s">
        <v>42</v>
      </c>
      <c r="D1152" s="33">
        <v>4430265054</v>
      </c>
      <c r="E1152" s="33">
        <v>693</v>
      </c>
      <c r="F1152" s="33">
        <v>673</v>
      </c>
      <c r="G1152" s="33" t="s">
        <v>38</v>
      </c>
      <c r="H1152" s="33" t="s">
        <v>4066</v>
      </c>
      <c r="I1152" s="33" t="s">
        <v>39</v>
      </c>
      <c r="J1152" s="33" t="s">
        <v>40</v>
      </c>
      <c r="K1152" s="33" t="s">
        <v>41</v>
      </c>
      <c r="L1152" s="33">
        <v>5</v>
      </c>
    </row>
    <row r="1153" spans="1:12" hidden="1" x14ac:dyDescent="0.3">
      <c r="A1153" s="39">
        <v>46071.710416666669</v>
      </c>
      <c r="B1153" s="33">
        <v>77999014770</v>
      </c>
      <c r="C1153" s="33" t="s">
        <v>45</v>
      </c>
      <c r="D1153" s="33">
        <v>4430265054</v>
      </c>
      <c r="E1153" s="33">
        <v>1244</v>
      </c>
      <c r="F1153" s="33">
        <v>1162</v>
      </c>
      <c r="G1153" s="33" t="s">
        <v>38</v>
      </c>
      <c r="H1153" s="33" t="s">
        <v>4067</v>
      </c>
      <c r="I1153" s="33" t="s">
        <v>39</v>
      </c>
      <c r="J1153" s="33" t="s">
        <v>40</v>
      </c>
      <c r="K1153" s="33" t="s">
        <v>41</v>
      </c>
      <c r="L1153" s="33">
        <v>5</v>
      </c>
    </row>
    <row r="1154" spans="1:12" hidden="1" x14ac:dyDescent="0.3">
      <c r="A1154" s="39">
        <v>46071.704212962963</v>
      </c>
      <c r="B1154" s="33">
        <v>1438160351</v>
      </c>
      <c r="C1154" s="33">
        <v>4430265054</v>
      </c>
      <c r="D1154" s="33">
        <v>4430265054</v>
      </c>
      <c r="E1154" s="33">
        <v>9</v>
      </c>
      <c r="F1154" s="33">
        <v>9</v>
      </c>
      <c r="G1154" s="33" t="s">
        <v>3449</v>
      </c>
      <c r="H1154" s="33" t="s">
        <v>5624</v>
      </c>
      <c r="I1154" s="33" t="s">
        <v>39</v>
      </c>
      <c r="J1154" s="33" t="s">
        <v>3451</v>
      </c>
    </row>
    <row r="1155" spans="1:12" hidden="1" x14ac:dyDescent="0.3">
      <c r="A1155" s="39">
        <v>46071.703020833331</v>
      </c>
      <c r="B1155" s="33">
        <v>1639391799</v>
      </c>
      <c r="C1155" s="33" t="s">
        <v>37</v>
      </c>
      <c r="D1155" s="33">
        <v>4430265054</v>
      </c>
      <c r="E1155" s="33">
        <v>3147</v>
      </c>
      <c r="F1155" s="33">
        <v>3098</v>
      </c>
      <c r="G1155" s="33" t="s">
        <v>38</v>
      </c>
      <c r="H1155" s="33" t="s">
        <v>4068</v>
      </c>
      <c r="I1155" s="33" t="s">
        <v>39</v>
      </c>
      <c r="J1155" s="33" t="s">
        <v>40</v>
      </c>
      <c r="K1155" s="33" t="s">
        <v>41</v>
      </c>
    </row>
    <row r="1156" spans="1:12" hidden="1" x14ac:dyDescent="0.3">
      <c r="A1156" s="39">
        <v>46071.701539351852</v>
      </c>
      <c r="B1156" s="33">
        <v>45998160883</v>
      </c>
      <c r="C1156" s="33" t="s">
        <v>45</v>
      </c>
      <c r="D1156" s="33">
        <v>4430265054</v>
      </c>
      <c r="E1156" s="33">
        <v>431</v>
      </c>
      <c r="F1156" s="33">
        <v>378</v>
      </c>
      <c r="G1156" s="33" t="s">
        <v>38</v>
      </c>
      <c r="H1156" s="33" t="s">
        <v>4069</v>
      </c>
      <c r="I1156" s="33" t="s">
        <v>39</v>
      </c>
      <c r="J1156" s="33" t="s">
        <v>40</v>
      </c>
      <c r="K1156" s="33" t="s">
        <v>41</v>
      </c>
      <c r="L1156" s="33">
        <v>5</v>
      </c>
    </row>
    <row r="1157" spans="1:12" hidden="1" x14ac:dyDescent="0.3">
      <c r="A1157" s="39">
        <v>46071.699143518519</v>
      </c>
      <c r="B1157" s="33">
        <v>44984140993</v>
      </c>
      <c r="C1157" s="33" t="s">
        <v>42</v>
      </c>
      <c r="D1157" s="33">
        <v>4430265054</v>
      </c>
      <c r="E1157" s="33">
        <v>816</v>
      </c>
      <c r="F1157" s="33">
        <v>773</v>
      </c>
      <c r="G1157" s="33" t="s">
        <v>38</v>
      </c>
      <c r="H1157" s="33" t="s">
        <v>4070</v>
      </c>
      <c r="I1157" s="33" t="s">
        <v>39</v>
      </c>
      <c r="J1157" s="33" t="s">
        <v>40</v>
      </c>
      <c r="K1157" s="33" t="s">
        <v>41</v>
      </c>
    </row>
    <row r="1158" spans="1:12" hidden="1" x14ac:dyDescent="0.3">
      <c r="A1158" s="39">
        <v>46071.697013888886</v>
      </c>
      <c r="B1158" s="33">
        <v>45999211357</v>
      </c>
      <c r="C1158" s="33" t="s">
        <v>37</v>
      </c>
      <c r="D1158" s="33">
        <v>4431268225</v>
      </c>
      <c r="E1158" s="33">
        <v>385</v>
      </c>
      <c r="F1158" s="33">
        <v>327</v>
      </c>
      <c r="G1158" s="33" t="s">
        <v>38</v>
      </c>
      <c r="H1158" s="33" t="s">
        <v>4071</v>
      </c>
      <c r="I1158" s="33" t="s">
        <v>39</v>
      </c>
      <c r="J1158" s="33" t="s">
        <v>40</v>
      </c>
      <c r="K1158" s="33" t="s">
        <v>41</v>
      </c>
      <c r="L1158" s="33">
        <v>3</v>
      </c>
    </row>
    <row r="1159" spans="1:12" hidden="1" x14ac:dyDescent="0.3">
      <c r="A1159" s="39">
        <v>46071.695960648147</v>
      </c>
      <c r="B1159" s="33">
        <v>44999976008</v>
      </c>
      <c r="C1159" s="33" t="s">
        <v>48</v>
      </c>
      <c r="D1159" s="33">
        <v>4430265054</v>
      </c>
      <c r="E1159" s="33">
        <v>264</v>
      </c>
      <c r="F1159" s="33">
        <v>263</v>
      </c>
      <c r="G1159" s="33" t="s">
        <v>38</v>
      </c>
      <c r="H1159" s="33" t="s">
        <v>4072</v>
      </c>
      <c r="I1159" s="33" t="s">
        <v>39</v>
      </c>
      <c r="J1159" s="33" t="s">
        <v>40</v>
      </c>
      <c r="K1159" s="33" t="s">
        <v>41</v>
      </c>
    </row>
    <row r="1160" spans="1:12" hidden="1" x14ac:dyDescent="0.3">
      <c r="A1160" s="39">
        <v>46071.69321759259</v>
      </c>
      <c r="B1160" s="33">
        <v>11964449514</v>
      </c>
      <c r="C1160" s="33" t="s">
        <v>44</v>
      </c>
      <c r="D1160" s="33">
        <v>4431268225</v>
      </c>
      <c r="E1160" s="33">
        <v>3032</v>
      </c>
      <c r="F1160" s="33">
        <v>2959</v>
      </c>
      <c r="G1160" s="33" t="s">
        <v>38</v>
      </c>
      <c r="H1160" s="33" t="s">
        <v>4073</v>
      </c>
      <c r="I1160" s="33" t="s">
        <v>39</v>
      </c>
      <c r="J1160" s="33" t="s">
        <v>40</v>
      </c>
      <c r="K1160" s="33" t="s">
        <v>41</v>
      </c>
    </row>
    <row r="1161" spans="1:12" hidden="1" x14ac:dyDescent="0.3">
      <c r="A1161" s="39">
        <v>46071.691203703704</v>
      </c>
      <c r="B1161" s="33">
        <v>4430162384</v>
      </c>
      <c r="C1161" s="33" t="s">
        <v>37</v>
      </c>
      <c r="D1161" s="33">
        <v>4430265054</v>
      </c>
      <c r="E1161" s="33">
        <v>338</v>
      </c>
      <c r="F1161" s="33">
        <v>260</v>
      </c>
      <c r="G1161" s="33" t="s">
        <v>38</v>
      </c>
      <c r="H1161" s="33" t="s">
        <v>4074</v>
      </c>
      <c r="I1161" s="33" t="s">
        <v>39</v>
      </c>
      <c r="J1161" s="33" t="s">
        <v>40</v>
      </c>
      <c r="K1161" s="33" t="s">
        <v>41</v>
      </c>
    </row>
    <row r="1162" spans="1:12" hidden="1" x14ac:dyDescent="0.3">
      <c r="A1162" s="39">
        <v>46071.69027777778</v>
      </c>
      <c r="B1162" s="33">
        <v>83988398480</v>
      </c>
      <c r="C1162" s="33" t="s">
        <v>43</v>
      </c>
      <c r="D1162" s="33">
        <v>4430265054</v>
      </c>
      <c r="E1162" s="33">
        <v>1316</v>
      </c>
      <c r="F1162" s="33">
        <v>1308</v>
      </c>
      <c r="G1162" s="33" t="s">
        <v>38</v>
      </c>
      <c r="H1162" s="33" t="s">
        <v>4075</v>
      </c>
      <c r="I1162" s="33" t="s">
        <v>39</v>
      </c>
      <c r="J1162" s="33" t="s">
        <v>40</v>
      </c>
      <c r="K1162" s="33" t="s">
        <v>41</v>
      </c>
      <c r="L1162" s="33">
        <v>5</v>
      </c>
    </row>
    <row r="1163" spans="1:12" hidden="1" x14ac:dyDescent="0.3">
      <c r="A1163" s="39">
        <v>46071.687465277777</v>
      </c>
      <c r="B1163" s="33">
        <v>1639391799</v>
      </c>
      <c r="C1163" s="33" t="s">
        <v>44</v>
      </c>
      <c r="D1163" s="33">
        <v>4430265054</v>
      </c>
      <c r="E1163" s="33">
        <v>496</v>
      </c>
      <c r="F1163" s="33">
        <v>319</v>
      </c>
      <c r="G1163" s="33" t="s">
        <v>38</v>
      </c>
      <c r="H1163" s="33" t="s">
        <v>4076</v>
      </c>
      <c r="I1163" s="33" t="s">
        <v>39</v>
      </c>
      <c r="J1163" s="33" t="s">
        <v>40</v>
      </c>
      <c r="K1163" s="33" t="s">
        <v>41</v>
      </c>
    </row>
    <row r="1164" spans="1:12" hidden="1" x14ac:dyDescent="0.3">
      <c r="A1164" s="39">
        <v>46071.687337962961</v>
      </c>
      <c r="B1164" s="33">
        <v>45988121757</v>
      </c>
      <c r="C1164" s="33">
        <v>4531273154</v>
      </c>
      <c r="D1164" s="33">
        <v>4531273154</v>
      </c>
      <c r="E1164" s="33">
        <v>9</v>
      </c>
      <c r="F1164" s="33">
        <v>8</v>
      </c>
      <c r="G1164" s="33" t="s">
        <v>3449</v>
      </c>
      <c r="H1164" s="33" t="s">
        <v>5625</v>
      </c>
      <c r="I1164" s="33" t="s">
        <v>39</v>
      </c>
      <c r="J1164" s="33" t="s">
        <v>3451</v>
      </c>
    </row>
    <row r="1165" spans="1:12" hidden="1" x14ac:dyDescent="0.3">
      <c r="A1165" s="39">
        <v>46071.678553240738</v>
      </c>
      <c r="B1165" s="33" t="s">
        <v>45</v>
      </c>
      <c r="C1165" s="33">
        <v>1732146970</v>
      </c>
      <c r="E1165" s="33">
        <v>1029</v>
      </c>
      <c r="F1165" s="33">
        <v>1028</v>
      </c>
      <c r="G1165" s="33" t="s">
        <v>38</v>
      </c>
      <c r="H1165" s="33" t="s">
        <v>5626</v>
      </c>
      <c r="I1165" s="33" t="s">
        <v>46</v>
      </c>
      <c r="J1165" s="33" t="s">
        <v>40</v>
      </c>
      <c r="L1165" s="33">
        <v>5</v>
      </c>
    </row>
    <row r="1166" spans="1:12" hidden="1" x14ac:dyDescent="0.3">
      <c r="A1166" s="39">
        <v>46071.675254629627</v>
      </c>
      <c r="B1166" s="33">
        <v>11964449514</v>
      </c>
      <c r="C1166" s="33" t="s">
        <v>44</v>
      </c>
      <c r="D1166" s="33">
        <v>4431268225</v>
      </c>
      <c r="E1166" s="33">
        <v>602</v>
      </c>
      <c r="F1166" s="33">
        <v>437</v>
      </c>
      <c r="G1166" s="33" t="s">
        <v>38</v>
      </c>
      <c r="H1166" s="33" t="s">
        <v>4077</v>
      </c>
      <c r="I1166" s="33" t="s">
        <v>39</v>
      </c>
      <c r="J1166" s="33" t="s">
        <v>40</v>
      </c>
      <c r="K1166" s="33" t="s">
        <v>41</v>
      </c>
    </row>
    <row r="1167" spans="1:12" hidden="1" x14ac:dyDescent="0.3">
      <c r="A1167" s="39">
        <v>46071.674768518518</v>
      </c>
      <c r="B1167" s="33">
        <v>4132440491</v>
      </c>
      <c r="C1167" s="33" t="s">
        <v>37</v>
      </c>
      <c r="D1167" s="33">
        <v>4430265054</v>
      </c>
      <c r="E1167" s="33">
        <v>759</v>
      </c>
      <c r="F1167" s="33">
        <v>630</v>
      </c>
      <c r="G1167" s="33" t="s">
        <v>38</v>
      </c>
      <c r="H1167" s="33" t="s">
        <v>4078</v>
      </c>
      <c r="I1167" s="33" t="s">
        <v>39</v>
      </c>
      <c r="J1167" s="33" t="s">
        <v>40</v>
      </c>
      <c r="K1167" s="33" t="s">
        <v>41</v>
      </c>
      <c r="L1167" s="33">
        <v>4</v>
      </c>
    </row>
    <row r="1168" spans="1:12" hidden="1" x14ac:dyDescent="0.3">
      <c r="A1168" s="39">
        <v>46071.674178240741</v>
      </c>
      <c r="B1168" s="33">
        <v>4430162376</v>
      </c>
      <c r="C1168" s="33" t="s">
        <v>42</v>
      </c>
      <c r="D1168" s="33">
        <v>4430265054</v>
      </c>
      <c r="E1168" s="33">
        <v>2044</v>
      </c>
      <c r="F1168" s="33">
        <v>1926</v>
      </c>
      <c r="G1168" s="33" t="s">
        <v>38</v>
      </c>
      <c r="H1168" s="33" t="s">
        <v>4079</v>
      </c>
      <c r="I1168" s="33" t="s">
        <v>39</v>
      </c>
      <c r="J1168" s="33" t="s">
        <v>40</v>
      </c>
      <c r="K1168" s="33" t="s">
        <v>41</v>
      </c>
    </row>
    <row r="1169" spans="1:12" hidden="1" x14ac:dyDescent="0.3">
      <c r="A1169" s="39">
        <v>46071.672326388885</v>
      </c>
      <c r="B1169" s="33">
        <v>4430459032</v>
      </c>
      <c r="C1169" s="33" t="s">
        <v>37</v>
      </c>
      <c r="D1169" s="33">
        <v>4430265054</v>
      </c>
      <c r="E1169" s="33">
        <v>276</v>
      </c>
      <c r="F1169" s="33">
        <v>256</v>
      </c>
      <c r="G1169" s="33" t="s">
        <v>38</v>
      </c>
      <c r="H1169" s="33" t="s">
        <v>4080</v>
      </c>
      <c r="I1169" s="33" t="s">
        <v>39</v>
      </c>
      <c r="J1169" s="33" t="s">
        <v>40</v>
      </c>
      <c r="K1169" s="33" t="s">
        <v>41</v>
      </c>
    </row>
    <row r="1170" spans="1:12" hidden="1" x14ac:dyDescent="0.3">
      <c r="A1170" s="39">
        <v>46071.670740740738</v>
      </c>
      <c r="B1170" s="33" t="s">
        <v>3627</v>
      </c>
      <c r="C1170" s="33">
        <v>1231324851</v>
      </c>
      <c r="E1170" s="33">
        <v>7</v>
      </c>
      <c r="F1170" s="33">
        <v>0</v>
      </c>
      <c r="G1170" s="33" t="s">
        <v>47</v>
      </c>
      <c r="H1170" s="33" t="s">
        <v>5627</v>
      </c>
      <c r="I1170" s="33" t="s">
        <v>46</v>
      </c>
      <c r="J1170" s="33" t="s">
        <v>3629</v>
      </c>
    </row>
    <row r="1171" spans="1:12" hidden="1" x14ac:dyDescent="0.3">
      <c r="A1171" s="39">
        <v>46071.669432870367</v>
      </c>
      <c r="B1171" s="33" t="s">
        <v>37</v>
      </c>
      <c r="C1171" s="33">
        <v>4334234629</v>
      </c>
      <c r="E1171" s="33">
        <v>63</v>
      </c>
      <c r="F1171" s="33">
        <v>51</v>
      </c>
      <c r="G1171" s="33" t="s">
        <v>38</v>
      </c>
      <c r="H1171" s="33" t="s">
        <v>5628</v>
      </c>
      <c r="I1171" s="33" t="s">
        <v>46</v>
      </c>
      <c r="J1171" s="33" t="s">
        <v>40</v>
      </c>
    </row>
    <row r="1172" spans="1:12" hidden="1" x14ac:dyDescent="0.3">
      <c r="A1172" s="39">
        <v>46071.663275462961</v>
      </c>
      <c r="B1172" s="33">
        <v>77999014770</v>
      </c>
      <c r="C1172" s="33" t="s">
        <v>43</v>
      </c>
      <c r="D1172" s="33">
        <v>4430265054</v>
      </c>
      <c r="E1172" s="33">
        <v>118</v>
      </c>
      <c r="F1172" s="33">
        <v>66</v>
      </c>
      <c r="G1172" s="33" t="s">
        <v>38</v>
      </c>
      <c r="H1172" s="33" t="s">
        <v>4081</v>
      </c>
      <c r="I1172" s="33" t="s">
        <v>39</v>
      </c>
      <c r="J1172" s="33" t="s">
        <v>40</v>
      </c>
      <c r="K1172" s="33" t="s">
        <v>41</v>
      </c>
    </row>
    <row r="1173" spans="1:12" hidden="1" x14ac:dyDescent="0.3">
      <c r="A1173" s="39">
        <v>46071.66233796296</v>
      </c>
      <c r="B1173" s="33" t="s">
        <v>43</v>
      </c>
      <c r="C1173" s="33">
        <v>44991333591</v>
      </c>
      <c r="E1173" s="33">
        <v>59</v>
      </c>
      <c r="F1173" s="33">
        <v>45</v>
      </c>
      <c r="G1173" s="33" t="s">
        <v>38</v>
      </c>
      <c r="H1173" s="33" t="s">
        <v>5629</v>
      </c>
      <c r="I1173" s="33" t="s">
        <v>46</v>
      </c>
      <c r="J1173" s="33" t="s">
        <v>40</v>
      </c>
    </row>
    <row r="1174" spans="1:12" hidden="1" x14ac:dyDescent="0.3">
      <c r="A1174" s="39">
        <v>46071.661898148152</v>
      </c>
      <c r="B1174" s="33">
        <v>11916079448</v>
      </c>
      <c r="C1174" s="33" t="s">
        <v>44</v>
      </c>
      <c r="D1174" s="33">
        <v>4430265054</v>
      </c>
      <c r="E1174" s="33">
        <v>514</v>
      </c>
      <c r="F1174" s="33">
        <v>440</v>
      </c>
      <c r="G1174" s="33" t="s">
        <v>38</v>
      </c>
      <c r="H1174" s="33" t="s">
        <v>4082</v>
      </c>
      <c r="I1174" s="33" t="s">
        <v>39</v>
      </c>
      <c r="J1174" s="33" t="s">
        <v>40</v>
      </c>
      <c r="K1174" s="33" t="s">
        <v>41</v>
      </c>
    </row>
    <row r="1175" spans="1:12" hidden="1" x14ac:dyDescent="0.3">
      <c r="A1175" s="39">
        <v>46071.661828703705</v>
      </c>
      <c r="B1175" s="33" t="s">
        <v>45</v>
      </c>
      <c r="C1175" s="33">
        <v>44991002295</v>
      </c>
      <c r="E1175" s="33">
        <v>357</v>
      </c>
      <c r="F1175" s="33">
        <v>350</v>
      </c>
      <c r="G1175" s="33" t="s">
        <v>38</v>
      </c>
      <c r="H1175" s="33" t="s">
        <v>5630</v>
      </c>
      <c r="I1175" s="33" t="s">
        <v>46</v>
      </c>
      <c r="J1175" s="33" t="s">
        <v>40</v>
      </c>
      <c r="L1175" s="33">
        <v>5</v>
      </c>
    </row>
    <row r="1176" spans="1:12" hidden="1" x14ac:dyDescent="0.3">
      <c r="A1176" s="39">
        <v>46071.658067129632</v>
      </c>
      <c r="B1176" s="33">
        <v>4334234629</v>
      </c>
      <c r="C1176" s="33" t="s">
        <v>43</v>
      </c>
      <c r="D1176" s="33">
        <v>4430265054</v>
      </c>
      <c r="E1176" s="33">
        <v>67</v>
      </c>
      <c r="F1176" s="33">
        <v>47</v>
      </c>
      <c r="G1176" s="33" t="s">
        <v>38</v>
      </c>
      <c r="H1176" s="33" t="s">
        <v>4083</v>
      </c>
      <c r="I1176" s="33" t="s">
        <v>39</v>
      </c>
      <c r="J1176" s="33" t="s">
        <v>40</v>
      </c>
      <c r="K1176" s="33" t="s">
        <v>41</v>
      </c>
    </row>
    <row r="1177" spans="1:12" hidden="1" x14ac:dyDescent="0.3">
      <c r="A1177" s="39">
        <v>46071.658055555556</v>
      </c>
      <c r="B1177" s="33">
        <v>4432325260</v>
      </c>
      <c r="C1177" s="33" t="s">
        <v>37</v>
      </c>
      <c r="D1177" s="33">
        <v>4430265054</v>
      </c>
      <c r="E1177" s="33">
        <v>646</v>
      </c>
      <c r="F1177" s="33">
        <v>605</v>
      </c>
      <c r="G1177" s="33" t="s">
        <v>38</v>
      </c>
      <c r="H1177" s="33" t="s">
        <v>4084</v>
      </c>
      <c r="I1177" s="33" t="s">
        <v>39</v>
      </c>
      <c r="J1177" s="33" t="s">
        <v>40</v>
      </c>
      <c r="K1177" s="33" t="s">
        <v>41</v>
      </c>
      <c r="L1177" s="33">
        <v>5</v>
      </c>
    </row>
    <row r="1178" spans="1:12" hidden="1" x14ac:dyDescent="0.3">
      <c r="A1178" s="39">
        <v>46071.654583333337</v>
      </c>
      <c r="B1178" s="33">
        <v>4334226481</v>
      </c>
      <c r="C1178" s="33">
        <v>4430265054</v>
      </c>
      <c r="D1178" s="33">
        <v>4430265054</v>
      </c>
      <c r="E1178" s="33">
        <v>75</v>
      </c>
      <c r="F1178" s="33">
        <v>75</v>
      </c>
      <c r="G1178" s="33" t="s">
        <v>3449</v>
      </c>
      <c r="H1178" s="33" t="s">
        <v>4085</v>
      </c>
      <c r="I1178" s="33" t="s">
        <v>39</v>
      </c>
      <c r="J1178" s="33" t="s">
        <v>3451</v>
      </c>
      <c r="K1178" s="33" t="s">
        <v>41</v>
      </c>
    </row>
    <row r="1179" spans="1:12" hidden="1" x14ac:dyDescent="0.3">
      <c r="A1179" s="39">
        <v>46071.654224537036</v>
      </c>
      <c r="B1179" s="33">
        <v>44991388221</v>
      </c>
      <c r="C1179" s="33" t="s">
        <v>48</v>
      </c>
      <c r="D1179" s="33">
        <v>4430265054</v>
      </c>
      <c r="E1179" s="33">
        <v>124</v>
      </c>
      <c r="F1179" s="33">
        <v>47</v>
      </c>
      <c r="G1179" s="33" t="s">
        <v>38</v>
      </c>
      <c r="H1179" s="33" t="s">
        <v>4086</v>
      </c>
      <c r="I1179" s="33" t="s">
        <v>39</v>
      </c>
      <c r="J1179" s="33" t="s">
        <v>40</v>
      </c>
      <c r="K1179" s="33" t="s">
        <v>41</v>
      </c>
    </row>
    <row r="1180" spans="1:12" x14ac:dyDescent="0.3">
      <c r="A1180" s="39">
        <v>46071.653194444443</v>
      </c>
      <c r="B1180" s="33">
        <v>77999014770</v>
      </c>
      <c r="C1180" s="33" t="s">
        <v>44</v>
      </c>
      <c r="D1180" s="33">
        <v>4430265054</v>
      </c>
      <c r="E1180" s="33">
        <v>689</v>
      </c>
      <c r="F1180" s="33">
        <v>520</v>
      </c>
      <c r="G1180" s="33" t="s">
        <v>38</v>
      </c>
      <c r="H1180" s="33" t="s">
        <v>4087</v>
      </c>
      <c r="I1180" s="33" t="s">
        <v>39</v>
      </c>
      <c r="J1180" s="33" t="s">
        <v>40</v>
      </c>
      <c r="K1180" s="33" t="s">
        <v>41</v>
      </c>
      <c r="L1180" s="33">
        <v>5</v>
      </c>
    </row>
    <row r="1181" spans="1:12" hidden="1" x14ac:dyDescent="0.3">
      <c r="A1181" s="39">
        <v>46071.651539351849</v>
      </c>
      <c r="B1181" s="33" t="s">
        <v>45</v>
      </c>
      <c r="C1181" s="33">
        <v>44991116911</v>
      </c>
      <c r="E1181" s="33">
        <v>166</v>
      </c>
      <c r="F1181" s="33">
        <v>151</v>
      </c>
      <c r="G1181" s="33" t="s">
        <v>38</v>
      </c>
      <c r="H1181" s="33" t="s">
        <v>5631</v>
      </c>
      <c r="I1181" s="33" t="s">
        <v>46</v>
      </c>
      <c r="J1181" s="33" t="s">
        <v>40</v>
      </c>
      <c r="L1181" s="33">
        <v>5</v>
      </c>
    </row>
    <row r="1182" spans="1:12" hidden="1" x14ac:dyDescent="0.3">
      <c r="A1182" s="39">
        <v>46071.646643518521</v>
      </c>
      <c r="B1182" s="33" t="s">
        <v>3627</v>
      </c>
      <c r="C1182" s="33">
        <v>61991052205</v>
      </c>
      <c r="E1182" s="33">
        <v>16</v>
      </c>
      <c r="F1182" s="33">
        <v>6</v>
      </c>
      <c r="G1182" s="33" t="s">
        <v>38</v>
      </c>
      <c r="H1182" s="33" t="s">
        <v>5632</v>
      </c>
      <c r="I1182" s="33" t="s">
        <v>46</v>
      </c>
      <c r="J1182" s="33" t="s">
        <v>3629</v>
      </c>
    </row>
    <row r="1183" spans="1:12" hidden="1" x14ac:dyDescent="0.3">
      <c r="A1183" s="39">
        <v>46071.646412037036</v>
      </c>
      <c r="B1183" s="33">
        <v>43984810043</v>
      </c>
      <c r="C1183" s="33" t="s">
        <v>44</v>
      </c>
      <c r="D1183" s="33">
        <v>4430265054</v>
      </c>
      <c r="E1183" s="33">
        <v>469</v>
      </c>
      <c r="F1183" s="33">
        <v>415</v>
      </c>
      <c r="G1183" s="33" t="s">
        <v>38</v>
      </c>
      <c r="H1183" s="33" t="s">
        <v>4088</v>
      </c>
      <c r="I1183" s="33" t="s">
        <v>39</v>
      </c>
      <c r="J1183" s="33" t="s">
        <v>40</v>
      </c>
      <c r="K1183" s="33" t="s">
        <v>41</v>
      </c>
    </row>
    <row r="1184" spans="1:12" hidden="1" x14ac:dyDescent="0.3">
      <c r="A1184" s="39">
        <v>46071.642141203702</v>
      </c>
      <c r="B1184" s="33">
        <v>11964449514</v>
      </c>
      <c r="C1184" s="33" t="s">
        <v>37</v>
      </c>
      <c r="D1184" s="33">
        <v>4431268225</v>
      </c>
      <c r="E1184" s="33">
        <v>611</v>
      </c>
      <c r="F1184" s="33">
        <v>526</v>
      </c>
      <c r="G1184" s="33" t="s">
        <v>38</v>
      </c>
      <c r="H1184" s="33" t="s">
        <v>4089</v>
      </c>
      <c r="I1184" s="33" t="s">
        <v>39</v>
      </c>
      <c r="J1184" s="33" t="s">
        <v>40</v>
      </c>
      <c r="K1184" s="33" t="s">
        <v>41</v>
      </c>
    </row>
    <row r="1185" spans="1:12" hidden="1" x14ac:dyDescent="0.3">
      <c r="A1185" s="39">
        <v>46071.641423611109</v>
      </c>
      <c r="B1185" s="33">
        <v>45988121757</v>
      </c>
      <c r="C1185" s="33">
        <v>4531273168</v>
      </c>
      <c r="D1185" s="33">
        <v>4531273168</v>
      </c>
      <c r="E1185" s="33">
        <v>9</v>
      </c>
      <c r="F1185" s="33">
        <v>8</v>
      </c>
      <c r="G1185" s="33" t="s">
        <v>3449</v>
      </c>
      <c r="H1185" s="33" t="s">
        <v>5633</v>
      </c>
      <c r="I1185" s="33" t="s">
        <v>39</v>
      </c>
      <c r="J1185" s="33" t="s">
        <v>3451</v>
      </c>
    </row>
    <row r="1186" spans="1:12" hidden="1" x14ac:dyDescent="0.3">
      <c r="A1186" s="39">
        <v>46071.63957175926</v>
      </c>
      <c r="B1186" s="33">
        <v>43988030048</v>
      </c>
      <c r="C1186" s="33" t="s">
        <v>43</v>
      </c>
      <c r="D1186" s="33">
        <v>4430265054</v>
      </c>
      <c r="E1186" s="33">
        <v>204</v>
      </c>
      <c r="F1186" s="33">
        <v>76</v>
      </c>
      <c r="G1186" s="33" t="s">
        <v>38</v>
      </c>
      <c r="H1186" s="33" t="s">
        <v>4090</v>
      </c>
      <c r="I1186" s="33" t="s">
        <v>39</v>
      </c>
      <c r="J1186" s="33" t="s">
        <v>40</v>
      </c>
      <c r="K1186" s="33" t="s">
        <v>41</v>
      </c>
    </row>
    <row r="1187" spans="1:12" hidden="1" x14ac:dyDescent="0.3">
      <c r="A1187" s="39">
        <v>46071.639432870368</v>
      </c>
      <c r="B1187" s="33">
        <v>4432641415</v>
      </c>
      <c r="C1187" s="33" t="s">
        <v>42</v>
      </c>
      <c r="D1187" s="33">
        <v>4430265054</v>
      </c>
      <c r="E1187" s="33">
        <v>708</v>
      </c>
      <c r="F1187" s="33">
        <v>580</v>
      </c>
      <c r="G1187" s="33" t="s">
        <v>38</v>
      </c>
      <c r="H1187" s="33" t="s">
        <v>4091</v>
      </c>
      <c r="I1187" s="33" t="s">
        <v>39</v>
      </c>
      <c r="J1187" s="33" t="s">
        <v>40</v>
      </c>
      <c r="K1187" s="33" t="s">
        <v>41</v>
      </c>
    </row>
    <row r="1188" spans="1:12" hidden="1" x14ac:dyDescent="0.3">
      <c r="A1188" s="39">
        <v>46071.636342592596</v>
      </c>
      <c r="B1188" s="33">
        <v>44997687156</v>
      </c>
      <c r="C1188" s="33">
        <v>4430265054</v>
      </c>
      <c r="D1188" s="33">
        <v>4430265054</v>
      </c>
      <c r="E1188" s="33">
        <v>55</v>
      </c>
      <c r="F1188" s="33">
        <v>55</v>
      </c>
      <c r="G1188" s="33" t="s">
        <v>3449</v>
      </c>
      <c r="H1188" s="33" t="s">
        <v>4092</v>
      </c>
      <c r="I1188" s="33" t="s">
        <v>39</v>
      </c>
      <c r="J1188" s="33" t="s">
        <v>3451</v>
      </c>
      <c r="K1188" s="33" t="s">
        <v>41</v>
      </c>
    </row>
    <row r="1189" spans="1:12" hidden="1" x14ac:dyDescent="0.3">
      <c r="A1189" s="39">
        <v>46071.636250000003</v>
      </c>
      <c r="B1189" s="33">
        <v>44997687156</v>
      </c>
      <c r="C1189" s="33">
        <v>4430265054</v>
      </c>
      <c r="D1189" s="33">
        <v>4430265054</v>
      </c>
      <c r="E1189" s="33">
        <v>0</v>
      </c>
      <c r="F1189" s="33">
        <v>0</v>
      </c>
      <c r="G1189" s="33" t="s">
        <v>47</v>
      </c>
      <c r="H1189" s="33" t="s">
        <v>5634</v>
      </c>
      <c r="I1189" s="33" t="s">
        <v>39</v>
      </c>
    </row>
    <row r="1190" spans="1:12" hidden="1" x14ac:dyDescent="0.3">
      <c r="A1190" s="39">
        <v>46071.632025462961</v>
      </c>
      <c r="B1190" s="33">
        <v>44999689445</v>
      </c>
      <c r="C1190" s="33" t="s">
        <v>42</v>
      </c>
      <c r="D1190" s="33">
        <v>4430265054</v>
      </c>
      <c r="E1190" s="33">
        <v>386</v>
      </c>
      <c r="F1190" s="33">
        <v>361</v>
      </c>
      <c r="G1190" s="33" t="s">
        <v>38</v>
      </c>
      <c r="H1190" s="33" t="s">
        <v>4093</v>
      </c>
      <c r="I1190" s="33" t="s">
        <v>39</v>
      </c>
      <c r="J1190" s="33" t="s">
        <v>40</v>
      </c>
      <c r="K1190" s="33" t="s">
        <v>41</v>
      </c>
    </row>
    <row r="1191" spans="1:12" hidden="1" x14ac:dyDescent="0.3">
      <c r="A1191" s="39">
        <v>46071.629652777781</v>
      </c>
      <c r="B1191" s="33">
        <v>43988030048</v>
      </c>
      <c r="C1191" s="33" t="s">
        <v>37</v>
      </c>
      <c r="D1191" s="33">
        <v>4430265054</v>
      </c>
      <c r="E1191" s="33">
        <v>273</v>
      </c>
      <c r="F1191" s="33">
        <v>229</v>
      </c>
      <c r="G1191" s="33" t="s">
        <v>38</v>
      </c>
      <c r="H1191" s="33" t="s">
        <v>4094</v>
      </c>
      <c r="I1191" s="33" t="s">
        <v>39</v>
      </c>
      <c r="J1191" s="33" t="s">
        <v>40</v>
      </c>
      <c r="K1191" s="33" t="s">
        <v>41</v>
      </c>
    </row>
    <row r="1192" spans="1:12" hidden="1" x14ac:dyDescent="0.3">
      <c r="A1192" s="39">
        <v>46071.619664351849</v>
      </c>
      <c r="B1192" s="33">
        <v>43999388040</v>
      </c>
      <c r="C1192" s="33" t="s">
        <v>37</v>
      </c>
      <c r="D1192" s="33">
        <v>4430265054</v>
      </c>
      <c r="E1192" s="33">
        <v>405</v>
      </c>
      <c r="F1192" s="33">
        <v>269</v>
      </c>
      <c r="G1192" s="33" t="s">
        <v>38</v>
      </c>
      <c r="H1192" s="33" t="s">
        <v>4095</v>
      </c>
      <c r="I1192" s="33" t="s">
        <v>39</v>
      </c>
      <c r="J1192" s="33" t="s">
        <v>40</v>
      </c>
      <c r="K1192" s="33" t="s">
        <v>41</v>
      </c>
    </row>
    <row r="1193" spans="1:12" hidden="1" x14ac:dyDescent="0.3">
      <c r="A1193" s="39">
        <v>46071.613113425927</v>
      </c>
      <c r="B1193" s="33">
        <v>1732146970</v>
      </c>
      <c r="C1193" s="33" t="s">
        <v>43</v>
      </c>
      <c r="D1193" s="33">
        <v>4431268225</v>
      </c>
      <c r="E1193" s="33">
        <v>154</v>
      </c>
      <c r="F1193" s="33">
        <v>74</v>
      </c>
      <c r="G1193" s="33" t="s">
        <v>38</v>
      </c>
      <c r="H1193" s="33" t="s">
        <v>4096</v>
      </c>
      <c r="I1193" s="33" t="s">
        <v>39</v>
      </c>
      <c r="J1193" s="33" t="s">
        <v>40</v>
      </c>
      <c r="K1193" s="33" t="s">
        <v>41</v>
      </c>
    </row>
    <row r="1194" spans="1:12" hidden="1" x14ac:dyDescent="0.3">
      <c r="A1194" s="39">
        <v>46071.608773148146</v>
      </c>
      <c r="B1194" s="33">
        <v>44997400641</v>
      </c>
      <c r="C1194" s="33" t="s">
        <v>42</v>
      </c>
      <c r="D1194" s="33">
        <v>4430265054</v>
      </c>
      <c r="E1194" s="33">
        <v>1100</v>
      </c>
      <c r="F1194" s="33">
        <v>1009</v>
      </c>
      <c r="G1194" s="33" t="s">
        <v>38</v>
      </c>
      <c r="H1194" s="33" t="s">
        <v>4097</v>
      </c>
      <c r="I1194" s="33" t="s">
        <v>39</v>
      </c>
      <c r="J1194" s="33" t="s">
        <v>40</v>
      </c>
      <c r="K1194" s="33" t="s">
        <v>41</v>
      </c>
      <c r="L1194" s="33">
        <v>5</v>
      </c>
    </row>
    <row r="1195" spans="1:12" hidden="1" x14ac:dyDescent="0.3">
      <c r="A1195" s="39">
        <v>46071.607233796298</v>
      </c>
      <c r="B1195" s="33">
        <v>44991333591</v>
      </c>
      <c r="C1195" s="33" t="s">
        <v>43</v>
      </c>
      <c r="D1195" s="33">
        <v>4430265054</v>
      </c>
      <c r="E1195" s="33">
        <v>344</v>
      </c>
      <c r="F1195" s="33">
        <v>309</v>
      </c>
      <c r="G1195" s="33" t="s">
        <v>38</v>
      </c>
      <c r="H1195" s="33" t="s">
        <v>4098</v>
      </c>
      <c r="I1195" s="33" t="s">
        <v>39</v>
      </c>
      <c r="J1195" s="33" t="s">
        <v>40</v>
      </c>
      <c r="K1195" s="33" t="s">
        <v>41</v>
      </c>
    </row>
    <row r="1196" spans="1:12" hidden="1" x14ac:dyDescent="0.3">
      <c r="A1196" s="39">
        <v>46071.606851851851</v>
      </c>
      <c r="B1196" s="33" t="s">
        <v>44</v>
      </c>
      <c r="C1196" s="33">
        <v>44988067937</v>
      </c>
      <c r="E1196" s="33">
        <v>1243</v>
      </c>
      <c r="F1196" s="33">
        <v>1228</v>
      </c>
      <c r="G1196" s="33" t="s">
        <v>38</v>
      </c>
      <c r="H1196" s="33" t="s">
        <v>5635</v>
      </c>
      <c r="I1196" s="33" t="s">
        <v>46</v>
      </c>
      <c r="J1196" s="33" t="s">
        <v>40</v>
      </c>
    </row>
    <row r="1197" spans="1:12" hidden="1" x14ac:dyDescent="0.3">
      <c r="A1197" s="39">
        <v>46071.606736111113</v>
      </c>
      <c r="B1197" s="33" t="s">
        <v>44</v>
      </c>
      <c r="C1197" s="33">
        <v>44988067937</v>
      </c>
      <c r="E1197" s="33">
        <v>7</v>
      </c>
      <c r="F1197" s="33">
        <v>0</v>
      </c>
      <c r="G1197" s="33" t="s">
        <v>47</v>
      </c>
      <c r="H1197" s="33" t="s">
        <v>5636</v>
      </c>
      <c r="I1197" s="33" t="s">
        <v>46</v>
      </c>
      <c r="J1197" s="33" t="s">
        <v>40</v>
      </c>
    </row>
    <row r="1198" spans="1:12" hidden="1" x14ac:dyDescent="0.3">
      <c r="A1198" s="39">
        <v>46071.604849537034</v>
      </c>
      <c r="B1198" s="33">
        <v>4334234629</v>
      </c>
      <c r="C1198" s="33" t="s">
        <v>37</v>
      </c>
      <c r="D1198" s="33">
        <v>4430265054</v>
      </c>
      <c r="E1198" s="33">
        <v>1317</v>
      </c>
      <c r="F1198" s="33">
        <v>1297</v>
      </c>
      <c r="G1198" s="33" t="s">
        <v>38</v>
      </c>
      <c r="H1198" s="33" t="s">
        <v>4099</v>
      </c>
      <c r="I1198" s="33" t="s">
        <v>39</v>
      </c>
      <c r="J1198" s="33" t="s">
        <v>40</v>
      </c>
      <c r="K1198" s="33" t="s">
        <v>41</v>
      </c>
    </row>
    <row r="1199" spans="1:12" hidden="1" x14ac:dyDescent="0.3">
      <c r="A1199" s="39">
        <v>46071.601365740738</v>
      </c>
      <c r="B1199" s="33">
        <v>44991002295</v>
      </c>
      <c r="C1199" s="33" t="s">
        <v>45</v>
      </c>
      <c r="D1199" s="33">
        <v>4430265054</v>
      </c>
      <c r="E1199" s="33">
        <v>4188</v>
      </c>
      <c r="F1199" s="33">
        <v>4115</v>
      </c>
      <c r="G1199" s="33" t="s">
        <v>38</v>
      </c>
      <c r="H1199" s="33" t="s">
        <v>4100</v>
      </c>
      <c r="I1199" s="33" t="s">
        <v>39</v>
      </c>
      <c r="J1199" s="33" t="s">
        <v>40</v>
      </c>
      <c r="K1199" s="33" t="s">
        <v>41</v>
      </c>
    </row>
    <row r="1200" spans="1:12" hidden="1" x14ac:dyDescent="0.3">
      <c r="A1200" s="39">
        <v>46071.600856481484</v>
      </c>
      <c r="B1200" s="33">
        <v>44998640313</v>
      </c>
      <c r="C1200" s="33" t="s">
        <v>42</v>
      </c>
      <c r="D1200" s="33">
        <v>4430265054</v>
      </c>
      <c r="E1200" s="33">
        <v>754</v>
      </c>
      <c r="F1200" s="33">
        <v>734</v>
      </c>
      <c r="G1200" s="33" t="s">
        <v>38</v>
      </c>
      <c r="H1200" s="33" t="s">
        <v>4101</v>
      </c>
      <c r="I1200" s="33" t="s">
        <v>39</v>
      </c>
      <c r="J1200" s="33" t="s">
        <v>40</v>
      </c>
      <c r="K1200" s="33" t="s">
        <v>41</v>
      </c>
    </row>
    <row r="1201" spans="1:12" hidden="1" x14ac:dyDescent="0.3">
      <c r="A1201" s="39">
        <v>46071.597951388889</v>
      </c>
      <c r="B1201" s="33">
        <v>44998437682</v>
      </c>
      <c r="C1201" s="33" t="s">
        <v>48</v>
      </c>
      <c r="D1201" s="33">
        <v>4430265054</v>
      </c>
      <c r="E1201" s="33">
        <v>298</v>
      </c>
      <c r="F1201" s="33">
        <v>264</v>
      </c>
      <c r="G1201" s="33" t="s">
        <v>38</v>
      </c>
      <c r="H1201" s="33" t="s">
        <v>4102</v>
      </c>
      <c r="I1201" s="33" t="s">
        <v>39</v>
      </c>
      <c r="J1201" s="33" t="s">
        <v>40</v>
      </c>
      <c r="K1201" s="33" t="s">
        <v>41</v>
      </c>
      <c r="L1201" s="33">
        <v>5</v>
      </c>
    </row>
    <row r="1202" spans="1:12" x14ac:dyDescent="0.3">
      <c r="A1202" s="39">
        <v>46071.597581018519</v>
      </c>
      <c r="B1202" s="33">
        <v>44991484476</v>
      </c>
      <c r="C1202" s="33" t="s">
        <v>44</v>
      </c>
      <c r="D1202" s="33">
        <v>4430265054</v>
      </c>
      <c r="E1202" s="33">
        <v>732</v>
      </c>
      <c r="F1202" s="33">
        <v>666</v>
      </c>
      <c r="G1202" s="33" t="s">
        <v>38</v>
      </c>
      <c r="H1202" s="33" t="s">
        <v>4103</v>
      </c>
      <c r="I1202" s="33" t="s">
        <v>39</v>
      </c>
      <c r="J1202" s="33" t="s">
        <v>40</v>
      </c>
      <c r="K1202" s="33" t="s">
        <v>41</v>
      </c>
      <c r="L1202" s="33">
        <v>5</v>
      </c>
    </row>
    <row r="1203" spans="1:12" hidden="1" x14ac:dyDescent="0.3">
      <c r="A1203" s="39">
        <v>46071.592314814814</v>
      </c>
      <c r="B1203" s="33">
        <v>44997343311</v>
      </c>
      <c r="C1203" s="33" t="s">
        <v>48</v>
      </c>
      <c r="D1203" s="33">
        <v>4430265054</v>
      </c>
      <c r="E1203" s="33">
        <v>408</v>
      </c>
      <c r="F1203" s="33">
        <v>407</v>
      </c>
      <c r="G1203" s="33" t="s">
        <v>38</v>
      </c>
      <c r="H1203" s="33" t="s">
        <v>4104</v>
      </c>
      <c r="I1203" s="33" t="s">
        <v>39</v>
      </c>
      <c r="J1203" s="33" t="s">
        <v>40</v>
      </c>
      <c r="K1203" s="33" t="s">
        <v>41</v>
      </c>
    </row>
    <row r="1204" spans="1:12" hidden="1" x14ac:dyDescent="0.3">
      <c r="A1204" s="39">
        <v>46071.587627314817</v>
      </c>
      <c r="B1204" s="33">
        <v>44997400641</v>
      </c>
      <c r="C1204" s="33" t="s">
        <v>43</v>
      </c>
      <c r="D1204" s="33">
        <v>4430265054</v>
      </c>
      <c r="E1204" s="33">
        <v>140</v>
      </c>
      <c r="F1204" s="33">
        <v>68</v>
      </c>
      <c r="G1204" s="33" t="s">
        <v>38</v>
      </c>
      <c r="H1204" s="33" t="s">
        <v>4105</v>
      </c>
      <c r="I1204" s="33" t="s">
        <v>39</v>
      </c>
      <c r="J1204" s="33" t="s">
        <v>40</v>
      </c>
      <c r="K1204" s="33" t="s">
        <v>41</v>
      </c>
    </row>
    <row r="1205" spans="1:12" hidden="1" x14ac:dyDescent="0.3">
      <c r="A1205" s="39">
        <v>46071.582881944443</v>
      </c>
      <c r="B1205" s="33">
        <v>44998761561</v>
      </c>
      <c r="C1205" s="33" t="s">
        <v>43</v>
      </c>
      <c r="D1205" s="33">
        <v>4430265054</v>
      </c>
      <c r="E1205" s="33">
        <v>206</v>
      </c>
      <c r="F1205" s="33">
        <v>173</v>
      </c>
      <c r="G1205" s="33" t="s">
        <v>38</v>
      </c>
      <c r="H1205" s="33" t="s">
        <v>4106</v>
      </c>
      <c r="I1205" s="33" t="s">
        <v>39</v>
      </c>
      <c r="J1205" s="33" t="s">
        <v>40</v>
      </c>
      <c r="K1205" s="33" t="s">
        <v>41</v>
      </c>
    </row>
    <row r="1206" spans="1:12" hidden="1" x14ac:dyDescent="0.3">
      <c r="A1206" s="39">
        <v>46071.580335648148</v>
      </c>
      <c r="B1206" s="33">
        <v>4532541802</v>
      </c>
      <c r="C1206" s="33" t="s">
        <v>45</v>
      </c>
      <c r="D1206" s="33">
        <v>4430265054</v>
      </c>
      <c r="E1206" s="33">
        <v>1794</v>
      </c>
      <c r="F1206" s="33">
        <v>1770</v>
      </c>
      <c r="G1206" s="33" t="s">
        <v>38</v>
      </c>
      <c r="H1206" s="33" t="s">
        <v>4107</v>
      </c>
      <c r="I1206" s="33" t="s">
        <v>39</v>
      </c>
      <c r="J1206" s="33" t="s">
        <v>40</v>
      </c>
      <c r="K1206" s="33" t="s">
        <v>41</v>
      </c>
      <c r="L1206" s="33">
        <v>5</v>
      </c>
    </row>
    <row r="1207" spans="1:12" hidden="1" x14ac:dyDescent="0.3">
      <c r="A1207" s="39">
        <v>46071.579780092594</v>
      </c>
      <c r="B1207" s="33">
        <v>41996175686</v>
      </c>
      <c r="C1207" s="33" t="s">
        <v>48</v>
      </c>
      <c r="D1207" s="33">
        <v>4430265054</v>
      </c>
      <c r="E1207" s="33">
        <v>384</v>
      </c>
      <c r="F1207" s="33">
        <v>384</v>
      </c>
      <c r="G1207" s="33" t="s">
        <v>38</v>
      </c>
      <c r="H1207" s="33" t="s">
        <v>4108</v>
      </c>
      <c r="I1207" s="33" t="s">
        <v>39</v>
      </c>
      <c r="J1207" s="33" t="s">
        <v>40</v>
      </c>
      <c r="K1207" s="33" t="s">
        <v>41</v>
      </c>
    </row>
    <row r="1208" spans="1:12" hidden="1" x14ac:dyDescent="0.3">
      <c r="A1208" s="39">
        <v>46071.579016203701</v>
      </c>
      <c r="B1208" s="33">
        <v>1143744993</v>
      </c>
      <c r="C1208" s="33" t="s">
        <v>42</v>
      </c>
      <c r="D1208" s="33">
        <v>4431268225</v>
      </c>
      <c r="E1208" s="33">
        <v>978</v>
      </c>
      <c r="F1208" s="33">
        <v>922</v>
      </c>
      <c r="G1208" s="33" t="s">
        <v>38</v>
      </c>
      <c r="H1208" s="33" t="s">
        <v>4109</v>
      </c>
      <c r="I1208" s="33" t="s">
        <v>39</v>
      </c>
      <c r="J1208" s="33" t="s">
        <v>40</v>
      </c>
      <c r="K1208" s="33" t="s">
        <v>41</v>
      </c>
    </row>
    <row r="1209" spans="1:12" hidden="1" x14ac:dyDescent="0.3">
      <c r="A1209" s="39">
        <v>46071.578668981485</v>
      </c>
      <c r="B1209" s="33" t="s">
        <v>44</v>
      </c>
      <c r="C1209" s="33">
        <v>4434221675</v>
      </c>
      <c r="E1209" s="33">
        <v>1428</v>
      </c>
      <c r="F1209" s="33">
        <v>1424</v>
      </c>
      <c r="G1209" s="33" t="s">
        <v>38</v>
      </c>
      <c r="H1209" s="33" t="s">
        <v>5637</v>
      </c>
      <c r="I1209" s="33" t="s">
        <v>46</v>
      </c>
      <c r="J1209" s="33" t="s">
        <v>40</v>
      </c>
    </row>
    <row r="1210" spans="1:12" hidden="1" x14ac:dyDescent="0.3">
      <c r="A1210" s="39">
        <v>46071.578425925924</v>
      </c>
      <c r="B1210" s="33">
        <v>44991284259</v>
      </c>
      <c r="C1210" s="33" t="s">
        <v>43</v>
      </c>
      <c r="D1210" s="33">
        <v>4430265054</v>
      </c>
      <c r="E1210" s="33">
        <v>305</v>
      </c>
      <c r="F1210" s="33">
        <v>245</v>
      </c>
      <c r="G1210" s="33" t="s">
        <v>38</v>
      </c>
      <c r="H1210" s="33" t="s">
        <v>4110</v>
      </c>
      <c r="I1210" s="33" t="s">
        <v>39</v>
      </c>
      <c r="J1210" s="33" t="s">
        <v>40</v>
      </c>
      <c r="K1210" s="33" t="s">
        <v>41</v>
      </c>
      <c r="L1210" s="33">
        <v>5</v>
      </c>
    </row>
    <row r="1211" spans="1:12" hidden="1" x14ac:dyDescent="0.3">
      <c r="A1211" s="39">
        <v>46071.571539351855</v>
      </c>
      <c r="B1211" s="33">
        <v>93991495484</v>
      </c>
      <c r="C1211" s="33" t="s">
        <v>42</v>
      </c>
      <c r="D1211" s="33">
        <v>4430265054</v>
      </c>
      <c r="E1211" s="33">
        <v>391</v>
      </c>
      <c r="F1211" s="33">
        <v>352</v>
      </c>
      <c r="G1211" s="33" t="s">
        <v>38</v>
      </c>
      <c r="H1211" s="33" t="s">
        <v>4111</v>
      </c>
      <c r="I1211" s="33" t="s">
        <v>39</v>
      </c>
      <c r="J1211" s="33" t="s">
        <v>40</v>
      </c>
      <c r="K1211" s="33" t="s">
        <v>41</v>
      </c>
    </row>
    <row r="1212" spans="1:12" hidden="1" x14ac:dyDescent="0.3">
      <c r="A1212" s="39">
        <v>46071.570879629631</v>
      </c>
      <c r="B1212" s="33">
        <v>4532541802</v>
      </c>
      <c r="C1212" s="33" t="s">
        <v>48</v>
      </c>
      <c r="D1212" s="33">
        <v>4430265054</v>
      </c>
      <c r="E1212" s="33">
        <v>187</v>
      </c>
      <c r="F1212" s="33">
        <v>186</v>
      </c>
      <c r="G1212" s="33" t="s">
        <v>38</v>
      </c>
      <c r="H1212" s="33" t="s">
        <v>4112</v>
      </c>
      <c r="I1212" s="33" t="s">
        <v>39</v>
      </c>
      <c r="J1212" s="33" t="s">
        <v>40</v>
      </c>
      <c r="K1212" s="33" t="s">
        <v>41</v>
      </c>
    </row>
    <row r="1213" spans="1:12" x14ac:dyDescent="0.3">
      <c r="A1213" s="39">
        <v>46071.5703587963</v>
      </c>
      <c r="B1213" s="33">
        <v>44997734943</v>
      </c>
      <c r="C1213" s="33" t="s">
        <v>44</v>
      </c>
      <c r="D1213" s="33">
        <v>4430265054</v>
      </c>
      <c r="E1213" s="33">
        <v>415</v>
      </c>
      <c r="F1213" s="33">
        <v>369</v>
      </c>
      <c r="G1213" s="33" t="s">
        <v>38</v>
      </c>
      <c r="H1213" s="33" t="s">
        <v>4113</v>
      </c>
      <c r="I1213" s="33" t="s">
        <v>39</v>
      </c>
      <c r="J1213" s="33" t="s">
        <v>40</v>
      </c>
      <c r="K1213" s="33" t="s">
        <v>41</v>
      </c>
      <c r="L1213" s="33">
        <v>5</v>
      </c>
    </row>
    <row r="1214" spans="1:12" hidden="1" x14ac:dyDescent="0.3">
      <c r="A1214" s="39">
        <v>46071.567847222221</v>
      </c>
      <c r="B1214" s="33">
        <v>4430146402</v>
      </c>
      <c r="C1214" s="33" t="s">
        <v>43</v>
      </c>
      <c r="D1214" s="33">
        <v>4430265054</v>
      </c>
      <c r="E1214" s="33">
        <v>375</v>
      </c>
      <c r="F1214" s="33">
        <v>314</v>
      </c>
      <c r="G1214" s="33" t="s">
        <v>38</v>
      </c>
      <c r="H1214" s="33" t="s">
        <v>4114</v>
      </c>
      <c r="I1214" s="33" t="s">
        <v>39</v>
      </c>
      <c r="J1214" s="33" t="s">
        <v>40</v>
      </c>
      <c r="K1214" s="33" t="s">
        <v>41</v>
      </c>
    </row>
    <row r="1215" spans="1:12" hidden="1" x14ac:dyDescent="0.3">
      <c r="A1215" s="39">
        <v>46071.567326388889</v>
      </c>
      <c r="B1215" s="33">
        <v>44991116911</v>
      </c>
      <c r="C1215" s="33" t="s">
        <v>45</v>
      </c>
      <c r="D1215" s="33">
        <v>4430265054</v>
      </c>
      <c r="E1215" s="33">
        <v>1147</v>
      </c>
      <c r="F1215" s="33">
        <v>1123</v>
      </c>
      <c r="G1215" s="33" t="s">
        <v>38</v>
      </c>
      <c r="H1215" s="33" t="s">
        <v>4115</v>
      </c>
      <c r="I1215" s="33" t="s">
        <v>39</v>
      </c>
      <c r="J1215" s="33" t="s">
        <v>40</v>
      </c>
      <c r="K1215" s="33" t="s">
        <v>41</v>
      </c>
    </row>
    <row r="1216" spans="1:12" hidden="1" x14ac:dyDescent="0.3">
      <c r="A1216" s="39">
        <v>46071.563784722224</v>
      </c>
      <c r="B1216" s="33" t="s">
        <v>42</v>
      </c>
      <c r="C1216" s="33">
        <v>4430285070</v>
      </c>
      <c r="E1216" s="33">
        <v>215</v>
      </c>
      <c r="F1216" s="33">
        <v>204</v>
      </c>
      <c r="G1216" s="33" t="s">
        <v>38</v>
      </c>
      <c r="H1216" s="33" t="s">
        <v>5638</v>
      </c>
      <c r="I1216" s="33" t="s">
        <v>46</v>
      </c>
      <c r="J1216" s="33" t="s">
        <v>40</v>
      </c>
      <c r="L1216" s="33">
        <v>5</v>
      </c>
    </row>
    <row r="1217" spans="1:12" hidden="1" x14ac:dyDescent="0.3">
      <c r="A1217" s="39">
        <v>46071.563668981478</v>
      </c>
      <c r="B1217" s="33">
        <v>44988067937</v>
      </c>
      <c r="C1217" s="33" t="s">
        <v>44</v>
      </c>
      <c r="D1217" s="33">
        <v>4430265054</v>
      </c>
      <c r="E1217" s="33">
        <v>88</v>
      </c>
      <c r="F1217" s="33">
        <v>36</v>
      </c>
      <c r="G1217" s="33" t="s">
        <v>38</v>
      </c>
      <c r="H1217" s="33" t="s">
        <v>4116</v>
      </c>
      <c r="I1217" s="33" t="s">
        <v>39</v>
      </c>
      <c r="J1217" s="33" t="s">
        <v>40</v>
      </c>
      <c r="K1217" s="33" t="s">
        <v>41</v>
      </c>
    </row>
    <row r="1218" spans="1:12" hidden="1" x14ac:dyDescent="0.3">
      <c r="A1218" s="39">
        <v>46071.545243055552</v>
      </c>
      <c r="B1218" s="33">
        <v>44991213988</v>
      </c>
      <c r="C1218" s="33">
        <v>4430265054</v>
      </c>
      <c r="D1218" s="33">
        <v>4430265054</v>
      </c>
      <c r="E1218" s="33">
        <v>4</v>
      </c>
      <c r="F1218" s="33">
        <v>3</v>
      </c>
      <c r="G1218" s="33" t="s">
        <v>3449</v>
      </c>
      <c r="H1218" s="33" t="s">
        <v>5639</v>
      </c>
      <c r="I1218" s="33" t="s">
        <v>39</v>
      </c>
      <c r="J1218" s="33" t="s">
        <v>3451</v>
      </c>
    </row>
    <row r="1219" spans="1:12" hidden="1" x14ac:dyDescent="0.3">
      <c r="A1219" s="39">
        <v>46071.492615740739</v>
      </c>
      <c r="B1219" s="33">
        <v>41996631918</v>
      </c>
      <c r="C1219" s="33" t="s">
        <v>42</v>
      </c>
      <c r="D1219" s="33">
        <v>4430265054</v>
      </c>
      <c r="E1219" s="33">
        <v>588</v>
      </c>
      <c r="F1219" s="33">
        <v>542</v>
      </c>
      <c r="G1219" s="33" t="s">
        <v>38</v>
      </c>
      <c r="H1219" s="33" t="s">
        <v>4117</v>
      </c>
      <c r="I1219" s="33" t="s">
        <v>39</v>
      </c>
      <c r="J1219" s="33" t="s">
        <v>40</v>
      </c>
      <c r="K1219" s="33" t="s">
        <v>41</v>
      </c>
    </row>
    <row r="1220" spans="1:12" hidden="1" x14ac:dyDescent="0.3">
      <c r="A1220" s="39">
        <v>46071.491168981483</v>
      </c>
      <c r="B1220" s="33">
        <v>4334232912</v>
      </c>
      <c r="C1220" s="33" t="s">
        <v>44</v>
      </c>
      <c r="D1220" s="33">
        <v>4430265054</v>
      </c>
      <c r="E1220" s="33">
        <v>176</v>
      </c>
      <c r="F1220" s="33">
        <v>104</v>
      </c>
      <c r="G1220" s="33" t="s">
        <v>38</v>
      </c>
      <c r="H1220" s="33" t="s">
        <v>4118</v>
      </c>
      <c r="I1220" s="33" t="s">
        <v>39</v>
      </c>
      <c r="J1220" s="33" t="s">
        <v>40</v>
      </c>
      <c r="K1220" s="33" t="s">
        <v>41</v>
      </c>
    </row>
    <row r="1221" spans="1:12" hidden="1" x14ac:dyDescent="0.3">
      <c r="A1221" s="39">
        <v>46071.482604166667</v>
      </c>
      <c r="B1221" s="33">
        <v>44991484476</v>
      </c>
      <c r="C1221" s="33" t="s">
        <v>42</v>
      </c>
      <c r="D1221" s="33">
        <v>4430265054</v>
      </c>
      <c r="E1221" s="33">
        <v>801</v>
      </c>
      <c r="F1221" s="33">
        <v>691</v>
      </c>
      <c r="G1221" s="33" t="s">
        <v>38</v>
      </c>
      <c r="H1221" s="33" t="s">
        <v>4119</v>
      </c>
      <c r="I1221" s="33" t="s">
        <v>39</v>
      </c>
      <c r="J1221" s="33" t="s">
        <v>40</v>
      </c>
      <c r="K1221" s="33" t="s">
        <v>41</v>
      </c>
      <c r="L1221" s="33">
        <v>5</v>
      </c>
    </row>
    <row r="1222" spans="1:12" hidden="1" x14ac:dyDescent="0.3">
      <c r="A1222" s="39">
        <v>46071.480115740742</v>
      </c>
      <c r="B1222" s="33">
        <v>4330332823</v>
      </c>
      <c r="C1222" s="33" t="s">
        <v>45</v>
      </c>
      <c r="D1222" s="33">
        <v>4430265054</v>
      </c>
      <c r="E1222" s="33">
        <v>1253</v>
      </c>
      <c r="F1222" s="33">
        <v>1216</v>
      </c>
      <c r="G1222" s="33" t="s">
        <v>38</v>
      </c>
      <c r="H1222" s="33" t="s">
        <v>4120</v>
      </c>
      <c r="I1222" s="33" t="s">
        <v>39</v>
      </c>
      <c r="J1222" s="33" t="s">
        <v>40</v>
      </c>
      <c r="K1222" s="33" t="s">
        <v>41</v>
      </c>
      <c r="L1222" s="33">
        <v>5</v>
      </c>
    </row>
    <row r="1223" spans="1:12" hidden="1" x14ac:dyDescent="0.3">
      <c r="A1223" s="39">
        <v>46071.47928240741</v>
      </c>
      <c r="B1223" s="33" t="s">
        <v>44</v>
      </c>
      <c r="C1223" s="33">
        <v>4434221675</v>
      </c>
      <c r="E1223" s="33">
        <v>202</v>
      </c>
      <c r="F1223" s="33">
        <v>197</v>
      </c>
      <c r="G1223" s="33" t="s">
        <v>38</v>
      </c>
      <c r="H1223" s="33" t="s">
        <v>5640</v>
      </c>
      <c r="I1223" s="33" t="s">
        <v>46</v>
      </c>
      <c r="J1223" s="33" t="s">
        <v>40</v>
      </c>
    </row>
    <row r="1224" spans="1:12" hidden="1" x14ac:dyDescent="0.3">
      <c r="A1224" s="39">
        <v>46071.479166666664</v>
      </c>
      <c r="B1224" s="33" t="s">
        <v>3627</v>
      </c>
      <c r="C1224" s="33">
        <v>31993994936</v>
      </c>
      <c r="E1224" s="33">
        <v>8</v>
      </c>
      <c r="F1224" s="33">
        <v>2</v>
      </c>
      <c r="G1224" s="33" t="s">
        <v>38</v>
      </c>
      <c r="H1224" s="33" t="s">
        <v>5641</v>
      </c>
      <c r="I1224" s="33" t="s">
        <v>46</v>
      </c>
      <c r="J1224" s="33" t="s">
        <v>3629</v>
      </c>
    </row>
    <row r="1225" spans="1:12" hidden="1" x14ac:dyDescent="0.3">
      <c r="A1225" s="39">
        <v>46071.477939814817</v>
      </c>
      <c r="B1225" s="33" t="s">
        <v>3627</v>
      </c>
      <c r="C1225" s="33">
        <v>8821516105</v>
      </c>
      <c r="E1225" s="33">
        <v>8</v>
      </c>
      <c r="F1225" s="33">
        <v>0</v>
      </c>
      <c r="G1225" s="33" t="s">
        <v>47</v>
      </c>
      <c r="H1225" s="33" t="s">
        <v>5642</v>
      </c>
      <c r="I1225" s="33" t="s">
        <v>46</v>
      </c>
      <c r="J1225" s="33" t="s">
        <v>3629</v>
      </c>
    </row>
    <row r="1226" spans="1:12" hidden="1" x14ac:dyDescent="0.3">
      <c r="A1226" s="39">
        <v>46071.477187500001</v>
      </c>
      <c r="B1226" s="33" t="s">
        <v>3627</v>
      </c>
      <c r="C1226" s="33">
        <v>65996357970</v>
      </c>
      <c r="E1226" s="33">
        <v>17</v>
      </c>
      <c r="F1226" s="33">
        <v>13</v>
      </c>
      <c r="G1226" s="33" t="s">
        <v>38</v>
      </c>
      <c r="H1226" s="33" t="s">
        <v>5643</v>
      </c>
      <c r="I1226" s="33" t="s">
        <v>46</v>
      </c>
      <c r="J1226" s="33" t="s">
        <v>3629</v>
      </c>
    </row>
    <row r="1227" spans="1:12" hidden="1" x14ac:dyDescent="0.3">
      <c r="A1227" s="39">
        <v>46071.472060185188</v>
      </c>
      <c r="B1227" s="33">
        <v>44997687156</v>
      </c>
      <c r="C1227" s="33" t="s">
        <v>48</v>
      </c>
      <c r="D1227" s="33">
        <v>4430265054</v>
      </c>
      <c r="E1227" s="33">
        <v>800</v>
      </c>
      <c r="F1227" s="33">
        <v>800</v>
      </c>
      <c r="G1227" s="33" t="s">
        <v>38</v>
      </c>
      <c r="H1227" s="33" t="s">
        <v>4121</v>
      </c>
      <c r="I1227" s="33" t="s">
        <v>39</v>
      </c>
      <c r="J1227" s="33" t="s">
        <v>40</v>
      </c>
      <c r="K1227" s="33" t="s">
        <v>41</v>
      </c>
    </row>
    <row r="1228" spans="1:12" hidden="1" x14ac:dyDescent="0.3">
      <c r="A1228" s="39">
        <v>46071.47148148148</v>
      </c>
      <c r="B1228" s="33">
        <v>4331622700</v>
      </c>
      <c r="C1228" s="33" t="s">
        <v>3627</v>
      </c>
      <c r="D1228" s="33">
        <v>4430265054</v>
      </c>
      <c r="E1228" s="33">
        <v>135</v>
      </c>
      <c r="F1228" s="33">
        <v>114</v>
      </c>
      <c r="G1228" s="33" t="s">
        <v>38</v>
      </c>
      <c r="H1228" s="33" t="s">
        <v>5644</v>
      </c>
      <c r="I1228" s="33" t="s">
        <v>39</v>
      </c>
      <c r="J1228" s="33" t="s">
        <v>3629</v>
      </c>
      <c r="K1228" s="33" t="s">
        <v>50</v>
      </c>
    </row>
    <row r="1229" spans="1:12" hidden="1" x14ac:dyDescent="0.3">
      <c r="A1229" s="39">
        <v>46071.470300925925</v>
      </c>
      <c r="B1229" s="33">
        <v>44988135387</v>
      </c>
      <c r="C1229" s="33" t="s">
        <v>42</v>
      </c>
      <c r="D1229" s="33">
        <v>4430265054</v>
      </c>
      <c r="E1229" s="33">
        <v>916</v>
      </c>
      <c r="F1229" s="33">
        <v>861</v>
      </c>
      <c r="G1229" s="33" t="s">
        <v>38</v>
      </c>
      <c r="H1229" s="33" t="s">
        <v>4122</v>
      </c>
      <c r="I1229" s="33" t="s">
        <v>39</v>
      </c>
      <c r="J1229" s="33" t="s">
        <v>40</v>
      </c>
      <c r="K1229" s="33" t="s">
        <v>41</v>
      </c>
      <c r="L1229" s="33">
        <v>5</v>
      </c>
    </row>
    <row r="1230" spans="1:12" hidden="1" x14ac:dyDescent="0.3">
      <c r="A1230" s="39">
        <v>46071.466585648152</v>
      </c>
      <c r="B1230" s="33">
        <v>44999710746</v>
      </c>
      <c r="C1230" s="33" t="s">
        <v>45</v>
      </c>
      <c r="D1230" s="33">
        <v>4430265054</v>
      </c>
      <c r="E1230" s="33">
        <v>305</v>
      </c>
      <c r="F1230" s="33">
        <v>187</v>
      </c>
      <c r="G1230" s="33" t="s">
        <v>38</v>
      </c>
      <c r="H1230" s="33" t="s">
        <v>4123</v>
      </c>
      <c r="I1230" s="33" t="s">
        <v>39</v>
      </c>
      <c r="J1230" s="33" t="s">
        <v>40</v>
      </c>
      <c r="K1230" s="33" t="s">
        <v>41</v>
      </c>
    </row>
    <row r="1231" spans="1:12" hidden="1" x14ac:dyDescent="0.3">
      <c r="A1231" s="39">
        <v>46071.457372685189</v>
      </c>
      <c r="B1231" s="33">
        <v>44997400641</v>
      </c>
      <c r="C1231" s="33" t="s">
        <v>43</v>
      </c>
      <c r="D1231" s="33">
        <v>4430265054</v>
      </c>
      <c r="E1231" s="33">
        <v>438</v>
      </c>
      <c r="F1231" s="33">
        <v>404</v>
      </c>
      <c r="G1231" s="33" t="s">
        <v>38</v>
      </c>
      <c r="H1231" s="33" t="s">
        <v>4124</v>
      </c>
      <c r="I1231" s="33" t="s">
        <v>39</v>
      </c>
      <c r="J1231" s="33" t="s">
        <v>40</v>
      </c>
      <c r="K1231" s="33" t="s">
        <v>41</v>
      </c>
    </row>
    <row r="1232" spans="1:12" hidden="1" x14ac:dyDescent="0.3">
      <c r="A1232" s="39">
        <v>46071.456747685188</v>
      </c>
      <c r="B1232" s="33">
        <v>44991002295</v>
      </c>
      <c r="C1232" s="33" t="s">
        <v>45</v>
      </c>
      <c r="D1232" s="33">
        <v>4430265054</v>
      </c>
      <c r="E1232" s="33">
        <v>599</v>
      </c>
      <c r="F1232" s="33">
        <v>523</v>
      </c>
      <c r="G1232" s="33" t="s">
        <v>38</v>
      </c>
      <c r="H1232" s="33" t="s">
        <v>4125</v>
      </c>
      <c r="I1232" s="33" t="s">
        <v>39</v>
      </c>
      <c r="J1232" s="33" t="s">
        <v>40</v>
      </c>
      <c r="K1232" s="33" t="s">
        <v>41</v>
      </c>
    </row>
    <row r="1233" spans="1:12" hidden="1" x14ac:dyDescent="0.3">
      <c r="A1233" s="39">
        <v>46071.453090277777</v>
      </c>
      <c r="B1233" s="33">
        <v>44991002295</v>
      </c>
      <c r="C1233" s="33" t="s">
        <v>44</v>
      </c>
      <c r="D1233" s="33">
        <v>4430265054</v>
      </c>
      <c r="E1233" s="33">
        <v>229</v>
      </c>
      <c r="F1233" s="33">
        <v>198</v>
      </c>
      <c r="G1233" s="33" t="s">
        <v>38</v>
      </c>
      <c r="H1233" s="33" t="s">
        <v>4126</v>
      </c>
      <c r="I1233" s="33" t="s">
        <v>39</v>
      </c>
      <c r="J1233" s="33" t="s">
        <v>40</v>
      </c>
      <c r="K1233" s="33" t="s">
        <v>41</v>
      </c>
    </row>
    <row r="1234" spans="1:12" hidden="1" x14ac:dyDescent="0.3">
      <c r="A1234" s="39">
        <v>46071.451967592591</v>
      </c>
      <c r="B1234" s="33">
        <v>4330332823</v>
      </c>
      <c r="C1234" s="33" t="s">
        <v>48</v>
      </c>
      <c r="D1234" s="33">
        <v>4430265054</v>
      </c>
      <c r="E1234" s="33">
        <v>228</v>
      </c>
      <c r="F1234" s="33">
        <v>227</v>
      </c>
      <c r="G1234" s="33" t="s">
        <v>38</v>
      </c>
      <c r="H1234" s="33" t="s">
        <v>4127</v>
      </c>
      <c r="I1234" s="33" t="s">
        <v>39</v>
      </c>
      <c r="J1234" s="33" t="s">
        <v>40</v>
      </c>
      <c r="K1234" s="33" t="s">
        <v>41</v>
      </c>
    </row>
    <row r="1235" spans="1:12" hidden="1" x14ac:dyDescent="0.3">
      <c r="A1235" s="39">
        <v>46071.445486111108</v>
      </c>
      <c r="B1235" s="33">
        <v>41996631918</v>
      </c>
      <c r="C1235" s="33" t="s">
        <v>42</v>
      </c>
      <c r="D1235" s="33">
        <v>4430265054</v>
      </c>
      <c r="E1235" s="33">
        <v>1176</v>
      </c>
      <c r="F1235" s="33">
        <v>1070</v>
      </c>
      <c r="G1235" s="33" t="s">
        <v>38</v>
      </c>
      <c r="H1235" s="33" t="s">
        <v>4128</v>
      </c>
      <c r="I1235" s="33" t="s">
        <v>39</v>
      </c>
      <c r="J1235" s="33" t="s">
        <v>40</v>
      </c>
      <c r="K1235" s="33" t="s">
        <v>41</v>
      </c>
      <c r="L1235" s="33">
        <v>5</v>
      </c>
    </row>
    <row r="1236" spans="1:12" hidden="1" x14ac:dyDescent="0.3">
      <c r="A1236" s="39">
        <v>46071.441782407404</v>
      </c>
      <c r="B1236" s="33">
        <v>4431230400</v>
      </c>
      <c r="C1236" s="33" t="s">
        <v>45</v>
      </c>
      <c r="D1236" s="33">
        <v>4430265054</v>
      </c>
      <c r="E1236" s="33">
        <v>1314</v>
      </c>
      <c r="F1236" s="33">
        <v>1278</v>
      </c>
      <c r="G1236" s="33" t="s">
        <v>38</v>
      </c>
      <c r="H1236" s="33" t="s">
        <v>4129</v>
      </c>
      <c r="I1236" s="33" t="s">
        <v>39</v>
      </c>
      <c r="J1236" s="33" t="s">
        <v>40</v>
      </c>
      <c r="K1236" s="33" t="s">
        <v>41</v>
      </c>
      <c r="L1236" s="33">
        <v>5</v>
      </c>
    </row>
    <row r="1237" spans="1:12" hidden="1" x14ac:dyDescent="0.3">
      <c r="A1237" s="39">
        <v>46071.441342592596</v>
      </c>
      <c r="B1237" s="33" t="s">
        <v>45</v>
      </c>
      <c r="C1237" s="33">
        <v>4430146402</v>
      </c>
      <c r="E1237" s="33">
        <v>44</v>
      </c>
      <c r="F1237" s="33">
        <v>31</v>
      </c>
      <c r="G1237" s="33" t="s">
        <v>38</v>
      </c>
      <c r="H1237" s="33" t="s">
        <v>5645</v>
      </c>
      <c r="I1237" s="33" t="s">
        <v>46</v>
      </c>
      <c r="J1237" s="33" t="s">
        <v>40</v>
      </c>
    </row>
    <row r="1238" spans="1:12" hidden="1" x14ac:dyDescent="0.3">
      <c r="A1238" s="39">
        <v>46071.438587962963</v>
      </c>
      <c r="B1238" s="33" t="s">
        <v>3627</v>
      </c>
      <c r="C1238" s="33">
        <v>92981820889</v>
      </c>
      <c r="E1238" s="33">
        <v>17</v>
      </c>
      <c r="F1238" s="33">
        <v>2</v>
      </c>
      <c r="G1238" s="33" t="s">
        <v>38</v>
      </c>
      <c r="H1238" s="33" t="s">
        <v>5646</v>
      </c>
      <c r="I1238" s="33" t="s">
        <v>46</v>
      </c>
      <c r="J1238" s="33" t="s">
        <v>3629</v>
      </c>
    </row>
    <row r="1239" spans="1:12" hidden="1" x14ac:dyDescent="0.3">
      <c r="A1239" s="39">
        <v>46071.434884259259</v>
      </c>
      <c r="B1239" s="33">
        <v>1639391799</v>
      </c>
      <c r="C1239" s="33" t="s">
        <v>43</v>
      </c>
      <c r="D1239" s="33">
        <v>4430265054</v>
      </c>
      <c r="E1239" s="33">
        <v>114</v>
      </c>
      <c r="F1239" s="33">
        <v>39</v>
      </c>
      <c r="G1239" s="33" t="s">
        <v>38</v>
      </c>
      <c r="H1239" s="33" t="s">
        <v>4130</v>
      </c>
      <c r="I1239" s="33" t="s">
        <v>39</v>
      </c>
      <c r="J1239" s="33" t="s">
        <v>40</v>
      </c>
      <c r="K1239" s="33" t="s">
        <v>41</v>
      </c>
    </row>
    <row r="1240" spans="1:12" x14ac:dyDescent="0.3">
      <c r="A1240" s="39">
        <v>46071.427106481482</v>
      </c>
      <c r="B1240" s="33">
        <v>44997400641</v>
      </c>
      <c r="C1240" s="33" t="s">
        <v>44</v>
      </c>
      <c r="D1240" s="33">
        <v>4430265054</v>
      </c>
      <c r="E1240" s="33">
        <v>907</v>
      </c>
      <c r="F1240" s="33">
        <v>855</v>
      </c>
      <c r="G1240" s="33" t="s">
        <v>38</v>
      </c>
      <c r="H1240" s="33" t="s">
        <v>4131</v>
      </c>
      <c r="I1240" s="33" t="s">
        <v>39</v>
      </c>
      <c r="J1240" s="33" t="s">
        <v>40</v>
      </c>
      <c r="K1240" s="33" t="s">
        <v>41</v>
      </c>
      <c r="L1240" s="33">
        <v>5</v>
      </c>
    </row>
    <row r="1241" spans="1:12" hidden="1" x14ac:dyDescent="0.3">
      <c r="A1241" s="39">
        <v>46071.426215277781</v>
      </c>
      <c r="B1241" s="33">
        <v>4430145899</v>
      </c>
      <c r="C1241" s="33" t="s">
        <v>42</v>
      </c>
      <c r="D1241" s="33">
        <v>4430265054</v>
      </c>
      <c r="E1241" s="33">
        <v>984</v>
      </c>
      <c r="F1241" s="33">
        <v>924</v>
      </c>
      <c r="G1241" s="33" t="s">
        <v>38</v>
      </c>
      <c r="H1241" s="33" t="s">
        <v>4132</v>
      </c>
      <c r="I1241" s="33" t="s">
        <v>39</v>
      </c>
      <c r="J1241" s="33" t="s">
        <v>40</v>
      </c>
      <c r="K1241" s="33" t="s">
        <v>41</v>
      </c>
    </row>
    <row r="1242" spans="1:12" hidden="1" x14ac:dyDescent="0.3">
      <c r="A1242" s="39">
        <v>46071.420729166668</v>
      </c>
      <c r="B1242" s="33">
        <v>12997346335</v>
      </c>
      <c r="C1242" s="33" t="s">
        <v>43</v>
      </c>
      <c r="D1242" s="33">
        <v>4430265054</v>
      </c>
      <c r="E1242" s="33">
        <v>660</v>
      </c>
      <c r="F1242" s="33">
        <v>581</v>
      </c>
      <c r="G1242" s="33" t="s">
        <v>38</v>
      </c>
      <c r="H1242" s="33" t="s">
        <v>4133</v>
      </c>
      <c r="I1242" s="33" t="s">
        <v>39</v>
      </c>
      <c r="J1242" s="33" t="s">
        <v>40</v>
      </c>
      <c r="K1242" s="33" t="s">
        <v>41</v>
      </c>
      <c r="L1242" s="33">
        <v>5</v>
      </c>
    </row>
    <row r="1243" spans="1:12" hidden="1" x14ac:dyDescent="0.3">
      <c r="A1243" s="39">
        <v>46071.419351851851</v>
      </c>
      <c r="B1243" s="33">
        <v>4430459001</v>
      </c>
      <c r="C1243" s="33" t="s">
        <v>42</v>
      </c>
      <c r="D1243" s="33">
        <v>4430265054</v>
      </c>
      <c r="E1243" s="33">
        <v>459</v>
      </c>
      <c r="F1243" s="33">
        <v>387</v>
      </c>
      <c r="G1243" s="33" t="s">
        <v>38</v>
      </c>
      <c r="H1243" s="33" t="s">
        <v>4134</v>
      </c>
      <c r="I1243" s="33" t="s">
        <v>39</v>
      </c>
      <c r="J1243" s="33" t="s">
        <v>40</v>
      </c>
      <c r="K1243" s="33" t="s">
        <v>41</v>
      </c>
    </row>
    <row r="1244" spans="1:12" hidden="1" x14ac:dyDescent="0.3">
      <c r="A1244" s="39">
        <v>46071.418206018519</v>
      </c>
      <c r="B1244" s="33">
        <v>93991767964</v>
      </c>
      <c r="C1244" s="33" t="s">
        <v>43</v>
      </c>
      <c r="D1244" s="33">
        <v>4430265054</v>
      </c>
      <c r="E1244" s="33">
        <v>209</v>
      </c>
      <c r="F1244" s="33">
        <v>170</v>
      </c>
      <c r="G1244" s="33" t="s">
        <v>38</v>
      </c>
      <c r="H1244" s="33" t="s">
        <v>4135</v>
      </c>
      <c r="I1244" s="33" t="s">
        <v>39</v>
      </c>
      <c r="J1244" s="33" t="s">
        <v>40</v>
      </c>
      <c r="K1244" s="33" t="s">
        <v>41</v>
      </c>
    </row>
    <row r="1245" spans="1:12" hidden="1" x14ac:dyDescent="0.3">
      <c r="A1245" s="39">
        <v>46071.417245370372</v>
      </c>
      <c r="B1245" s="33">
        <v>4431337559</v>
      </c>
      <c r="C1245" s="33" t="s">
        <v>44</v>
      </c>
      <c r="D1245" s="33">
        <v>4430265054</v>
      </c>
      <c r="E1245" s="33">
        <v>464</v>
      </c>
      <c r="F1245" s="33">
        <v>354</v>
      </c>
      <c r="G1245" s="33" t="s">
        <v>38</v>
      </c>
      <c r="H1245" s="33" t="s">
        <v>4136</v>
      </c>
      <c r="I1245" s="33" t="s">
        <v>39</v>
      </c>
      <c r="J1245" s="33" t="s">
        <v>40</v>
      </c>
      <c r="K1245" s="33" t="s">
        <v>41</v>
      </c>
    </row>
    <row r="1246" spans="1:12" hidden="1" x14ac:dyDescent="0.3">
      <c r="A1246" s="39">
        <v>46071.415000000001</v>
      </c>
      <c r="B1246" s="33" t="s">
        <v>3627</v>
      </c>
      <c r="C1246" s="33">
        <v>44999719501</v>
      </c>
      <c r="E1246" s="33">
        <v>9</v>
      </c>
      <c r="F1246" s="33">
        <v>2</v>
      </c>
      <c r="G1246" s="33" t="s">
        <v>38</v>
      </c>
      <c r="H1246" s="33" t="s">
        <v>5647</v>
      </c>
      <c r="I1246" s="33" t="s">
        <v>46</v>
      </c>
      <c r="J1246" s="33" t="s">
        <v>3629</v>
      </c>
    </row>
    <row r="1247" spans="1:12" hidden="1" x14ac:dyDescent="0.3">
      <c r="A1247" s="39">
        <v>46071.412430555552</v>
      </c>
      <c r="B1247" s="33">
        <v>44984241715</v>
      </c>
      <c r="C1247" s="33" t="s">
        <v>48</v>
      </c>
      <c r="D1247" s="33">
        <v>4430265054</v>
      </c>
      <c r="E1247" s="33">
        <v>1514</v>
      </c>
      <c r="F1247" s="33">
        <v>1489</v>
      </c>
      <c r="G1247" s="33" t="s">
        <v>38</v>
      </c>
      <c r="H1247" s="33" t="s">
        <v>4137</v>
      </c>
      <c r="I1247" s="33" t="s">
        <v>39</v>
      </c>
      <c r="J1247" s="33" t="s">
        <v>40</v>
      </c>
      <c r="K1247" s="33" t="s">
        <v>41</v>
      </c>
    </row>
    <row r="1248" spans="1:12" hidden="1" x14ac:dyDescent="0.3">
      <c r="A1248" s="39">
        <v>46071.41133101852</v>
      </c>
      <c r="B1248" s="33">
        <v>62981535978</v>
      </c>
      <c r="C1248" s="33" t="s">
        <v>45</v>
      </c>
      <c r="D1248" s="33">
        <v>4430265054</v>
      </c>
      <c r="E1248" s="33">
        <v>2276</v>
      </c>
      <c r="F1248" s="33">
        <v>2227</v>
      </c>
      <c r="G1248" s="33" t="s">
        <v>38</v>
      </c>
      <c r="H1248" s="33" t="s">
        <v>4138</v>
      </c>
      <c r="I1248" s="33" t="s">
        <v>39</v>
      </c>
      <c r="J1248" s="33" t="s">
        <v>40</v>
      </c>
      <c r="K1248" s="33" t="s">
        <v>41</v>
      </c>
      <c r="L1248" s="33">
        <v>5</v>
      </c>
    </row>
    <row r="1249" spans="1:12" hidden="1" x14ac:dyDescent="0.3">
      <c r="A1249" s="39">
        <v>46071.410578703704</v>
      </c>
      <c r="B1249" s="33">
        <v>4436351414</v>
      </c>
      <c r="C1249" s="33" t="s">
        <v>43</v>
      </c>
      <c r="D1249" s="33">
        <v>4430265054</v>
      </c>
      <c r="E1249" s="33">
        <v>643</v>
      </c>
      <c r="F1249" s="33">
        <v>622</v>
      </c>
      <c r="G1249" s="33" t="s">
        <v>38</v>
      </c>
      <c r="H1249" s="33" t="s">
        <v>4139</v>
      </c>
      <c r="I1249" s="33" t="s">
        <v>39</v>
      </c>
      <c r="J1249" s="33" t="s">
        <v>40</v>
      </c>
      <c r="K1249" s="33" t="s">
        <v>41</v>
      </c>
    </row>
    <row r="1250" spans="1:12" hidden="1" x14ac:dyDescent="0.3">
      <c r="A1250" s="39">
        <v>46071.405925925923</v>
      </c>
      <c r="B1250" s="33">
        <v>44998849102</v>
      </c>
      <c r="C1250" s="33" t="s">
        <v>43</v>
      </c>
      <c r="D1250" s="33">
        <v>4430265054</v>
      </c>
      <c r="E1250" s="33">
        <v>102</v>
      </c>
      <c r="F1250" s="33">
        <v>73</v>
      </c>
      <c r="G1250" s="33" t="s">
        <v>38</v>
      </c>
      <c r="H1250" s="33" t="s">
        <v>4140</v>
      </c>
      <c r="I1250" s="33" t="s">
        <v>39</v>
      </c>
      <c r="J1250" s="33" t="s">
        <v>40</v>
      </c>
      <c r="K1250" s="33" t="s">
        <v>41</v>
      </c>
    </row>
    <row r="1251" spans="1:12" hidden="1" x14ac:dyDescent="0.3">
      <c r="A1251" s="39">
        <v>46071.404999999999</v>
      </c>
      <c r="B1251" s="33">
        <v>44999676986</v>
      </c>
      <c r="C1251" s="33" t="s">
        <v>44</v>
      </c>
      <c r="D1251" s="33">
        <v>4430265054</v>
      </c>
      <c r="E1251" s="33">
        <v>801</v>
      </c>
      <c r="F1251" s="33">
        <v>733</v>
      </c>
      <c r="G1251" s="33" t="s">
        <v>38</v>
      </c>
      <c r="H1251" s="33" t="s">
        <v>4141</v>
      </c>
      <c r="I1251" s="33" t="s">
        <v>39</v>
      </c>
      <c r="J1251" s="33" t="s">
        <v>40</v>
      </c>
      <c r="K1251" s="33" t="s">
        <v>41</v>
      </c>
    </row>
    <row r="1252" spans="1:12" hidden="1" x14ac:dyDescent="0.3">
      <c r="A1252" s="39">
        <v>46071.403310185182</v>
      </c>
      <c r="B1252" s="33">
        <v>44991002295</v>
      </c>
      <c r="C1252" s="33" t="s">
        <v>48</v>
      </c>
      <c r="D1252" s="33">
        <v>4430265054</v>
      </c>
      <c r="E1252" s="33">
        <v>810</v>
      </c>
      <c r="F1252" s="33">
        <v>810</v>
      </c>
      <c r="G1252" s="33" t="s">
        <v>38</v>
      </c>
      <c r="H1252" s="33" t="s">
        <v>4142</v>
      </c>
      <c r="I1252" s="33" t="s">
        <v>39</v>
      </c>
      <c r="J1252" s="33" t="s">
        <v>40</v>
      </c>
      <c r="K1252" s="33" t="s">
        <v>41</v>
      </c>
    </row>
    <row r="1253" spans="1:12" hidden="1" x14ac:dyDescent="0.3">
      <c r="A1253" s="39">
        <v>46071.402083333334</v>
      </c>
      <c r="B1253" s="33">
        <v>44997687156</v>
      </c>
      <c r="C1253" s="33" t="s">
        <v>45</v>
      </c>
      <c r="D1253" s="33">
        <v>4430265054</v>
      </c>
      <c r="E1253" s="33">
        <v>87</v>
      </c>
      <c r="F1253" s="33">
        <v>50</v>
      </c>
      <c r="G1253" s="33" t="s">
        <v>38</v>
      </c>
      <c r="H1253" s="33" t="s">
        <v>4143</v>
      </c>
      <c r="I1253" s="33" t="s">
        <v>39</v>
      </c>
      <c r="J1253" s="33" t="s">
        <v>40</v>
      </c>
      <c r="K1253" s="33" t="s">
        <v>41</v>
      </c>
    </row>
    <row r="1254" spans="1:12" hidden="1" x14ac:dyDescent="0.3">
      <c r="A1254" s="39">
        <v>46071.401956018519</v>
      </c>
      <c r="B1254" s="33" t="s">
        <v>43</v>
      </c>
      <c r="C1254" s="33">
        <v>4435228300</v>
      </c>
      <c r="E1254" s="33">
        <v>164</v>
      </c>
      <c r="F1254" s="33">
        <v>158</v>
      </c>
      <c r="G1254" s="33" t="s">
        <v>38</v>
      </c>
      <c r="H1254" s="33" t="s">
        <v>5648</v>
      </c>
      <c r="I1254" s="33" t="s">
        <v>46</v>
      </c>
      <c r="J1254" s="33" t="s">
        <v>40</v>
      </c>
    </row>
    <row r="1255" spans="1:12" hidden="1" x14ac:dyDescent="0.3">
      <c r="A1255" s="39">
        <v>46071.401574074072</v>
      </c>
      <c r="B1255" s="33" t="s">
        <v>43</v>
      </c>
      <c r="C1255" s="33">
        <v>4435228300</v>
      </c>
      <c r="E1255" s="33">
        <v>26</v>
      </c>
      <c r="F1255" s="33">
        <v>17</v>
      </c>
      <c r="G1255" s="33" t="s">
        <v>38</v>
      </c>
      <c r="H1255" s="33" t="s">
        <v>5649</v>
      </c>
      <c r="I1255" s="33" t="s">
        <v>46</v>
      </c>
      <c r="J1255" s="33" t="s">
        <v>40</v>
      </c>
    </row>
    <row r="1256" spans="1:12" hidden="1" x14ac:dyDescent="0.3">
      <c r="A1256" s="39">
        <v>46071.401516203703</v>
      </c>
      <c r="B1256" s="33" t="s">
        <v>43</v>
      </c>
      <c r="C1256" s="33">
        <v>4435228300</v>
      </c>
      <c r="E1256" s="33">
        <v>3</v>
      </c>
      <c r="F1256" s="33">
        <v>0</v>
      </c>
      <c r="G1256" s="33" t="s">
        <v>47</v>
      </c>
      <c r="H1256" s="33" t="s">
        <v>5650</v>
      </c>
      <c r="I1256" s="33" t="s">
        <v>46</v>
      </c>
      <c r="J1256" s="33" t="s">
        <v>40</v>
      </c>
    </row>
    <row r="1257" spans="1:12" hidden="1" x14ac:dyDescent="0.3">
      <c r="A1257" s="39">
        <v>46071.399062500001</v>
      </c>
      <c r="B1257" s="33">
        <v>1438160351</v>
      </c>
      <c r="C1257" s="33">
        <v>4430265054</v>
      </c>
      <c r="D1257" s="33">
        <v>4430265054</v>
      </c>
      <c r="E1257" s="33">
        <v>8</v>
      </c>
      <c r="F1257" s="33">
        <v>7</v>
      </c>
      <c r="G1257" s="33" t="s">
        <v>3449</v>
      </c>
      <c r="H1257" s="33" t="s">
        <v>5651</v>
      </c>
      <c r="I1257" s="33" t="s">
        <v>39</v>
      </c>
      <c r="J1257" s="33" t="s">
        <v>3451</v>
      </c>
    </row>
    <row r="1258" spans="1:12" hidden="1" x14ac:dyDescent="0.3">
      <c r="A1258" s="39">
        <v>46071.397858796299</v>
      </c>
      <c r="B1258" s="33">
        <v>14996717238</v>
      </c>
      <c r="C1258" s="33" t="s">
        <v>42</v>
      </c>
      <c r="D1258" s="33">
        <v>4431268225</v>
      </c>
      <c r="E1258" s="33">
        <v>1417</v>
      </c>
      <c r="F1258" s="33">
        <v>1382</v>
      </c>
      <c r="G1258" s="33" t="s">
        <v>38</v>
      </c>
      <c r="H1258" s="33" t="s">
        <v>4144</v>
      </c>
      <c r="I1258" s="33" t="s">
        <v>39</v>
      </c>
      <c r="J1258" s="33" t="s">
        <v>40</v>
      </c>
      <c r="K1258" s="33" t="s">
        <v>41</v>
      </c>
      <c r="L1258" s="33">
        <v>5</v>
      </c>
    </row>
    <row r="1259" spans="1:12" hidden="1" x14ac:dyDescent="0.3">
      <c r="A1259" s="39">
        <v>46071.392372685186</v>
      </c>
      <c r="B1259" s="33">
        <v>44999215148</v>
      </c>
      <c r="C1259" s="33" t="s">
        <v>43</v>
      </c>
      <c r="D1259" s="33">
        <v>4430265054</v>
      </c>
      <c r="E1259" s="33">
        <v>164</v>
      </c>
      <c r="F1259" s="33">
        <v>143</v>
      </c>
      <c r="G1259" s="33" t="s">
        <v>38</v>
      </c>
      <c r="H1259" s="33" t="s">
        <v>4145</v>
      </c>
      <c r="I1259" s="33" t="s">
        <v>39</v>
      </c>
      <c r="J1259" s="33" t="s">
        <v>40</v>
      </c>
      <c r="K1259" s="33" t="s">
        <v>41</v>
      </c>
    </row>
    <row r="1260" spans="1:12" hidden="1" x14ac:dyDescent="0.3">
      <c r="A1260" s="39">
        <v>46071.386342592596</v>
      </c>
      <c r="B1260" s="33">
        <v>41996175686</v>
      </c>
      <c r="C1260" s="33" t="s">
        <v>45</v>
      </c>
      <c r="D1260" s="33">
        <v>4430265054</v>
      </c>
      <c r="E1260" s="33">
        <v>1134</v>
      </c>
      <c r="F1260" s="33">
        <v>1087</v>
      </c>
      <c r="G1260" s="33" t="s">
        <v>38</v>
      </c>
      <c r="H1260" s="33" t="s">
        <v>4146</v>
      </c>
      <c r="I1260" s="33" t="s">
        <v>39</v>
      </c>
      <c r="J1260" s="33" t="s">
        <v>40</v>
      </c>
      <c r="K1260" s="33" t="s">
        <v>41</v>
      </c>
      <c r="L1260" s="33">
        <v>5</v>
      </c>
    </row>
    <row r="1261" spans="1:12" hidden="1" x14ac:dyDescent="0.3">
      <c r="A1261" s="39">
        <v>46071.378842592596</v>
      </c>
      <c r="B1261" s="33" t="s">
        <v>43</v>
      </c>
      <c r="C1261" s="33">
        <v>4431337559</v>
      </c>
      <c r="E1261" s="33">
        <v>1037</v>
      </c>
      <c r="F1261" s="33">
        <v>1022</v>
      </c>
      <c r="G1261" s="33" t="s">
        <v>38</v>
      </c>
      <c r="H1261" s="33" t="s">
        <v>5652</v>
      </c>
      <c r="I1261" s="33" t="s">
        <v>46</v>
      </c>
      <c r="J1261" s="33" t="s">
        <v>40</v>
      </c>
    </row>
    <row r="1262" spans="1:12" hidden="1" x14ac:dyDescent="0.3">
      <c r="A1262" s="39">
        <v>46071.37872685185</v>
      </c>
      <c r="B1262" s="33" t="s">
        <v>43</v>
      </c>
      <c r="C1262" s="33">
        <v>4431337559</v>
      </c>
      <c r="E1262" s="33">
        <v>9</v>
      </c>
      <c r="F1262" s="33">
        <v>0</v>
      </c>
      <c r="G1262" s="33" t="s">
        <v>47</v>
      </c>
      <c r="H1262" s="33" t="s">
        <v>5653</v>
      </c>
      <c r="I1262" s="33" t="s">
        <v>46</v>
      </c>
      <c r="J1262" s="33" t="s">
        <v>40</v>
      </c>
    </row>
    <row r="1263" spans="1:12" hidden="1" x14ac:dyDescent="0.3">
      <c r="A1263" s="39">
        <v>46071.37667824074</v>
      </c>
      <c r="B1263" s="33">
        <v>4432522019</v>
      </c>
      <c r="C1263" s="33" t="s">
        <v>45</v>
      </c>
      <c r="D1263" s="33">
        <v>4430265054</v>
      </c>
      <c r="E1263" s="33">
        <v>469</v>
      </c>
      <c r="F1263" s="33">
        <v>447</v>
      </c>
      <c r="G1263" s="33" t="s">
        <v>38</v>
      </c>
      <c r="H1263" s="33" t="s">
        <v>4147</v>
      </c>
      <c r="I1263" s="33" t="s">
        <v>39</v>
      </c>
      <c r="J1263" s="33" t="s">
        <v>40</v>
      </c>
      <c r="K1263" s="33" t="s">
        <v>41</v>
      </c>
    </row>
    <row r="1264" spans="1:12" hidden="1" x14ac:dyDescent="0.3">
      <c r="A1264" s="39">
        <v>46071.3749537037</v>
      </c>
      <c r="B1264" s="33" t="s">
        <v>42</v>
      </c>
      <c r="C1264" s="33">
        <v>43999829064</v>
      </c>
      <c r="E1264" s="33">
        <v>37</v>
      </c>
      <c r="F1264" s="33">
        <v>0</v>
      </c>
      <c r="G1264" s="33" t="s">
        <v>47</v>
      </c>
      <c r="H1264" s="33" t="s">
        <v>5654</v>
      </c>
      <c r="I1264" s="33" t="s">
        <v>46</v>
      </c>
      <c r="J1264" s="33" t="s">
        <v>40</v>
      </c>
    </row>
    <row r="1265" spans="1:11" hidden="1" x14ac:dyDescent="0.3">
      <c r="A1265" s="39">
        <v>46071.374710648146</v>
      </c>
      <c r="B1265" s="33" t="s">
        <v>44</v>
      </c>
      <c r="C1265" s="33">
        <v>4434221675</v>
      </c>
      <c r="E1265" s="33">
        <v>652</v>
      </c>
      <c r="F1265" s="33">
        <v>647</v>
      </c>
      <c r="G1265" s="33" t="s">
        <v>38</v>
      </c>
      <c r="H1265" s="33" t="s">
        <v>5655</v>
      </c>
      <c r="I1265" s="33" t="s">
        <v>46</v>
      </c>
      <c r="J1265" s="33" t="s">
        <v>40</v>
      </c>
    </row>
    <row r="1266" spans="1:11" hidden="1" x14ac:dyDescent="0.3">
      <c r="A1266" s="39">
        <v>46071.374467592592</v>
      </c>
      <c r="B1266" s="33" t="s">
        <v>42</v>
      </c>
      <c r="C1266" s="33">
        <v>43999829064</v>
      </c>
      <c r="E1266" s="33">
        <v>39</v>
      </c>
      <c r="F1266" s="33">
        <v>0</v>
      </c>
      <c r="G1266" s="33" t="s">
        <v>47</v>
      </c>
      <c r="H1266" s="33" t="s">
        <v>5656</v>
      </c>
      <c r="I1266" s="33" t="s">
        <v>46</v>
      </c>
      <c r="J1266" s="33" t="s">
        <v>40</v>
      </c>
    </row>
    <row r="1267" spans="1:11" hidden="1" x14ac:dyDescent="0.3">
      <c r="A1267" s="39">
        <v>46071.373842592591</v>
      </c>
      <c r="B1267" s="33">
        <v>43984810043</v>
      </c>
      <c r="C1267" s="33" t="s">
        <v>42</v>
      </c>
      <c r="D1267" s="33">
        <v>4430265054</v>
      </c>
      <c r="E1267" s="33">
        <v>399</v>
      </c>
      <c r="F1267" s="33">
        <v>399</v>
      </c>
      <c r="G1267" s="33" t="s">
        <v>38</v>
      </c>
      <c r="H1267" s="33" t="s">
        <v>4148</v>
      </c>
      <c r="I1267" s="33" t="s">
        <v>39</v>
      </c>
      <c r="J1267" s="33" t="s">
        <v>40</v>
      </c>
      <c r="K1267" s="33" t="s">
        <v>41</v>
      </c>
    </row>
    <row r="1268" spans="1:11" hidden="1" x14ac:dyDescent="0.3">
      <c r="A1268" s="39">
        <v>46071.372696759259</v>
      </c>
      <c r="B1268" s="33">
        <v>4431337559</v>
      </c>
      <c r="C1268" s="33" t="s">
        <v>44</v>
      </c>
      <c r="D1268" s="33">
        <v>4430265054</v>
      </c>
      <c r="E1268" s="33">
        <v>154</v>
      </c>
      <c r="F1268" s="33">
        <v>88</v>
      </c>
      <c r="G1268" s="33" t="s">
        <v>38</v>
      </c>
      <c r="H1268" s="33" t="s">
        <v>4149</v>
      </c>
      <c r="I1268" s="33" t="s">
        <v>39</v>
      </c>
      <c r="J1268" s="33" t="s">
        <v>40</v>
      </c>
      <c r="K1268" s="33" t="s">
        <v>41</v>
      </c>
    </row>
    <row r="1269" spans="1:11" hidden="1" x14ac:dyDescent="0.3">
      <c r="A1269" s="39">
        <v>46071.372465277775</v>
      </c>
      <c r="B1269" s="33">
        <v>44991484476</v>
      </c>
      <c r="C1269" s="33" t="s">
        <v>43</v>
      </c>
      <c r="D1269" s="33">
        <v>4430265054</v>
      </c>
      <c r="E1269" s="33">
        <v>250</v>
      </c>
      <c r="F1269" s="33">
        <v>227</v>
      </c>
      <c r="G1269" s="33" t="s">
        <v>38</v>
      </c>
      <c r="H1269" s="33" t="s">
        <v>4150</v>
      </c>
      <c r="I1269" s="33" t="s">
        <v>39</v>
      </c>
      <c r="J1269" s="33" t="s">
        <v>40</v>
      </c>
      <c r="K1269" s="33" t="s">
        <v>41</v>
      </c>
    </row>
    <row r="1270" spans="1:11" hidden="1" x14ac:dyDescent="0.3">
      <c r="A1270" s="39">
        <v>46071.37190972222</v>
      </c>
      <c r="B1270" s="33">
        <v>43999829064</v>
      </c>
      <c r="C1270" s="33" t="s">
        <v>42</v>
      </c>
      <c r="D1270" s="33">
        <v>4430265054</v>
      </c>
      <c r="E1270" s="33">
        <v>118</v>
      </c>
      <c r="F1270" s="33">
        <v>96</v>
      </c>
      <c r="G1270" s="33" t="s">
        <v>38</v>
      </c>
      <c r="H1270" s="33" t="s">
        <v>4151</v>
      </c>
      <c r="I1270" s="33" t="s">
        <v>39</v>
      </c>
      <c r="J1270" s="33" t="s">
        <v>40</v>
      </c>
      <c r="K1270" s="33" t="s">
        <v>41</v>
      </c>
    </row>
    <row r="1271" spans="1:11" hidden="1" x14ac:dyDescent="0.3">
      <c r="A1271" s="39">
        <v>46071.368877314817</v>
      </c>
      <c r="B1271" s="33">
        <v>44988067937</v>
      </c>
      <c r="C1271" s="33" t="s">
        <v>44</v>
      </c>
      <c r="D1271" s="33">
        <v>4430265054</v>
      </c>
      <c r="E1271" s="33">
        <v>174</v>
      </c>
      <c r="F1271" s="33">
        <v>109</v>
      </c>
      <c r="G1271" s="33" t="s">
        <v>38</v>
      </c>
      <c r="H1271" s="33" t="s">
        <v>4152</v>
      </c>
      <c r="I1271" s="33" t="s">
        <v>39</v>
      </c>
      <c r="J1271" s="33" t="s">
        <v>40</v>
      </c>
      <c r="K1271" s="33" t="s">
        <v>41</v>
      </c>
    </row>
    <row r="1272" spans="1:11" hidden="1" x14ac:dyDescent="0.3">
      <c r="A1272" s="39">
        <v>46071.362754629627</v>
      </c>
      <c r="B1272" s="33">
        <v>44999844110</v>
      </c>
      <c r="C1272" s="33" t="s">
        <v>48</v>
      </c>
      <c r="D1272" s="33">
        <v>4430265054</v>
      </c>
      <c r="E1272" s="33">
        <v>486</v>
      </c>
      <c r="F1272" s="33">
        <v>454</v>
      </c>
      <c r="G1272" s="33" t="s">
        <v>38</v>
      </c>
      <c r="H1272" s="33" t="s">
        <v>4153</v>
      </c>
      <c r="I1272" s="33" t="s">
        <v>39</v>
      </c>
      <c r="J1272" s="33" t="s">
        <v>40</v>
      </c>
      <c r="K1272" s="33" t="s">
        <v>41</v>
      </c>
    </row>
    <row r="1273" spans="1:11" hidden="1" x14ac:dyDescent="0.3">
      <c r="A1273" s="39">
        <v>46071.362395833334</v>
      </c>
      <c r="B1273" s="33">
        <v>44998849102</v>
      </c>
      <c r="C1273" s="33" t="s">
        <v>45</v>
      </c>
      <c r="D1273" s="33">
        <v>4430265054</v>
      </c>
      <c r="E1273" s="33">
        <v>384</v>
      </c>
      <c r="F1273" s="33">
        <v>271</v>
      </c>
      <c r="G1273" s="33" t="s">
        <v>38</v>
      </c>
      <c r="H1273" s="33" t="s">
        <v>4154</v>
      </c>
      <c r="I1273" s="33" t="s">
        <v>39</v>
      </c>
      <c r="J1273" s="33" t="s">
        <v>40</v>
      </c>
      <c r="K1273" s="33" t="s">
        <v>41</v>
      </c>
    </row>
    <row r="1274" spans="1:11" hidden="1" x14ac:dyDescent="0.3">
      <c r="A1274" s="39">
        <v>46071.357060185182</v>
      </c>
      <c r="B1274" s="33">
        <v>4434221675</v>
      </c>
      <c r="C1274" s="33" t="s">
        <v>44</v>
      </c>
      <c r="D1274" s="33">
        <v>4430265054</v>
      </c>
      <c r="E1274" s="33">
        <v>999</v>
      </c>
      <c r="F1274" s="33">
        <v>961</v>
      </c>
      <c r="G1274" s="33" t="s">
        <v>38</v>
      </c>
      <c r="H1274" s="33" t="s">
        <v>4155</v>
      </c>
      <c r="I1274" s="33" t="s">
        <v>39</v>
      </c>
      <c r="J1274" s="33" t="s">
        <v>40</v>
      </c>
      <c r="K1274" s="33" t="s">
        <v>41</v>
      </c>
    </row>
    <row r="1275" spans="1:11" hidden="1" x14ac:dyDescent="0.3">
      <c r="A1275" s="39">
        <v>46071.356006944443</v>
      </c>
      <c r="B1275" s="33">
        <v>4430146402</v>
      </c>
      <c r="C1275" s="33" t="s">
        <v>45</v>
      </c>
      <c r="D1275" s="33">
        <v>4430265054</v>
      </c>
      <c r="E1275" s="33">
        <v>381</v>
      </c>
      <c r="F1275" s="33">
        <v>334</v>
      </c>
      <c r="G1275" s="33" t="s">
        <v>38</v>
      </c>
      <c r="H1275" s="33" t="s">
        <v>4156</v>
      </c>
      <c r="I1275" s="33" t="s">
        <v>39</v>
      </c>
      <c r="J1275" s="33" t="s">
        <v>40</v>
      </c>
      <c r="K1275" s="33" t="s">
        <v>41</v>
      </c>
    </row>
    <row r="1276" spans="1:11" hidden="1" x14ac:dyDescent="0.3">
      <c r="A1276" s="39">
        <v>46071.355555555558</v>
      </c>
      <c r="B1276" s="33">
        <v>4430146402</v>
      </c>
      <c r="C1276" s="33">
        <v>4430265054</v>
      </c>
      <c r="D1276" s="33">
        <v>4430265054</v>
      </c>
      <c r="E1276" s="33">
        <v>24</v>
      </c>
      <c r="F1276" s="33">
        <v>24</v>
      </c>
      <c r="G1276" s="33" t="s">
        <v>3449</v>
      </c>
      <c r="H1276" s="33" t="s">
        <v>4157</v>
      </c>
      <c r="I1276" s="33" t="s">
        <v>39</v>
      </c>
      <c r="J1276" s="33" t="s">
        <v>3451</v>
      </c>
      <c r="K1276" s="33" t="s">
        <v>41</v>
      </c>
    </row>
    <row r="1277" spans="1:11" hidden="1" x14ac:dyDescent="0.3">
      <c r="A1277" s="39">
        <v>46071.354942129627</v>
      </c>
      <c r="B1277" s="33">
        <v>4431337559</v>
      </c>
      <c r="C1277" s="33" t="s">
        <v>43</v>
      </c>
      <c r="D1277" s="33">
        <v>4430265054</v>
      </c>
      <c r="E1277" s="33">
        <v>1348</v>
      </c>
      <c r="F1277" s="33">
        <v>1322</v>
      </c>
      <c r="G1277" s="33" t="s">
        <v>38</v>
      </c>
      <c r="H1277" s="33" t="s">
        <v>4158</v>
      </c>
      <c r="I1277" s="33" t="s">
        <v>39</v>
      </c>
      <c r="J1277" s="33" t="s">
        <v>40</v>
      </c>
      <c r="K1277" s="33" t="s">
        <v>41</v>
      </c>
    </row>
    <row r="1278" spans="1:11" hidden="1" x14ac:dyDescent="0.3">
      <c r="A1278" s="39">
        <v>46071.347083333334</v>
      </c>
      <c r="B1278" s="33">
        <v>4430146402</v>
      </c>
      <c r="C1278" s="33">
        <v>4430265054</v>
      </c>
      <c r="D1278" s="33">
        <v>4430265054</v>
      </c>
      <c r="E1278" s="33">
        <v>26</v>
      </c>
      <c r="F1278" s="33">
        <v>26</v>
      </c>
      <c r="G1278" s="33" t="s">
        <v>3449</v>
      </c>
      <c r="H1278" s="33" t="s">
        <v>5657</v>
      </c>
      <c r="I1278" s="33" t="s">
        <v>39</v>
      </c>
      <c r="J1278" s="33" t="s">
        <v>3451</v>
      </c>
    </row>
    <row r="1279" spans="1:11" hidden="1" x14ac:dyDescent="0.3">
      <c r="A1279" s="39">
        <v>46071.340243055558</v>
      </c>
      <c r="B1279" s="33" t="s">
        <v>45</v>
      </c>
      <c r="C1279" s="33">
        <v>4432325260</v>
      </c>
      <c r="E1279" s="33">
        <v>692</v>
      </c>
      <c r="F1279" s="33">
        <v>682</v>
      </c>
      <c r="G1279" s="33" t="s">
        <v>38</v>
      </c>
      <c r="H1279" s="33" t="s">
        <v>5658</v>
      </c>
      <c r="I1279" s="33" t="s">
        <v>46</v>
      </c>
      <c r="J1279" s="33" t="s">
        <v>40</v>
      </c>
    </row>
    <row r="1280" spans="1:11" hidden="1" x14ac:dyDescent="0.3">
      <c r="A1280" s="39">
        <v>46071.340057870373</v>
      </c>
      <c r="B1280" s="33" t="s">
        <v>45</v>
      </c>
      <c r="C1280" s="33">
        <v>19992211619</v>
      </c>
      <c r="E1280" s="33">
        <v>42</v>
      </c>
      <c r="F1280" s="33">
        <v>32</v>
      </c>
      <c r="G1280" s="33" t="s">
        <v>38</v>
      </c>
      <c r="H1280" s="33" t="s">
        <v>5659</v>
      </c>
      <c r="I1280" s="33" t="s">
        <v>46</v>
      </c>
      <c r="J1280" s="33" t="s">
        <v>40</v>
      </c>
    </row>
    <row r="1281" spans="1:12" hidden="1" x14ac:dyDescent="0.3">
      <c r="A1281" s="39">
        <v>46071.339895833335</v>
      </c>
      <c r="B1281" s="33" t="s">
        <v>45</v>
      </c>
      <c r="C1281" s="33">
        <v>4432325260</v>
      </c>
      <c r="E1281" s="33">
        <v>2</v>
      </c>
      <c r="F1281" s="33">
        <v>0</v>
      </c>
      <c r="G1281" s="33" t="s">
        <v>47</v>
      </c>
      <c r="H1281" s="33" t="s">
        <v>5660</v>
      </c>
      <c r="I1281" s="33" t="s">
        <v>46</v>
      </c>
      <c r="J1281" s="33" t="s">
        <v>40</v>
      </c>
    </row>
    <row r="1282" spans="1:12" hidden="1" x14ac:dyDescent="0.3">
      <c r="A1282" s="39">
        <v>46071.339618055557</v>
      </c>
      <c r="B1282" s="33" t="s">
        <v>45</v>
      </c>
      <c r="C1282" s="33">
        <v>4432325260</v>
      </c>
      <c r="E1282" s="33">
        <v>3</v>
      </c>
      <c r="F1282" s="33">
        <v>0</v>
      </c>
      <c r="G1282" s="33" t="s">
        <v>47</v>
      </c>
      <c r="H1282" s="33" t="s">
        <v>5661</v>
      </c>
      <c r="I1282" s="33" t="s">
        <v>46</v>
      </c>
      <c r="J1282" s="33" t="s">
        <v>40</v>
      </c>
    </row>
    <row r="1283" spans="1:12" hidden="1" x14ac:dyDescent="0.3">
      <c r="A1283" s="39">
        <v>46071.338645833333</v>
      </c>
      <c r="B1283" s="33" t="s">
        <v>43</v>
      </c>
      <c r="C1283" s="33">
        <v>4430282545</v>
      </c>
      <c r="E1283" s="33">
        <v>229</v>
      </c>
      <c r="F1283" s="33">
        <v>212</v>
      </c>
      <c r="G1283" s="33" t="s">
        <v>38</v>
      </c>
      <c r="H1283" s="33" t="s">
        <v>5662</v>
      </c>
      <c r="I1283" s="33" t="s">
        <v>46</v>
      </c>
      <c r="J1283" s="33" t="s">
        <v>40</v>
      </c>
    </row>
    <row r="1284" spans="1:12" hidden="1" x14ac:dyDescent="0.3">
      <c r="A1284" s="39">
        <v>46071.338506944441</v>
      </c>
      <c r="B1284" s="33" t="s">
        <v>43</v>
      </c>
      <c r="C1284" s="33">
        <v>4430282545</v>
      </c>
      <c r="E1284" s="33">
        <v>0</v>
      </c>
      <c r="F1284" s="33">
        <v>0</v>
      </c>
      <c r="G1284" s="33" t="s">
        <v>47</v>
      </c>
      <c r="H1284" s="33" t="s">
        <v>5663</v>
      </c>
      <c r="I1284" s="33" t="s">
        <v>46</v>
      </c>
      <c r="J1284" s="33" t="s">
        <v>40</v>
      </c>
    </row>
    <row r="1285" spans="1:12" hidden="1" x14ac:dyDescent="0.3">
      <c r="A1285" s="39">
        <v>46071.338379629633</v>
      </c>
      <c r="B1285" s="33" t="s">
        <v>43</v>
      </c>
      <c r="C1285" s="33">
        <v>4430282545</v>
      </c>
      <c r="E1285" s="33">
        <v>1</v>
      </c>
      <c r="F1285" s="33">
        <v>0</v>
      </c>
      <c r="G1285" s="33" t="s">
        <v>47</v>
      </c>
      <c r="H1285" s="33" t="s">
        <v>5664</v>
      </c>
      <c r="I1285" s="33" t="s">
        <v>46</v>
      </c>
      <c r="J1285" s="33" t="s">
        <v>40</v>
      </c>
    </row>
    <row r="1286" spans="1:12" hidden="1" x14ac:dyDescent="0.3">
      <c r="A1286" s="39">
        <v>46071.337314814817</v>
      </c>
      <c r="B1286" s="33" t="s">
        <v>43</v>
      </c>
      <c r="C1286" s="33">
        <v>4430282545</v>
      </c>
      <c r="E1286" s="33">
        <v>116</v>
      </c>
      <c r="F1286" s="33">
        <v>110</v>
      </c>
      <c r="G1286" s="33" t="s">
        <v>38</v>
      </c>
      <c r="H1286" s="33" t="s">
        <v>5665</v>
      </c>
      <c r="I1286" s="33" t="s">
        <v>46</v>
      </c>
      <c r="J1286" s="33" t="s">
        <v>40</v>
      </c>
    </row>
    <row r="1287" spans="1:12" hidden="1" x14ac:dyDescent="0.3">
      <c r="A1287" s="39">
        <v>46071.3362037037</v>
      </c>
      <c r="B1287" s="33" t="s">
        <v>42</v>
      </c>
      <c r="C1287" s="33">
        <v>4330333558</v>
      </c>
      <c r="E1287" s="33">
        <v>325</v>
      </c>
      <c r="F1287" s="33">
        <v>313</v>
      </c>
      <c r="G1287" s="33" t="s">
        <v>38</v>
      </c>
      <c r="H1287" s="33" t="s">
        <v>5666</v>
      </c>
      <c r="I1287" s="33" t="s">
        <v>46</v>
      </c>
      <c r="J1287" s="33" t="s">
        <v>40</v>
      </c>
    </row>
    <row r="1288" spans="1:12" hidden="1" x14ac:dyDescent="0.3">
      <c r="A1288" s="39">
        <v>46071.335613425923</v>
      </c>
      <c r="B1288" s="33" t="s">
        <v>42</v>
      </c>
      <c r="C1288" s="33">
        <v>4330333558</v>
      </c>
      <c r="E1288" s="33">
        <v>33</v>
      </c>
      <c r="F1288" s="33">
        <v>17</v>
      </c>
      <c r="G1288" s="33" t="s">
        <v>38</v>
      </c>
      <c r="H1288" s="33" t="s">
        <v>5667</v>
      </c>
      <c r="I1288" s="33" t="s">
        <v>46</v>
      </c>
      <c r="J1288" s="33" t="s">
        <v>40</v>
      </c>
    </row>
    <row r="1289" spans="1:12" hidden="1" x14ac:dyDescent="0.3">
      <c r="A1289" s="39">
        <v>46070.68074074074</v>
      </c>
      <c r="B1289" s="33">
        <v>44999632978</v>
      </c>
      <c r="C1289" s="33">
        <v>4430265054</v>
      </c>
      <c r="D1289" s="33">
        <v>4430265054</v>
      </c>
      <c r="E1289" s="33">
        <v>3</v>
      </c>
      <c r="F1289" s="33">
        <v>2</v>
      </c>
      <c r="G1289" s="33" t="s">
        <v>3449</v>
      </c>
      <c r="H1289" s="33" t="s">
        <v>5668</v>
      </c>
      <c r="I1289" s="33" t="s">
        <v>39</v>
      </c>
      <c r="J1289" s="33" t="s">
        <v>3451</v>
      </c>
    </row>
    <row r="1290" spans="1:12" hidden="1" x14ac:dyDescent="0.3">
      <c r="A1290" s="39">
        <v>46070.476342592592</v>
      </c>
      <c r="B1290" s="33">
        <v>43988030048</v>
      </c>
      <c r="C1290" s="33">
        <v>4430265054</v>
      </c>
      <c r="D1290" s="33">
        <v>4430265054</v>
      </c>
      <c r="E1290" s="33">
        <v>29</v>
      </c>
      <c r="F1290" s="33">
        <v>28</v>
      </c>
      <c r="G1290" s="33" t="s">
        <v>3449</v>
      </c>
      <c r="H1290" s="33" t="s">
        <v>5669</v>
      </c>
      <c r="I1290" s="33" t="s">
        <v>39</v>
      </c>
      <c r="J1290" s="33" t="s">
        <v>3451</v>
      </c>
    </row>
    <row r="1291" spans="1:12" hidden="1" x14ac:dyDescent="0.3">
      <c r="A1291" s="39">
        <v>46070.47583333333</v>
      </c>
      <c r="B1291" s="33">
        <v>43988030048</v>
      </c>
      <c r="C1291" s="33">
        <v>4430265054</v>
      </c>
      <c r="D1291" s="33">
        <v>4430265054</v>
      </c>
      <c r="E1291" s="33">
        <v>28</v>
      </c>
      <c r="F1291" s="33">
        <v>28</v>
      </c>
      <c r="G1291" s="33" t="s">
        <v>3449</v>
      </c>
      <c r="H1291" s="33" t="s">
        <v>5670</v>
      </c>
      <c r="I1291" s="33" t="s">
        <v>39</v>
      </c>
      <c r="J1291" s="33" t="s">
        <v>3451</v>
      </c>
    </row>
    <row r="1292" spans="1:12" hidden="1" x14ac:dyDescent="0.3">
      <c r="A1292" s="39">
        <v>46070.450810185182</v>
      </c>
      <c r="B1292" s="33">
        <v>4430459032</v>
      </c>
      <c r="C1292" s="33">
        <v>4430265054</v>
      </c>
      <c r="D1292" s="33">
        <v>4430265054</v>
      </c>
      <c r="E1292" s="33">
        <v>29</v>
      </c>
      <c r="F1292" s="33">
        <v>28</v>
      </c>
      <c r="G1292" s="33" t="s">
        <v>3449</v>
      </c>
      <c r="H1292" s="33" t="s">
        <v>5671</v>
      </c>
      <c r="I1292" s="33" t="s">
        <v>39</v>
      </c>
      <c r="J1292" s="33" t="s">
        <v>3451</v>
      </c>
    </row>
    <row r="1293" spans="1:12" hidden="1" x14ac:dyDescent="0.3">
      <c r="A1293" s="39">
        <v>46070.450381944444</v>
      </c>
      <c r="B1293" s="33">
        <v>4430459032</v>
      </c>
      <c r="C1293" s="33">
        <v>4430265054</v>
      </c>
      <c r="D1293" s="33">
        <v>4430265054</v>
      </c>
      <c r="E1293" s="33">
        <v>29</v>
      </c>
      <c r="F1293" s="33">
        <v>29</v>
      </c>
      <c r="G1293" s="33" t="s">
        <v>3449</v>
      </c>
      <c r="H1293" s="33" t="s">
        <v>5672</v>
      </c>
      <c r="I1293" s="33" t="s">
        <v>39</v>
      </c>
      <c r="J1293" s="33" t="s">
        <v>3451</v>
      </c>
    </row>
    <row r="1294" spans="1:12" hidden="1" x14ac:dyDescent="0.3">
      <c r="A1294" s="39">
        <v>46070.40284722222</v>
      </c>
      <c r="B1294" s="33">
        <v>14996717238</v>
      </c>
      <c r="C1294" s="33">
        <v>4431268225</v>
      </c>
      <c r="D1294" s="33">
        <v>4431268225</v>
      </c>
      <c r="E1294" s="33">
        <v>29</v>
      </c>
      <c r="F1294" s="33">
        <v>28</v>
      </c>
      <c r="G1294" s="33" t="s">
        <v>3449</v>
      </c>
      <c r="H1294" s="33" t="s">
        <v>5673</v>
      </c>
      <c r="I1294" s="33" t="s">
        <v>39</v>
      </c>
      <c r="J1294" s="33" t="s">
        <v>3451</v>
      </c>
    </row>
    <row r="1295" spans="1:12" x14ac:dyDescent="0.3">
      <c r="A1295" s="39">
        <v>46069.72384259259</v>
      </c>
      <c r="B1295" s="33">
        <v>4434221675</v>
      </c>
      <c r="C1295" s="33" t="s">
        <v>44</v>
      </c>
      <c r="D1295" s="33">
        <v>4430265054</v>
      </c>
      <c r="E1295" s="33">
        <v>847</v>
      </c>
      <c r="F1295" s="33">
        <v>779</v>
      </c>
      <c r="G1295" s="33" t="s">
        <v>38</v>
      </c>
      <c r="H1295" s="33" t="s">
        <v>4159</v>
      </c>
      <c r="I1295" s="33" t="s">
        <v>39</v>
      </c>
      <c r="J1295" s="33" t="s">
        <v>40</v>
      </c>
      <c r="K1295" s="33" t="s">
        <v>41</v>
      </c>
      <c r="L1295" s="33">
        <v>5</v>
      </c>
    </row>
    <row r="1296" spans="1:12" hidden="1" x14ac:dyDescent="0.3">
      <c r="A1296" s="39">
        <v>46069.71603009259</v>
      </c>
      <c r="B1296" s="33">
        <v>67996356530</v>
      </c>
      <c r="C1296" s="33" t="s">
        <v>45</v>
      </c>
      <c r="D1296" s="33">
        <v>4430265054</v>
      </c>
      <c r="E1296" s="33">
        <v>270</v>
      </c>
      <c r="F1296" s="33">
        <v>154</v>
      </c>
      <c r="G1296" s="33" t="s">
        <v>38</v>
      </c>
      <c r="H1296" s="33" t="s">
        <v>4160</v>
      </c>
      <c r="I1296" s="33" t="s">
        <v>39</v>
      </c>
      <c r="J1296" s="33" t="s">
        <v>40</v>
      </c>
      <c r="K1296" s="33" t="s">
        <v>41</v>
      </c>
    </row>
    <row r="1297" spans="1:12" hidden="1" x14ac:dyDescent="0.3">
      <c r="A1297" s="39">
        <v>46069.705069444448</v>
      </c>
      <c r="B1297" s="33" t="s">
        <v>37</v>
      </c>
      <c r="C1297" s="33">
        <v>44999748684</v>
      </c>
      <c r="E1297" s="33">
        <v>1259</v>
      </c>
      <c r="F1297" s="33">
        <v>1249</v>
      </c>
      <c r="G1297" s="33" t="s">
        <v>38</v>
      </c>
      <c r="H1297" s="33" t="s">
        <v>5674</v>
      </c>
      <c r="I1297" s="33" t="s">
        <v>46</v>
      </c>
      <c r="J1297" s="33" t="s">
        <v>40</v>
      </c>
      <c r="L1297" s="33">
        <v>5</v>
      </c>
    </row>
    <row r="1298" spans="1:12" hidden="1" x14ac:dyDescent="0.3">
      <c r="A1298" s="39">
        <v>46069.704918981479</v>
      </c>
      <c r="B1298" s="33">
        <v>44999748684</v>
      </c>
      <c r="C1298" s="33">
        <v>4430265054</v>
      </c>
      <c r="D1298" s="33">
        <v>4430265054</v>
      </c>
      <c r="E1298" s="33">
        <v>23</v>
      </c>
      <c r="F1298" s="33">
        <v>23</v>
      </c>
      <c r="G1298" s="33" t="s">
        <v>3449</v>
      </c>
      <c r="H1298" s="33" t="s">
        <v>5675</v>
      </c>
      <c r="I1298" s="33" t="s">
        <v>39</v>
      </c>
      <c r="J1298" s="33" t="s">
        <v>3451</v>
      </c>
    </row>
    <row r="1299" spans="1:12" hidden="1" x14ac:dyDescent="0.3">
      <c r="A1299" s="39">
        <v>46069.704884259256</v>
      </c>
      <c r="B1299" s="33" t="s">
        <v>37</v>
      </c>
      <c r="C1299" s="33">
        <v>44999748684</v>
      </c>
      <c r="E1299" s="33">
        <v>4</v>
      </c>
      <c r="F1299" s="33">
        <v>0</v>
      </c>
      <c r="G1299" s="33" t="s">
        <v>47</v>
      </c>
      <c r="H1299" s="33" t="s">
        <v>5676</v>
      </c>
      <c r="I1299" s="33" t="s">
        <v>46</v>
      </c>
      <c r="J1299" s="33" t="s">
        <v>40</v>
      </c>
    </row>
    <row r="1300" spans="1:12" hidden="1" x14ac:dyDescent="0.3">
      <c r="A1300" s="39">
        <v>46069.702870370369</v>
      </c>
      <c r="B1300" s="33">
        <v>44999748684</v>
      </c>
      <c r="C1300" s="33" t="s">
        <v>37</v>
      </c>
      <c r="D1300" s="33">
        <v>4430265054</v>
      </c>
      <c r="E1300" s="33">
        <v>168</v>
      </c>
      <c r="F1300" s="33">
        <v>76</v>
      </c>
      <c r="G1300" s="33" t="s">
        <v>38</v>
      </c>
      <c r="H1300" s="33" t="s">
        <v>4161</v>
      </c>
      <c r="I1300" s="33" t="s">
        <v>39</v>
      </c>
      <c r="J1300" s="33" t="s">
        <v>40</v>
      </c>
      <c r="K1300" s="33" t="s">
        <v>41</v>
      </c>
    </row>
    <row r="1301" spans="1:12" hidden="1" x14ac:dyDescent="0.3">
      <c r="A1301" s="39">
        <v>46069.696793981479</v>
      </c>
      <c r="B1301" s="33">
        <v>44999748684</v>
      </c>
      <c r="C1301" s="33">
        <v>4430265054</v>
      </c>
      <c r="D1301" s="33">
        <v>4430265054</v>
      </c>
      <c r="E1301" s="33">
        <v>2</v>
      </c>
      <c r="F1301" s="33">
        <v>2</v>
      </c>
      <c r="G1301" s="33" t="s">
        <v>3449</v>
      </c>
      <c r="H1301" s="33" t="s">
        <v>5677</v>
      </c>
      <c r="I1301" s="33" t="s">
        <v>39</v>
      </c>
      <c r="J1301" s="33" t="s">
        <v>3451</v>
      </c>
    </row>
    <row r="1302" spans="1:12" hidden="1" x14ac:dyDescent="0.3">
      <c r="A1302" s="39">
        <v>46069.669745370367</v>
      </c>
      <c r="B1302" s="33" t="s">
        <v>42</v>
      </c>
      <c r="C1302" s="33">
        <v>1639391799</v>
      </c>
      <c r="E1302" s="33">
        <v>4015</v>
      </c>
      <c r="F1302" s="33">
        <v>3998</v>
      </c>
      <c r="G1302" s="33" t="s">
        <v>38</v>
      </c>
      <c r="H1302" s="33" t="s">
        <v>5678</v>
      </c>
      <c r="I1302" s="33" t="s">
        <v>46</v>
      </c>
      <c r="J1302" s="33" t="s">
        <v>40</v>
      </c>
    </row>
    <row r="1303" spans="1:12" hidden="1" x14ac:dyDescent="0.3">
      <c r="A1303" s="39">
        <v>46069.66201388889</v>
      </c>
      <c r="B1303" s="33">
        <v>44999748684</v>
      </c>
      <c r="C1303" s="33" t="s">
        <v>43</v>
      </c>
      <c r="D1303" s="33">
        <v>4430265054</v>
      </c>
      <c r="E1303" s="33">
        <v>1388</v>
      </c>
      <c r="F1303" s="33">
        <v>1336</v>
      </c>
      <c r="G1303" s="33" t="s">
        <v>38</v>
      </c>
      <c r="H1303" s="33" t="s">
        <v>4162</v>
      </c>
      <c r="I1303" s="33" t="s">
        <v>39</v>
      </c>
      <c r="J1303" s="33" t="s">
        <v>40</v>
      </c>
      <c r="K1303" s="33" t="s">
        <v>41</v>
      </c>
      <c r="L1303" s="33">
        <v>5</v>
      </c>
    </row>
    <row r="1304" spans="1:12" hidden="1" x14ac:dyDescent="0.3">
      <c r="A1304" s="39">
        <v>46069.661516203705</v>
      </c>
      <c r="B1304" s="33">
        <v>4434239353</v>
      </c>
      <c r="C1304" s="33" t="s">
        <v>45</v>
      </c>
      <c r="D1304" s="33">
        <v>4430265054</v>
      </c>
      <c r="E1304" s="33">
        <v>4262</v>
      </c>
      <c r="F1304" s="33">
        <v>4239</v>
      </c>
      <c r="G1304" s="33" t="s">
        <v>38</v>
      </c>
      <c r="H1304" s="33" t="s">
        <v>4163</v>
      </c>
      <c r="I1304" s="33" t="s">
        <v>39</v>
      </c>
      <c r="J1304" s="33" t="s">
        <v>40</v>
      </c>
      <c r="K1304" s="33" t="s">
        <v>41</v>
      </c>
      <c r="L1304" s="33">
        <v>5</v>
      </c>
    </row>
    <row r="1305" spans="1:12" hidden="1" x14ac:dyDescent="0.3">
      <c r="A1305" s="39">
        <v>46069.659803240742</v>
      </c>
      <c r="B1305" s="33">
        <v>1639391799</v>
      </c>
      <c r="C1305" s="33" t="s">
        <v>44</v>
      </c>
      <c r="D1305" s="33">
        <v>4430265054</v>
      </c>
      <c r="E1305" s="33">
        <v>156</v>
      </c>
      <c r="F1305" s="33">
        <v>40</v>
      </c>
      <c r="G1305" s="33" t="s">
        <v>38</v>
      </c>
      <c r="H1305" s="33" t="s">
        <v>4164</v>
      </c>
      <c r="I1305" s="33" t="s">
        <v>39</v>
      </c>
      <c r="J1305" s="33" t="s">
        <v>40</v>
      </c>
      <c r="K1305" s="33" t="s">
        <v>41</v>
      </c>
    </row>
    <row r="1306" spans="1:12" hidden="1" x14ac:dyDescent="0.3">
      <c r="A1306" s="39">
        <v>46069.647731481484</v>
      </c>
      <c r="B1306" s="33">
        <v>42998221810</v>
      </c>
      <c r="C1306" s="33" t="s">
        <v>42</v>
      </c>
      <c r="D1306" s="33">
        <v>4430265054</v>
      </c>
      <c r="E1306" s="33">
        <v>228</v>
      </c>
      <c r="F1306" s="33">
        <v>190</v>
      </c>
      <c r="G1306" s="33" t="s">
        <v>38</v>
      </c>
      <c r="H1306" s="33" t="s">
        <v>4165</v>
      </c>
      <c r="I1306" s="33" t="s">
        <v>39</v>
      </c>
      <c r="J1306" s="33" t="s">
        <v>40</v>
      </c>
      <c r="K1306" s="33" t="s">
        <v>41</v>
      </c>
      <c r="L1306" s="33">
        <v>5</v>
      </c>
    </row>
    <row r="1307" spans="1:12" hidden="1" x14ac:dyDescent="0.3">
      <c r="A1307" s="39">
        <v>46069.638749999998</v>
      </c>
      <c r="B1307" s="33">
        <v>14996717238</v>
      </c>
      <c r="C1307" s="33" t="s">
        <v>37</v>
      </c>
      <c r="D1307" s="33">
        <v>4431268225</v>
      </c>
      <c r="E1307" s="33">
        <v>2531</v>
      </c>
      <c r="F1307" s="33">
        <v>2494</v>
      </c>
      <c r="G1307" s="33" t="s">
        <v>38</v>
      </c>
      <c r="H1307" s="33" t="s">
        <v>4166</v>
      </c>
      <c r="I1307" s="33" t="s">
        <v>39</v>
      </c>
      <c r="J1307" s="33" t="s">
        <v>40</v>
      </c>
      <c r="K1307" s="33" t="s">
        <v>41</v>
      </c>
      <c r="L1307" s="33">
        <v>5</v>
      </c>
    </row>
    <row r="1308" spans="1:12" hidden="1" x14ac:dyDescent="0.3">
      <c r="A1308" s="39">
        <v>46069.627337962964</v>
      </c>
      <c r="B1308" s="33">
        <v>35998295948</v>
      </c>
      <c r="C1308" s="33" t="s">
        <v>45</v>
      </c>
      <c r="D1308" s="33">
        <v>4430265054</v>
      </c>
      <c r="E1308" s="33">
        <v>489</v>
      </c>
      <c r="F1308" s="33">
        <v>469</v>
      </c>
      <c r="G1308" s="33" t="s">
        <v>38</v>
      </c>
      <c r="H1308" s="33" t="s">
        <v>4167</v>
      </c>
      <c r="I1308" s="33" t="s">
        <v>39</v>
      </c>
      <c r="J1308" s="33" t="s">
        <v>40</v>
      </c>
      <c r="K1308" s="33" t="s">
        <v>41</v>
      </c>
      <c r="L1308" s="33">
        <v>5</v>
      </c>
    </row>
    <row r="1309" spans="1:12" hidden="1" x14ac:dyDescent="0.3">
      <c r="A1309" s="39">
        <v>46069.621319444443</v>
      </c>
      <c r="B1309" s="33" t="s">
        <v>45</v>
      </c>
      <c r="C1309" s="33">
        <v>35998295948</v>
      </c>
      <c r="E1309" s="33">
        <v>129</v>
      </c>
      <c r="F1309" s="33">
        <v>112</v>
      </c>
      <c r="G1309" s="33" t="s">
        <v>38</v>
      </c>
      <c r="H1309" s="33" t="s">
        <v>5679</v>
      </c>
      <c r="I1309" s="33" t="s">
        <v>46</v>
      </c>
      <c r="J1309" s="33" t="s">
        <v>40</v>
      </c>
    </row>
    <row r="1310" spans="1:12" hidden="1" x14ac:dyDescent="0.3">
      <c r="A1310" s="39">
        <v>46069.617094907408</v>
      </c>
      <c r="B1310" s="33" t="s">
        <v>37</v>
      </c>
      <c r="C1310" s="33">
        <v>4436351414</v>
      </c>
      <c r="E1310" s="33">
        <v>342</v>
      </c>
      <c r="F1310" s="33">
        <v>334</v>
      </c>
      <c r="G1310" s="33" t="s">
        <v>38</v>
      </c>
      <c r="H1310" s="33" t="s">
        <v>5680</v>
      </c>
      <c r="I1310" s="33" t="s">
        <v>46</v>
      </c>
      <c r="J1310" s="33" t="s">
        <v>40</v>
      </c>
    </row>
    <row r="1311" spans="1:12" hidden="1" x14ac:dyDescent="0.3">
      <c r="A1311" s="39">
        <v>46069.616365740738</v>
      </c>
      <c r="B1311" s="33" t="s">
        <v>37</v>
      </c>
      <c r="C1311" s="33">
        <v>4436351414</v>
      </c>
      <c r="E1311" s="33">
        <v>40</v>
      </c>
      <c r="F1311" s="33">
        <v>29</v>
      </c>
      <c r="G1311" s="33" t="s">
        <v>38</v>
      </c>
      <c r="H1311" s="33" t="s">
        <v>5681</v>
      </c>
      <c r="I1311" s="33" t="s">
        <v>46</v>
      </c>
      <c r="J1311" s="33" t="s">
        <v>40</v>
      </c>
    </row>
    <row r="1312" spans="1:12" hidden="1" x14ac:dyDescent="0.3">
      <c r="A1312" s="39">
        <v>46069.616319444445</v>
      </c>
      <c r="B1312" s="33" t="s">
        <v>37</v>
      </c>
      <c r="C1312" s="33">
        <v>4436351414</v>
      </c>
      <c r="E1312" s="33">
        <v>2</v>
      </c>
      <c r="F1312" s="33">
        <v>0</v>
      </c>
      <c r="G1312" s="33" t="s">
        <v>47</v>
      </c>
      <c r="H1312" s="33" t="s">
        <v>5682</v>
      </c>
      <c r="I1312" s="33" t="s">
        <v>46</v>
      </c>
      <c r="J1312" s="33" t="s">
        <v>40</v>
      </c>
    </row>
    <row r="1313" spans="1:12" hidden="1" x14ac:dyDescent="0.3">
      <c r="A1313" s="39">
        <v>46069.604490740741</v>
      </c>
      <c r="B1313" s="33">
        <v>44998201531</v>
      </c>
      <c r="C1313" s="33" t="s">
        <v>37</v>
      </c>
      <c r="D1313" s="33">
        <v>4430265054</v>
      </c>
      <c r="E1313" s="33">
        <v>212</v>
      </c>
      <c r="F1313" s="33">
        <v>189</v>
      </c>
      <c r="G1313" s="33" t="s">
        <v>38</v>
      </c>
      <c r="H1313" s="33" t="s">
        <v>4168</v>
      </c>
      <c r="I1313" s="33" t="s">
        <v>39</v>
      </c>
      <c r="J1313" s="33" t="s">
        <v>40</v>
      </c>
      <c r="K1313" s="33" t="s">
        <v>41</v>
      </c>
      <c r="L1313" s="33">
        <v>5</v>
      </c>
    </row>
    <row r="1314" spans="1:12" hidden="1" x14ac:dyDescent="0.3">
      <c r="A1314" s="39">
        <v>46069.599421296298</v>
      </c>
      <c r="B1314" s="33" t="s">
        <v>42</v>
      </c>
      <c r="C1314" s="33">
        <v>1639391799</v>
      </c>
      <c r="E1314" s="33">
        <v>42</v>
      </c>
      <c r="F1314" s="33">
        <v>0</v>
      </c>
      <c r="G1314" s="33" t="s">
        <v>47</v>
      </c>
      <c r="H1314" s="33" t="s">
        <v>5683</v>
      </c>
      <c r="I1314" s="33" t="s">
        <v>46</v>
      </c>
      <c r="J1314" s="33" t="s">
        <v>40</v>
      </c>
    </row>
    <row r="1315" spans="1:12" hidden="1" x14ac:dyDescent="0.3">
      <c r="A1315" s="39">
        <v>46069.598101851851</v>
      </c>
      <c r="B1315" s="33" t="s">
        <v>42</v>
      </c>
      <c r="C1315" s="33">
        <v>1639391799</v>
      </c>
      <c r="E1315" s="33">
        <v>97</v>
      </c>
      <c r="F1315" s="33">
        <v>0</v>
      </c>
      <c r="G1315" s="33" t="s">
        <v>47</v>
      </c>
      <c r="H1315" s="33" t="s">
        <v>5684</v>
      </c>
      <c r="I1315" s="33" t="s">
        <v>46</v>
      </c>
      <c r="J1315" s="33" t="s">
        <v>40</v>
      </c>
    </row>
    <row r="1316" spans="1:12" hidden="1" x14ac:dyDescent="0.3">
      <c r="A1316" s="39">
        <v>46069.586319444446</v>
      </c>
      <c r="B1316" s="33">
        <v>4433231254</v>
      </c>
      <c r="C1316" s="33" t="s">
        <v>43</v>
      </c>
      <c r="D1316" s="33">
        <v>4430265054</v>
      </c>
      <c r="E1316" s="33">
        <v>250</v>
      </c>
      <c r="F1316" s="33">
        <v>166</v>
      </c>
      <c r="G1316" s="33" t="s">
        <v>38</v>
      </c>
      <c r="H1316" s="33" t="s">
        <v>4169</v>
      </c>
      <c r="I1316" s="33" t="s">
        <v>39</v>
      </c>
      <c r="J1316" s="33" t="s">
        <v>40</v>
      </c>
      <c r="K1316" s="33" t="s">
        <v>41</v>
      </c>
    </row>
    <row r="1317" spans="1:12" hidden="1" x14ac:dyDescent="0.3">
      <c r="A1317" s="39">
        <v>46069.579988425925</v>
      </c>
      <c r="B1317" s="33">
        <v>44988067937</v>
      </c>
      <c r="C1317" s="33" t="s">
        <v>37</v>
      </c>
      <c r="D1317" s="33">
        <v>4430265054</v>
      </c>
      <c r="E1317" s="33">
        <v>186</v>
      </c>
      <c r="F1317" s="33">
        <v>148</v>
      </c>
      <c r="G1317" s="33" t="s">
        <v>38</v>
      </c>
      <c r="H1317" s="33" t="s">
        <v>4170</v>
      </c>
      <c r="I1317" s="33" t="s">
        <v>39</v>
      </c>
      <c r="J1317" s="33" t="s">
        <v>40</v>
      </c>
      <c r="K1317" s="33" t="s">
        <v>41</v>
      </c>
    </row>
    <row r="1318" spans="1:12" hidden="1" x14ac:dyDescent="0.3">
      <c r="A1318" s="39">
        <v>46069.57912037037</v>
      </c>
      <c r="B1318" s="33">
        <v>35998295948</v>
      </c>
      <c r="C1318" s="33" t="s">
        <v>45</v>
      </c>
      <c r="D1318" s="33">
        <v>4431268225</v>
      </c>
      <c r="E1318" s="33">
        <v>907</v>
      </c>
      <c r="F1318" s="33">
        <v>888</v>
      </c>
      <c r="G1318" s="33" t="s">
        <v>38</v>
      </c>
      <c r="H1318" s="33" t="s">
        <v>4171</v>
      </c>
      <c r="I1318" s="33" t="s">
        <v>39</v>
      </c>
      <c r="J1318" s="33" t="s">
        <v>40</v>
      </c>
      <c r="K1318" s="33" t="s">
        <v>41</v>
      </c>
    </row>
    <row r="1319" spans="1:12" hidden="1" x14ac:dyDescent="0.3">
      <c r="A1319" s="39">
        <v>46069.572881944441</v>
      </c>
      <c r="B1319" s="33">
        <v>44988067937</v>
      </c>
      <c r="C1319" s="33" t="s">
        <v>45</v>
      </c>
      <c r="D1319" s="33">
        <v>4430265054</v>
      </c>
      <c r="E1319" s="33">
        <v>332</v>
      </c>
      <c r="F1319" s="33">
        <v>293</v>
      </c>
      <c r="G1319" s="33" t="s">
        <v>38</v>
      </c>
      <c r="H1319" s="33" t="s">
        <v>4172</v>
      </c>
      <c r="I1319" s="33" t="s">
        <v>39</v>
      </c>
      <c r="J1319" s="33" t="s">
        <v>40</v>
      </c>
      <c r="K1319" s="33" t="s">
        <v>41</v>
      </c>
    </row>
    <row r="1320" spans="1:12" hidden="1" x14ac:dyDescent="0.3">
      <c r="A1320" s="39">
        <v>46069.569189814814</v>
      </c>
      <c r="B1320" s="33" t="s">
        <v>42</v>
      </c>
      <c r="C1320" s="33">
        <v>1639391799</v>
      </c>
      <c r="E1320" s="33">
        <v>41</v>
      </c>
      <c r="F1320" s="33">
        <v>0</v>
      </c>
      <c r="G1320" s="33" t="s">
        <v>47</v>
      </c>
      <c r="H1320" s="33" t="s">
        <v>5685</v>
      </c>
      <c r="I1320" s="33" t="s">
        <v>46</v>
      </c>
      <c r="J1320" s="33" t="s">
        <v>40</v>
      </c>
    </row>
    <row r="1321" spans="1:12" hidden="1" x14ac:dyDescent="0.3">
      <c r="A1321" s="39">
        <v>46069.568784722222</v>
      </c>
      <c r="B1321" s="33">
        <v>4430291622</v>
      </c>
      <c r="C1321" s="33" t="s">
        <v>45</v>
      </c>
      <c r="D1321" s="33">
        <v>4430265054</v>
      </c>
      <c r="E1321" s="33">
        <v>173</v>
      </c>
      <c r="F1321" s="33">
        <v>121</v>
      </c>
      <c r="G1321" s="33" t="s">
        <v>38</v>
      </c>
      <c r="H1321" s="33" t="s">
        <v>4173</v>
      </c>
      <c r="I1321" s="33" t="s">
        <v>39</v>
      </c>
      <c r="J1321" s="33" t="s">
        <v>40</v>
      </c>
      <c r="K1321" s="33" t="s">
        <v>41</v>
      </c>
    </row>
    <row r="1322" spans="1:12" hidden="1" x14ac:dyDescent="0.3">
      <c r="A1322" s="39">
        <v>46069.568368055552</v>
      </c>
      <c r="B1322" s="33" t="s">
        <v>42</v>
      </c>
      <c r="C1322" s="33">
        <v>1639391799</v>
      </c>
      <c r="E1322" s="33">
        <v>69</v>
      </c>
      <c r="F1322" s="33">
        <v>0</v>
      </c>
      <c r="G1322" s="33" t="s">
        <v>47</v>
      </c>
      <c r="H1322" s="33" t="s">
        <v>5686</v>
      </c>
      <c r="I1322" s="33" t="s">
        <v>46</v>
      </c>
      <c r="J1322" s="33" t="s">
        <v>40</v>
      </c>
    </row>
    <row r="1323" spans="1:12" hidden="1" x14ac:dyDescent="0.3">
      <c r="A1323" s="39">
        <v>46069.559467592589</v>
      </c>
      <c r="B1323" s="33" t="s">
        <v>45</v>
      </c>
      <c r="C1323" s="33">
        <v>35998295948</v>
      </c>
      <c r="E1323" s="33">
        <v>52</v>
      </c>
      <c r="F1323" s="33">
        <v>38</v>
      </c>
      <c r="G1323" s="33" t="s">
        <v>38</v>
      </c>
      <c r="H1323" s="33" t="s">
        <v>5687</v>
      </c>
      <c r="I1323" s="33" t="s">
        <v>46</v>
      </c>
      <c r="J1323" s="33" t="s">
        <v>40</v>
      </c>
    </row>
    <row r="1324" spans="1:12" hidden="1" x14ac:dyDescent="0.3">
      <c r="A1324" s="39">
        <v>46069.489351851851</v>
      </c>
      <c r="B1324" s="33" t="s">
        <v>45</v>
      </c>
      <c r="C1324" s="33">
        <v>35998295948</v>
      </c>
      <c r="E1324" s="33">
        <v>898</v>
      </c>
      <c r="F1324" s="33">
        <v>874</v>
      </c>
      <c r="G1324" s="33" t="s">
        <v>38</v>
      </c>
      <c r="H1324" s="33" t="s">
        <v>5688</v>
      </c>
      <c r="I1324" s="33" t="s">
        <v>46</v>
      </c>
      <c r="J1324" s="33" t="s">
        <v>40</v>
      </c>
    </row>
    <row r="1325" spans="1:12" hidden="1" x14ac:dyDescent="0.3">
      <c r="A1325" s="39">
        <v>46069.481307870374</v>
      </c>
      <c r="B1325" s="33">
        <v>4436249360</v>
      </c>
      <c r="C1325" s="33">
        <v>4430265054</v>
      </c>
      <c r="D1325" s="33">
        <v>4430265054</v>
      </c>
      <c r="E1325" s="33">
        <v>33</v>
      </c>
      <c r="F1325" s="33">
        <v>32</v>
      </c>
      <c r="G1325" s="33" t="s">
        <v>3449</v>
      </c>
      <c r="H1325" s="33" t="s">
        <v>4174</v>
      </c>
      <c r="I1325" s="33" t="s">
        <v>39</v>
      </c>
      <c r="J1325" s="33" t="s">
        <v>3451</v>
      </c>
      <c r="K1325" s="33" t="s">
        <v>41</v>
      </c>
    </row>
    <row r="1326" spans="1:12" hidden="1" x14ac:dyDescent="0.3">
      <c r="A1326" s="39">
        <v>46069.481168981481</v>
      </c>
      <c r="B1326" s="33">
        <v>35998295948</v>
      </c>
      <c r="C1326" s="33" t="s">
        <v>45</v>
      </c>
      <c r="D1326" s="33">
        <v>4430265054</v>
      </c>
      <c r="E1326" s="33">
        <v>728</v>
      </c>
      <c r="F1326" s="33">
        <v>702</v>
      </c>
      <c r="G1326" s="33" t="s">
        <v>38</v>
      </c>
      <c r="H1326" s="33" t="s">
        <v>4175</v>
      </c>
      <c r="I1326" s="33" t="s">
        <v>39</v>
      </c>
      <c r="J1326" s="33" t="s">
        <v>40</v>
      </c>
      <c r="K1326" s="33" t="s">
        <v>41</v>
      </c>
      <c r="L1326" s="33">
        <v>5</v>
      </c>
    </row>
    <row r="1327" spans="1:12" hidden="1" x14ac:dyDescent="0.3">
      <c r="A1327" s="39">
        <v>46069.466851851852</v>
      </c>
      <c r="B1327" s="33">
        <v>35998295948</v>
      </c>
      <c r="C1327" s="33" t="s">
        <v>45</v>
      </c>
      <c r="D1327" s="33">
        <v>4430265054</v>
      </c>
      <c r="E1327" s="33">
        <v>655</v>
      </c>
      <c r="F1327" s="33">
        <v>632</v>
      </c>
      <c r="G1327" s="33" t="s">
        <v>38</v>
      </c>
      <c r="H1327" s="33" t="s">
        <v>4176</v>
      </c>
      <c r="I1327" s="33" t="s">
        <v>39</v>
      </c>
      <c r="J1327" s="33" t="s">
        <v>40</v>
      </c>
      <c r="K1327" s="33" t="s">
        <v>41</v>
      </c>
    </row>
    <row r="1328" spans="1:12" hidden="1" x14ac:dyDescent="0.3">
      <c r="A1328" s="39">
        <v>46069.465081018519</v>
      </c>
      <c r="B1328" s="33" t="s">
        <v>37</v>
      </c>
      <c r="C1328" s="33">
        <v>4431414588</v>
      </c>
      <c r="E1328" s="33">
        <v>33</v>
      </c>
      <c r="F1328" s="33">
        <v>0</v>
      </c>
      <c r="G1328" s="33" t="s">
        <v>47</v>
      </c>
      <c r="H1328" s="33" t="s">
        <v>5689</v>
      </c>
      <c r="I1328" s="33" t="s">
        <v>46</v>
      </c>
      <c r="J1328" s="33" t="s">
        <v>40</v>
      </c>
    </row>
    <row r="1329" spans="1:12" hidden="1" x14ac:dyDescent="0.3">
      <c r="A1329" s="39">
        <v>46069.464699074073</v>
      </c>
      <c r="B1329" s="33">
        <v>4430562296</v>
      </c>
      <c r="C1329" s="33" t="s">
        <v>44</v>
      </c>
      <c r="D1329" s="33">
        <v>4430265054</v>
      </c>
      <c r="E1329" s="33">
        <v>734</v>
      </c>
      <c r="F1329" s="33">
        <v>661</v>
      </c>
      <c r="G1329" s="33" t="s">
        <v>38</v>
      </c>
      <c r="H1329" s="33" t="s">
        <v>4177</v>
      </c>
      <c r="I1329" s="33" t="s">
        <v>39</v>
      </c>
      <c r="J1329" s="33" t="s">
        <v>40</v>
      </c>
      <c r="K1329" s="33" t="s">
        <v>41</v>
      </c>
    </row>
    <row r="1330" spans="1:12" hidden="1" x14ac:dyDescent="0.3">
      <c r="A1330" s="39">
        <v>46069.45921296296</v>
      </c>
      <c r="B1330" s="33" t="s">
        <v>45</v>
      </c>
      <c r="C1330" s="33">
        <v>45999174390</v>
      </c>
      <c r="E1330" s="33">
        <v>122</v>
      </c>
      <c r="F1330" s="33">
        <v>112</v>
      </c>
      <c r="G1330" s="33" t="s">
        <v>38</v>
      </c>
      <c r="H1330" s="33" t="s">
        <v>5690</v>
      </c>
      <c r="I1330" s="33" t="s">
        <v>46</v>
      </c>
      <c r="J1330" s="33" t="s">
        <v>40</v>
      </c>
    </row>
    <row r="1331" spans="1:12" hidden="1" x14ac:dyDescent="0.3">
      <c r="A1331" s="39">
        <v>46069.448761574073</v>
      </c>
      <c r="B1331" s="33" t="s">
        <v>45</v>
      </c>
      <c r="C1331" s="33">
        <v>45999174390</v>
      </c>
      <c r="E1331" s="33">
        <v>470</v>
      </c>
      <c r="F1331" s="33">
        <v>458</v>
      </c>
      <c r="G1331" s="33" t="s">
        <v>38</v>
      </c>
      <c r="H1331" s="33" t="s">
        <v>5691</v>
      </c>
      <c r="I1331" s="33" t="s">
        <v>46</v>
      </c>
      <c r="J1331" s="33" t="s">
        <v>40</v>
      </c>
    </row>
    <row r="1332" spans="1:12" hidden="1" x14ac:dyDescent="0.3">
      <c r="A1332" s="39">
        <v>46069.440844907411</v>
      </c>
      <c r="B1332" s="33">
        <v>91984985454</v>
      </c>
      <c r="C1332" s="33" t="s">
        <v>37</v>
      </c>
      <c r="D1332" s="33">
        <v>4430265054</v>
      </c>
      <c r="E1332" s="33">
        <v>232</v>
      </c>
      <c r="F1332" s="33">
        <v>192</v>
      </c>
      <c r="G1332" s="33" t="s">
        <v>38</v>
      </c>
      <c r="H1332" s="33" t="s">
        <v>4178</v>
      </c>
      <c r="I1332" s="33" t="s">
        <v>39</v>
      </c>
      <c r="J1332" s="33" t="s">
        <v>40</v>
      </c>
      <c r="K1332" s="33" t="s">
        <v>41</v>
      </c>
    </row>
    <row r="1333" spans="1:12" hidden="1" x14ac:dyDescent="0.3">
      <c r="A1333" s="39">
        <v>46069.438587962963</v>
      </c>
      <c r="B1333" s="33" t="s">
        <v>44</v>
      </c>
      <c r="E1333" s="33">
        <v>95</v>
      </c>
      <c r="F1333" s="33">
        <v>93</v>
      </c>
      <c r="G1333" s="33" t="s">
        <v>38</v>
      </c>
      <c r="H1333" s="33" t="s">
        <v>5692</v>
      </c>
      <c r="I1333" s="33" t="s">
        <v>46</v>
      </c>
      <c r="J1333" s="33" t="s">
        <v>40</v>
      </c>
    </row>
    <row r="1334" spans="1:12" hidden="1" x14ac:dyDescent="0.3">
      <c r="A1334" s="39">
        <v>46069.437789351854</v>
      </c>
      <c r="B1334" s="33">
        <v>43988030048</v>
      </c>
      <c r="C1334" s="33" t="s">
        <v>43</v>
      </c>
      <c r="D1334" s="33">
        <v>4430265054</v>
      </c>
      <c r="E1334" s="33">
        <v>478</v>
      </c>
      <c r="F1334" s="33">
        <v>430</v>
      </c>
      <c r="G1334" s="33" t="s">
        <v>38</v>
      </c>
      <c r="H1334" s="33" t="s">
        <v>4179</v>
      </c>
      <c r="I1334" s="33" t="s">
        <v>39</v>
      </c>
      <c r="J1334" s="33" t="s">
        <v>40</v>
      </c>
      <c r="K1334" s="33" t="s">
        <v>41</v>
      </c>
    </row>
    <row r="1335" spans="1:12" hidden="1" x14ac:dyDescent="0.3">
      <c r="A1335" s="39">
        <v>46069.437569444446</v>
      </c>
      <c r="B1335" s="33">
        <v>1639391799</v>
      </c>
      <c r="C1335" s="33" t="s">
        <v>42</v>
      </c>
      <c r="D1335" s="33">
        <v>4430265054</v>
      </c>
      <c r="E1335" s="33">
        <v>5681</v>
      </c>
      <c r="F1335" s="33">
        <v>5660</v>
      </c>
      <c r="G1335" s="33" t="s">
        <v>38</v>
      </c>
      <c r="H1335" s="33" t="s">
        <v>4180</v>
      </c>
      <c r="I1335" s="33" t="s">
        <v>39</v>
      </c>
      <c r="J1335" s="33" t="s">
        <v>40</v>
      </c>
      <c r="K1335" s="33" t="s">
        <v>41</v>
      </c>
      <c r="L1335" s="33">
        <v>5</v>
      </c>
    </row>
    <row r="1336" spans="1:12" hidden="1" x14ac:dyDescent="0.3">
      <c r="A1336" s="39">
        <v>46069.433483796296</v>
      </c>
      <c r="B1336" s="33" t="s">
        <v>37</v>
      </c>
      <c r="C1336" s="33">
        <v>4436196400</v>
      </c>
      <c r="E1336" s="33">
        <v>36</v>
      </c>
      <c r="F1336" s="33">
        <v>0</v>
      </c>
      <c r="G1336" s="33" t="s">
        <v>47</v>
      </c>
      <c r="H1336" s="33" t="s">
        <v>5693</v>
      </c>
      <c r="I1336" s="33" t="s">
        <v>46</v>
      </c>
      <c r="J1336" s="33" t="s">
        <v>40</v>
      </c>
    </row>
    <row r="1337" spans="1:12" hidden="1" x14ac:dyDescent="0.3">
      <c r="A1337" s="39">
        <v>46069.429826388892</v>
      </c>
      <c r="B1337" s="33">
        <v>4432446633</v>
      </c>
      <c r="C1337" s="33" t="s">
        <v>42</v>
      </c>
      <c r="D1337" s="33">
        <v>4430265054</v>
      </c>
      <c r="E1337" s="33">
        <v>265</v>
      </c>
      <c r="F1337" s="33">
        <v>226</v>
      </c>
      <c r="G1337" s="33" t="s">
        <v>38</v>
      </c>
      <c r="H1337" s="33" t="s">
        <v>4181</v>
      </c>
      <c r="I1337" s="33" t="s">
        <v>39</v>
      </c>
      <c r="J1337" s="33" t="s">
        <v>40</v>
      </c>
      <c r="K1337" s="33" t="s">
        <v>41</v>
      </c>
    </row>
    <row r="1338" spans="1:12" hidden="1" x14ac:dyDescent="0.3">
      <c r="A1338" s="39">
        <v>46069.42423611111</v>
      </c>
      <c r="B1338" s="33" t="s">
        <v>37</v>
      </c>
      <c r="C1338" s="33">
        <v>4436196400</v>
      </c>
      <c r="E1338" s="33">
        <v>212</v>
      </c>
      <c r="F1338" s="33">
        <v>206</v>
      </c>
      <c r="G1338" s="33" t="s">
        <v>38</v>
      </c>
      <c r="H1338" s="33" t="s">
        <v>5694</v>
      </c>
      <c r="I1338" s="33" t="s">
        <v>46</v>
      </c>
      <c r="J1338" s="33" t="s">
        <v>40</v>
      </c>
    </row>
    <row r="1339" spans="1:12" hidden="1" x14ac:dyDescent="0.3">
      <c r="A1339" s="39">
        <v>46069.411122685182</v>
      </c>
      <c r="B1339" s="33" t="s">
        <v>37</v>
      </c>
      <c r="C1339" s="33">
        <v>4431414588</v>
      </c>
      <c r="E1339" s="33">
        <v>36</v>
      </c>
      <c r="F1339" s="33">
        <v>0</v>
      </c>
      <c r="G1339" s="33" t="s">
        <v>47</v>
      </c>
      <c r="H1339" s="33" t="s">
        <v>5695</v>
      </c>
      <c r="I1339" s="33" t="s">
        <v>46</v>
      </c>
      <c r="J1339" s="33" t="s">
        <v>40</v>
      </c>
    </row>
    <row r="1340" spans="1:12" hidden="1" x14ac:dyDescent="0.3">
      <c r="A1340" s="39">
        <v>46069.396099537036</v>
      </c>
      <c r="B1340" s="33" t="s">
        <v>43</v>
      </c>
      <c r="C1340" s="33">
        <v>4435228300</v>
      </c>
      <c r="E1340" s="33">
        <v>403</v>
      </c>
      <c r="F1340" s="33">
        <v>393</v>
      </c>
      <c r="G1340" s="33" t="s">
        <v>38</v>
      </c>
      <c r="H1340" s="33" t="s">
        <v>5696</v>
      </c>
      <c r="I1340" s="33" t="s">
        <v>46</v>
      </c>
      <c r="J1340" s="33" t="s">
        <v>40</v>
      </c>
    </row>
    <row r="1341" spans="1:12" hidden="1" x14ac:dyDescent="0.3">
      <c r="A1341" s="39">
        <v>46069.396041666667</v>
      </c>
      <c r="B1341" s="33" t="s">
        <v>43</v>
      </c>
      <c r="C1341" s="33">
        <v>4435228300</v>
      </c>
      <c r="E1341" s="33">
        <v>2</v>
      </c>
      <c r="F1341" s="33">
        <v>0</v>
      </c>
      <c r="G1341" s="33" t="s">
        <v>47</v>
      </c>
      <c r="H1341" s="33" t="s">
        <v>5697</v>
      </c>
      <c r="I1341" s="33" t="s">
        <v>46</v>
      </c>
      <c r="J1341" s="33" t="s">
        <v>40</v>
      </c>
    </row>
    <row r="1342" spans="1:12" hidden="1" x14ac:dyDescent="0.3">
      <c r="A1342" s="39">
        <v>46069.390428240738</v>
      </c>
      <c r="B1342" s="33" t="s">
        <v>43</v>
      </c>
      <c r="C1342" s="33">
        <v>4430282545</v>
      </c>
      <c r="E1342" s="33">
        <v>77</v>
      </c>
      <c r="F1342" s="33">
        <v>38</v>
      </c>
      <c r="G1342" s="33" t="s">
        <v>38</v>
      </c>
      <c r="H1342" s="33" t="s">
        <v>5698</v>
      </c>
      <c r="I1342" s="33" t="s">
        <v>46</v>
      </c>
      <c r="J1342" s="33" t="s">
        <v>40</v>
      </c>
    </row>
    <row r="1343" spans="1:12" hidden="1" x14ac:dyDescent="0.3">
      <c r="A1343" s="39">
        <v>46069.389317129629</v>
      </c>
      <c r="B1343" s="33" t="s">
        <v>42</v>
      </c>
      <c r="C1343" s="33">
        <v>4430162376</v>
      </c>
      <c r="E1343" s="33">
        <v>99</v>
      </c>
      <c r="F1343" s="33">
        <v>89</v>
      </c>
      <c r="G1343" s="33" t="s">
        <v>38</v>
      </c>
      <c r="H1343" s="33" t="s">
        <v>5699</v>
      </c>
      <c r="I1343" s="33" t="s">
        <v>46</v>
      </c>
      <c r="J1343" s="33" t="s">
        <v>40</v>
      </c>
    </row>
    <row r="1344" spans="1:12" hidden="1" x14ac:dyDescent="0.3">
      <c r="A1344" s="39">
        <v>46069.389189814814</v>
      </c>
      <c r="B1344" s="33" t="s">
        <v>42</v>
      </c>
      <c r="C1344" s="33">
        <v>4430162376</v>
      </c>
      <c r="E1344" s="33">
        <v>6</v>
      </c>
      <c r="F1344" s="33">
        <v>0</v>
      </c>
      <c r="G1344" s="33" t="s">
        <v>47</v>
      </c>
      <c r="H1344" s="33" t="s">
        <v>5700</v>
      </c>
      <c r="I1344" s="33" t="s">
        <v>46</v>
      </c>
      <c r="J1344" s="33" t="s">
        <v>40</v>
      </c>
    </row>
    <row r="1345" spans="1:11" hidden="1" x14ac:dyDescent="0.3">
      <c r="A1345" s="39">
        <v>46069.388993055552</v>
      </c>
      <c r="B1345" s="33" t="s">
        <v>42</v>
      </c>
      <c r="C1345" s="33">
        <v>4430162376</v>
      </c>
      <c r="E1345" s="33">
        <v>8</v>
      </c>
      <c r="F1345" s="33">
        <v>0</v>
      </c>
      <c r="G1345" s="33" t="s">
        <v>47</v>
      </c>
      <c r="H1345" s="33" t="s">
        <v>5701</v>
      </c>
      <c r="I1345" s="33" t="s">
        <v>46</v>
      </c>
      <c r="J1345" s="33" t="s">
        <v>40</v>
      </c>
    </row>
    <row r="1346" spans="1:11" hidden="1" x14ac:dyDescent="0.3">
      <c r="A1346" s="39">
        <v>46069.385775462964</v>
      </c>
      <c r="B1346" s="33">
        <v>14996717238</v>
      </c>
      <c r="C1346" s="33" t="s">
        <v>37</v>
      </c>
      <c r="D1346" s="33">
        <v>4431268225</v>
      </c>
      <c r="E1346" s="33">
        <v>1865</v>
      </c>
      <c r="F1346" s="33">
        <v>1829</v>
      </c>
      <c r="G1346" s="33" t="s">
        <v>38</v>
      </c>
      <c r="H1346" s="33" t="s">
        <v>4182</v>
      </c>
      <c r="I1346" s="33" t="s">
        <v>39</v>
      </c>
      <c r="J1346" s="33" t="s">
        <v>40</v>
      </c>
      <c r="K1346" s="33" t="s">
        <v>41</v>
      </c>
    </row>
    <row r="1347" spans="1:11" hidden="1" x14ac:dyDescent="0.3">
      <c r="A1347" s="39">
        <v>46069.385127314818</v>
      </c>
      <c r="B1347" s="33" t="s">
        <v>37</v>
      </c>
      <c r="C1347" s="33">
        <v>14996717238</v>
      </c>
      <c r="E1347" s="33">
        <v>41</v>
      </c>
      <c r="F1347" s="33">
        <v>26</v>
      </c>
      <c r="G1347" s="33" t="s">
        <v>38</v>
      </c>
      <c r="H1347" s="33" t="s">
        <v>5702</v>
      </c>
      <c r="I1347" s="33" t="s">
        <v>46</v>
      </c>
      <c r="J1347" s="33" t="s">
        <v>40</v>
      </c>
    </row>
    <row r="1348" spans="1:11" hidden="1" x14ac:dyDescent="0.3">
      <c r="A1348" s="39">
        <v>46069.382118055553</v>
      </c>
      <c r="B1348" s="33" t="s">
        <v>37</v>
      </c>
      <c r="C1348" s="33">
        <v>14996717238</v>
      </c>
      <c r="E1348" s="33">
        <v>10</v>
      </c>
      <c r="F1348" s="33">
        <v>0</v>
      </c>
      <c r="G1348" s="33" t="s">
        <v>47</v>
      </c>
      <c r="H1348" s="33" t="s">
        <v>5703</v>
      </c>
      <c r="I1348" s="33" t="s">
        <v>46</v>
      </c>
      <c r="J1348" s="33" t="s">
        <v>40</v>
      </c>
    </row>
    <row r="1349" spans="1:11" hidden="1" x14ac:dyDescent="0.3">
      <c r="A1349" s="39">
        <v>46069.380868055552</v>
      </c>
      <c r="B1349" s="33" t="s">
        <v>37</v>
      </c>
      <c r="C1349" s="33">
        <v>14996717238</v>
      </c>
      <c r="E1349" s="33">
        <v>8</v>
      </c>
      <c r="F1349" s="33">
        <v>0</v>
      </c>
      <c r="G1349" s="33" t="s">
        <v>47</v>
      </c>
      <c r="H1349" s="33" t="s">
        <v>5704</v>
      </c>
      <c r="I1349" s="33" t="s">
        <v>46</v>
      </c>
      <c r="J1349" s="33" t="s">
        <v>40</v>
      </c>
    </row>
    <row r="1350" spans="1:11" hidden="1" x14ac:dyDescent="0.3">
      <c r="A1350" s="39">
        <v>46069.380219907405</v>
      </c>
      <c r="B1350" s="33" t="s">
        <v>37</v>
      </c>
      <c r="C1350" s="33">
        <v>14996717238</v>
      </c>
      <c r="E1350" s="33">
        <v>36</v>
      </c>
      <c r="F1350" s="33">
        <v>25</v>
      </c>
      <c r="G1350" s="33" t="s">
        <v>38</v>
      </c>
      <c r="H1350" s="33" t="s">
        <v>5705</v>
      </c>
      <c r="I1350" s="33" t="s">
        <v>46</v>
      </c>
      <c r="J1350" s="33" t="s">
        <v>40</v>
      </c>
    </row>
    <row r="1351" spans="1:11" hidden="1" x14ac:dyDescent="0.3">
      <c r="A1351" s="39">
        <v>46069.379895833335</v>
      </c>
      <c r="B1351" s="33" t="s">
        <v>37</v>
      </c>
      <c r="C1351" s="33">
        <v>14996717238</v>
      </c>
      <c r="E1351" s="33">
        <v>39</v>
      </c>
      <c r="F1351" s="33">
        <v>25</v>
      </c>
      <c r="G1351" s="33" t="s">
        <v>38</v>
      </c>
      <c r="H1351" s="33" t="s">
        <v>5706</v>
      </c>
      <c r="I1351" s="33" t="s">
        <v>46</v>
      </c>
      <c r="J1351" s="33" t="s">
        <v>40</v>
      </c>
    </row>
    <row r="1352" spans="1:11" hidden="1" x14ac:dyDescent="0.3">
      <c r="A1352" s="39">
        <v>46069.359664351854</v>
      </c>
      <c r="B1352" s="33" t="s">
        <v>37</v>
      </c>
      <c r="C1352" s="33">
        <v>4431414588</v>
      </c>
      <c r="E1352" s="33">
        <v>37</v>
      </c>
      <c r="F1352" s="33">
        <v>0</v>
      </c>
      <c r="G1352" s="33" t="s">
        <v>47</v>
      </c>
      <c r="H1352" s="33" t="s">
        <v>5707</v>
      </c>
      <c r="I1352" s="33" t="s">
        <v>46</v>
      </c>
      <c r="J1352" s="33" t="s">
        <v>40</v>
      </c>
    </row>
    <row r="1353" spans="1:11" hidden="1" x14ac:dyDescent="0.3">
      <c r="A1353" s="39">
        <v>46069.355451388888</v>
      </c>
      <c r="B1353" s="33">
        <v>4435228300</v>
      </c>
      <c r="C1353" s="33" t="s">
        <v>37</v>
      </c>
      <c r="D1353" s="33">
        <v>4430265054</v>
      </c>
      <c r="E1353" s="33">
        <v>100</v>
      </c>
      <c r="F1353" s="33">
        <v>76</v>
      </c>
      <c r="G1353" s="33" t="s">
        <v>38</v>
      </c>
      <c r="H1353" s="33" t="s">
        <v>4183</v>
      </c>
      <c r="I1353" s="33" t="s">
        <v>39</v>
      </c>
      <c r="J1353" s="33" t="s">
        <v>40</v>
      </c>
      <c r="K1353" s="33" t="s">
        <v>41</v>
      </c>
    </row>
    <row r="1354" spans="1:11" hidden="1" x14ac:dyDescent="0.3">
      <c r="A1354" s="39">
        <v>46069.351041666669</v>
      </c>
      <c r="B1354" s="33">
        <v>4435226025</v>
      </c>
      <c r="C1354" s="33">
        <v>4430265054</v>
      </c>
      <c r="D1354" s="33">
        <v>4430265054</v>
      </c>
      <c r="E1354" s="33">
        <v>25</v>
      </c>
      <c r="F1354" s="33">
        <v>24</v>
      </c>
      <c r="G1354" s="33" t="s">
        <v>3449</v>
      </c>
      <c r="H1354" s="33" t="s">
        <v>5708</v>
      </c>
      <c r="I1354" s="33" t="s">
        <v>39</v>
      </c>
      <c r="J1354" s="33" t="s">
        <v>3451</v>
      </c>
    </row>
    <row r="1355" spans="1:11" hidden="1" x14ac:dyDescent="0.3">
      <c r="A1355" s="39">
        <v>46069.350416666668</v>
      </c>
      <c r="B1355" s="33">
        <v>4435228300</v>
      </c>
      <c r="C1355" s="33">
        <v>4430265054</v>
      </c>
      <c r="D1355" s="33">
        <v>4430265054</v>
      </c>
      <c r="E1355" s="33">
        <v>29</v>
      </c>
      <c r="F1355" s="33">
        <v>28</v>
      </c>
      <c r="G1355" s="33" t="s">
        <v>3449</v>
      </c>
      <c r="H1355" s="33" t="s">
        <v>5709</v>
      </c>
      <c r="I1355" s="33" t="s">
        <v>39</v>
      </c>
      <c r="J1355" s="33" t="s">
        <v>3451</v>
      </c>
    </row>
    <row r="1356" spans="1:11" hidden="1" x14ac:dyDescent="0.3">
      <c r="A1356" s="39">
        <v>46069.346678240741</v>
      </c>
      <c r="B1356" s="33" t="s">
        <v>37</v>
      </c>
      <c r="C1356" s="33">
        <v>4430451715</v>
      </c>
      <c r="E1356" s="33">
        <v>34</v>
      </c>
      <c r="F1356" s="33">
        <v>0</v>
      </c>
      <c r="G1356" s="33" t="s">
        <v>47</v>
      </c>
      <c r="H1356" s="33" t="s">
        <v>5710</v>
      </c>
      <c r="I1356" s="33" t="s">
        <v>46</v>
      </c>
      <c r="J1356" s="33" t="s">
        <v>40</v>
      </c>
    </row>
    <row r="1357" spans="1:11" hidden="1" x14ac:dyDescent="0.3">
      <c r="A1357" s="39">
        <v>46069.346539351849</v>
      </c>
      <c r="B1357" s="33" t="s">
        <v>37</v>
      </c>
      <c r="C1357" s="33">
        <v>4434231715</v>
      </c>
      <c r="E1357" s="33">
        <v>7</v>
      </c>
      <c r="F1357" s="33">
        <v>0</v>
      </c>
      <c r="G1357" s="33" t="s">
        <v>47</v>
      </c>
      <c r="H1357" s="33" t="s">
        <v>5711</v>
      </c>
      <c r="I1357" s="33" t="s">
        <v>46</v>
      </c>
      <c r="J1357" s="33" t="s">
        <v>40</v>
      </c>
    </row>
    <row r="1358" spans="1:11" hidden="1" x14ac:dyDescent="0.3">
      <c r="A1358" s="39">
        <v>46069.345763888887</v>
      </c>
      <c r="B1358" s="33" t="s">
        <v>37</v>
      </c>
      <c r="C1358" s="33">
        <v>4430451715</v>
      </c>
      <c r="E1358" s="33">
        <v>38</v>
      </c>
      <c r="F1358" s="33">
        <v>0</v>
      </c>
      <c r="G1358" s="33" t="s">
        <v>47</v>
      </c>
      <c r="H1358" s="33" t="s">
        <v>5712</v>
      </c>
      <c r="I1358" s="33" t="s">
        <v>46</v>
      </c>
      <c r="J1358" s="33" t="s">
        <v>40</v>
      </c>
    </row>
    <row r="1359" spans="1:11" hidden="1" x14ac:dyDescent="0.3">
      <c r="A1359" s="39">
        <v>46067.909074074072</v>
      </c>
      <c r="B1359" s="33">
        <v>16997190170</v>
      </c>
      <c r="C1359" s="33">
        <v>4430265054</v>
      </c>
      <c r="D1359" s="33">
        <v>4430265054</v>
      </c>
      <c r="E1359" s="33">
        <v>29</v>
      </c>
      <c r="F1359" s="33">
        <v>28</v>
      </c>
      <c r="G1359" s="33" t="s">
        <v>3449</v>
      </c>
      <c r="H1359" s="33" t="s">
        <v>5713</v>
      </c>
      <c r="I1359" s="33" t="s">
        <v>39</v>
      </c>
      <c r="J1359" s="33" t="s">
        <v>3451</v>
      </c>
    </row>
    <row r="1360" spans="1:11" hidden="1" x14ac:dyDescent="0.3">
      <c r="A1360" s="39">
        <v>46067.373460648145</v>
      </c>
      <c r="B1360" s="33">
        <v>1438160351</v>
      </c>
      <c r="C1360" s="33">
        <v>4430265054</v>
      </c>
      <c r="D1360" s="33">
        <v>4430265054</v>
      </c>
      <c r="E1360" s="33">
        <v>8</v>
      </c>
      <c r="F1360" s="33">
        <v>7</v>
      </c>
      <c r="G1360" s="33" t="s">
        <v>3449</v>
      </c>
      <c r="H1360" s="33" t="s">
        <v>5714</v>
      </c>
      <c r="I1360" s="33" t="s">
        <v>39</v>
      </c>
      <c r="J1360" s="33" t="s">
        <v>3451</v>
      </c>
    </row>
    <row r="1361" spans="1:12" hidden="1" x14ac:dyDescent="0.3">
      <c r="A1361" s="39">
        <v>46067.363842592589</v>
      </c>
      <c r="B1361" s="33">
        <v>1438160351</v>
      </c>
      <c r="C1361" s="33">
        <v>4430265054</v>
      </c>
      <c r="D1361" s="33">
        <v>4430265054</v>
      </c>
      <c r="E1361" s="33">
        <v>8</v>
      </c>
      <c r="F1361" s="33">
        <v>7</v>
      </c>
      <c r="G1361" s="33" t="s">
        <v>3449</v>
      </c>
      <c r="H1361" s="33" t="s">
        <v>5715</v>
      </c>
      <c r="I1361" s="33" t="s">
        <v>39</v>
      </c>
      <c r="J1361" s="33" t="s">
        <v>3451</v>
      </c>
    </row>
    <row r="1362" spans="1:12" hidden="1" x14ac:dyDescent="0.3">
      <c r="A1362" s="39">
        <v>46066.731111111112</v>
      </c>
      <c r="B1362" s="33" t="s">
        <v>3627</v>
      </c>
      <c r="C1362" s="33">
        <v>11964740612</v>
      </c>
      <c r="E1362" s="33">
        <v>34</v>
      </c>
      <c r="F1362" s="33">
        <v>0</v>
      </c>
      <c r="G1362" s="33" t="s">
        <v>47</v>
      </c>
      <c r="H1362" s="33" t="s">
        <v>5716</v>
      </c>
      <c r="I1362" s="33" t="s">
        <v>46</v>
      </c>
      <c r="J1362" s="33" t="s">
        <v>3629</v>
      </c>
    </row>
    <row r="1363" spans="1:12" hidden="1" x14ac:dyDescent="0.3">
      <c r="A1363" s="39">
        <v>46066.730162037034</v>
      </c>
      <c r="B1363" s="33">
        <v>4434212150</v>
      </c>
      <c r="C1363" s="33" t="s">
        <v>45</v>
      </c>
      <c r="D1363" s="33">
        <v>4430265054</v>
      </c>
      <c r="E1363" s="33">
        <v>93</v>
      </c>
      <c r="F1363" s="33">
        <v>71</v>
      </c>
      <c r="G1363" s="33" t="s">
        <v>38</v>
      </c>
      <c r="H1363" s="33" t="s">
        <v>4184</v>
      </c>
      <c r="I1363" s="33" t="s">
        <v>39</v>
      </c>
      <c r="J1363" s="33" t="s">
        <v>40</v>
      </c>
      <c r="K1363" s="33" t="s">
        <v>41</v>
      </c>
    </row>
    <row r="1364" spans="1:12" hidden="1" x14ac:dyDescent="0.3">
      <c r="A1364" s="39">
        <v>46066.726527777777</v>
      </c>
      <c r="B1364" s="33" t="s">
        <v>45</v>
      </c>
      <c r="C1364" s="33">
        <v>4532541802</v>
      </c>
      <c r="E1364" s="33">
        <v>27</v>
      </c>
      <c r="F1364" s="33">
        <v>26</v>
      </c>
      <c r="G1364" s="33" t="s">
        <v>38</v>
      </c>
      <c r="H1364" s="33" t="s">
        <v>5717</v>
      </c>
      <c r="I1364" s="33" t="s">
        <v>46</v>
      </c>
      <c r="J1364" s="33" t="s">
        <v>40</v>
      </c>
    </row>
    <row r="1365" spans="1:12" hidden="1" x14ac:dyDescent="0.3">
      <c r="A1365" s="39">
        <v>46066.725486111114</v>
      </c>
      <c r="B1365" s="33">
        <v>4435226025</v>
      </c>
      <c r="C1365" s="33" t="s">
        <v>45</v>
      </c>
      <c r="D1365" s="33">
        <v>4430265054</v>
      </c>
      <c r="E1365" s="33">
        <v>82</v>
      </c>
      <c r="F1365" s="33">
        <v>47</v>
      </c>
      <c r="G1365" s="33" t="s">
        <v>38</v>
      </c>
      <c r="H1365" s="33" t="s">
        <v>4185</v>
      </c>
      <c r="I1365" s="33" t="s">
        <v>39</v>
      </c>
      <c r="J1365" s="33" t="s">
        <v>40</v>
      </c>
      <c r="K1365" s="33" t="s">
        <v>41</v>
      </c>
    </row>
    <row r="1366" spans="1:12" hidden="1" x14ac:dyDescent="0.3">
      <c r="A1366" s="39">
        <v>46066.723981481482</v>
      </c>
      <c r="B1366" s="33">
        <v>4435226025</v>
      </c>
      <c r="C1366" s="33">
        <v>4430265054</v>
      </c>
      <c r="D1366" s="33">
        <v>4430265054</v>
      </c>
      <c r="E1366" s="33">
        <v>12</v>
      </c>
      <c r="F1366" s="33">
        <v>11</v>
      </c>
      <c r="G1366" s="33" t="s">
        <v>3449</v>
      </c>
      <c r="H1366" s="33" t="s">
        <v>5718</v>
      </c>
      <c r="I1366" s="33" t="s">
        <v>39</v>
      </c>
      <c r="J1366" s="33" t="s">
        <v>3451</v>
      </c>
    </row>
    <row r="1367" spans="1:12" hidden="1" x14ac:dyDescent="0.3">
      <c r="A1367" s="39">
        <v>46066.723900462966</v>
      </c>
      <c r="B1367" s="33">
        <v>4330333558</v>
      </c>
      <c r="C1367" s="33" t="s">
        <v>42</v>
      </c>
      <c r="D1367" s="33">
        <v>4430265054</v>
      </c>
      <c r="E1367" s="33">
        <v>1297</v>
      </c>
      <c r="F1367" s="33">
        <v>1255</v>
      </c>
      <c r="G1367" s="33" t="s">
        <v>38</v>
      </c>
      <c r="H1367" s="33" t="s">
        <v>4186</v>
      </c>
      <c r="I1367" s="33" t="s">
        <v>39</v>
      </c>
      <c r="J1367" s="33" t="s">
        <v>40</v>
      </c>
      <c r="K1367" s="33" t="s">
        <v>41</v>
      </c>
      <c r="L1367" s="33">
        <v>5</v>
      </c>
    </row>
    <row r="1368" spans="1:12" hidden="1" x14ac:dyDescent="0.3">
      <c r="A1368" s="39">
        <v>46066.72351851852</v>
      </c>
      <c r="B1368" s="33" t="s">
        <v>43</v>
      </c>
      <c r="C1368" s="33">
        <v>4430282545</v>
      </c>
      <c r="E1368" s="33">
        <v>155</v>
      </c>
      <c r="F1368" s="33">
        <v>139</v>
      </c>
      <c r="G1368" s="33" t="s">
        <v>38</v>
      </c>
      <c r="H1368" s="33" t="s">
        <v>5719</v>
      </c>
      <c r="I1368" s="33" t="s">
        <v>46</v>
      </c>
      <c r="J1368" s="33" t="s">
        <v>40</v>
      </c>
    </row>
    <row r="1369" spans="1:12" hidden="1" x14ac:dyDescent="0.3">
      <c r="A1369" s="39">
        <v>46066.722303240742</v>
      </c>
      <c r="B1369" s="33">
        <v>4432226677</v>
      </c>
      <c r="C1369" s="33" t="s">
        <v>45</v>
      </c>
      <c r="D1369" s="33">
        <v>4430265054</v>
      </c>
      <c r="E1369" s="33">
        <v>334</v>
      </c>
      <c r="F1369" s="33">
        <v>295</v>
      </c>
      <c r="G1369" s="33" t="s">
        <v>38</v>
      </c>
      <c r="H1369" s="33" t="s">
        <v>4187</v>
      </c>
      <c r="I1369" s="33" t="s">
        <v>39</v>
      </c>
      <c r="J1369" s="33" t="s">
        <v>40</v>
      </c>
      <c r="K1369" s="33" t="s">
        <v>41</v>
      </c>
      <c r="L1369" s="33">
        <v>5</v>
      </c>
    </row>
    <row r="1370" spans="1:12" hidden="1" x14ac:dyDescent="0.3">
      <c r="A1370" s="39">
        <v>46066.72179398148</v>
      </c>
      <c r="B1370" s="33" t="s">
        <v>3627</v>
      </c>
      <c r="C1370" s="33">
        <v>11964740612</v>
      </c>
      <c r="E1370" s="33">
        <v>20</v>
      </c>
      <c r="F1370" s="33">
        <v>3</v>
      </c>
      <c r="G1370" s="33" t="s">
        <v>38</v>
      </c>
      <c r="H1370" s="33" t="s">
        <v>5720</v>
      </c>
      <c r="I1370" s="33" t="s">
        <v>46</v>
      </c>
      <c r="J1370" s="33" t="s">
        <v>3629</v>
      </c>
    </row>
    <row r="1371" spans="1:12" hidden="1" x14ac:dyDescent="0.3">
      <c r="A1371" s="39">
        <v>46066.71979166667</v>
      </c>
      <c r="B1371" s="33" t="s">
        <v>3627</v>
      </c>
      <c r="C1371" s="33">
        <v>21968259283</v>
      </c>
      <c r="E1371" s="33">
        <v>36</v>
      </c>
      <c r="F1371" s="33">
        <v>13</v>
      </c>
      <c r="G1371" s="33" t="s">
        <v>38</v>
      </c>
      <c r="H1371" s="33" t="s">
        <v>5721</v>
      </c>
      <c r="I1371" s="33" t="s">
        <v>46</v>
      </c>
      <c r="J1371" s="33" t="s">
        <v>3629</v>
      </c>
    </row>
    <row r="1372" spans="1:12" hidden="1" x14ac:dyDescent="0.3">
      <c r="A1372" s="39">
        <v>46066.719050925924</v>
      </c>
      <c r="B1372" s="33" t="s">
        <v>3627</v>
      </c>
      <c r="C1372" s="33">
        <v>62982652888</v>
      </c>
      <c r="E1372" s="33">
        <v>8</v>
      </c>
      <c r="F1372" s="33">
        <v>0</v>
      </c>
      <c r="G1372" s="33" t="s">
        <v>47</v>
      </c>
      <c r="H1372" s="33" t="s">
        <v>5722</v>
      </c>
      <c r="I1372" s="33" t="s">
        <v>46</v>
      </c>
      <c r="J1372" s="33" t="s">
        <v>3629</v>
      </c>
    </row>
    <row r="1373" spans="1:12" hidden="1" x14ac:dyDescent="0.3">
      <c r="A1373" s="39">
        <v>46066.717731481483</v>
      </c>
      <c r="B1373" s="33">
        <v>44991388221</v>
      </c>
      <c r="C1373" s="33" t="s">
        <v>44</v>
      </c>
      <c r="D1373" s="33">
        <v>4430265054</v>
      </c>
      <c r="E1373" s="33">
        <v>1208</v>
      </c>
      <c r="F1373" s="33">
        <v>1182</v>
      </c>
      <c r="G1373" s="33" t="s">
        <v>38</v>
      </c>
      <c r="H1373" s="33" t="s">
        <v>4188</v>
      </c>
      <c r="I1373" s="33" t="s">
        <v>39</v>
      </c>
      <c r="J1373" s="33" t="s">
        <v>40</v>
      </c>
      <c r="K1373" s="33" t="s">
        <v>41</v>
      </c>
    </row>
    <row r="1374" spans="1:12" hidden="1" x14ac:dyDescent="0.3">
      <c r="A1374" s="39">
        <v>46066.717164351852</v>
      </c>
      <c r="B1374" s="33">
        <v>4532541802</v>
      </c>
      <c r="C1374" s="33" t="s">
        <v>48</v>
      </c>
      <c r="D1374" s="33">
        <v>4430265054</v>
      </c>
      <c r="E1374" s="33">
        <v>1239</v>
      </c>
      <c r="F1374" s="33">
        <v>1238</v>
      </c>
      <c r="G1374" s="33" t="s">
        <v>38</v>
      </c>
      <c r="H1374" s="33" t="s">
        <v>4189</v>
      </c>
      <c r="I1374" s="33" t="s">
        <v>39</v>
      </c>
      <c r="J1374" s="33" t="s">
        <v>40</v>
      </c>
      <c r="K1374" s="33" t="s">
        <v>41</v>
      </c>
    </row>
    <row r="1375" spans="1:12" hidden="1" x14ac:dyDescent="0.3">
      <c r="A1375" s="39">
        <v>46066.716990740744</v>
      </c>
      <c r="B1375" s="33" t="s">
        <v>3627</v>
      </c>
      <c r="C1375" s="33">
        <v>27998983558</v>
      </c>
      <c r="E1375" s="33">
        <v>18</v>
      </c>
      <c r="F1375" s="33">
        <v>6</v>
      </c>
      <c r="G1375" s="33" t="s">
        <v>38</v>
      </c>
      <c r="H1375" s="33" t="s">
        <v>5723</v>
      </c>
      <c r="I1375" s="33" t="s">
        <v>46</v>
      </c>
      <c r="J1375" s="33" t="s">
        <v>3629</v>
      </c>
    </row>
    <row r="1376" spans="1:12" hidden="1" x14ac:dyDescent="0.3">
      <c r="A1376" s="39">
        <v>46066.715277777781</v>
      </c>
      <c r="B1376" s="33" t="s">
        <v>3627</v>
      </c>
      <c r="C1376" s="33">
        <v>88999646996</v>
      </c>
      <c r="E1376" s="33">
        <v>10</v>
      </c>
      <c r="F1376" s="33">
        <v>7</v>
      </c>
      <c r="G1376" s="33" t="s">
        <v>38</v>
      </c>
      <c r="H1376" s="33" t="s">
        <v>5724</v>
      </c>
      <c r="I1376" s="33" t="s">
        <v>46</v>
      </c>
      <c r="J1376" s="33" t="s">
        <v>3629</v>
      </c>
    </row>
    <row r="1377" spans="1:12" hidden="1" x14ac:dyDescent="0.3">
      <c r="A1377" s="39">
        <v>46066.714328703703</v>
      </c>
      <c r="B1377" s="33" t="s">
        <v>3627</v>
      </c>
      <c r="C1377" s="33">
        <v>84988273349</v>
      </c>
      <c r="E1377" s="33">
        <v>40</v>
      </c>
      <c r="F1377" s="33">
        <v>0</v>
      </c>
      <c r="G1377" s="33" t="s">
        <v>47</v>
      </c>
      <c r="H1377" s="33" t="s">
        <v>5725</v>
      </c>
      <c r="I1377" s="33" t="s">
        <v>46</v>
      </c>
      <c r="J1377" s="33" t="s">
        <v>3629</v>
      </c>
    </row>
    <row r="1378" spans="1:12" hidden="1" x14ac:dyDescent="0.3">
      <c r="A1378" s="39">
        <v>46066.712523148148</v>
      </c>
      <c r="B1378" s="33">
        <v>4436281154</v>
      </c>
      <c r="C1378" s="33" t="s">
        <v>44</v>
      </c>
      <c r="D1378" s="33">
        <v>4430265054</v>
      </c>
      <c r="E1378" s="33">
        <v>356</v>
      </c>
      <c r="F1378" s="33">
        <v>296</v>
      </c>
      <c r="G1378" s="33" t="s">
        <v>38</v>
      </c>
      <c r="H1378" s="33" t="s">
        <v>4190</v>
      </c>
      <c r="I1378" s="33" t="s">
        <v>39</v>
      </c>
      <c r="J1378" s="33" t="s">
        <v>40</v>
      </c>
      <c r="K1378" s="33" t="s">
        <v>41</v>
      </c>
    </row>
    <row r="1379" spans="1:12" hidden="1" x14ac:dyDescent="0.3">
      <c r="A1379" s="39">
        <v>46066.712141203701</v>
      </c>
      <c r="B1379" s="33" t="s">
        <v>3627</v>
      </c>
      <c r="C1379" s="33">
        <v>61998322005</v>
      </c>
      <c r="E1379" s="33">
        <v>30</v>
      </c>
      <c r="F1379" s="33">
        <v>14</v>
      </c>
      <c r="G1379" s="33" t="s">
        <v>38</v>
      </c>
      <c r="H1379" s="33" t="s">
        <v>5726</v>
      </c>
      <c r="I1379" s="33" t="s">
        <v>46</v>
      </c>
      <c r="J1379" s="33" t="s">
        <v>3629</v>
      </c>
    </row>
    <row r="1380" spans="1:12" hidden="1" x14ac:dyDescent="0.3">
      <c r="A1380" s="39">
        <v>46066.71125</v>
      </c>
      <c r="B1380" s="33" t="s">
        <v>3627</v>
      </c>
      <c r="C1380" s="33">
        <v>83998879874</v>
      </c>
      <c r="E1380" s="33">
        <v>37</v>
      </c>
      <c r="F1380" s="33">
        <v>0</v>
      </c>
      <c r="G1380" s="33" t="s">
        <v>47</v>
      </c>
      <c r="H1380" s="33" t="s">
        <v>5727</v>
      </c>
      <c r="I1380" s="33" t="s">
        <v>46</v>
      </c>
      <c r="J1380" s="33" t="s">
        <v>3629</v>
      </c>
    </row>
    <row r="1381" spans="1:12" hidden="1" x14ac:dyDescent="0.3">
      <c r="A1381" s="39">
        <v>46066.705138888887</v>
      </c>
      <c r="B1381" s="33">
        <v>4432269849</v>
      </c>
      <c r="C1381" s="33" t="s">
        <v>37</v>
      </c>
      <c r="D1381" s="33">
        <v>4430265054</v>
      </c>
      <c r="E1381" s="33">
        <v>1864</v>
      </c>
      <c r="F1381" s="33">
        <v>1839</v>
      </c>
      <c r="G1381" s="33" t="s">
        <v>38</v>
      </c>
      <c r="H1381" s="33" t="s">
        <v>4191</v>
      </c>
      <c r="I1381" s="33" t="s">
        <v>39</v>
      </c>
      <c r="J1381" s="33" t="s">
        <v>40</v>
      </c>
      <c r="K1381" s="33" t="s">
        <v>41</v>
      </c>
      <c r="L1381" s="33">
        <v>5</v>
      </c>
    </row>
    <row r="1382" spans="1:12" hidden="1" x14ac:dyDescent="0.3">
      <c r="A1382" s="39">
        <v>46066.70480324074</v>
      </c>
      <c r="B1382" s="33" t="s">
        <v>3627</v>
      </c>
      <c r="C1382" s="33">
        <v>11943127318</v>
      </c>
      <c r="E1382" s="33">
        <v>13</v>
      </c>
      <c r="F1382" s="33">
        <v>0</v>
      </c>
      <c r="G1382" s="33" t="s">
        <v>47</v>
      </c>
      <c r="H1382" s="33" t="s">
        <v>5728</v>
      </c>
      <c r="I1382" s="33" t="s">
        <v>46</v>
      </c>
      <c r="J1382" s="33" t="s">
        <v>3629</v>
      </c>
    </row>
    <row r="1383" spans="1:12" hidden="1" x14ac:dyDescent="0.3">
      <c r="A1383" s="39">
        <v>46066.702696759261</v>
      </c>
      <c r="B1383" s="33">
        <v>11940298065</v>
      </c>
      <c r="C1383" s="33" t="s">
        <v>42</v>
      </c>
      <c r="D1383" s="33">
        <v>4430265054</v>
      </c>
      <c r="E1383" s="33">
        <v>455</v>
      </c>
      <c r="F1383" s="33">
        <v>367</v>
      </c>
      <c r="G1383" s="33" t="s">
        <v>38</v>
      </c>
      <c r="H1383" s="33" t="s">
        <v>4192</v>
      </c>
      <c r="I1383" s="33" t="s">
        <v>39</v>
      </c>
      <c r="J1383" s="33" t="s">
        <v>40</v>
      </c>
      <c r="K1383" s="33" t="s">
        <v>41</v>
      </c>
    </row>
    <row r="1384" spans="1:12" hidden="1" x14ac:dyDescent="0.3">
      <c r="A1384" s="39">
        <v>46066.695972222224</v>
      </c>
      <c r="B1384" s="33" t="s">
        <v>3627</v>
      </c>
      <c r="C1384" s="33">
        <v>3132443100</v>
      </c>
      <c r="E1384" s="33">
        <v>50</v>
      </c>
      <c r="F1384" s="33">
        <v>47</v>
      </c>
      <c r="G1384" s="33" t="s">
        <v>38</v>
      </c>
      <c r="H1384" s="33" t="s">
        <v>5729</v>
      </c>
      <c r="I1384" s="33" t="s">
        <v>46</v>
      </c>
      <c r="J1384" s="33" t="s">
        <v>3629</v>
      </c>
    </row>
    <row r="1385" spans="1:12" hidden="1" x14ac:dyDescent="0.3">
      <c r="A1385" s="39">
        <v>46066.695613425924</v>
      </c>
      <c r="B1385" s="33">
        <v>44997400641</v>
      </c>
      <c r="C1385" s="33" t="s">
        <v>42</v>
      </c>
      <c r="D1385" s="33">
        <v>4430265054</v>
      </c>
      <c r="E1385" s="33">
        <v>413</v>
      </c>
      <c r="F1385" s="33">
        <v>351</v>
      </c>
      <c r="G1385" s="33" t="s">
        <v>38</v>
      </c>
      <c r="H1385" s="33" t="s">
        <v>4193</v>
      </c>
      <c r="I1385" s="33" t="s">
        <v>39</v>
      </c>
      <c r="J1385" s="33" t="s">
        <v>40</v>
      </c>
      <c r="K1385" s="33" t="s">
        <v>41</v>
      </c>
    </row>
    <row r="1386" spans="1:12" hidden="1" x14ac:dyDescent="0.3">
      <c r="A1386" s="39">
        <v>46066.69494212963</v>
      </c>
      <c r="B1386" s="33" t="s">
        <v>3627</v>
      </c>
      <c r="C1386" s="33">
        <v>83993357174</v>
      </c>
      <c r="E1386" s="33">
        <v>51</v>
      </c>
      <c r="F1386" s="33">
        <v>4</v>
      </c>
      <c r="G1386" s="33" t="s">
        <v>38</v>
      </c>
      <c r="H1386" s="33" t="s">
        <v>5730</v>
      </c>
      <c r="I1386" s="33" t="s">
        <v>46</v>
      </c>
      <c r="J1386" s="33" t="s">
        <v>3629</v>
      </c>
    </row>
    <row r="1387" spans="1:12" hidden="1" x14ac:dyDescent="0.3">
      <c r="A1387" s="39">
        <v>46066.694444444445</v>
      </c>
      <c r="B1387" s="33" t="s">
        <v>51</v>
      </c>
      <c r="C1387" s="33">
        <v>4440047905</v>
      </c>
      <c r="E1387" s="33">
        <v>699</v>
      </c>
      <c r="F1387" s="33">
        <v>697</v>
      </c>
      <c r="G1387" s="33" t="s">
        <v>38</v>
      </c>
      <c r="H1387" s="33" t="s">
        <v>5731</v>
      </c>
      <c r="I1387" s="33" t="s">
        <v>46</v>
      </c>
      <c r="J1387" s="33" t="s">
        <v>3629</v>
      </c>
    </row>
    <row r="1388" spans="1:12" hidden="1" x14ac:dyDescent="0.3">
      <c r="A1388" s="39">
        <v>46066.693854166668</v>
      </c>
      <c r="B1388" s="33" t="s">
        <v>3627</v>
      </c>
      <c r="C1388" s="33">
        <v>41999490312</v>
      </c>
      <c r="E1388" s="33">
        <v>11</v>
      </c>
      <c r="F1388" s="33">
        <v>1</v>
      </c>
      <c r="G1388" s="33" t="s">
        <v>38</v>
      </c>
      <c r="H1388" s="33" t="s">
        <v>5732</v>
      </c>
      <c r="I1388" s="33" t="s">
        <v>46</v>
      </c>
      <c r="J1388" s="33" t="s">
        <v>3629</v>
      </c>
    </row>
    <row r="1389" spans="1:12" hidden="1" x14ac:dyDescent="0.3">
      <c r="A1389" s="39">
        <v>46066.692789351851</v>
      </c>
      <c r="B1389" s="33" t="s">
        <v>37</v>
      </c>
      <c r="C1389" s="33">
        <v>4430451715</v>
      </c>
      <c r="E1389" s="33">
        <v>176</v>
      </c>
      <c r="F1389" s="33">
        <v>172</v>
      </c>
      <c r="G1389" s="33" t="s">
        <v>38</v>
      </c>
      <c r="H1389" s="33" t="s">
        <v>5733</v>
      </c>
      <c r="I1389" s="33" t="s">
        <v>46</v>
      </c>
      <c r="J1389" s="33" t="s">
        <v>40</v>
      </c>
    </row>
    <row r="1390" spans="1:12" hidden="1" x14ac:dyDescent="0.3">
      <c r="A1390" s="39">
        <v>46066.692430555559</v>
      </c>
      <c r="B1390" s="33" t="s">
        <v>3627</v>
      </c>
      <c r="C1390" s="33">
        <v>1131336700</v>
      </c>
      <c r="E1390" s="33">
        <v>61</v>
      </c>
      <c r="F1390" s="33">
        <v>59</v>
      </c>
      <c r="G1390" s="33" t="s">
        <v>38</v>
      </c>
      <c r="H1390" s="33" t="s">
        <v>5734</v>
      </c>
      <c r="I1390" s="33" t="s">
        <v>46</v>
      </c>
      <c r="J1390" s="33" t="s">
        <v>3629</v>
      </c>
    </row>
    <row r="1391" spans="1:12" hidden="1" x14ac:dyDescent="0.3">
      <c r="A1391" s="39">
        <v>46066.690243055556</v>
      </c>
      <c r="B1391" s="33">
        <v>91981481202</v>
      </c>
      <c r="C1391" s="33" t="s">
        <v>43</v>
      </c>
      <c r="D1391" s="33">
        <v>4430265054</v>
      </c>
      <c r="E1391" s="33">
        <v>542</v>
      </c>
      <c r="F1391" s="33">
        <v>495</v>
      </c>
      <c r="G1391" s="33" t="s">
        <v>38</v>
      </c>
      <c r="H1391" s="33" t="s">
        <v>4194</v>
      </c>
      <c r="I1391" s="33" t="s">
        <v>39</v>
      </c>
      <c r="J1391" s="33" t="s">
        <v>40</v>
      </c>
      <c r="K1391" s="33" t="s">
        <v>41</v>
      </c>
    </row>
    <row r="1392" spans="1:12" hidden="1" x14ac:dyDescent="0.3">
      <c r="A1392" s="39">
        <v>46066.689953703702</v>
      </c>
      <c r="B1392" s="33" t="s">
        <v>3627</v>
      </c>
      <c r="C1392" s="33">
        <v>31989021317</v>
      </c>
      <c r="E1392" s="33">
        <v>17</v>
      </c>
      <c r="F1392" s="33">
        <v>14</v>
      </c>
      <c r="G1392" s="33" t="s">
        <v>38</v>
      </c>
      <c r="H1392" s="33" t="s">
        <v>5735</v>
      </c>
      <c r="I1392" s="33" t="s">
        <v>46</v>
      </c>
      <c r="J1392" s="33" t="s">
        <v>3629</v>
      </c>
    </row>
    <row r="1393" spans="1:12" hidden="1" x14ac:dyDescent="0.3">
      <c r="A1393" s="39">
        <v>46066.688738425924</v>
      </c>
      <c r="B1393" s="33" t="s">
        <v>3627</v>
      </c>
      <c r="C1393" s="33">
        <v>51986869635</v>
      </c>
      <c r="E1393" s="33">
        <v>26</v>
      </c>
      <c r="F1393" s="33">
        <v>0</v>
      </c>
      <c r="G1393" s="33" t="s">
        <v>47</v>
      </c>
      <c r="H1393" s="33" t="s">
        <v>5736</v>
      </c>
      <c r="I1393" s="33" t="s">
        <v>46</v>
      </c>
      <c r="J1393" s="33" t="s">
        <v>3629</v>
      </c>
    </row>
    <row r="1394" spans="1:12" hidden="1" x14ac:dyDescent="0.3">
      <c r="A1394" s="39">
        <v>46066.687141203707</v>
      </c>
      <c r="B1394" s="33" t="s">
        <v>3627</v>
      </c>
      <c r="C1394" s="33">
        <v>32988714583</v>
      </c>
      <c r="E1394" s="33">
        <v>8</v>
      </c>
      <c r="F1394" s="33">
        <v>1</v>
      </c>
      <c r="G1394" s="33" t="s">
        <v>38</v>
      </c>
      <c r="H1394" s="33" t="s">
        <v>5737</v>
      </c>
      <c r="I1394" s="33" t="s">
        <v>46</v>
      </c>
      <c r="J1394" s="33" t="s">
        <v>3629</v>
      </c>
    </row>
    <row r="1395" spans="1:12" hidden="1" x14ac:dyDescent="0.3">
      <c r="A1395" s="39">
        <v>46066.685671296298</v>
      </c>
      <c r="B1395" s="33" t="s">
        <v>3627</v>
      </c>
      <c r="C1395" s="33">
        <v>51999606130</v>
      </c>
      <c r="E1395" s="33">
        <v>9</v>
      </c>
      <c r="F1395" s="33">
        <v>0</v>
      </c>
      <c r="G1395" s="33" t="s">
        <v>47</v>
      </c>
      <c r="H1395" s="33" t="s">
        <v>5738</v>
      </c>
      <c r="I1395" s="33" t="s">
        <v>46</v>
      </c>
      <c r="J1395" s="33" t="s">
        <v>3629</v>
      </c>
    </row>
    <row r="1396" spans="1:12" hidden="1" x14ac:dyDescent="0.3">
      <c r="A1396" s="39">
        <v>46066.685439814813</v>
      </c>
      <c r="B1396" s="33">
        <v>4435228300</v>
      </c>
      <c r="C1396" s="33" t="s">
        <v>43</v>
      </c>
      <c r="D1396" s="33">
        <v>4430265054</v>
      </c>
      <c r="E1396" s="33">
        <v>334</v>
      </c>
      <c r="F1396" s="33">
        <v>264</v>
      </c>
      <c r="G1396" s="33" t="s">
        <v>38</v>
      </c>
      <c r="H1396" s="33" t="s">
        <v>4195</v>
      </c>
      <c r="I1396" s="33" t="s">
        <v>39</v>
      </c>
      <c r="J1396" s="33" t="s">
        <v>40</v>
      </c>
      <c r="K1396" s="33" t="s">
        <v>41</v>
      </c>
    </row>
    <row r="1397" spans="1:12" hidden="1" x14ac:dyDescent="0.3">
      <c r="A1397" s="39">
        <v>46066.684872685182</v>
      </c>
      <c r="B1397" s="33">
        <v>44988255390</v>
      </c>
      <c r="C1397" s="33" t="s">
        <v>43</v>
      </c>
      <c r="D1397" s="33">
        <v>4430265054</v>
      </c>
      <c r="E1397" s="33">
        <v>95</v>
      </c>
      <c r="F1397" s="33">
        <v>42</v>
      </c>
      <c r="G1397" s="33" t="s">
        <v>38</v>
      </c>
      <c r="H1397" s="33" t="s">
        <v>4196</v>
      </c>
      <c r="I1397" s="33" t="s">
        <v>39</v>
      </c>
      <c r="J1397" s="33" t="s">
        <v>40</v>
      </c>
      <c r="K1397" s="33" t="s">
        <v>41</v>
      </c>
    </row>
    <row r="1398" spans="1:12" hidden="1" x14ac:dyDescent="0.3">
      <c r="A1398" s="39">
        <v>46066.684467592589</v>
      </c>
      <c r="B1398" s="33" t="s">
        <v>3627</v>
      </c>
      <c r="C1398" s="33">
        <v>41985114651</v>
      </c>
      <c r="E1398" s="33">
        <v>2</v>
      </c>
      <c r="F1398" s="33">
        <v>0</v>
      </c>
      <c r="G1398" s="33" t="s">
        <v>47</v>
      </c>
      <c r="H1398" s="33" t="s">
        <v>5739</v>
      </c>
      <c r="I1398" s="33" t="s">
        <v>46</v>
      </c>
      <c r="J1398" s="33" t="s">
        <v>3629</v>
      </c>
    </row>
    <row r="1399" spans="1:12" hidden="1" x14ac:dyDescent="0.3">
      <c r="A1399" s="39">
        <v>46066.683541666665</v>
      </c>
      <c r="B1399" s="33">
        <v>4432256983</v>
      </c>
      <c r="C1399" s="33" t="s">
        <v>48</v>
      </c>
      <c r="D1399" s="33">
        <v>4430265054</v>
      </c>
      <c r="E1399" s="33">
        <v>238</v>
      </c>
      <c r="F1399" s="33">
        <v>238</v>
      </c>
      <c r="G1399" s="33" t="s">
        <v>38</v>
      </c>
      <c r="H1399" s="33" t="s">
        <v>4197</v>
      </c>
      <c r="I1399" s="33" t="s">
        <v>39</v>
      </c>
      <c r="J1399" s="33" t="s">
        <v>40</v>
      </c>
      <c r="K1399" s="33" t="s">
        <v>41</v>
      </c>
      <c r="L1399" s="33">
        <v>5</v>
      </c>
    </row>
    <row r="1400" spans="1:12" hidden="1" x14ac:dyDescent="0.3">
      <c r="A1400" s="39">
        <v>46066.683298611111</v>
      </c>
      <c r="B1400" s="33" t="s">
        <v>3627</v>
      </c>
      <c r="C1400" s="33">
        <v>62984713973</v>
      </c>
      <c r="E1400" s="33">
        <v>3</v>
      </c>
      <c r="F1400" s="33">
        <v>0</v>
      </c>
      <c r="G1400" s="33" t="s">
        <v>47</v>
      </c>
      <c r="H1400" s="33" t="s">
        <v>5740</v>
      </c>
      <c r="I1400" s="33" t="s">
        <v>46</v>
      </c>
      <c r="J1400" s="33" t="s">
        <v>3629</v>
      </c>
    </row>
    <row r="1401" spans="1:12" hidden="1" x14ac:dyDescent="0.3">
      <c r="A1401" s="39">
        <v>46066.683217592596</v>
      </c>
      <c r="B1401" s="33">
        <v>4532541802</v>
      </c>
      <c r="C1401" s="33" t="s">
        <v>45</v>
      </c>
      <c r="D1401" s="33">
        <v>4430265054</v>
      </c>
      <c r="E1401" s="33">
        <v>162</v>
      </c>
      <c r="F1401" s="33">
        <v>81</v>
      </c>
      <c r="G1401" s="33" t="s">
        <v>38</v>
      </c>
      <c r="H1401" s="33" t="s">
        <v>4198</v>
      </c>
      <c r="I1401" s="33" t="s">
        <v>39</v>
      </c>
      <c r="J1401" s="33" t="s">
        <v>40</v>
      </c>
      <c r="K1401" s="33" t="s">
        <v>41</v>
      </c>
    </row>
    <row r="1402" spans="1:12" hidden="1" x14ac:dyDescent="0.3">
      <c r="A1402" s="39">
        <v>46066.682025462964</v>
      </c>
      <c r="B1402" s="33" t="s">
        <v>3627</v>
      </c>
      <c r="C1402" s="33">
        <v>1130948252</v>
      </c>
      <c r="E1402" s="33">
        <v>43</v>
      </c>
      <c r="F1402" s="33">
        <v>26</v>
      </c>
      <c r="G1402" s="33" t="s">
        <v>38</v>
      </c>
      <c r="H1402" s="33" t="s">
        <v>5741</v>
      </c>
      <c r="I1402" s="33" t="s">
        <v>46</v>
      </c>
      <c r="J1402" s="33" t="s">
        <v>3629</v>
      </c>
    </row>
    <row r="1403" spans="1:12" hidden="1" x14ac:dyDescent="0.3">
      <c r="A1403" s="39">
        <v>46066.680937500001</v>
      </c>
      <c r="B1403" s="33" t="s">
        <v>3627</v>
      </c>
      <c r="C1403" s="33">
        <v>41995086927</v>
      </c>
      <c r="E1403" s="33">
        <v>12</v>
      </c>
      <c r="F1403" s="33">
        <v>0</v>
      </c>
      <c r="G1403" s="33" t="s">
        <v>47</v>
      </c>
      <c r="H1403" s="33" t="s">
        <v>5742</v>
      </c>
      <c r="I1403" s="33" t="s">
        <v>46</v>
      </c>
      <c r="J1403" s="33" t="s">
        <v>3629</v>
      </c>
    </row>
    <row r="1404" spans="1:12" hidden="1" x14ac:dyDescent="0.3">
      <c r="A1404" s="39">
        <v>46066.6797337963</v>
      </c>
      <c r="B1404" s="33">
        <v>4434231198</v>
      </c>
      <c r="C1404" s="33" t="s">
        <v>43</v>
      </c>
      <c r="D1404" s="33">
        <v>4430265054</v>
      </c>
      <c r="E1404" s="33">
        <v>357</v>
      </c>
      <c r="F1404" s="33">
        <v>306</v>
      </c>
      <c r="G1404" s="33" t="s">
        <v>38</v>
      </c>
      <c r="H1404" s="33" t="s">
        <v>4199</v>
      </c>
      <c r="I1404" s="33" t="s">
        <v>39</v>
      </c>
      <c r="J1404" s="33" t="s">
        <v>40</v>
      </c>
      <c r="K1404" s="33" t="s">
        <v>41</v>
      </c>
    </row>
    <row r="1405" spans="1:12" hidden="1" x14ac:dyDescent="0.3">
      <c r="A1405" s="39">
        <v>46066.672384259262</v>
      </c>
      <c r="B1405" s="33" t="s">
        <v>45</v>
      </c>
      <c r="C1405" s="33">
        <v>1732146970</v>
      </c>
      <c r="E1405" s="33">
        <v>714</v>
      </c>
      <c r="F1405" s="33">
        <v>713</v>
      </c>
      <c r="G1405" s="33" t="s">
        <v>38</v>
      </c>
      <c r="H1405" s="33" t="s">
        <v>5743</v>
      </c>
      <c r="I1405" s="33" t="s">
        <v>46</v>
      </c>
      <c r="J1405" s="33" t="s">
        <v>40</v>
      </c>
      <c r="L1405" s="33">
        <v>5</v>
      </c>
    </row>
    <row r="1406" spans="1:12" hidden="1" x14ac:dyDescent="0.3">
      <c r="A1406" s="39">
        <v>46066.671597222223</v>
      </c>
      <c r="B1406" s="33" t="s">
        <v>48</v>
      </c>
      <c r="C1406" s="33">
        <v>6434530674</v>
      </c>
      <c r="E1406" s="33">
        <v>457</v>
      </c>
      <c r="F1406" s="33">
        <v>451</v>
      </c>
      <c r="G1406" s="33" t="s">
        <v>38</v>
      </c>
      <c r="H1406" s="33" t="s">
        <v>5744</v>
      </c>
      <c r="I1406" s="33" t="s">
        <v>46</v>
      </c>
      <c r="J1406" s="33" t="s">
        <v>40</v>
      </c>
    </row>
    <row r="1407" spans="1:12" hidden="1" x14ac:dyDescent="0.3">
      <c r="A1407" s="39">
        <v>46066.670856481483</v>
      </c>
      <c r="B1407" s="33">
        <v>1131043888</v>
      </c>
      <c r="C1407" s="33" t="s">
        <v>37</v>
      </c>
      <c r="D1407" s="33">
        <v>4430265054</v>
      </c>
      <c r="E1407" s="33">
        <v>1342</v>
      </c>
      <c r="F1407" s="33">
        <v>1260</v>
      </c>
      <c r="G1407" s="33" t="s">
        <v>38</v>
      </c>
      <c r="H1407" s="33" t="s">
        <v>4200</v>
      </c>
      <c r="I1407" s="33" t="s">
        <v>39</v>
      </c>
      <c r="J1407" s="33" t="s">
        <v>40</v>
      </c>
      <c r="K1407" s="33" t="s">
        <v>41</v>
      </c>
      <c r="L1407" s="33">
        <v>5</v>
      </c>
    </row>
    <row r="1408" spans="1:12" hidden="1" x14ac:dyDescent="0.3">
      <c r="A1408" s="39">
        <v>46066.665532407409</v>
      </c>
      <c r="B1408" s="33" t="s">
        <v>3627</v>
      </c>
      <c r="C1408" s="33">
        <v>8330346364</v>
      </c>
      <c r="E1408" s="33">
        <v>8</v>
      </c>
      <c r="F1408" s="33">
        <v>0</v>
      </c>
      <c r="G1408" s="33" t="s">
        <v>47</v>
      </c>
      <c r="H1408" s="33" t="s">
        <v>5745</v>
      </c>
      <c r="I1408" s="33" t="s">
        <v>46</v>
      </c>
      <c r="J1408" s="33" t="s">
        <v>3629</v>
      </c>
    </row>
    <row r="1409" spans="1:12" hidden="1" x14ac:dyDescent="0.3">
      <c r="A1409" s="39">
        <v>46066.664085648146</v>
      </c>
      <c r="B1409" s="33">
        <v>44991388221</v>
      </c>
      <c r="C1409" s="33" t="s">
        <v>48</v>
      </c>
      <c r="D1409" s="33">
        <v>4430265054</v>
      </c>
      <c r="E1409" s="33">
        <v>451</v>
      </c>
      <c r="F1409" s="33">
        <v>398</v>
      </c>
      <c r="G1409" s="33" t="s">
        <v>38</v>
      </c>
      <c r="H1409" s="33" t="s">
        <v>4201</v>
      </c>
      <c r="I1409" s="33" t="s">
        <v>39</v>
      </c>
      <c r="J1409" s="33" t="s">
        <v>40</v>
      </c>
      <c r="K1409" s="33" t="s">
        <v>41</v>
      </c>
    </row>
    <row r="1410" spans="1:12" hidden="1" x14ac:dyDescent="0.3">
      <c r="A1410" s="39">
        <v>46066.664074074077</v>
      </c>
      <c r="B1410" s="33">
        <v>91981481202</v>
      </c>
      <c r="C1410" s="33" t="s">
        <v>44</v>
      </c>
      <c r="D1410" s="33">
        <v>4430265054</v>
      </c>
      <c r="E1410" s="33">
        <v>505</v>
      </c>
      <c r="F1410" s="33">
        <v>445</v>
      </c>
      <c r="G1410" s="33" t="s">
        <v>38</v>
      </c>
      <c r="H1410" s="33" t="s">
        <v>4202</v>
      </c>
      <c r="I1410" s="33" t="s">
        <v>39</v>
      </c>
      <c r="J1410" s="33" t="s">
        <v>40</v>
      </c>
      <c r="K1410" s="33" t="s">
        <v>41</v>
      </c>
    </row>
    <row r="1411" spans="1:12" hidden="1" x14ac:dyDescent="0.3">
      <c r="A1411" s="39">
        <v>46066.6640162037</v>
      </c>
      <c r="B1411" s="33" t="s">
        <v>43</v>
      </c>
      <c r="C1411" s="33">
        <v>4430282545</v>
      </c>
      <c r="E1411" s="33">
        <v>1169</v>
      </c>
      <c r="F1411" s="33">
        <v>1151</v>
      </c>
      <c r="G1411" s="33" t="s">
        <v>38</v>
      </c>
      <c r="H1411" s="33" t="s">
        <v>5746</v>
      </c>
      <c r="I1411" s="33" t="s">
        <v>46</v>
      </c>
      <c r="J1411" s="33" t="s">
        <v>40</v>
      </c>
    </row>
    <row r="1412" spans="1:12" hidden="1" x14ac:dyDescent="0.3">
      <c r="A1412" s="39">
        <v>46066.663668981484</v>
      </c>
      <c r="B1412" s="33" t="s">
        <v>3627</v>
      </c>
      <c r="C1412" s="33">
        <v>92985843309</v>
      </c>
      <c r="E1412" s="33">
        <v>8</v>
      </c>
      <c r="F1412" s="33">
        <v>0</v>
      </c>
      <c r="G1412" s="33" t="s">
        <v>47</v>
      </c>
      <c r="H1412" s="33" t="s">
        <v>5747</v>
      </c>
      <c r="I1412" s="33" t="s">
        <v>46</v>
      </c>
      <c r="J1412" s="33" t="s">
        <v>3629</v>
      </c>
    </row>
    <row r="1413" spans="1:12" hidden="1" x14ac:dyDescent="0.3">
      <c r="A1413" s="39">
        <v>46066.663113425922</v>
      </c>
      <c r="B1413" s="33" t="s">
        <v>44</v>
      </c>
      <c r="C1413" s="33">
        <v>44991333591</v>
      </c>
      <c r="E1413" s="33">
        <v>7</v>
      </c>
      <c r="F1413" s="33">
        <v>0</v>
      </c>
      <c r="G1413" s="33" t="s">
        <v>47</v>
      </c>
      <c r="H1413" s="33" t="s">
        <v>5748</v>
      </c>
      <c r="I1413" s="33" t="s">
        <v>46</v>
      </c>
      <c r="J1413" s="33" t="s">
        <v>40</v>
      </c>
    </row>
    <row r="1414" spans="1:12" hidden="1" x14ac:dyDescent="0.3">
      <c r="A1414" s="39">
        <v>46066.662951388891</v>
      </c>
      <c r="B1414" s="33" t="s">
        <v>44</v>
      </c>
      <c r="C1414" s="33">
        <v>44991333591</v>
      </c>
      <c r="E1414" s="33">
        <v>11</v>
      </c>
      <c r="F1414" s="33">
        <v>0</v>
      </c>
      <c r="G1414" s="33" t="s">
        <v>47</v>
      </c>
      <c r="H1414" s="33" t="s">
        <v>5749</v>
      </c>
      <c r="I1414" s="33" t="s">
        <v>46</v>
      </c>
      <c r="J1414" s="33" t="s">
        <v>40</v>
      </c>
    </row>
    <row r="1415" spans="1:12" hidden="1" x14ac:dyDescent="0.3">
      <c r="A1415" s="39">
        <v>46066.662662037037</v>
      </c>
      <c r="B1415" s="33" t="s">
        <v>44</v>
      </c>
      <c r="C1415" s="33">
        <v>44991333591</v>
      </c>
      <c r="E1415" s="33">
        <v>19</v>
      </c>
      <c r="F1415" s="33">
        <v>0</v>
      </c>
      <c r="G1415" s="33" t="s">
        <v>47</v>
      </c>
      <c r="H1415" s="33" t="s">
        <v>5750</v>
      </c>
      <c r="I1415" s="33" t="s">
        <v>46</v>
      </c>
      <c r="J1415" s="33" t="s">
        <v>40</v>
      </c>
    </row>
    <row r="1416" spans="1:12" hidden="1" x14ac:dyDescent="0.3">
      <c r="A1416" s="39">
        <v>46066.660960648151</v>
      </c>
      <c r="B1416" s="33" t="s">
        <v>48</v>
      </c>
      <c r="C1416" s="33">
        <v>1131515685</v>
      </c>
      <c r="E1416" s="33">
        <v>61</v>
      </c>
      <c r="F1416" s="33">
        <v>0</v>
      </c>
      <c r="G1416" s="33" t="s">
        <v>47</v>
      </c>
      <c r="H1416" s="33" t="s">
        <v>5751</v>
      </c>
      <c r="I1416" s="33" t="s">
        <v>46</v>
      </c>
      <c r="J1416" s="33" t="s">
        <v>40</v>
      </c>
    </row>
    <row r="1417" spans="1:12" hidden="1" x14ac:dyDescent="0.3">
      <c r="A1417" s="39">
        <v>46066.660787037035</v>
      </c>
      <c r="B1417" s="33" t="s">
        <v>51</v>
      </c>
      <c r="C1417" s="33">
        <v>4432215533</v>
      </c>
      <c r="E1417" s="33">
        <v>266</v>
      </c>
      <c r="F1417" s="33">
        <v>264</v>
      </c>
      <c r="G1417" s="33" t="s">
        <v>38</v>
      </c>
      <c r="H1417" s="33" t="s">
        <v>5752</v>
      </c>
      <c r="I1417" s="33" t="s">
        <v>46</v>
      </c>
      <c r="J1417" s="33" t="s">
        <v>3629</v>
      </c>
    </row>
    <row r="1418" spans="1:12" hidden="1" x14ac:dyDescent="0.3">
      <c r="A1418" s="39">
        <v>46066.660416666666</v>
      </c>
      <c r="B1418" s="33" t="s">
        <v>48</v>
      </c>
      <c r="C1418" s="33">
        <v>11934552189</v>
      </c>
      <c r="E1418" s="33">
        <v>2</v>
      </c>
      <c r="F1418" s="33">
        <v>0</v>
      </c>
      <c r="G1418" s="33" t="s">
        <v>47</v>
      </c>
      <c r="H1418" s="33" t="s">
        <v>5753</v>
      </c>
      <c r="I1418" s="33" t="s">
        <v>46</v>
      </c>
      <c r="J1418" s="33" t="s">
        <v>40</v>
      </c>
    </row>
    <row r="1419" spans="1:12" hidden="1" x14ac:dyDescent="0.3">
      <c r="A1419" s="39">
        <v>46066.658020833333</v>
      </c>
      <c r="B1419" s="33" t="s">
        <v>45</v>
      </c>
      <c r="C1419" s="33">
        <v>19992211619</v>
      </c>
      <c r="E1419" s="33">
        <v>62</v>
      </c>
      <c r="F1419" s="33">
        <v>38</v>
      </c>
      <c r="G1419" s="33" t="s">
        <v>38</v>
      </c>
      <c r="H1419" s="33" t="s">
        <v>5754</v>
      </c>
      <c r="I1419" s="33" t="s">
        <v>46</v>
      </c>
      <c r="J1419" s="33" t="s">
        <v>40</v>
      </c>
    </row>
    <row r="1420" spans="1:12" hidden="1" x14ac:dyDescent="0.3">
      <c r="A1420" s="39">
        <v>46066.656226851854</v>
      </c>
      <c r="B1420" s="33">
        <v>4432524652</v>
      </c>
      <c r="C1420" s="33" t="s">
        <v>42</v>
      </c>
      <c r="D1420" s="33">
        <v>4430265054</v>
      </c>
      <c r="E1420" s="33">
        <v>1796</v>
      </c>
      <c r="F1420" s="33">
        <v>1760</v>
      </c>
      <c r="G1420" s="33" t="s">
        <v>38</v>
      </c>
      <c r="H1420" s="33" t="s">
        <v>4203</v>
      </c>
      <c r="I1420" s="33" t="s">
        <v>39</v>
      </c>
      <c r="J1420" s="33" t="s">
        <v>40</v>
      </c>
      <c r="K1420" s="33" t="s">
        <v>41</v>
      </c>
    </row>
    <row r="1421" spans="1:12" hidden="1" x14ac:dyDescent="0.3">
      <c r="A1421" s="39">
        <v>46066.655532407407</v>
      </c>
      <c r="B1421" s="33" t="s">
        <v>3627</v>
      </c>
      <c r="C1421" s="33">
        <v>85986806368</v>
      </c>
      <c r="E1421" s="33">
        <v>7</v>
      </c>
      <c r="F1421" s="33">
        <v>0</v>
      </c>
      <c r="G1421" s="33" t="s">
        <v>47</v>
      </c>
      <c r="H1421" s="33" t="s">
        <v>5755</v>
      </c>
      <c r="I1421" s="33" t="s">
        <v>46</v>
      </c>
      <c r="J1421" s="33" t="s">
        <v>3629</v>
      </c>
    </row>
    <row r="1422" spans="1:12" hidden="1" x14ac:dyDescent="0.3">
      <c r="A1422" s="39">
        <v>46066.654317129629</v>
      </c>
      <c r="B1422" s="33">
        <v>4130760170</v>
      </c>
      <c r="C1422" s="33" t="s">
        <v>37</v>
      </c>
      <c r="D1422" s="33">
        <v>4430265054</v>
      </c>
      <c r="E1422" s="33">
        <v>444</v>
      </c>
      <c r="F1422" s="33">
        <v>419</v>
      </c>
      <c r="G1422" s="33" t="s">
        <v>38</v>
      </c>
      <c r="H1422" s="33" t="s">
        <v>4204</v>
      </c>
      <c r="I1422" s="33" t="s">
        <v>39</v>
      </c>
      <c r="J1422" s="33" t="s">
        <v>40</v>
      </c>
      <c r="K1422" s="33" t="s">
        <v>41</v>
      </c>
      <c r="L1422" s="33">
        <v>5</v>
      </c>
    </row>
    <row r="1423" spans="1:12" hidden="1" x14ac:dyDescent="0.3">
      <c r="A1423" s="39">
        <v>46066.654131944444</v>
      </c>
      <c r="B1423" s="33" t="s">
        <v>3627</v>
      </c>
      <c r="C1423" s="33">
        <v>11948614444</v>
      </c>
      <c r="E1423" s="33">
        <v>27</v>
      </c>
      <c r="F1423" s="33">
        <v>0</v>
      </c>
      <c r="G1423" s="33" t="s">
        <v>47</v>
      </c>
      <c r="H1423" s="33" t="s">
        <v>5756</v>
      </c>
      <c r="I1423" s="33" t="s">
        <v>46</v>
      </c>
      <c r="J1423" s="33" t="s">
        <v>3629</v>
      </c>
    </row>
    <row r="1424" spans="1:12" hidden="1" x14ac:dyDescent="0.3">
      <c r="A1424" s="39">
        <v>46066.65252314815</v>
      </c>
      <c r="B1424" s="33" t="s">
        <v>3627</v>
      </c>
      <c r="C1424" s="33">
        <v>85988015686</v>
      </c>
      <c r="E1424" s="33">
        <v>12</v>
      </c>
      <c r="F1424" s="33">
        <v>8</v>
      </c>
      <c r="G1424" s="33" t="s">
        <v>38</v>
      </c>
      <c r="H1424" s="33" t="s">
        <v>5757</v>
      </c>
      <c r="I1424" s="33" t="s">
        <v>46</v>
      </c>
      <c r="J1424" s="33" t="s">
        <v>3629</v>
      </c>
    </row>
    <row r="1425" spans="1:12" hidden="1" x14ac:dyDescent="0.3">
      <c r="A1425" s="39">
        <v>46066.650381944448</v>
      </c>
      <c r="B1425" s="33" t="s">
        <v>3627</v>
      </c>
      <c r="C1425" s="33">
        <v>83981501330</v>
      </c>
      <c r="E1425" s="33">
        <v>13</v>
      </c>
      <c r="F1425" s="33">
        <v>0</v>
      </c>
      <c r="G1425" s="33" t="s">
        <v>47</v>
      </c>
      <c r="H1425" s="33" t="s">
        <v>5758</v>
      </c>
      <c r="I1425" s="33" t="s">
        <v>46</v>
      </c>
      <c r="J1425" s="33" t="s">
        <v>3629</v>
      </c>
    </row>
    <row r="1426" spans="1:12" hidden="1" x14ac:dyDescent="0.3">
      <c r="A1426" s="39">
        <v>46066.647812499999</v>
      </c>
      <c r="B1426" s="33">
        <v>91985176746</v>
      </c>
      <c r="C1426" s="33" t="s">
        <v>42</v>
      </c>
      <c r="D1426" s="33">
        <v>4430265054</v>
      </c>
      <c r="E1426" s="33">
        <v>355</v>
      </c>
      <c r="F1426" s="33">
        <v>334</v>
      </c>
      <c r="G1426" s="33" t="s">
        <v>38</v>
      </c>
      <c r="H1426" s="33" t="s">
        <v>4205</v>
      </c>
      <c r="I1426" s="33" t="s">
        <v>39</v>
      </c>
      <c r="J1426" s="33" t="s">
        <v>40</v>
      </c>
      <c r="K1426" s="33" t="s">
        <v>41</v>
      </c>
    </row>
    <row r="1427" spans="1:12" hidden="1" x14ac:dyDescent="0.3">
      <c r="A1427" s="39">
        <v>46066.645682870374</v>
      </c>
      <c r="B1427" s="33">
        <v>91981481202</v>
      </c>
      <c r="C1427" s="33" t="s">
        <v>42</v>
      </c>
      <c r="D1427" s="33">
        <v>4430265054</v>
      </c>
      <c r="E1427" s="33">
        <v>159</v>
      </c>
      <c r="F1427" s="33">
        <v>149</v>
      </c>
      <c r="G1427" s="33" t="s">
        <v>38</v>
      </c>
      <c r="H1427" s="33" t="s">
        <v>4206</v>
      </c>
      <c r="I1427" s="33" t="s">
        <v>39</v>
      </c>
      <c r="J1427" s="33" t="s">
        <v>40</v>
      </c>
      <c r="K1427" s="33" t="s">
        <v>41</v>
      </c>
    </row>
    <row r="1428" spans="1:12" hidden="1" x14ac:dyDescent="0.3">
      <c r="A1428" s="39">
        <v>46066.642048611109</v>
      </c>
      <c r="B1428" s="33">
        <v>4432272377</v>
      </c>
      <c r="C1428" s="33" t="s">
        <v>42</v>
      </c>
      <c r="D1428" s="33">
        <v>4430265054</v>
      </c>
      <c r="E1428" s="33">
        <v>249</v>
      </c>
      <c r="F1428" s="33">
        <v>84</v>
      </c>
      <c r="G1428" s="33" t="s">
        <v>38</v>
      </c>
      <c r="H1428" s="33" t="s">
        <v>4207</v>
      </c>
      <c r="I1428" s="33" t="s">
        <v>39</v>
      </c>
      <c r="J1428" s="33" t="s">
        <v>40</v>
      </c>
      <c r="K1428" s="33" t="s">
        <v>41</v>
      </c>
    </row>
    <row r="1429" spans="1:12" hidden="1" x14ac:dyDescent="0.3">
      <c r="A1429" s="39">
        <v>46066.641736111109</v>
      </c>
      <c r="B1429" s="33" t="s">
        <v>3627</v>
      </c>
      <c r="C1429" s="33">
        <v>61999296404</v>
      </c>
      <c r="E1429" s="33">
        <v>20</v>
      </c>
      <c r="F1429" s="33">
        <v>0</v>
      </c>
      <c r="G1429" s="33" t="s">
        <v>47</v>
      </c>
      <c r="H1429" s="33" t="s">
        <v>5759</v>
      </c>
      <c r="I1429" s="33" t="s">
        <v>46</v>
      </c>
      <c r="J1429" s="33" t="s">
        <v>3629</v>
      </c>
    </row>
    <row r="1430" spans="1:12" hidden="1" x14ac:dyDescent="0.3">
      <c r="A1430" s="39">
        <v>46066.641400462962</v>
      </c>
      <c r="B1430" s="33">
        <v>4330333542</v>
      </c>
      <c r="C1430" s="33" t="s">
        <v>43</v>
      </c>
      <c r="D1430" s="33">
        <v>4430265054</v>
      </c>
      <c r="E1430" s="33">
        <v>444</v>
      </c>
      <c r="F1430" s="33">
        <v>371</v>
      </c>
      <c r="G1430" s="33" t="s">
        <v>38</v>
      </c>
      <c r="H1430" s="33" t="s">
        <v>4208</v>
      </c>
      <c r="I1430" s="33" t="s">
        <v>39</v>
      </c>
      <c r="J1430" s="33" t="s">
        <v>40</v>
      </c>
      <c r="K1430" s="33" t="s">
        <v>41</v>
      </c>
    </row>
    <row r="1431" spans="1:12" hidden="1" x14ac:dyDescent="0.3">
      <c r="A1431" s="39">
        <v>46066.640451388892</v>
      </c>
      <c r="B1431" s="33">
        <v>1732146970</v>
      </c>
      <c r="C1431" s="33" t="s">
        <v>44</v>
      </c>
      <c r="D1431" s="33">
        <v>4431268225</v>
      </c>
      <c r="E1431" s="33">
        <v>1743</v>
      </c>
      <c r="F1431" s="33">
        <v>1670</v>
      </c>
      <c r="G1431" s="33" t="s">
        <v>38</v>
      </c>
      <c r="H1431" s="33" t="s">
        <v>4209</v>
      </c>
      <c r="I1431" s="33" t="s">
        <v>39</v>
      </c>
      <c r="J1431" s="33" t="s">
        <v>40</v>
      </c>
      <c r="K1431" s="33" t="s">
        <v>41</v>
      </c>
    </row>
    <row r="1432" spans="1:12" hidden="1" x14ac:dyDescent="0.3">
      <c r="A1432" s="39">
        <v>46066.640405092592</v>
      </c>
      <c r="B1432" s="33" t="s">
        <v>3627</v>
      </c>
      <c r="C1432" s="33">
        <v>88994384860</v>
      </c>
      <c r="E1432" s="33">
        <v>12</v>
      </c>
      <c r="F1432" s="33">
        <v>1</v>
      </c>
      <c r="G1432" s="33" t="s">
        <v>38</v>
      </c>
      <c r="H1432" s="33" t="s">
        <v>5760</v>
      </c>
      <c r="I1432" s="33" t="s">
        <v>46</v>
      </c>
      <c r="J1432" s="33" t="s">
        <v>3629</v>
      </c>
    </row>
    <row r="1433" spans="1:12" hidden="1" x14ac:dyDescent="0.3">
      <c r="A1433" s="39">
        <v>46066.638935185183</v>
      </c>
      <c r="B1433" s="33" t="s">
        <v>3627</v>
      </c>
      <c r="C1433" s="33">
        <v>85998515019</v>
      </c>
      <c r="E1433" s="33">
        <v>11</v>
      </c>
      <c r="F1433" s="33">
        <v>4</v>
      </c>
      <c r="G1433" s="33" t="s">
        <v>38</v>
      </c>
      <c r="H1433" s="33" t="s">
        <v>5761</v>
      </c>
      <c r="I1433" s="33" t="s">
        <v>46</v>
      </c>
      <c r="J1433" s="33" t="s">
        <v>3629</v>
      </c>
    </row>
    <row r="1434" spans="1:12" hidden="1" x14ac:dyDescent="0.3">
      <c r="A1434" s="39">
        <v>46066.638738425929</v>
      </c>
      <c r="B1434" s="33">
        <v>4432481225</v>
      </c>
      <c r="C1434" s="33" t="s">
        <v>43</v>
      </c>
      <c r="D1434" s="33">
        <v>4430265054</v>
      </c>
      <c r="E1434" s="33">
        <v>256</v>
      </c>
      <c r="F1434" s="33">
        <v>213</v>
      </c>
      <c r="G1434" s="33" t="s">
        <v>38</v>
      </c>
      <c r="H1434" s="33" t="s">
        <v>4210</v>
      </c>
      <c r="I1434" s="33" t="s">
        <v>39</v>
      </c>
      <c r="J1434" s="33" t="s">
        <v>40</v>
      </c>
      <c r="K1434" s="33" t="s">
        <v>41</v>
      </c>
    </row>
    <row r="1435" spans="1:12" hidden="1" x14ac:dyDescent="0.3">
      <c r="A1435" s="39">
        <v>46066.637986111113</v>
      </c>
      <c r="B1435" s="33">
        <v>83988398480</v>
      </c>
      <c r="C1435" s="33" t="s">
        <v>48</v>
      </c>
      <c r="D1435" s="33">
        <v>4430265054</v>
      </c>
      <c r="E1435" s="33">
        <v>817</v>
      </c>
      <c r="F1435" s="33">
        <v>786</v>
      </c>
      <c r="G1435" s="33" t="s">
        <v>38</v>
      </c>
      <c r="H1435" s="33" t="s">
        <v>4211</v>
      </c>
      <c r="I1435" s="33" t="s">
        <v>39</v>
      </c>
      <c r="J1435" s="33" t="s">
        <v>40</v>
      </c>
      <c r="K1435" s="33" t="s">
        <v>41</v>
      </c>
    </row>
    <row r="1436" spans="1:12" hidden="1" x14ac:dyDescent="0.3">
      <c r="A1436" s="39">
        <v>46066.637638888889</v>
      </c>
      <c r="B1436" s="33">
        <v>4431414588</v>
      </c>
      <c r="C1436" s="33" t="s">
        <v>37</v>
      </c>
      <c r="D1436" s="33">
        <v>4430265054</v>
      </c>
      <c r="E1436" s="33">
        <v>826</v>
      </c>
      <c r="F1436" s="33">
        <v>769</v>
      </c>
      <c r="G1436" s="33" t="s">
        <v>38</v>
      </c>
      <c r="H1436" s="33" t="s">
        <v>4212</v>
      </c>
      <c r="I1436" s="33" t="s">
        <v>39</v>
      </c>
      <c r="J1436" s="33" t="s">
        <v>40</v>
      </c>
      <c r="K1436" s="33" t="s">
        <v>41</v>
      </c>
    </row>
    <row r="1437" spans="1:12" hidden="1" x14ac:dyDescent="0.3">
      <c r="A1437" s="39">
        <v>46066.637418981481</v>
      </c>
      <c r="B1437" s="33" t="s">
        <v>43</v>
      </c>
      <c r="C1437" s="33">
        <v>4432268889</v>
      </c>
      <c r="E1437" s="33">
        <v>171</v>
      </c>
      <c r="F1437" s="33">
        <v>157</v>
      </c>
      <c r="G1437" s="33" t="s">
        <v>38</v>
      </c>
      <c r="H1437" s="33" t="s">
        <v>5762</v>
      </c>
      <c r="I1437" s="33" t="s">
        <v>46</v>
      </c>
      <c r="J1437" s="33" t="s">
        <v>40</v>
      </c>
      <c r="L1437" s="33">
        <v>5</v>
      </c>
    </row>
    <row r="1438" spans="1:12" hidden="1" x14ac:dyDescent="0.3">
      <c r="A1438" s="39">
        <v>46066.637280092589</v>
      </c>
      <c r="B1438" s="33" t="s">
        <v>3627</v>
      </c>
      <c r="C1438" s="33">
        <v>7332884714</v>
      </c>
      <c r="E1438" s="33">
        <v>41</v>
      </c>
      <c r="F1438" s="33">
        <v>0</v>
      </c>
      <c r="G1438" s="33" t="s">
        <v>47</v>
      </c>
      <c r="H1438" s="33" t="s">
        <v>5763</v>
      </c>
      <c r="I1438" s="33" t="s">
        <v>46</v>
      </c>
      <c r="J1438" s="33" t="s">
        <v>3629</v>
      </c>
    </row>
    <row r="1439" spans="1:12" hidden="1" x14ac:dyDescent="0.3">
      <c r="A1439" s="39">
        <v>46066.635729166665</v>
      </c>
      <c r="B1439" s="33" t="s">
        <v>3627</v>
      </c>
      <c r="C1439" s="33">
        <v>5130242003</v>
      </c>
      <c r="E1439" s="33">
        <v>17</v>
      </c>
      <c r="F1439" s="33">
        <v>13</v>
      </c>
      <c r="G1439" s="33" t="s">
        <v>38</v>
      </c>
      <c r="H1439" s="33" t="s">
        <v>5764</v>
      </c>
      <c r="I1439" s="33" t="s">
        <v>46</v>
      </c>
      <c r="J1439" s="33" t="s">
        <v>3629</v>
      </c>
    </row>
    <row r="1440" spans="1:12" hidden="1" x14ac:dyDescent="0.3">
      <c r="A1440" s="39">
        <v>46066.63386574074</v>
      </c>
      <c r="B1440" s="33" t="s">
        <v>3627</v>
      </c>
      <c r="C1440" s="33">
        <v>35988861103</v>
      </c>
      <c r="E1440" s="33">
        <v>12</v>
      </c>
      <c r="F1440" s="33">
        <v>0</v>
      </c>
      <c r="G1440" s="33" t="s">
        <v>47</v>
      </c>
      <c r="H1440" s="33" t="s">
        <v>5765</v>
      </c>
      <c r="I1440" s="33" t="s">
        <v>46</v>
      </c>
      <c r="J1440" s="33" t="s">
        <v>3629</v>
      </c>
    </row>
    <row r="1441" spans="1:12" hidden="1" x14ac:dyDescent="0.3">
      <c r="A1441" s="39">
        <v>46066.633240740739</v>
      </c>
      <c r="B1441" s="33">
        <v>83988398480</v>
      </c>
      <c r="C1441" s="33">
        <v>4430265054</v>
      </c>
      <c r="D1441" s="33">
        <v>4430265054</v>
      </c>
      <c r="E1441" s="33">
        <v>19</v>
      </c>
      <c r="F1441" s="33">
        <v>19</v>
      </c>
      <c r="G1441" s="33" t="s">
        <v>3449</v>
      </c>
      <c r="H1441" s="33" t="s">
        <v>4213</v>
      </c>
      <c r="I1441" s="33" t="s">
        <v>39</v>
      </c>
      <c r="J1441" s="33" t="s">
        <v>3451</v>
      </c>
      <c r="K1441" s="33" t="s">
        <v>41</v>
      </c>
    </row>
    <row r="1442" spans="1:12" hidden="1" x14ac:dyDescent="0.3">
      <c r="A1442" s="39">
        <v>46066.631041666667</v>
      </c>
      <c r="B1442" s="33" t="s">
        <v>48</v>
      </c>
      <c r="C1442" s="33">
        <v>6434530674</v>
      </c>
      <c r="E1442" s="33">
        <v>73</v>
      </c>
      <c r="F1442" s="33">
        <v>67</v>
      </c>
      <c r="G1442" s="33" t="s">
        <v>38</v>
      </c>
      <c r="H1442" s="33" t="s">
        <v>5766</v>
      </c>
      <c r="I1442" s="33" t="s">
        <v>46</v>
      </c>
      <c r="J1442" s="33" t="s">
        <v>40</v>
      </c>
    </row>
    <row r="1443" spans="1:12" hidden="1" x14ac:dyDescent="0.3">
      <c r="A1443" s="39">
        <v>46066.630509259259</v>
      </c>
      <c r="B1443" s="33">
        <v>41999195082</v>
      </c>
      <c r="C1443" s="33" t="s">
        <v>37</v>
      </c>
      <c r="D1443" s="33">
        <v>4430265054</v>
      </c>
      <c r="E1443" s="33">
        <v>278</v>
      </c>
      <c r="F1443" s="33">
        <v>261</v>
      </c>
      <c r="G1443" s="33" t="s">
        <v>38</v>
      </c>
      <c r="H1443" s="33" t="s">
        <v>4214</v>
      </c>
      <c r="I1443" s="33" t="s">
        <v>39</v>
      </c>
      <c r="J1443" s="33" t="s">
        <v>40</v>
      </c>
      <c r="K1443" s="33" t="s">
        <v>41</v>
      </c>
      <c r="L1443" s="33">
        <v>5</v>
      </c>
    </row>
    <row r="1444" spans="1:12" hidden="1" x14ac:dyDescent="0.3">
      <c r="A1444" s="39">
        <v>46066.626979166664</v>
      </c>
      <c r="B1444" s="33">
        <v>4330261969</v>
      </c>
      <c r="C1444" s="33" t="s">
        <v>48</v>
      </c>
      <c r="D1444" s="33">
        <v>4430265054</v>
      </c>
      <c r="E1444" s="33">
        <v>221</v>
      </c>
      <c r="F1444" s="33">
        <v>221</v>
      </c>
      <c r="G1444" s="33" t="s">
        <v>38</v>
      </c>
      <c r="H1444" s="33" t="s">
        <v>4215</v>
      </c>
      <c r="I1444" s="33" t="s">
        <v>39</v>
      </c>
      <c r="J1444" s="33" t="s">
        <v>40</v>
      </c>
      <c r="K1444" s="33" t="s">
        <v>41</v>
      </c>
    </row>
    <row r="1445" spans="1:12" hidden="1" x14ac:dyDescent="0.3">
      <c r="A1445" s="39">
        <v>46066.6247337963</v>
      </c>
      <c r="B1445" s="33">
        <v>19992211619</v>
      </c>
      <c r="C1445" s="33" t="s">
        <v>45</v>
      </c>
      <c r="D1445" s="33">
        <v>4430265054</v>
      </c>
      <c r="E1445" s="33">
        <v>1844</v>
      </c>
      <c r="F1445" s="33">
        <v>1658</v>
      </c>
      <c r="G1445" s="33" t="s">
        <v>38</v>
      </c>
      <c r="H1445" s="33" t="s">
        <v>4216</v>
      </c>
      <c r="I1445" s="33" t="s">
        <v>39</v>
      </c>
      <c r="J1445" s="33" t="s">
        <v>40</v>
      </c>
      <c r="K1445" s="33" t="s">
        <v>41</v>
      </c>
    </row>
    <row r="1446" spans="1:12" hidden="1" x14ac:dyDescent="0.3">
      <c r="A1446" s="39">
        <v>46066.624479166669</v>
      </c>
      <c r="B1446" s="33">
        <v>44997400641</v>
      </c>
      <c r="C1446" s="33" t="s">
        <v>43</v>
      </c>
      <c r="D1446" s="33">
        <v>4430265054</v>
      </c>
      <c r="E1446" s="33">
        <v>527</v>
      </c>
      <c r="F1446" s="33">
        <v>410</v>
      </c>
      <c r="G1446" s="33" t="s">
        <v>38</v>
      </c>
      <c r="H1446" s="33" t="s">
        <v>4217</v>
      </c>
      <c r="I1446" s="33" t="s">
        <v>39</v>
      </c>
      <c r="J1446" s="33" t="s">
        <v>40</v>
      </c>
      <c r="K1446" s="33" t="s">
        <v>41</v>
      </c>
      <c r="L1446" s="33">
        <v>5</v>
      </c>
    </row>
    <row r="1447" spans="1:12" hidden="1" x14ac:dyDescent="0.3">
      <c r="A1447" s="39">
        <v>46066.624016203707</v>
      </c>
      <c r="B1447" s="33" t="s">
        <v>42</v>
      </c>
      <c r="C1447" s="33">
        <v>6234347959</v>
      </c>
      <c r="E1447" s="33">
        <v>1663</v>
      </c>
      <c r="F1447" s="33">
        <v>1655</v>
      </c>
      <c r="G1447" s="33" t="s">
        <v>38</v>
      </c>
      <c r="H1447" s="33" t="s">
        <v>5767</v>
      </c>
      <c r="I1447" s="33" t="s">
        <v>46</v>
      </c>
      <c r="J1447" s="33" t="s">
        <v>40</v>
      </c>
    </row>
    <row r="1448" spans="1:12" hidden="1" x14ac:dyDescent="0.3">
      <c r="A1448" s="39">
        <v>46066.623344907406</v>
      </c>
      <c r="B1448" s="33">
        <v>43984996095</v>
      </c>
      <c r="C1448" s="33" t="s">
        <v>44</v>
      </c>
      <c r="D1448" s="33">
        <v>4430265054</v>
      </c>
      <c r="E1448" s="33">
        <v>700</v>
      </c>
      <c r="F1448" s="33">
        <v>568</v>
      </c>
      <c r="G1448" s="33" t="s">
        <v>38</v>
      </c>
      <c r="H1448" s="33" t="s">
        <v>4218</v>
      </c>
      <c r="I1448" s="33" t="s">
        <v>39</v>
      </c>
      <c r="J1448" s="33" t="s">
        <v>40</v>
      </c>
      <c r="K1448" s="33" t="s">
        <v>41</v>
      </c>
    </row>
    <row r="1449" spans="1:12" hidden="1" x14ac:dyDescent="0.3">
      <c r="A1449" s="39">
        <v>46066.62290509259</v>
      </c>
      <c r="B1449" s="33">
        <v>43999829064</v>
      </c>
      <c r="C1449" s="33">
        <v>4430265054</v>
      </c>
      <c r="D1449" s="33">
        <v>4430265054</v>
      </c>
      <c r="E1449" s="33">
        <v>27</v>
      </c>
      <c r="F1449" s="33">
        <v>12</v>
      </c>
      <c r="G1449" s="33" t="s">
        <v>3449</v>
      </c>
      <c r="H1449" s="33" t="s">
        <v>5768</v>
      </c>
      <c r="I1449" s="33" t="s">
        <v>39</v>
      </c>
      <c r="J1449" s="33" t="s">
        <v>3451</v>
      </c>
    </row>
    <row r="1450" spans="1:12" hidden="1" x14ac:dyDescent="0.3">
      <c r="A1450" s="39">
        <v>46066.621145833335</v>
      </c>
      <c r="B1450" s="33">
        <v>44999689445</v>
      </c>
      <c r="C1450" s="33" t="s">
        <v>43</v>
      </c>
      <c r="D1450" s="33">
        <v>4430265054</v>
      </c>
      <c r="E1450" s="33">
        <v>228</v>
      </c>
      <c r="F1450" s="33">
        <v>176</v>
      </c>
      <c r="G1450" s="33" t="s">
        <v>38</v>
      </c>
      <c r="H1450" s="33" t="s">
        <v>4219</v>
      </c>
      <c r="I1450" s="33" t="s">
        <v>39</v>
      </c>
      <c r="J1450" s="33" t="s">
        <v>40</v>
      </c>
      <c r="K1450" s="33" t="s">
        <v>41</v>
      </c>
    </row>
    <row r="1451" spans="1:12" hidden="1" x14ac:dyDescent="0.3">
      <c r="A1451" s="39">
        <v>46066.619201388887</v>
      </c>
      <c r="B1451" s="33">
        <v>43999555292</v>
      </c>
      <c r="C1451" s="33" t="s">
        <v>45</v>
      </c>
      <c r="D1451" s="33">
        <v>4430265054</v>
      </c>
      <c r="E1451" s="33">
        <v>650</v>
      </c>
      <c r="F1451" s="33">
        <v>613</v>
      </c>
      <c r="G1451" s="33" t="s">
        <v>38</v>
      </c>
      <c r="H1451" s="33" t="s">
        <v>4220</v>
      </c>
      <c r="I1451" s="33" t="s">
        <v>39</v>
      </c>
      <c r="J1451" s="33" t="s">
        <v>40</v>
      </c>
      <c r="K1451" s="33" t="s">
        <v>41</v>
      </c>
    </row>
    <row r="1452" spans="1:12" hidden="1" x14ac:dyDescent="0.3">
      <c r="A1452" s="39">
        <v>46066.619189814817</v>
      </c>
      <c r="B1452" s="33">
        <v>4433543396</v>
      </c>
      <c r="C1452" s="33">
        <v>4430265054</v>
      </c>
      <c r="D1452" s="33">
        <v>4430265054</v>
      </c>
      <c r="E1452" s="33">
        <v>33</v>
      </c>
      <c r="F1452" s="33">
        <v>33</v>
      </c>
      <c r="G1452" s="33" t="s">
        <v>3449</v>
      </c>
      <c r="H1452" s="33" t="s">
        <v>4221</v>
      </c>
      <c r="I1452" s="33" t="s">
        <v>39</v>
      </c>
      <c r="J1452" s="33" t="s">
        <v>3451</v>
      </c>
      <c r="K1452" s="33" t="s">
        <v>41</v>
      </c>
    </row>
    <row r="1453" spans="1:12" hidden="1" x14ac:dyDescent="0.3">
      <c r="A1453" s="39">
        <v>46066.619131944448</v>
      </c>
      <c r="B1453" s="33" t="s">
        <v>48</v>
      </c>
      <c r="C1453" s="33">
        <v>44991388221</v>
      </c>
      <c r="E1453" s="33">
        <v>645</v>
      </c>
      <c r="F1453" s="33">
        <v>640</v>
      </c>
      <c r="G1453" s="33" t="s">
        <v>38</v>
      </c>
      <c r="H1453" s="33" t="s">
        <v>5769</v>
      </c>
      <c r="I1453" s="33" t="s">
        <v>46</v>
      </c>
      <c r="J1453" s="33" t="s">
        <v>40</v>
      </c>
      <c r="L1453" s="33">
        <v>5</v>
      </c>
    </row>
    <row r="1454" spans="1:12" hidden="1" x14ac:dyDescent="0.3">
      <c r="A1454" s="39">
        <v>46066.619050925925</v>
      </c>
      <c r="B1454" s="33" t="s">
        <v>48</v>
      </c>
      <c r="C1454" s="33">
        <v>44991388221</v>
      </c>
      <c r="E1454" s="33">
        <v>4</v>
      </c>
      <c r="F1454" s="33">
        <v>0</v>
      </c>
      <c r="G1454" s="33" t="s">
        <v>47</v>
      </c>
      <c r="H1454" s="33" t="s">
        <v>5770</v>
      </c>
      <c r="I1454" s="33" t="s">
        <v>46</v>
      </c>
      <c r="J1454" s="33" t="s">
        <v>40</v>
      </c>
    </row>
    <row r="1455" spans="1:12" hidden="1" x14ac:dyDescent="0.3">
      <c r="A1455" s="39">
        <v>46066.619050925925</v>
      </c>
      <c r="B1455" s="33" t="s">
        <v>43</v>
      </c>
      <c r="C1455" s="33">
        <v>4436351818</v>
      </c>
      <c r="E1455" s="33">
        <v>167</v>
      </c>
      <c r="F1455" s="33">
        <v>153</v>
      </c>
      <c r="G1455" s="33" t="s">
        <v>38</v>
      </c>
      <c r="H1455" s="33" t="s">
        <v>5771</v>
      </c>
      <c r="I1455" s="33" t="s">
        <v>46</v>
      </c>
      <c r="J1455" s="33" t="s">
        <v>40</v>
      </c>
    </row>
    <row r="1456" spans="1:12" hidden="1" x14ac:dyDescent="0.3">
      <c r="A1456" s="39">
        <v>46066.618993055556</v>
      </c>
      <c r="B1456" s="33" t="s">
        <v>48</v>
      </c>
      <c r="C1456" s="33">
        <v>44991388221</v>
      </c>
      <c r="E1456" s="33">
        <v>1</v>
      </c>
      <c r="F1456" s="33">
        <v>0</v>
      </c>
      <c r="G1456" s="33" t="s">
        <v>47</v>
      </c>
      <c r="H1456" s="33" t="s">
        <v>5772</v>
      </c>
      <c r="I1456" s="33" t="s">
        <v>46</v>
      </c>
      <c r="J1456" s="33" t="s">
        <v>40</v>
      </c>
    </row>
    <row r="1457" spans="1:11" hidden="1" x14ac:dyDescent="0.3">
      <c r="A1457" s="39">
        <v>46066.618298611109</v>
      </c>
      <c r="B1457" s="33" t="s">
        <v>3627</v>
      </c>
      <c r="C1457" s="33">
        <v>63993969763</v>
      </c>
      <c r="E1457" s="33">
        <v>23</v>
      </c>
      <c r="F1457" s="33">
        <v>0</v>
      </c>
      <c r="G1457" s="33" t="s">
        <v>47</v>
      </c>
      <c r="H1457" s="33" t="s">
        <v>5773</v>
      </c>
      <c r="I1457" s="33" t="s">
        <v>46</v>
      </c>
      <c r="J1457" s="33" t="s">
        <v>3629</v>
      </c>
    </row>
    <row r="1458" spans="1:11" hidden="1" x14ac:dyDescent="0.3">
      <c r="A1458" s="39">
        <v>46066.61791666667</v>
      </c>
      <c r="B1458" s="33" t="s">
        <v>48</v>
      </c>
      <c r="C1458" s="33">
        <v>44999184476</v>
      </c>
      <c r="E1458" s="33">
        <v>2</v>
      </c>
      <c r="F1458" s="33">
        <v>0</v>
      </c>
      <c r="G1458" s="33" t="s">
        <v>47</v>
      </c>
      <c r="H1458" s="33" t="s">
        <v>5774</v>
      </c>
      <c r="I1458" s="33" t="s">
        <v>46</v>
      </c>
      <c r="J1458" s="33" t="s">
        <v>40</v>
      </c>
    </row>
    <row r="1459" spans="1:11" hidden="1" x14ac:dyDescent="0.3">
      <c r="A1459" s="39">
        <v>46066.617881944447</v>
      </c>
      <c r="B1459" s="33" t="s">
        <v>43</v>
      </c>
      <c r="C1459" s="33">
        <v>4436351414</v>
      </c>
      <c r="E1459" s="33">
        <v>2</v>
      </c>
      <c r="F1459" s="33">
        <v>0</v>
      </c>
      <c r="G1459" s="33" t="s">
        <v>47</v>
      </c>
      <c r="H1459" s="33" t="s">
        <v>5775</v>
      </c>
      <c r="I1459" s="33" t="s">
        <v>46</v>
      </c>
      <c r="J1459" s="33" t="s">
        <v>40</v>
      </c>
    </row>
    <row r="1460" spans="1:11" hidden="1" x14ac:dyDescent="0.3">
      <c r="A1460" s="39">
        <v>46066.617824074077</v>
      </c>
      <c r="B1460" s="33" t="s">
        <v>48</v>
      </c>
      <c r="C1460" s="33">
        <v>44999184476</v>
      </c>
      <c r="E1460" s="33">
        <v>8</v>
      </c>
      <c r="F1460" s="33">
        <v>0</v>
      </c>
      <c r="G1460" s="33" t="s">
        <v>47</v>
      </c>
      <c r="H1460" s="33" t="s">
        <v>5776</v>
      </c>
      <c r="I1460" s="33" t="s">
        <v>46</v>
      </c>
      <c r="J1460" s="33" t="s">
        <v>40</v>
      </c>
    </row>
    <row r="1461" spans="1:11" hidden="1" x14ac:dyDescent="0.3">
      <c r="A1461" s="39">
        <v>46066.617476851854</v>
      </c>
      <c r="B1461" s="33" t="s">
        <v>3627</v>
      </c>
      <c r="C1461" s="33">
        <v>19996732865</v>
      </c>
      <c r="E1461" s="33">
        <v>15</v>
      </c>
      <c r="F1461" s="33">
        <v>0</v>
      </c>
      <c r="G1461" s="33" t="s">
        <v>47</v>
      </c>
      <c r="H1461" s="33" t="s">
        <v>5777</v>
      </c>
      <c r="I1461" s="33" t="s">
        <v>46</v>
      </c>
      <c r="J1461" s="33" t="s">
        <v>3629</v>
      </c>
    </row>
    <row r="1462" spans="1:11" hidden="1" x14ac:dyDescent="0.3">
      <c r="A1462" s="39">
        <v>46066.616886574076</v>
      </c>
      <c r="B1462" s="33">
        <v>4430451715</v>
      </c>
      <c r="C1462" s="33">
        <v>4430265054</v>
      </c>
      <c r="D1462" s="33">
        <v>4430265054</v>
      </c>
      <c r="E1462" s="33">
        <v>26</v>
      </c>
      <c r="F1462" s="33">
        <v>26</v>
      </c>
      <c r="G1462" s="33" t="s">
        <v>3449</v>
      </c>
      <c r="H1462" s="33" t="s">
        <v>5778</v>
      </c>
      <c r="I1462" s="33" t="s">
        <v>39</v>
      </c>
      <c r="J1462" s="33" t="s">
        <v>3451</v>
      </c>
    </row>
    <row r="1463" spans="1:11" hidden="1" x14ac:dyDescent="0.3">
      <c r="A1463" s="39">
        <v>46066.61614583333</v>
      </c>
      <c r="B1463" s="33" t="s">
        <v>3627</v>
      </c>
      <c r="C1463" s="33">
        <v>81996074906</v>
      </c>
      <c r="E1463" s="33">
        <v>21</v>
      </c>
      <c r="F1463" s="33">
        <v>18</v>
      </c>
      <c r="G1463" s="33" t="s">
        <v>38</v>
      </c>
      <c r="H1463" s="33" t="s">
        <v>5779</v>
      </c>
      <c r="I1463" s="33" t="s">
        <v>46</v>
      </c>
      <c r="J1463" s="33" t="s">
        <v>3629</v>
      </c>
    </row>
    <row r="1464" spans="1:11" hidden="1" x14ac:dyDescent="0.3">
      <c r="A1464" s="39">
        <v>46066.61546296296</v>
      </c>
      <c r="B1464" s="33" t="s">
        <v>3627</v>
      </c>
      <c r="C1464" s="33">
        <v>11989869456</v>
      </c>
      <c r="E1464" s="33">
        <v>13</v>
      </c>
      <c r="F1464" s="33">
        <v>0</v>
      </c>
      <c r="G1464" s="33" t="s">
        <v>47</v>
      </c>
      <c r="H1464" s="33" t="s">
        <v>5780</v>
      </c>
      <c r="I1464" s="33" t="s">
        <v>46</v>
      </c>
      <c r="J1464" s="33" t="s">
        <v>3629</v>
      </c>
    </row>
    <row r="1465" spans="1:11" hidden="1" x14ac:dyDescent="0.3">
      <c r="A1465" s="39">
        <v>46066.614895833336</v>
      </c>
      <c r="B1465" s="33">
        <v>4430141092</v>
      </c>
      <c r="C1465" s="33" t="s">
        <v>43</v>
      </c>
      <c r="D1465" s="33">
        <v>4430265054</v>
      </c>
      <c r="E1465" s="33">
        <v>187</v>
      </c>
      <c r="F1465" s="33">
        <v>166</v>
      </c>
      <c r="G1465" s="33" t="s">
        <v>38</v>
      </c>
      <c r="H1465" s="33" t="s">
        <v>4222</v>
      </c>
      <c r="I1465" s="33" t="s">
        <v>39</v>
      </c>
      <c r="J1465" s="33" t="s">
        <v>40</v>
      </c>
      <c r="K1465" s="33" t="s">
        <v>41</v>
      </c>
    </row>
    <row r="1466" spans="1:11" hidden="1" x14ac:dyDescent="0.3">
      <c r="A1466" s="39">
        <v>46066.613819444443</v>
      </c>
      <c r="B1466" s="33" t="s">
        <v>3627</v>
      </c>
      <c r="C1466" s="33">
        <v>11989869456</v>
      </c>
      <c r="E1466" s="33">
        <v>11</v>
      </c>
      <c r="F1466" s="33">
        <v>0</v>
      </c>
      <c r="G1466" s="33" t="s">
        <v>47</v>
      </c>
      <c r="H1466" s="33" t="s">
        <v>5781</v>
      </c>
      <c r="I1466" s="33" t="s">
        <v>46</v>
      </c>
      <c r="J1466" s="33" t="s">
        <v>3629</v>
      </c>
    </row>
    <row r="1467" spans="1:11" hidden="1" x14ac:dyDescent="0.3">
      <c r="A1467" s="39">
        <v>46066.610856481479</v>
      </c>
      <c r="B1467" s="33">
        <v>4430146402</v>
      </c>
      <c r="C1467" s="33" t="s">
        <v>48</v>
      </c>
      <c r="D1467" s="33">
        <v>4430265054</v>
      </c>
      <c r="E1467" s="33">
        <v>243</v>
      </c>
      <c r="F1467" s="33">
        <v>111</v>
      </c>
      <c r="G1467" s="33" t="s">
        <v>38</v>
      </c>
      <c r="H1467" s="33" t="s">
        <v>4223</v>
      </c>
      <c r="I1467" s="33" t="s">
        <v>39</v>
      </c>
      <c r="J1467" s="33" t="s">
        <v>40</v>
      </c>
      <c r="K1467" s="33" t="s">
        <v>41</v>
      </c>
    </row>
    <row r="1468" spans="1:11" hidden="1" x14ac:dyDescent="0.3">
      <c r="A1468" s="39">
        <v>46066.610844907409</v>
      </c>
      <c r="B1468" s="33">
        <v>43999110029</v>
      </c>
      <c r="C1468" s="33" t="s">
        <v>44</v>
      </c>
      <c r="D1468" s="33">
        <v>4430265054</v>
      </c>
      <c r="E1468" s="33">
        <v>903</v>
      </c>
      <c r="F1468" s="33">
        <v>699</v>
      </c>
      <c r="G1468" s="33" t="s">
        <v>38</v>
      </c>
      <c r="H1468" s="33" t="s">
        <v>4224</v>
      </c>
      <c r="I1468" s="33" t="s">
        <v>39</v>
      </c>
      <c r="J1468" s="33" t="s">
        <v>40</v>
      </c>
      <c r="K1468" s="33" t="s">
        <v>41</v>
      </c>
    </row>
    <row r="1469" spans="1:11" hidden="1" x14ac:dyDescent="0.3">
      <c r="A1469" s="39">
        <v>46066.608935185184</v>
      </c>
      <c r="B1469" s="33">
        <v>4430141092</v>
      </c>
      <c r="C1469" s="33">
        <v>4430265054</v>
      </c>
      <c r="D1469" s="33">
        <v>4430265054</v>
      </c>
      <c r="E1469" s="33">
        <v>17</v>
      </c>
      <c r="F1469" s="33">
        <v>17</v>
      </c>
      <c r="G1469" s="33" t="s">
        <v>3449</v>
      </c>
      <c r="H1469" s="33" t="s">
        <v>5782</v>
      </c>
      <c r="I1469" s="33" t="s">
        <v>39</v>
      </c>
      <c r="J1469" s="33" t="s">
        <v>3451</v>
      </c>
    </row>
    <row r="1470" spans="1:11" hidden="1" x14ac:dyDescent="0.3">
      <c r="A1470" s="39">
        <v>46066.607928240737</v>
      </c>
      <c r="B1470" s="33">
        <v>6234347959</v>
      </c>
      <c r="C1470" s="33" t="s">
        <v>42</v>
      </c>
      <c r="D1470" s="33">
        <v>4430265054</v>
      </c>
      <c r="E1470" s="33">
        <v>806</v>
      </c>
      <c r="F1470" s="33">
        <v>536</v>
      </c>
      <c r="G1470" s="33" t="s">
        <v>38</v>
      </c>
      <c r="H1470" s="33" t="s">
        <v>4225</v>
      </c>
      <c r="I1470" s="33" t="s">
        <v>39</v>
      </c>
      <c r="J1470" s="33" t="s">
        <v>40</v>
      </c>
      <c r="K1470" s="33" t="s">
        <v>41</v>
      </c>
    </row>
    <row r="1471" spans="1:11" hidden="1" x14ac:dyDescent="0.3">
      <c r="A1471" s="39">
        <v>46066.605046296296</v>
      </c>
      <c r="B1471" s="33">
        <v>43999110029</v>
      </c>
      <c r="C1471" s="33">
        <v>4430265054</v>
      </c>
      <c r="D1471" s="33">
        <v>4430265054</v>
      </c>
      <c r="E1471" s="33">
        <v>36</v>
      </c>
      <c r="F1471" s="33">
        <v>36</v>
      </c>
      <c r="G1471" s="33" t="s">
        <v>3449</v>
      </c>
      <c r="H1471" s="33" t="s">
        <v>4226</v>
      </c>
      <c r="I1471" s="33" t="s">
        <v>39</v>
      </c>
      <c r="J1471" s="33" t="s">
        <v>3451</v>
      </c>
      <c r="K1471" s="33" t="s">
        <v>41</v>
      </c>
    </row>
    <row r="1472" spans="1:11" hidden="1" x14ac:dyDescent="0.3">
      <c r="A1472" s="39">
        <v>46066.60434027778</v>
      </c>
      <c r="B1472" s="33">
        <v>6434530674</v>
      </c>
      <c r="C1472" s="33" t="s">
        <v>43</v>
      </c>
      <c r="D1472" s="33">
        <v>4430265054</v>
      </c>
      <c r="E1472" s="33">
        <v>760</v>
      </c>
      <c r="F1472" s="33">
        <v>682</v>
      </c>
      <c r="G1472" s="33" t="s">
        <v>38</v>
      </c>
      <c r="H1472" s="33" t="s">
        <v>4227</v>
      </c>
      <c r="I1472" s="33" t="s">
        <v>39</v>
      </c>
      <c r="J1472" s="33" t="s">
        <v>40</v>
      </c>
      <c r="K1472" s="33" t="s">
        <v>41</v>
      </c>
    </row>
    <row r="1473" spans="1:12" hidden="1" x14ac:dyDescent="0.3">
      <c r="A1473" s="39">
        <v>46066.602187500001</v>
      </c>
      <c r="B1473" s="33">
        <v>6434533677</v>
      </c>
      <c r="C1473" s="33">
        <v>4430265054</v>
      </c>
      <c r="D1473" s="33">
        <v>4430265054</v>
      </c>
      <c r="E1473" s="33">
        <v>173</v>
      </c>
      <c r="F1473" s="33">
        <v>173</v>
      </c>
      <c r="G1473" s="33" t="s">
        <v>3449</v>
      </c>
      <c r="H1473" s="33" t="s">
        <v>4228</v>
      </c>
      <c r="I1473" s="33" t="s">
        <v>39</v>
      </c>
      <c r="J1473" s="33" t="s">
        <v>3451</v>
      </c>
      <c r="K1473" s="33" t="s">
        <v>41</v>
      </c>
    </row>
    <row r="1474" spans="1:12" hidden="1" x14ac:dyDescent="0.3">
      <c r="A1474" s="39">
        <v>46066.601805555554</v>
      </c>
      <c r="B1474" s="33">
        <v>44998266194</v>
      </c>
      <c r="C1474" s="33" t="s">
        <v>44</v>
      </c>
      <c r="D1474" s="33">
        <v>4431268225</v>
      </c>
      <c r="E1474" s="33">
        <v>943</v>
      </c>
      <c r="F1474" s="33">
        <v>678</v>
      </c>
      <c r="G1474" s="33" t="s">
        <v>38</v>
      </c>
      <c r="H1474" s="33" t="s">
        <v>4229</v>
      </c>
      <c r="I1474" s="33" t="s">
        <v>39</v>
      </c>
      <c r="J1474" s="33" t="s">
        <v>40</v>
      </c>
      <c r="K1474" s="33" t="s">
        <v>41</v>
      </c>
    </row>
    <row r="1475" spans="1:12" hidden="1" x14ac:dyDescent="0.3">
      <c r="A1475" s="39">
        <v>46066.601446759261</v>
      </c>
      <c r="B1475" s="33">
        <v>4432268889</v>
      </c>
      <c r="C1475" s="33" t="s">
        <v>42</v>
      </c>
      <c r="D1475" s="33">
        <v>4430265054</v>
      </c>
      <c r="E1475" s="33">
        <v>689</v>
      </c>
      <c r="F1475" s="33">
        <v>595</v>
      </c>
      <c r="G1475" s="33" t="s">
        <v>38</v>
      </c>
      <c r="H1475" s="33" t="s">
        <v>4230</v>
      </c>
      <c r="I1475" s="33" t="s">
        <v>39</v>
      </c>
      <c r="J1475" s="33" t="s">
        <v>40</v>
      </c>
      <c r="K1475" s="33" t="s">
        <v>41</v>
      </c>
    </row>
    <row r="1476" spans="1:12" hidden="1" x14ac:dyDescent="0.3">
      <c r="A1476" s="39">
        <v>46066.601006944446</v>
      </c>
      <c r="B1476" s="33">
        <v>4430562296</v>
      </c>
      <c r="C1476" s="33" t="s">
        <v>44</v>
      </c>
      <c r="D1476" s="33">
        <v>4430265054</v>
      </c>
      <c r="E1476" s="33">
        <v>332</v>
      </c>
      <c r="F1476" s="33">
        <v>294</v>
      </c>
      <c r="G1476" s="33" t="s">
        <v>38</v>
      </c>
      <c r="H1476" s="33" t="s">
        <v>4231</v>
      </c>
      <c r="I1476" s="33" t="s">
        <v>39</v>
      </c>
      <c r="J1476" s="33" t="s">
        <v>40</v>
      </c>
      <c r="K1476" s="33" t="s">
        <v>41</v>
      </c>
    </row>
    <row r="1477" spans="1:12" hidden="1" x14ac:dyDescent="0.3">
      <c r="A1477" s="39">
        <v>46066.59715277778</v>
      </c>
      <c r="B1477" s="33">
        <v>12997765962</v>
      </c>
      <c r="C1477" s="33" t="s">
        <v>48</v>
      </c>
      <c r="D1477" s="33">
        <v>4430265054</v>
      </c>
      <c r="E1477" s="33">
        <v>1146</v>
      </c>
      <c r="F1477" s="33">
        <v>1145</v>
      </c>
      <c r="G1477" s="33" t="s">
        <v>38</v>
      </c>
      <c r="H1477" s="33" t="s">
        <v>4232</v>
      </c>
      <c r="I1477" s="33" t="s">
        <v>39</v>
      </c>
      <c r="J1477" s="33" t="s">
        <v>40</v>
      </c>
      <c r="K1477" s="33" t="s">
        <v>41</v>
      </c>
    </row>
    <row r="1478" spans="1:12" hidden="1" x14ac:dyDescent="0.3">
      <c r="A1478" s="39">
        <v>46066.596828703703</v>
      </c>
      <c r="B1478" s="33">
        <v>44997650834</v>
      </c>
      <c r="C1478" s="33" t="s">
        <v>37</v>
      </c>
      <c r="D1478" s="33">
        <v>4430265054</v>
      </c>
      <c r="E1478" s="33">
        <v>2610</v>
      </c>
      <c r="F1478" s="33">
        <v>2585</v>
      </c>
      <c r="G1478" s="33" t="s">
        <v>38</v>
      </c>
      <c r="H1478" s="33" t="s">
        <v>4233</v>
      </c>
      <c r="I1478" s="33" t="s">
        <v>39</v>
      </c>
      <c r="J1478" s="33" t="s">
        <v>40</v>
      </c>
      <c r="K1478" s="33" t="s">
        <v>41</v>
      </c>
      <c r="L1478" s="33">
        <v>5</v>
      </c>
    </row>
    <row r="1479" spans="1:12" hidden="1" x14ac:dyDescent="0.3">
      <c r="A1479" s="39">
        <v>46066.596435185187</v>
      </c>
      <c r="B1479" s="33" t="s">
        <v>45</v>
      </c>
      <c r="C1479" s="33">
        <v>4432325260</v>
      </c>
      <c r="E1479" s="33">
        <v>1779</v>
      </c>
      <c r="F1479" s="33">
        <v>1768</v>
      </c>
      <c r="G1479" s="33" t="s">
        <v>38</v>
      </c>
      <c r="H1479" s="33" t="s">
        <v>5783</v>
      </c>
      <c r="I1479" s="33" t="s">
        <v>46</v>
      </c>
      <c r="J1479" s="33" t="s">
        <v>40</v>
      </c>
    </row>
    <row r="1480" spans="1:12" hidden="1" x14ac:dyDescent="0.3">
      <c r="A1480" s="39">
        <v>46066.596365740741</v>
      </c>
      <c r="B1480" s="33" t="s">
        <v>45</v>
      </c>
      <c r="C1480" s="33">
        <v>4432325260</v>
      </c>
      <c r="E1480" s="33">
        <v>2</v>
      </c>
      <c r="F1480" s="33">
        <v>0</v>
      </c>
      <c r="G1480" s="33" t="s">
        <v>47</v>
      </c>
      <c r="H1480" s="33" t="s">
        <v>5784</v>
      </c>
      <c r="I1480" s="33" t="s">
        <v>46</v>
      </c>
      <c r="J1480" s="33" t="s">
        <v>40</v>
      </c>
    </row>
    <row r="1481" spans="1:12" hidden="1" x14ac:dyDescent="0.3">
      <c r="A1481" s="39">
        <v>46066.59474537037</v>
      </c>
      <c r="B1481" s="33">
        <v>1131043888</v>
      </c>
      <c r="C1481" s="33" t="s">
        <v>43</v>
      </c>
      <c r="D1481" s="33">
        <v>4430265054</v>
      </c>
      <c r="E1481" s="33">
        <v>910</v>
      </c>
      <c r="F1481" s="33">
        <v>814</v>
      </c>
      <c r="G1481" s="33" t="s">
        <v>38</v>
      </c>
      <c r="H1481" s="33" t="s">
        <v>4234</v>
      </c>
      <c r="I1481" s="33" t="s">
        <v>39</v>
      </c>
      <c r="J1481" s="33" t="s">
        <v>40</v>
      </c>
      <c r="K1481" s="33" t="s">
        <v>41</v>
      </c>
      <c r="L1481" s="33">
        <v>5</v>
      </c>
    </row>
    <row r="1482" spans="1:12" hidden="1" x14ac:dyDescent="0.3">
      <c r="A1482" s="39">
        <v>46066.585219907407</v>
      </c>
      <c r="B1482" s="33">
        <v>44998266194</v>
      </c>
      <c r="C1482" s="33" t="s">
        <v>48</v>
      </c>
      <c r="D1482" s="33">
        <v>4431268225</v>
      </c>
      <c r="E1482" s="33">
        <v>281</v>
      </c>
      <c r="F1482" s="33">
        <v>263</v>
      </c>
      <c r="G1482" s="33" t="s">
        <v>38</v>
      </c>
      <c r="H1482" s="33" t="s">
        <v>4235</v>
      </c>
      <c r="I1482" s="33" t="s">
        <v>39</v>
      </c>
      <c r="J1482" s="33" t="s">
        <v>40</v>
      </c>
      <c r="K1482" s="33" t="s">
        <v>41</v>
      </c>
    </row>
    <row r="1483" spans="1:12" hidden="1" x14ac:dyDescent="0.3">
      <c r="A1483" s="39">
        <v>46066.583437499998</v>
      </c>
      <c r="B1483" s="33">
        <v>91981481202</v>
      </c>
      <c r="C1483" s="33" t="s">
        <v>43</v>
      </c>
      <c r="D1483" s="33">
        <v>4430265054</v>
      </c>
      <c r="E1483" s="33">
        <v>917</v>
      </c>
      <c r="F1483" s="33">
        <v>901</v>
      </c>
      <c r="G1483" s="33" t="s">
        <v>38</v>
      </c>
      <c r="H1483" s="33" t="s">
        <v>4236</v>
      </c>
      <c r="I1483" s="33" t="s">
        <v>39</v>
      </c>
      <c r="J1483" s="33" t="s">
        <v>40</v>
      </c>
      <c r="K1483" s="33" t="s">
        <v>41</v>
      </c>
    </row>
    <row r="1484" spans="1:12" hidden="1" x14ac:dyDescent="0.3">
      <c r="A1484" s="39">
        <v>46066.583379629628</v>
      </c>
      <c r="B1484" s="33">
        <v>4432325260</v>
      </c>
      <c r="C1484" s="33" t="s">
        <v>42</v>
      </c>
      <c r="D1484" s="33">
        <v>4430265054</v>
      </c>
      <c r="E1484" s="33">
        <v>266</v>
      </c>
      <c r="F1484" s="33">
        <v>129</v>
      </c>
      <c r="G1484" s="33" t="s">
        <v>38</v>
      </c>
      <c r="H1484" s="33" t="s">
        <v>4237</v>
      </c>
      <c r="I1484" s="33" t="s">
        <v>39</v>
      </c>
      <c r="J1484" s="33" t="s">
        <v>40</v>
      </c>
      <c r="K1484" s="33" t="s">
        <v>41</v>
      </c>
    </row>
    <row r="1485" spans="1:12" hidden="1" x14ac:dyDescent="0.3">
      <c r="A1485" s="39">
        <v>46066.583009259259</v>
      </c>
      <c r="B1485" s="33">
        <v>44991333591</v>
      </c>
      <c r="C1485" s="33" t="s">
        <v>44</v>
      </c>
      <c r="D1485" s="33">
        <v>4430265054</v>
      </c>
      <c r="E1485" s="33">
        <v>294</v>
      </c>
      <c r="F1485" s="33">
        <v>255</v>
      </c>
      <c r="G1485" s="33" t="s">
        <v>38</v>
      </c>
      <c r="H1485" s="33" t="s">
        <v>4238</v>
      </c>
      <c r="I1485" s="33" t="s">
        <v>39</v>
      </c>
      <c r="J1485" s="33" t="s">
        <v>40</v>
      </c>
      <c r="K1485" s="33" t="s">
        <v>41</v>
      </c>
    </row>
    <row r="1486" spans="1:12" hidden="1" x14ac:dyDescent="0.3">
      <c r="A1486" s="39">
        <v>46066.582638888889</v>
      </c>
      <c r="B1486" s="33" t="s">
        <v>43</v>
      </c>
      <c r="C1486" s="33">
        <v>4436351414</v>
      </c>
      <c r="E1486" s="33">
        <v>2</v>
      </c>
      <c r="F1486" s="33">
        <v>0</v>
      </c>
      <c r="G1486" s="33" t="s">
        <v>47</v>
      </c>
      <c r="H1486" s="33" t="s">
        <v>5785</v>
      </c>
      <c r="I1486" s="33" t="s">
        <v>46</v>
      </c>
      <c r="J1486" s="33" t="s">
        <v>40</v>
      </c>
    </row>
    <row r="1487" spans="1:12" hidden="1" x14ac:dyDescent="0.3">
      <c r="A1487" s="39">
        <v>46066.58258101852</v>
      </c>
      <c r="B1487" s="33" t="s">
        <v>43</v>
      </c>
      <c r="C1487" s="33">
        <v>4436351414</v>
      </c>
      <c r="E1487" s="33">
        <v>3</v>
      </c>
      <c r="F1487" s="33">
        <v>0</v>
      </c>
      <c r="G1487" s="33" t="s">
        <v>47</v>
      </c>
      <c r="H1487" s="33" t="s">
        <v>5786</v>
      </c>
      <c r="I1487" s="33" t="s">
        <v>46</v>
      </c>
      <c r="J1487" s="33" t="s">
        <v>40</v>
      </c>
    </row>
    <row r="1488" spans="1:12" hidden="1" x14ac:dyDescent="0.3">
      <c r="A1488" s="39">
        <v>46066.58048611111</v>
      </c>
      <c r="B1488" s="33">
        <v>91985176746</v>
      </c>
      <c r="C1488" s="33" t="s">
        <v>43</v>
      </c>
      <c r="D1488" s="33">
        <v>4430265054</v>
      </c>
      <c r="E1488" s="33">
        <v>69</v>
      </c>
      <c r="F1488" s="33">
        <v>47</v>
      </c>
      <c r="G1488" s="33" t="s">
        <v>38</v>
      </c>
      <c r="H1488" s="33" t="s">
        <v>4239</v>
      </c>
      <c r="I1488" s="33" t="s">
        <v>39</v>
      </c>
      <c r="J1488" s="33" t="s">
        <v>40</v>
      </c>
      <c r="K1488" s="33" t="s">
        <v>41</v>
      </c>
    </row>
    <row r="1489" spans="1:12" hidden="1" x14ac:dyDescent="0.3">
      <c r="A1489" s="39">
        <v>46066.580370370371</v>
      </c>
      <c r="B1489" s="33">
        <v>4432520077</v>
      </c>
      <c r="C1489" s="33" t="s">
        <v>45</v>
      </c>
      <c r="D1489" s="33">
        <v>4430265054</v>
      </c>
      <c r="E1489" s="33">
        <v>699</v>
      </c>
      <c r="F1489" s="33">
        <v>632</v>
      </c>
      <c r="G1489" s="33" t="s">
        <v>38</v>
      </c>
      <c r="H1489" s="33" t="s">
        <v>4240</v>
      </c>
      <c r="I1489" s="33" t="s">
        <v>39</v>
      </c>
      <c r="J1489" s="33" t="s">
        <v>40</v>
      </c>
      <c r="K1489" s="33" t="s">
        <v>41</v>
      </c>
      <c r="L1489" s="33">
        <v>5</v>
      </c>
    </row>
    <row r="1490" spans="1:12" hidden="1" x14ac:dyDescent="0.3">
      <c r="A1490" s="39">
        <v>46066.579004629632</v>
      </c>
      <c r="B1490" s="33">
        <v>4432322192</v>
      </c>
      <c r="C1490" s="33" t="s">
        <v>48</v>
      </c>
      <c r="D1490" s="33">
        <v>4430265054</v>
      </c>
      <c r="E1490" s="33">
        <v>542</v>
      </c>
      <c r="F1490" s="33">
        <v>541</v>
      </c>
      <c r="G1490" s="33" t="s">
        <v>38</v>
      </c>
      <c r="H1490" s="33" t="s">
        <v>4241</v>
      </c>
      <c r="I1490" s="33" t="s">
        <v>39</v>
      </c>
      <c r="J1490" s="33" t="s">
        <v>40</v>
      </c>
      <c r="K1490" s="33" t="s">
        <v>41</v>
      </c>
    </row>
    <row r="1491" spans="1:12" hidden="1" x14ac:dyDescent="0.3">
      <c r="A1491" s="39">
        <v>46066.57739583333</v>
      </c>
      <c r="B1491" s="33" t="s">
        <v>43</v>
      </c>
      <c r="C1491" s="33">
        <v>4432325260</v>
      </c>
      <c r="E1491" s="33">
        <v>110</v>
      </c>
      <c r="F1491" s="33">
        <v>99</v>
      </c>
      <c r="G1491" s="33" t="s">
        <v>38</v>
      </c>
      <c r="H1491" s="33" t="s">
        <v>5787</v>
      </c>
      <c r="I1491" s="33" t="s">
        <v>46</v>
      </c>
      <c r="J1491" s="33" t="s">
        <v>40</v>
      </c>
    </row>
    <row r="1492" spans="1:12" hidden="1" x14ac:dyDescent="0.3">
      <c r="A1492" s="39">
        <v>46066.577314814815</v>
      </c>
      <c r="B1492" s="33" t="s">
        <v>43</v>
      </c>
      <c r="C1492" s="33">
        <v>4432325260</v>
      </c>
      <c r="E1492" s="33">
        <v>6</v>
      </c>
      <c r="F1492" s="33">
        <v>0</v>
      </c>
      <c r="G1492" s="33" t="s">
        <v>47</v>
      </c>
      <c r="H1492" s="33" t="s">
        <v>5788</v>
      </c>
      <c r="I1492" s="33" t="s">
        <v>46</v>
      </c>
      <c r="J1492" s="33" t="s">
        <v>40</v>
      </c>
    </row>
    <row r="1493" spans="1:12" hidden="1" x14ac:dyDescent="0.3">
      <c r="A1493" s="39">
        <v>46066.57644675926</v>
      </c>
      <c r="B1493" s="33">
        <v>4430141092</v>
      </c>
      <c r="C1493" s="33" t="s">
        <v>45</v>
      </c>
      <c r="D1493" s="33">
        <v>4430265054</v>
      </c>
      <c r="E1493" s="33">
        <v>301</v>
      </c>
      <c r="F1493" s="33">
        <v>207</v>
      </c>
      <c r="G1493" s="33" t="s">
        <v>38</v>
      </c>
      <c r="H1493" s="33" t="s">
        <v>4242</v>
      </c>
      <c r="I1493" s="33" t="s">
        <v>39</v>
      </c>
      <c r="J1493" s="33" t="s">
        <v>40</v>
      </c>
      <c r="K1493" s="33" t="s">
        <v>41</v>
      </c>
      <c r="L1493" s="33">
        <v>5</v>
      </c>
    </row>
    <row r="1494" spans="1:12" hidden="1" x14ac:dyDescent="0.3">
      <c r="A1494" s="39">
        <v>46066.57172453704</v>
      </c>
      <c r="B1494" s="33">
        <v>43996893235</v>
      </c>
      <c r="C1494" s="33" t="s">
        <v>45</v>
      </c>
      <c r="D1494" s="33">
        <v>4430265054</v>
      </c>
      <c r="E1494" s="33">
        <v>378</v>
      </c>
      <c r="F1494" s="33">
        <v>297</v>
      </c>
      <c r="G1494" s="33" t="s">
        <v>38</v>
      </c>
      <c r="H1494" s="33" t="s">
        <v>4243</v>
      </c>
      <c r="I1494" s="33" t="s">
        <v>39</v>
      </c>
      <c r="J1494" s="33" t="s">
        <v>40</v>
      </c>
      <c r="K1494" s="33" t="s">
        <v>41</v>
      </c>
    </row>
    <row r="1495" spans="1:12" hidden="1" x14ac:dyDescent="0.3">
      <c r="A1495" s="39">
        <v>46066.566134259258</v>
      </c>
      <c r="B1495" s="33" t="s">
        <v>43</v>
      </c>
      <c r="C1495" s="33">
        <v>4436351818</v>
      </c>
      <c r="E1495" s="33">
        <v>7</v>
      </c>
      <c r="F1495" s="33">
        <v>0</v>
      </c>
      <c r="G1495" s="33" t="s">
        <v>47</v>
      </c>
      <c r="H1495" s="33" t="s">
        <v>5789</v>
      </c>
      <c r="I1495" s="33" t="s">
        <v>46</v>
      </c>
      <c r="J1495" s="33" t="s">
        <v>40</v>
      </c>
    </row>
    <row r="1496" spans="1:12" hidden="1" x14ac:dyDescent="0.3">
      <c r="A1496" s="39">
        <v>46066.566041666665</v>
      </c>
      <c r="B1496" s="33" t="s">
        <v>43</v>
      </c>
      <c r="C1496" s="33">
        <v>4436351818</v>
      </c>
      <c r="E1496" s="33">
        <v>7</v>
      </c>
      <c r="F1496" s="33">
        <v>0</v>
      </c>
      <c r="G1496" s="33" t="s">
        <v>47</v>
      </c>
      <c r="H1496" s="33" t="s">
        <v>5790</v>
      </c>
      <c r="I1496" s="33" t="s">
        <v>46</v>
      </c>
      <c r="J1496" s="33" t="s">
        <v>40</v>
      </c>
    </row>
    <row r="1497" spans="1:12" hidden="1" x14ac:dyDescent="0.3">
      <c r="A1497" s="39">
        <v>46066.565844907411</v>
      </c>
      <c r="B1497" s="33">
        <v>4432325260</v>
      </c>
      <c r="C1497" s="33" t="s">
        <v>43</v>
      </c>
      <c r="D1497" s="33">
        <v>4430265054</v>
      </c>
      <c r="E1497" s="33">
        <v>907</v>
      </c>
      <c r="F1497" s="33">
        <v>855</v>
      </c>
      <c r="G1497" s="33" t="s">
        <v>38</v>
      </c>
      <c r="H1497" s="33" t="s">
        <v>4244</v>
      </c>
      <c r="I1497" s="33" t="s">
        <v>39</v>
      </c>
      <c r="J1497" s="33" t="s">
        <v>40</v>
      </c>
      <c r="K1497" s="33" t="s">
        <v>41</v>
      </c>
    </row>
    <row r="1498" spans="1:12" hidden="1" x14ac:dyDescent="0.3">
      <c r="A1498" s="39">
        <v>46066.565717592595</v>
      </c>
      <c r="B1498" s="33">
        <v>4430459001</v>
      </c>
      <c r="C1498" s="33" t="s">
        <v>44</v>
      </c>
      <c r="D1498" s="33">
        <v>4430265054</v>
      </c>
      <c r="E1498" s="33">
        <v>182</v>
      </c>
      <c r="F1498" s="33">
        <v>64</v>
      </c>
      <c r="G1498" s="33" t="s">
        <v>38</v>
      </c>
      <c r="H1498" s="33" t="s">
        <v>4245</v>
      </c>
      <c r="I1498" s="33" t="s">
        <v>39</v>
      </c>
      <c r="J1498" s="33" t="s">
        <v>40</v>
      </c>
      <c r="K1498" s="33" t="s">
        <v>41</v>
      </c>
    </row>
    <row r="1499" spans="1:12" hidden="1" x14ac:dyDescent="0.3">
      <c r="A1499" s="39">
        <v>46066.565439814818</v>
      </c>
      <c r="B1499" s="33" t="s">
        <v>37</v>
      </c>
      <c r="C1499" s="33">
        <v>62991155122</v>
      </c>
      <c r="E1499" s="33">
        <v>383</v>
      </c>
      <c r="F1499" s="33">
        <v>373</v>
      </c>
      <c r="G1499" s="33" t="s">
        <v>38</v>
      </c>
      <c r="H1499" s="33" t="s">
        <v>5791</v>
      </c>
      <c r="I1499" s="33" t="s">
        <v>46</v>
      </c>
      <c r="J1499" s="33" t="s">
        <v>40</v>
      </c>
      <c r="L1499" s="33">
        <v>5</v>
      </c>
    </row>
    <row r="1500" spans="1:12" hidden="1" x14ac:dyDescent="0.3">
      <c r="A1500" s="39">
        <v>46066.56521990741</v>
      </c>
      <c r="B1500" s="33" t="s">
        <v>37</v>
      </c>
      <c r="C1500" s="33">
        <v>62991155122</v>
      </c>
      <c r="E1500" s="33">
        <v>15</v>
      </c>
      <c r="F1500" s="33">
        <v>2</v>
      </c>
      <c r="G1500" s="33" t="s">
        <v>38</v>
      </c>
      <c r="H1500" s="33" t="s">
        <v>5792</v>
      </c>
      <c r="I1500" s="33" t="s">
        <v>46</v>
      </c>
      <c r="J1500" s="33" t="s">
        <v>40</v>
      </c>
    </row>
    <row r="1501" spans="1:12" hidden="1" x14ac:dyDescent="0.3">
      <c r="A1501" s="39">
        <v>46066.564953703702</v>
      </c>
      <c r="B1501" s="33" t="s">
        <v>37</v>
      </c>
      <c r="C1501" s="33">
        <v>62991155122</v>
      </c>
      <c r="E1501" s="33">
        <v>14</v>
      </c>
      <c r="F1501" s="33">
        <v>6</v>
      </c>
      <c r="G1501" s="33" t="s">
        <v>38</v>
      </c>
      <c r="H1501" s="33" t="s">
        <v>5793</v>
      </c>
      <c r="I1501" s="33" t="s">
        <v>46</v>
      </c>
      <c r="J1501" s="33" t="s">
        <v>40</v>
      </c>
    </row>
    <row r="1502" spans="1:12" hidden="1" x14ac:dyDescent="0.3">
      <c r="A1502" s="39">
        <v>46066.564884259256</v>
      </c>
      <c r="B1502" s="33">
        <v>4430162376</v>
      </c>
      <c r="C1502" s="33" t="s">
        <v>42</v>
      </c>
      <c r="D1502" s="33">
        <v>4430265054</v>
      </c>
      <c r="E1502" s="33">
        <v>1717</v>
      </c>
      <c r="F1502" s="33">
        <v>1645</v>
      </c>
      <c r="G1502" s="33" t="s">
        <v>38</v>
      </c>
      <c r="H1502" s="33" t="s">
        <v>4246</v>
      </c>
      <c r="I1502" s="33" t="s">
        <v>39</v>
      </c>
      <c r="J1502" s="33" t="s">
        <v>40</v>
      </c>
      <c r="K1502" s="33" t="s">
        <v>41</v>
      </c>
    </row>
    <row r="1503" spans="1:12" hidden="1" x14ac:dyDescent="0.3">
      <c r="A1503" s="39">
        <v>46066.56453703704</v>
      </c>
      <c r="B1503" s="33" t="s">
        <v>37</v>
      </c>
      <c r="C1503" s="33">
        <v>62991155122</v>
      </c>
      <c r="E1503" s="33">
        <v>7</v>
      </c>
      <c r="F1503" s="33">
        <v>0</v>
      </c>
      <c r="G1503" s="33" t="s">
        <v>47</v>
      </c>
      <c r="H1503" s="33" t="s">
        <v>5794</v>
      </c>
      <c r="I1503" s="33" t="s">
        <v>46</v>
      </c>
      <c r="J1503" s="33" t="s">
        <v>40</v>
      </c>
    </row>
    <row r="1504" spans="1:12" hidden="1" x14ac:dyDescent="0.3">
      <c r="A1504" s="39">
        <v>46066.564386574071</v>
      </c>
      <c r="B1504" s="33" t="s">
        <v>37</v>
      </c>
      <c r="C1504" s="33">
        <v>62991155122</v>
      </c>
      <c r="E1504" s="33">
        <v>21</v>
      </c>
      <c r="F1504" s="33">
        <v>14</v>
      </c>
      <c r="G1504" s="33" t="s">
        <v>38</v>
      </c>
      <c r="H1504" s="33" t="s">
        <v>5795</v>
      </c>
      <c r="I1504" s="33" t="s">
        <v>46</v>
      </c>
      <c r="J1504" s="33" t="s">
        <v>40</v>
      </c>
    </row>
    <row r="1505" spans="1:12" hidden="1" x14ac:dyDescent="0.3">
      <c r="A1505" s="39">
        <v>46066.564259259256</v>
      </c>
      <c r="B1505" s="33" t="s">
        <v>37</v>
      </c>
      <c r="C1505" s="33">
        <v>62981535978</v>
      </c>
      <c r="E1505" s="33">
        <v>4</v>
      </c>
      <c r="F1505" s="33">
        <v>0</v>
      </c>
      <c r="G1505" s="33" t="s">
        <v>47</v>
      </c>
      <c r="H1505" s="33" t="s">
        <v>5796</v>
      </c>
      <c r="I1505" s="33" t="s">
        <v>46</v>
      </c>
      <c r="J1505" s="33" t="s">
        <v>40</v>
      </c>
    </row>
    <row r="1506" spans="1:12" hidden="1" x14ac:dyDescent="0.3">
      <c r="A1506" s="39">
        <v>46066.564155092594</v>
      </c>
      <c r="B1506" s="33" t="s">
        <v>37</v>
      </c>
      <c r="C1506" s="33">
        <v>44981535978</v>
      </c>
      <c r="E1506" s="33">
        <v>31</v>
      </c>
      <c r="F1506" s="33">
        <v>31</v>
      </c>
      <c r="G1506" s="33" t="s">
        <v>38</v>
      </c>
      <c r="H1506" s="33" t="s">
        <v>5797</v>
      </c>
      <c r="I1506" s="33" t="s">
        <v>46</v>
      </c>
      <c r="J1506" s="33" t="s">
        <v>40</v>
      </c>
    </row>
    <row r="1507" spans="1:12" hidden="1" x14ac:dyDescent="0.3">
      <c r="A1507" s="39">
        <v>46066.55740740741</v>
      </c>
      <c r="B1507" s="33">
        <v>4432325260</v>
      </c>
      <c r="C1507" s="33">
        <v>4430265054</v>
      </c>
      <c r="D1507" s="33">
        <v>4430265054</v>
      </c>
      <c r="E1507" s="33">
        <v>29</v>
      </c>
      <c r="F1507" s="33">
        <v>28</v>
      </c>
      <c r="G1507" s="33" t="s">
        <v>3449</v>
      </c>
      <c r="H1507" s="33" t="s">
        <v>5798</v>
      </c>
      <c r="I1507" s="33" t="s">
        <v>39</v>
      </c>
      <c r="J1507" s="33" t="s">
        <v>3451</v>
      </c>
    </row>
    <row r="1508" spans="1:12" hidden="1" x14ac:dyDescent="0.3">
      <c r="A1508" s="39">
        <v>46066.556793981479</v>
      </c>
      <c r="B1508" s="33">
        <v>4430162384</v>
      </c>
      <c r="C1508" s="33">
        <v>4430265054</v>
      </c>
      <c r="D1508" s="33">
        <v>4430265054</v>
      </c>
      <c r="E1508" s="33">
        <v>28</v>
      </c>
      <c r="F1508" s="33">
        <v>28</v>
      </c>
      <c r="G1508" s="33" t="s">
        <v>3449</v>
      </c>
      <c r="H1508" s="33" t="s">
        <v>5799</v>
      </c>
      <c r="I1508" s="33" t="s">
        <v>39</v>
      </c>
      <c r="J1508" s="33" t="s">
        <v>3451</v>
      </c>
    </row>
    <row r="1509" spans="1:12" hidden="1" x14ac:dyDescent="0.3">
      <c r="A1509" s="39">
        <v>46066.555879629632</v>
      </c>
      <c r="B1509" s="33" t="s">
        <v>45</v>
      </c>
      <c r="C1509" s="33">
        <v>4333270775</v>
      </c>
      <c r="E1509" s="33">
        <v>30</v>
      </c>
      <c r="F1509" s="33">
        <v>0</v>
      </c>
      <c r="G1509" s="33" t="s">
        <v>47</v>
      </c>
      <c r="H1509" s="33" t="s">
        <v>5800</v>
      </c>
      <c r="I1509" s="33" t="s">
        <v>46</v>
      </c>
      <c r="J1509" s="33" t="s">
        <v>40</v>
      </c>
    </row>
    <row r="1510" spans="1:12" hidden="1" x14ac:dyDescent="0.3">
      <c r="A1510" s="39">
        <v>46066.547453703701</v>
      </c>
      <c r="B1510" s="33">
        <v>4121016662</v>
      </c>
      <c r="C1510" s="33">
        <v>4431268247</v>
      </c>
      <c r="D1510" s="33">
        <v>4431268247</v>
      </c>
      <c r="E1510" s="33">
        <v>7</v>
      </c>
      <c r="F1510" s="33">
        <v>6</v>
      </c>
      <c r="G1510" s="33" t="s">
        <v>3449</v>
      </c>
      <c r="H1510" s="33" t="s">
        <v>5801</v>
      </c>
      <c r="I1510" s="33" t="s">
        <v>39</v>
      </c>
      <c r="J1510" s="33" t="s">
        <v>3451</v>
      </c>
    </row>
    <row r="1511" spans="1:12" hidden="1" x14ac:dyDescent="0.3">
      <c r="A1511" s="39">
        <v>46066.545798611114</v>
      </c>
      <c r="B1511" s="33">
        <v>41999195082</v>
      </c>
      <c r="C1511" s="33">
        <v>4430265054</v>
      </c>
      <c r="D1511" s="33">
        <v>4430265054</v>
      </c>
      <c r="E1511" s="33">
        <v>29</v>
      </c>
      <c r="F1511" s="33">
        <v>29</v>
      </c>
      <c r="G1511" s="33" t="s">
        <v>3449</v>
      </c>
      <c r="H1511" s="33" t="s">
        <v>5802</v>
      </c>
      <c r="I1511" s="33" t="s">
        <v>39</v>
      </c>
      <c r="J1511" s="33" t="s">
        <v>3451</v>
      </c>
    </row>
    <row r="1512" spans="1:12" hidden="1" x14ac:dyDescent="0.3">
      <c r="A1512" s="39">
        <v>46066.545289351852</v>
      </c>
      <c r="B1512" s="33">
        <v>41999195082</v>
      </c>
      <c r="C1512" s="33">
        <v>4430265054</v>
      </c>
      <c r="D1512" s="33">
        <v>4430265054</v>
      </c>
      <c r="E1512" s="33">
        <v>29</v>
      </c>
      <c r="F1512" s="33">
        <v>29</v>
      </c>
      <c r="G1512" s="33" t="s">
        <v>3449</v>
      </c>
      <c r="H1512" s="33" t="s">
        <v>5803</v>
      </c>
      <c r="I1512" s="33" t="s">
        <v>39</v>
      </c>
      <c r="J1512" s="33" t="s">
        <v>3451</v>
      </c>
    </row>
    <row r="1513" spans="1:12" hidden="1" x14ac:dyDescent="0.3">
      <c r="A1513" s="39">
        <v>46066.496423611112</v>
      </c>
      <c r="B1513" s="33" t="s">
        <v>45</v>
      </c>
      <c r="C1513" s="33">
        <v>43999555292</v>
      </c>
      <c r="E1513" s="33">
        <v>22</v>
      </c>
      <c r="F1513" s="33">
        <v>0</v>
      </c>
      <c r="G1513" s="33" t="s">
        <v>47</v>
      </c>
      <c r="H1513" s="33" t="s">
        <v>5804</v>
      </c>
      <c r="I1513" s="33" t="s">
        <v>46</v>
      </c>
      <c r="J1513" s="33" t="s">
        <v>40</v>
      </c>
    </row>
    <row r="1514" spans="1:12" hidden="1" x14ac:dyDescent="0.3">
      <c r="A1514" s="39">
        <v>46066.495787037034</v>
      </c>
      <c r="B1514" s="33" t="s">
        <v>3627</v>
      </c>
      <c r="C1514" s="33">
        <v>11983816621</v>
      </c>
      <c r="E1514" s="33">
        <v>9</v>
      </c>
      <c r="F1514" s="33">
        <v>0</v>
      </c>
      <c r="G1514" s="33" t="s">
        <v>47</v>
      </c>
      <c r="H1514" s="33" t="s">
        <v>5805</v>
      </c>
      <c r="I1514" s="33" t="s">
        <v>46</v>
      </c>
      <c r="J1514" s="33" t="s">
        <v>3629</v>
      </c>
    </row>
    <row r="1515" spans="1:12" hidden="1" x14ac:dyDescent="0.3">
      <c r="A1515" s="39">
        <v>46066.494803240741</v>
      </c>
      <c r="B1515" s="33" t="s">
        <v>3627</v>
      </c>
      <c r="C1515" s="33">
        <v>19996811545</v>
      </c>
      <c r="E1515" s="33">
        <v>15</v>
      </c>
      <c r="F1515" s="33">
        <v>0</v>
      </c>
      <c r="G1515" s="33" t="s">
        <v>47</v>
      </c>
      <c r="H1515" s="33" t="s">
        <v>5806</v>
      </c>
      <c r="I1515" s="33" t="s">
        <v>46</v>
      </c>
      <c r="J1515" s="33" t="s">
        <v>3629</v>
      </c>
    </row>
    <row r="1516" spans="1:12" hidden="1" x14ac:dyDescent="0.3">
      <c r="A1516" s="39">
        <v>46066.489479166667</v>
      </c>
      <c r="B1516" s="33">
        <v>43999555292</v>
      </c>
      <c r="C1516" s="33" t="s">
        <v>45</v>
      </c>
      <c r="D1516" s="33">
        <v>4430265054</v>
      </c>
      <c r="E1516" s="33">
        <v>523</v>
      </c>
      <c r="F1516" s="33">
        <v>501</v>
      </c>
      <c r="G1516" s="33" t="s">
        <v>38</v>
      </c>
      <c r="H1516" s="33" t="s">
        <v>4247</v>
      </c>
      <c r="I1516" s="33" t="s">
        <v>39</v>
      </c>
      <c r="J1516" s="33" t="s">
        <v>40</v>
      </c>
      <c r="K1516" s="33" t="s">
        <v>41</v>
      </c>
    </row>
    <row r="1517" spans="1:12" x14ac:dyDescent="0.3">
      <c r="A1517" s="39">
        <v>46066.484074074076</v>
      </c>
      <c r="B1517" s="33">
        <v>44991388221</v>
      </c>
      <c r="C1517" s="33" t="s">
        <v>44</v>
      </c>
      <c r="D1517" s="33">
        <v>4430265054</v>
      </c>
      <c r="E1517" s="33">
        <v>950</v>
      </c>
      <c r="F1517" s="33">
        <v>900</v>
      </c>
      <c r="G1517" s="33" t="s">
        <v>38</v>
      </c>
      <c r="H1517" s="33" t="s">
        <v>4248</v>
      </c>
      <c r="I1517" s="33" t="s">
        <v>39</v>
      </c>
      <c r="J1517" s="33" t="s">
        <v>40</v>
      </c>
      <c r="K1517" s="33" t="s">
        <v>41</v>
      </c>
      <c r="L1517" s="33">
        <v>5</v>
      </c>
    </row>
    <row r="1518" spans="1:12" hidden="1" x14ac:dyDescent="0.3">
      <c r="A1518" s="39">
        <v>46066.481006944443</v>
      </c>
      <c r="B1518" s="33">
        <v>4330333558</v>
      </c>
      <c r="C1518" s="33" t="s">
        <v>37</v>
      </c>
      <c r="D1518" s="33">
        <v>4430265054</v>
      </c>
      <c r="E1518" s="33">
        <v>257</v>
      </c>
      <c r="F1518" s="33">
        <v>189</v>
      </c>
      <c r="G1518" s="33" t="s">
        <v>38</v>
      </c>
      <c r="H1518" s="33" t="s">
        <v>4249</v>
      </c>
      <c r="I1518" s="33" t="s">
        <v>39</v>
      </c>
      <c r="J1518" s="33" t="s">
        <v>40</v>
      </c>
      <c r="K1518" s="33" t="s">
        <v>41</v>
      </c>
      <c r="L1518" s="33">
        <v>5</v>
      </c>
    </row>
    <row r="1519" spans="1:12" hidden="1" x14ac:dyDescent="0.3">
      <c r="A1519" s="39">
        <v>46066.478634259256</v>
      </c>
      <c r="B1519" s="33" t="s">
        <v>43</v>
      </c>
      <c r="C1519" s="33">
        <v>4436351818</v>
      </c>
      <c r="E1519" s="33">
        <v>8</v>
      </c>
      <c r="F1519" s="33">
        <v>0</v>
      </c>
      <c r="G1519" s="33" t="s">
        <v>47</v>
      </c>
      <c r="H1519" s="33" t="s">
        <v>5807</v>
      </c>
      <c r="I1519" s="33" t="s">
        <v>46</v>
      </c>
      <c r="J1519" s="33" t="s">
        <v>40</v>
      </c>
    </row>
    <row r="1520" spans="1:12" hidden="1" x14ac:dyDescent="0.3">
      <c r="A1520" s="39">
        <v>46066.478541666664</v>
      </c>
      <c r="B1520" s="33" t="s">
        <v>43</v>
      </c>
      <c r="C1520" s="33">
        <v>4436351818</v>
      </c>
      <c r="E1520" s="33">
        <v>6</v>
      </c>
      <c r="F1520" s="33">
        <v>0</v>
      </c>
      <c r="G1520" s="33" t="s">
        <v>47</v>
      </c>
      <c r="H1520" s="33" t="s">
        <v>5808</v>
      </c>
      <c r="I1520" s="33" t="s">
        <v>46</v>
      </c>
      <c r="J1520" s="33" t="s">
        <v>40</v>
      </c>
    </row>
    <row r="1521" spans="1:12" hidden="1" x14ac:dyDescent="0.3">
      <c r="A1521" s="39">
        <v>46066.478217592594</v>
      </c>
      <c r="B1521" s="33" t="s">
        <v>3627</v>
      </c>
      <c r="C1521" s="33">
        <v>45999171405</v>
      </c>
      <c r="E1521" s="33">
        <v>32</v>
      </c>
      <c r="F1521" s="33">
        <v>0</v>
      </c>
      <c r="G1521" s="33" t="s">
        <v>47</v>
      </c>
      <c r="H1521" s="33" t="s">
        <v>5809</v>
      </c>
      <c r="I1521" s="33" t="s">
        <v>46</v>
      </c>
      <c r="J1521" s="33" t="s">
        <v>3629</v>
      </c>
    </row>
    <row r="1522" spans="1:12" hidden="1" x14ac:dyDescent="0.3">
      <c r="A1522" s="39">
        <v>46066.478032407409</v>
      </c>
      <c r="B1522" s="33">
        <v>4432325260</v>
      </c>
      <c r="C1522" s="33" t="s">
        <v>43</v>
      </c>
      <c r="D1522" s="33">
        <v>4430265054</v>
      </c>
      <c r="E1522" s="33">
        <v>243</v>
      </c>
      <c r="F1522" s="33">
        <v>151</v>
      </c>
      <c r="G1522" s="33" t="s">
        <v>38</v>
      </c>
      <c r="H1522" s="33" t="s">
        <v>4250</v>
      </c>
      <c r="I1522" s="33" t="s">
        <v>39</v>
      </c>
      <c r="J1522" s="33" t="s">
        <v>40</v>
      </c>
      <c r="K1522" s="33" t="s">
        <v>41</v>
      </c>
    </row>
    <row r="1523" spans="1:12" hidden="1" x14ac:dyDescent="0.3">
      <c r="A1523" s="39">
        <v>46066.477025462962</v>
      </c>
      <c r="B1523" s="33" t="s">
        <v>3627</v>
      </c>
      <c r="C1523" s="33">
        <v>34997785140</v>
      </c>
      <c r="E1523" s="33">
        <v>44</v>
      </c>
      <c r="F1523" s="33">
        <v>0</v>
      </c>
      <c r="G1523" s="33" t="s">
        <v>47</v>
      </c>
      <c r="H1523" s="33" t="s">
        <v>5810</v>
      </c>
      <c r="I1523" s="33" t="s">
        <v>46</v>
      </c>
      <c r="J1523" s="33" t="s">
        <v>3629</v>
      </c>
    </row>
    <row r="1524" spans="1:12" hidden="1" x14ac:dyDescent="0.3">
      <c r="A1524" s="39">
        <v>46066.476354166669</v>
      </c>
      <c r="B1524" s="33" t="s">
        <v>3627</v>
      </c>
      <c r="C1524" s="33">
        <v>34999971000</v>
      </c>
      <c r="E1524" s="33">
        <v>32</v>
      </c>
      <c r="F1524" s="33">
        <v>0</v>
      </c>
      <c r="G1524" s="33" t="s">
        <v>47</v>
      </c>
      <c r="H1524" s="33" t="s">
        <v>5811</v>
      </c>
      <c r="I1524" s="33" t="s">
        <v>46</v>
      </c>
      <c r="J1524" s="33" t="s">
        <v>3629</v>
      </c>
    </row>
    <row r="1525" spans="1:12" hidden="1" x14ac:dyDescent="0.3">
      <c r="A1525" s="39">
        <v>46066.474710648145</v>
      </c>
      <c r="B1525" s="33" t="s">
        <v>3627</v>
      </c>
      <c r="C1525" s="33">
        <v>67991940344</v>
      </c>
      <c r="E1525" s="33">
        <v>16</v>
      </c>
      <c r="F1525" s="33">
        <v>0</v>
      </c>
      <c r="G1525" s="33" t="s">
        <v>47</v>
      </c>
      <c r="H1525" s="33" t="s">
        <v>5812</v>
      </c>
      <c r="I1525" s="33" t="s">
        <v>46</v>
      </c>
      <c r="J1525" s="33" t="s">
        <v>3629</v>
      </c>
    </row>
    <row r="1526" spans="1:12" hidden="1" x14ac:dyDescent="0.3">
      <c r="A1526" s="39">
        <v>46066.473912037036</v>
      </c>
      <c r="B1526" s="33" t="s">
        <v>3627</v>
      </c>
      <c r="C1526" s="33">
        <v>63992108100</v>
      </c>
      <c r="E1526" s="33">
        <v>16</v>
      </c>
      <c r="F1526" s="33">
        <v>6</v>
      </c>
      <c r="G1526" s="33" t="s">
        <v>38</v>
      </c>
      <c r="H1526" s="33" t="s">
        <v>5813</v>
      </c>
      <c r="I1526" s="33" t="s">
        <v>46</v>
      </c>
      <c r="J1526" s="33" t="s">
        <v>3629</v>
      </c>
    </row>
    <row r="1527" spans="1:12" hidden="1" x14ac:dyDescent="0.3">
      <c r="A1527" s="39">
        <v>46066.472766203704</v>
      </c>
      <c r="B1527" s="33">
        <v>44984361000</v>
      </c>
      <c r="C1527" s="33" t="s">
        <v>45</v>
      </c>
      <c r="D1527" s="33">
        <v>4430265054</v>
      </c>
      <c r="E1527" s="33">
        <v>955</v>
      </c>
      <c r="F1527" s="33">
        <v>930</v>
      </c>
      <c r="G1527" s="33" t="s">
        <v>38</v>
      </c>
      <c r="H1527" s="33" t="s">
        <v>4251</v>
      </c>
      <c r="I1527" s="33" t="s">
        <v>39</v>
      </c>
      <c r="J1527" s="33" t="s">
        <v>40</v>
      </c>
      <c r="K1527" s="33" t="s">
        <v>41</v>
      </c>
      <c r="L1527" s="33">
        <v>5</v>
      </c>
    </row>
    <row r="1528" spans="1:12" hidden="1" x14ac:dyDescent="0.3">
      <c r="A1528" s="39">
        <v>46066.472384259258</v>
      </c>
      <c r="B1528" s="33" t="s">
        <v>3627</v>
      </c>
      <c r="C1528" s="33">
        <v>2121114151</v>
      </c>
      <c r="E1528" s="33">
        <v>29</v>
      </c>
      <c r="F1528" s="33">
        <v>0</v>
      </c>
      <c r="G1528" s="33" t="s">
        <v>47</v>
      </c>
      <c r="H1528" s="33" t="s">
        <v>5814</v>
      </c>
      <c r="I1528" s="33" t="s">
        <v>46</v>
      </c>
      <c r="J1528" s="33" t="s">
        <v>3629</v>
      </c>
    </row>
    <row r="1529" spans="1:12" hidden="1" x14ac:dyDescent="0.3">
      <c r="A1529" s="39">
        <v>46066.470324074071</v>
      </c>
      <c r="B1529" s="33">
        <v>16997190170</v>
      </c>
      <c r="C1529" s="33" t="s">
        <v>42</v>
      </c>
      <c r="D1529" s="33">
        <v>4430265054</v>
      </c>
      <c r="E1529" s="33">
        <v>2594</v>
      </c>
      <c r="F1529" s="33">
        <v>2480</v>
      </c>
      <c r="G1529" s="33" t="s">
        <v>38</v>
      </c>
      <c r="H1529" s="33" t="s">
        <v>4252</v>
      </c>
      <c r="I1529" s="33" t="s">
        <v>39</v>
      </c>
      <c r="J1529" s="33" t="s">
        <v>40</v>
      </c>
      <c r="K1529" s="33" t="s">
        <v>41</v>
      </c>
    </row>
    <row r="1530" spans="1:12" hidden="1" x14ac:dyDescent="0.3">
      <c r="A1530" s="39">
        <v>46066.470196759263</v>
      </c>
      <c r="B1530" s="33" t="s">
        <v>3627</v>
      </c>
      <c r="C1530" s="33">
        <v>21982346392</v>
      </c>
      <c r="E1530" s="33">
        <v>20</v>
      </c>
      <c r="F1530" s="33">
        <v>0</v>
      </c>
      <c r="G1530" s="33" t="s">
        <v>47</v>
      </c>
      <c r="H1530" s="33" t="s">
        <v>5815</v>
      </c>
      <c r="I1530" s="33" t="s">
        <v>46</v>
      </c>
      <c r="J1530" s="33" t="s">
        <v>3629</v>
      </c>
    </row>
    <row r="1531" spans="1:12" hidden="1" x14ac:dyDescent="0.3">
      <c r="A1531" s="39">
        <v>46066.465995370374</v>
      </c>
      <c r="B1531" s="33" t="s">
        <v>43</v>
      </c>
      <c r="C1531" s="33">
        <v>4436351818</v>
      </c>
      <c r="E1531" s="33">
        <v>2</v>
      </c>
      <c r="F1531" s="33">
        <v>0</v>
      </c>
      <c r="G1531" s="33" t="s">
        <v>47</v>
      </c>
      <c r="H1531" s="33" t="s">
        <v>5816</v>
      </c>
      <c r="I1531" s="33" t="s">
        <v>46</v>
      </c>
      <c r="J1531" s="33" t="s">
        <v>40</v>
      </c>
    </row>
    <row r="1532" spans="1:12" hidden="1" x14ac:dyDescent="0.3">
      <c r="A1532" s="39">
        <v>46066.465914351851</v>
      </c>
      <c r="B1532" s="33" t="s">
        <v>43</v>
      </c>
      <c r="C1532" s="33">
        <v>4436351818</v>
      </c>
      <c r="E1532" s="33">
        <v>6</v>
      </c>
      <c r="F1532" s="33">
        <v>0</v>
      </c>
      <c r="G1532" s="33" t="s">
        <v>47</v>
      </c>
      <c r="H1532" s="33" t="s">
        <v>5817</v>
      </c>
      <c r="I1532" s="33" t="s">
        <v>46</v>
      </c>
      <c r="J1532" s="33" t="s">
        <v>40</v>
      </c>
    </row>
    <row r="1533" spans="1:12" hidden="1" x14ac:dyDescent="0.3">
      <c r="A1533" s="39">
        <v>46066.463634259257</v>
      </c>
      <c r="B1533" s="33">
        <v>4430145899</v>
      </c>
      <c r="C1533" s="33" t="s">
        <v>45</v>
      </c>
      <c r="D1533" s="33">
        <v>4430265054</v>
      </c>
      <c r="E1533" s="33">
        <v>206</v>
      </c>
      <c r="F1533" s="33">
        <v>186</v>
      </c>
      <c r="G1533" s="33" t="s">
        <v>38</v>
      </c>
      <c r="H1533" s="33" t="s">
        <v>4253</v>
      </c>
      <c r="I1533" s="33" t="s">
        <v>39</v>
      </c>
      <c r="J1533" s="33" t="s">
        <v>40</v>
      </c>
      <c r="K1533" s="33" t="s">
        <v>41</v>
      </c>
      <c r="L1533" s="33">
        <v>5</v>
      </c>
    </row>
    <row r="1534" spans="1:12" hidden="1" x14ac:dyDescent="0.3">
      <c r="A1534" s="39">
        <v>46066.461851851855</v>
      </c>
      <c r="B1534" s="33">
        <v>41999865917</v>
      </c>
      <c r="C1534" s="33" t="s">
        <v>43</v>
      </c>
      <c r="D1534" s="33">
        <v>4430265054</v>
      </c>
      <c r="E1534" s="33">
        <v>312</v>
      </c>
      <c r="F1534" s="33">
        <v>252</v>
      </c>
      <c r="G1534" s="33" t="s">
        <v>38</v>
      </c>
      <c r="H1534" s="33" t="s">
        <v>4254</v>
      </c>
      <c r="I1534" s="33" t="s">
        <v>39</v>
      </c>
      <c r="J1534" s="33" t="s">
        <v>40</v>
      </c>
      <c r="K1534" s="33" t="s">
        <v>41</v>
      </c>
    </row>
    <row r="1535" spans="1:12" hidden="1" x14ac:dyDescent="0.3">
      <c r="A1535" s="39">
        <v>46066.460300925923</v>
      </c>
      <c r="B1535" s="33">
        <v>44991388221</v>
      </c>
      <c r="C1535" s="33" t="s">
        <v>42</v>
      </c>
      <c r="D1535" s="33">
        <v>4430265054</v>
      </c>
      <c r="E1535" s="33">
        <v>609</v>
      </c>
      <c r="F1535" s="33">
        <v>514</v>
      </c>
      <c r="G1535" s="33" t="s">
        <v>38</v>
      </c>
      <c r="H1535" s="33" t="s">
        <v>4255</v>
      </c>
      <c r="I1535" s="33" t="s">
        <v>39</v>
      </c>
      <c r="J1535" s="33" t="s">
        <v>40</v>
      </c>
      <c r="K1535" s="33" t="s">
        <v>41</v>
      </c>
    </row>
    <row r="1536" spans="1:12" hidden="1" x14ac:dyDescent="0.3">
      <c r="A1536" s="39">
        <v>46066.454409722224</v>
      </c>
      <c r="B1536" s="33">
        <v>4430315826</v>
      </c>
      <c r="C1536" s="33" t="s">
        <v>45</v>
      </c>
      <c r="D1536" s="33">
        <v>4430265054</v>
      </c>
      <c r="E1536" s="33">
        <v>554</v>
      </c>
      <c r="F1536" s="33">
        <v>534</v>
      </c>
      <c r="G1536" s="33" t="s">
        <v>38</v>
      </c>
      <c r="H1536" s="33" t="s">
        <v>4256</v>
      </c>
      <c r="I1536" s="33" t="s">
        <v>39</v>
      </c>
      <c r="J1536" s="33" t="s">
        <v>40</v>
      </c>
      <c r="K1536" s="33" t="s">
        <v>41</v>
      </c>
    </row>
    <row r="1537" spans="1:12" hidden="1" x14ac:dyDescent="0.3">
      <c r="A1537" s="39">
        <v>46066.453634259262</v>
      </c>
      <c r="B1537" s="33" t="s">
        <v>3627</v>
      </c>
      <c r="C1537" s="33">
        <v>3125156304</v>
      </c>
      <c r="E1537" s="33">
        <v>5</v>
      </c>
      <c r="F1537" s="33">
        <v>0</v>
      </c>
      <c r="G1537" s="33" t="s">
        <v>47</v>
      </c>
      <c r="H1537" s="33" t="s">
        <v>5818</v>
      </c>
      <c r="I1537" s="33" t="s">
        <v>46</v>
      </c>
      <c r="J1537" s="33" t="s">
        <v>3629</v>
      </c>
    </row>
    <row r="1538" spans="1:12" hidden="1" x14ac:dyDescent="0.3">
      <c r="A1538" s="39">
        <v>46066.453506944446</v>
      </c>
      <c r="B1538" s="33">
        <v>4532541802</v>
      </c>
      <c r="C1538" s="33" t="s">
        <v>43</v>
      </c>
      <c r="D1538" s="33">
        <v>4430265054</v>
      </c>
      <c r="E1538" s="33">
        <v>744</v>
      </c>
      <c r="F1538" s="33">
        <v>655</v>
      </c>
      <c r="G1538" s="33" t="s">
        <v>38</v>
      </c>
      <c r="H1538" s="33" t="s">
        <v>4257</v>
      </c>
      <c r="I1538" s="33" t="s">
        <v>39</v>
      </c>
      <c r="J1538" s="33" t="s">
        <v>40</v>
      </c>
      <c r="K1538" s="33" t="s">
        <v>41</v>
      </c>
    </row>
    <row r="1539" spans="1:12" hidden="1" x14ac:dyDescent="0.3">
      <c r="A1539" s="39">
        <v>46066.448738425926</v>
      </c>
      <c r="B1539" s="33">
        <v>42999820593</v>
      </c>
      <c r="C1539" s="33" t="s">
        <v>37</v>
      </c>
      <c r="D1539" s="33">
        <v>4430265054</v>
      </c>
      <c r="E1539" s="33">
        <v>1381</v>
      </c>
      <c r="F1539" s="33">
        <v>1360</v>
      </c>
      <c r="G1539" s="33" t="s">
        <v>38</v>
      </c>
      <c r="H1539" s="33" t="s">
        <v>4258</v>
      </c>
      <c r="I1539" s="33" t="s">
        <v>39</v>
      </c>
      <c r="J1539" s="33" t="s">
        <v>40</v>
      </c>
      <c r="K1539" s="33" t="s">
        <v>41</v>
      </c>
      <c r="L1539" s="33">
        <v>3</v>
      </c>
    </row>
    <row r="1540" spans="1:12" hidden="1" x14ac:dyDescent="0.3">
      <c r="A1540" s="39">
        <v>46066.447777777779</v>
      </c>
      <c r="B1540" s="33" t="s">
        <v>48</v>
      </c>
      <c r="C1540" s="33">
        <v>4436311970</v>
      </c>
      <c r="E1540" s="33">
        <v>694</v>
      </c>
      <c r="F1540" s="33">
        <v>685</v>
      </c>
      <c r="G1540" s="33" t="s">
        <v>38</v>
      </c>
      <c r="H1540" s="33" t="s">
        <v>5819</v>
      </c>
      <c r="I1540" s="33" t="s">
        <v>46</v>
      </c>
      <c r="J1540" s="33" t="s">
        <v>40</v>
      </c>
    </row>
    <row r="1541" spans="1:12" hidden="1" x14ac:dyDescent="0.3">
      <c r="A1541" s="39">
        <v>46066.44736111111</v>
      </c>
      <c r="B1541" s="33" t="s">
        <v>3627</v>
      </c>
      <c r="C1541" s="33">
        <v>19991588801</v>
      </c>
      <c r="E1541" s="33">
        <v>23</v>
      </c>
      <c r="F1541" s="33">
        <v>1</v>
      </c>
      <c r="G1541" s="33" t="s">
        <v>38</v>
      </c>
      <c r="H1541" s="33" t="s">
        <v>5820</v>
      </c>
      <c r="I1541" s="33" t="s">
        <v>46</v>
      </c>
      <c r="J1541" s="33" t="s">
        <v>3629</v>
      </c>
    </row>
    <row r="1542" spans="1:12" hidden="1" x14ac:dyDescent="0.3">
      <c r="A1542" s="39">
        <v>46066.439236111109</v>
      </c>
      <c r="B1542" s="33" t="s">
        <v>45</v>
      </c>
      <c r="C1542" s="33">
        <v>44988303530</v>
      </c>
      <c r="E1542" s="33">
        <v>148</v>
      </c>
      <c r="F1542" s="33">
        <v>132</v>
      </c>
      <c r="G1542" s="33" t="s">
        <v>38</v>
      </c>
      <c r="H1542" s="33" t="s">
        <v>5821</v>
      </c>
      <c r="I1542" s="33" t="s">
        <v>46</v>
      </c>
      <c r="J1542" s="33" t="s">
        <v>40</v>
      </c>
    </row>
    <row r="1543" spans="1:12" hidden="1" x14ac:dyDescent="0.3">
      <c r="A1543" s="39">
        <v>46066.439074074071</v>
      </c>
      <c r="B1543" s="33" t="s">
        <v>45</v>
      </c>
      <c r="C1543" s="33">
        <v>44988303530</v>
      </c>
      <c r="E1543" s="33">
        <v>5</v>
      </c>
      <c r="F1543" s="33">
        <v>0</v>
      </c>
      <c r="G1543" s="33" t="s">
        <v>47</v>
      </c>
      <c r="H1543" s="33" t="s">
        <v>5822</v>
      </c>
      <c r="I1543" s="33" t="s">
        <v>46</v>
      </c>
      <c r="J1543" s="33" t="s">
        <v>40</v>
      </c>
    </row>
    <row r="1544" spans="1:12" hidden="1" x14ac:dyDescent="0.3">
      <c r="A1544" s="39">
        <v>46066.438981481479</v>
      </c>
      <c r="B1544" s="33">
        <v>2222100098</v>
      </c>
      <c r="C1544" s="33" t="s">
        <v>37</v>
      </c>
      <c r="D1544" s="33">
        <v>4430265054</v>
      </c>
      <c r="E1544" s="33">
        <v>268</v>
      </c>
      <c r="F1544" s="33">
        <v>205</v>
      </c>
      <c r="G1544" s="33" t="s">
        <v>38</v>
      </c>
      <c r="H1544" s="33" t="s">
        <v>4259</v>
      </c>
      <c r="I1544" s="33" t="s">
        <v>39</v>
      </c>
      <c r="J1544" s="33" t="s">
        <v>40</v>
      </c>
      <c r="K1544" s="33" t="s">
        <v>41</v>
      </c>
    </row>
    <row r="1545" spans="1:12" hidden="1" x14ac:dyDescent="0.3">
      <c r="A1545" s="39">
        <v>46066.43891203704</v>
      </c>
      <c r="B1545" s="33" t="s">
        <v>45</v>
      </c>
      <c r="C1545" s="33">
        <v>44988303530</v>
      </c>
      <c r="E1545" s="33">
        <v>3</v>
      </c>
      <c r="F1545" s="33">
        <v>0</v>
      </c>
      <c r="G1545" s="33" t="s">
        <v>47</v>
      </c>
      <c r="H1545" s="33" t="s">
        <v>5823</v>
      </c>
      <c r="I1545" s="33" t="s">
        <v>46</v>
      </c>
      <c r="J1545" s="33" t="s">
        <v>40</v>
      </c>
    </row>
    <row r="1546" spans="1:12" hidden="1" x14ac:dyDescent="0.3">
      <c r="A1546" s="39">
        <v>46066.438611111109</v>
      </c>
      <c r="B1546" s="33">
        <v>44984361000</v>
      </c>
      <c r="C1546" s="33" t="s">
        <v>43</v>
      </c>
      <c r="D1546" s="33">
        <v>4430265054</v>
      </c>
      <c r="E1546" s="33">
        <v>276</v>
      </c>
      <c r="F1546" s="33">
        <v>256</v>
      </c>
      <c r="G1546" s="33" t="s">
        <v>38</v>
      </c>
      <c r="H1546" s="33" t="s">
        <v>4260</v>
      </c>
      <c r="I1546" s="33" t="s">
        <v>39</v>
      </c>
      <c r="J1546" s="33" t="s">
        <v>40</v>
      </c>
      <c r="K1546" s="33" t="s">
        <v>41</v>
      </c>
    </row>
    <row r="1547" spans="1:12" hidden="1" x14ac:dyDescent="0.3">
      <c r="A1547" s="39">
        <v>46066.438310185185</v>
      </c>
      <c r="B1547" s="33">
        <v>44997650834</v>
      </c>
      <c r="C1547" s="33" t="s">
        <v>42</v>
      </c>
      <c r="D1547" s="33">
        <v>4430265054</v>
      </c>
      <c r="E1547" s="33">
        <v>1343</v>
      </c>
      <c r="F1547" s="33">
        <v>1318</v>
      </c>
      <c r="G1547" s="33" t="s">
        <v>38</v>
      </c>
      <c r="H1547" s="33" t="s">
        <v>4261</v>
      </c>
      <c r="I1547" s="33" t="s">
        <v>39</v>
      </c>
      <c r="J1547" s="33" t="s">
        <v>40</v>
      </c>
      <c r="K1547" s="33" t="s">
        <v>41</v>
      </c>
    </row>
    <row r="1548" spans="1:12" hidden="1" x14ac:dyDescent="0.3">
      <c r="A1548" s="39">
        <v>46066.435648148145</v>
      </c>
      <c r="B1548" s="33">
        <v>4430468254</v>
      </c>
      <c r="C1548" s="33" t="s">
        <v>48</v>
      </c>
      <c r="D1548" s="33">
        <v>4430265054</v>
      </c>
      <c r="E1548" s="33">
        <v>244</v>
      </c>
      <c r="F1548" s="33">
        <v>192</v>
      </c>
      <c r="G1548" s="33" t="s">
        <v>38</v>
      </c>
      <c r="H1548" s="33" t="s">
        <v>4262</v>
      </c>
      <c r="I1548" s="33" t="s">
        <v>39</v>
      </c>
      <c r="J1548" s="33" t="s">
        <v>40</v>
      </c>
      <c r="K1548" s="33" t="s">
        <v>41</v>
      </c>
    </row>
    <row r="1549" spans="1:12" hidden="1" x14ac:dyDescent="0.3">
      <c r="A1549" s="39">
        <v>46066.435358796298</v>
      </c>
      <c r="B1549" s="33">
        <v>44984140993</v>
      </c>
      <c r="C1549" s="33" t="s">
        <v>44</v>
      </c>
      <c r="D1549" s="33">
        <v>4430265054</v>
      </c>
      <c r="E1549" s="33">
        <v>1132</v>
      </c>
      <c r="F1549" s="33">
        <v>1040</v>
      </c>
      <c r="G1549" s="33" t="s">
        <v>38</v>
      </c>
      <c r="H1549" s="33" t="s">
        <v>4263</v>
      </c>
      <c r="I1549" s="33" t="s">
        <v>39</v>
      </c>
      <c r="J1549" s="33" t="s">
        <v>40</v>
      </c>
      <c r="K1549" s="33" t="s">
        <v>41</v>
      </c>
    </row>
    <row r="1550" spans="1:12" hidden="1" x14ac:dyDescent="0.3">
      <c r="A1550" s="39">
        <v>46066.434745370374</v>
      </c>
      <c r="B1550" s="33">
        <v>44984140993</v>
      </c>
      <c r="C1550" s="33">
        <v>4430265054</v>
      </c>
      <c r="D1550" s="33">
        <v>4430265054</v>
      </c>
      <c r="E1550" s="33">
        <v>19</v>
      </c>
      <c r="F1550" s="33">
        <v>18</v>
      </c>
      <c r="G1550" s="33" t="s">
        <v>3449</v>
      </c>
      <c r="H1550" s="33" t="s">
        <v>5824</v>
      </c>
      <c r="I1550" s="33" t="s">
        <v>39</v>
      </c>
      <c r="J1550" s="33" t="s">
        <v>3451</v>
      </c>
    </row>
    <row r="1551" spans="1:12" hidden="1" x14ac:dyDescent="0.3">
      <c r="A1551" s="39">
        <v>46066.43310185185</v>
      </c>
      <c r="B1551" s="33">
        <v>44984580581</v>
      </c>
      <c r="C1551" s="33" t="s">
        <v>37</v>
      </c>
      <c r="D1551" s="33">
        <v>4430265054</v>
      </c>
      <c r="E1551" s="33">
        <v>383</v>
      </c>
      <c r="F1551" s="33">
        <v>270</v>
      </c>
      <c r="G1551" s="33" t="s">
        <v>38</v>
      </c>
      <c r="H1551" s="33" t="s">
        <v>4264</v>
      </c>
      <c r="I1551" s="33" t="s">
        <v>39</v>
      </c>
      <c r="J1551" s="33" t="s">
        <v>40</v>
      </c>
      <c r="K1551" s="33" t="s">
        <v>41</v>
      </c>
      <c r="L1551" s="33">
        <v>5</v>
      </c>
    </row>
    <row r="1552" spans="1:12" hidden="1" x14ac:dyDescent="0.3">
      <c r="A1552" s="39">
        <v>46066.432812500003</v>
      </c>
      <c r="B1552" s="33">
        <v>4430468254</v>
      </c>
      <c r="C1552" s="33">
        <v>4430265054</v>
      </c>
      <c r="D1552" s="33">
        <v>4430265054</v>
      </c>
      <c r="E1552" s="33">
        <v>66</v>
      </c>
      <c r="F1552" s="33">
        <v>66</v>
      </c>
      <c r="G1552" s="33" t="s">
        <v>3449</v>
      </c>
      <c r="H1552" s="33" t="s">
        <v>4265</v>
      </c>
      <c r="I1552" s="33" t="s">
        <v>39</v>
      </c>
      <c r="J1552" s="33" t="s">
        <v>3451</v>
      </c>
      <c r="K1552" s="33" t="s">
        <v>41</v>
      </c>
    </row>
    <row r="1553" spans="1:12" hidden="1" x14ac:dyDescent="0.3">
      <c r="A1553" s="39">
        <v>46066.432673611111</v>
      </c>
      <c r="B1553" s="33">
        <v>44984361000</v>
      </c>
      <c r="C1553" s="33" t="s">
        <v>43</v>
      </c>
      <c r="D1553" s="33">
        <v>4430265054</v>
      </c>
      <c r="E1553" s="33">
        <v>482</v>
      </c>
      <c r="F1553" s="33">
        <v>389</v>
      </c>
      <c r="G1553" s="33" t="s">
        <v>38</v>
      </c>
      <c r="H1553" s="33" t="s">
        <v>4266</v>
      </c>
      <c r="I1553" s="33" t="s">
        <v>39</v>
      </c>
      <c r="J1553" s="33" t="s">
        <v>40</v>
      </c>
      <c r="K1553" s="33" t="s">
        <v>41</v>
      </c>
    </row>
    <row r="1554" spans="1:12" hidden="1" x14ac:dyDescent="0.3">
      <c r="A1554" s="39">
        <v>46066.43167824074</v>
      </c>
      <c r="B1554" s="33">
        <v>4430468254</v>
      </c>
      <c r="C1554" s="33" t="s">
        <v>42</v>
      </c>
      <c r="D1554" s="33">
        <v>4430265054</v>
      </c>
      <c r="E1554" s="33">
        <v>67</v>
      </c>
      <c r="F1554" s="33">
        <v>29</v>
      </c>
      <c r="G1554" s="33" t="s">
        <v>38</v>
      </c>
      <c r="H1554" s="33" t="s">
        <v>4267</v>
      </c>
      <c r="I1554" s="33" t="s">
        <v>39</v>
      </c>
      <c r="J1554" s="33" t="s">
        <v>40</v>
      </c>
      <c r="K1554" s="33" t="s">
        <v>41</v>
      </c>
    </row>
    <row r="1555" spans="1:12" x14ac:dyDescent="0.3">
      <c r="A1555" s="39">
        <v>46066.429699074077</v>
      </c>
      <c r="B1555" s="33">
        <v>11965990735</v>
      </c>
      <c r="C1555" s="33" t="s">
        <v>44</v>
      </c>
      <c r="D1555" s="33">
        <v>4430265054</v>
      </c>
      <c r="E1555" s="33">
        <v>446</v>
      </c>
      <c r="F1555" s="33">
        <v>387</v>
      </c>
      <c r="G1555" s="33" t="s">
        <v>38</v>
      </c>
      <c r="H1555" s="33" t="s">
        <v>4268</v>
      </c>
      <c r="I1555" s="33" t="s">
        <v>39</v>
      </c>
      <c r="J1555" s="33" t="s">
        <v>40</v>
      </c>
      <c r="K1555" s="33" t="s">
        <v>41</v>
      </c>
      <c r="L1555" s="33">
        <v>5</v>
      </c>
    </row>
    <row r="1556" spans="1:12" hidden="1" x14ac:dyDescent="0.3">
      <c r="A1556" s="39">
        <v>46066.42900462963</v>
      </c>
      <c r="B1556" s="33">
        <v>4330261969</v>
      </c>
      <c r="C1556" s="33" t="s">
        <v>48</v>
      </c>
      <c r="D1556" s="33">
        <v>4430265054</v>
      </c>
      <c r="E1556" s="33">
        <v>297</v>
      </c>
      <c r="F1556" s="33">
        <v>241</v>
      </c>
      <c r="G1556" s="33" t="s">
        <v>38</v>
      </c>
      <c r="H1556" s="33" t="s">
        <v>4269</v>
      </c>
      <c r="I1556" s="33" t="s">
        <v>39</v>
      </c>
      <c r="J1556" s="33" t="s">
        <v>40</v>
      </c>
      <c r="K1556" s="33" t="s">
        <v>41</v>
      </c>
    </row>
    <row r="1557" spans="1:12" hidden="1" x14ac:dyDescent="0.3">
      <c r="A1557" s="39">
        <v>46066.427361111113</v>
      </c>
      <c r="B1557" s="33">
        <v>4430346845</v>
      </c>
      <c r="C1557" s="33" t="s">
        <v>37</v>
      </c>
      <c r="D1557" s="33">
        <v>4430265054</v>
      </c>
      <c r="E1557" s="33">
        <v>456</v>
      </c>
      <c r="F1557" s="33">
        <v>283</v>
      </c>
      <c r="G1557" s="33" t="s">
        <v>38</v>
      </c>
      <c r="H1557" s="33" t="s">
        <v>4270</v>
      </c>
      <c r="I1557" s="33" t="s">
        <v>39</v>
      </c>
      <c r="J1557" s="33" t="s">
        <v>40</v>
      </c>
      <c r="K1557" s="33" t="s">
        <v>41</v>
      </c>
    </row>
    <row r="1558" spans="1:12" hidden="1" x14ac:dyDescent="0.3">
      <c r="A1558" s="39">
        <v>46066.427222222221</v>
      </c>
      <c r="B1558" s="33" t="s">
        <v>44</v>
      </c>
      <c r="C1558" s="33">
        <v>1131515685</v>
      </c>
      <c r="E1558" s="33">
        <v>61</v>
      </c>
      <c r="F1558" s="33">
        <v>0</v>
      </c>
      <c r="G1558" s="33" t="s">
        <v>47</v>
      </c>
      <c r="H1558" s="33" t="s">
        <v>5825</v>
      </c>
      <c r="I1558" s="33" t="s">
        <v>46</v>
      </c>
      <c r="J1558" s="33" t="s">
        <v>40</v>
      </c>
    </row>
    <row r="1559" spans="1:12" hidden="1" x14ac:dyDescent="0.3">
      <c r="A1559" s="39">
        <v>46066.425821759258</v>
      </c>
      <c r="B1559" s="33">
        <v>67996356530</v>
      </c>
      <c r="C1559" s="33" t="s">
        <v>43</v>
      </c>
      <c r="D1559" s="33">
        <v>4430265054</v>
      </c>
      <c r="E1559" s="33">
        <v>547</v>
      </c>
      <c r="F1559" s="33">
        <v>506</v>
      </c>
      <c r="G1559" s="33" t="s">
        <v>38</v>
      </c>
      <c r="H1559" s="33" t="s">
        <v>4271</v>
      </c>
      <c r="I1559" s="33" t="s">
        <v>39</v>
      </c>
      <c r="J1559" s="33" t="s">
        <v>40</v>
      </c>
      <c r="K1559" s="33" t="s">
        <v>41</v>
      </c>
      <c r="L1559" s="33">
        <v>5</v>
      </c>
    </row>
    <row r="1560" spans="1:12" hidden="1" x14ac:dyDescent="0.3">
      <c r="A1560" s="39">
        <v>46066.422835648147</v>
      </c>
      <c r="B1560" s="33">
        <v>1128787060</v>
      </c>
      <c r="C1560" s="33">
        <v>3000</v>
      </c>
      <c r="D1560" s="33">
        <v>4430265054</v>
      </c>
      <c r="E1560" s="33">
        <v>197</v>
      </c>
      <c r="F1560" s="33">
        <v>146</v>
      </c>
      <c r="G1560" s="33" t="s">
        <v>38</v>
      </c>
      <c r="H1560" s="33" t="s">
        <v>4272</v>
      </c>
      <c r="I1560" s="33" t="s">
        <v>39</v>
      </c>
      <c r="J1560" s="33" t="s">
        <v>3451</v>
      </c>
      <c r="K1560" s="33" t="s">
        <v>41</v>
      </c>
    </row>
    <row r="1561" spans="1:12" hidden="1" x14ac:dyDescent="0.3">
      <c r="A1561" s="39">
        <v>46066.420798611114</v>
      </c>
      <c r="B1561" s="33">
        <v>44988303530</v>
      </c>
      <c r="C1561" s="33" t="s">
        <v>45</v>
      </c>
      <c r="D1561" s="33">
        <v>4430265054</v>
      </c>
      <c r="E1561" s="33">
        <v>1258</v>
      </c>
      <c r="F1561" s="33">
        <v>1184</v>
      </c>
      <c r="G1561" s="33" t="s">
        <v>38</v>
      </c>
      <c r="H1561" s="33" t="s">
        <v>4273</v>
      </c>
      <c r="I1561" s="33" t="s">
        <v>39</v>
      </c>
      <c r="J1561" s="33" t="s">
        <v>40</v>
      </c>
      <c r="K1561" s="33" t="s">
        <v>41</v>
      </c>
    </row>
    <row r="1562" spans="1:12" hidden="1" x14ac:dyDescent="0.3">
      <c r="A1562" s="39">
        <v>46066.418541666666</v>
      </c>
      <c r="B1562" s="33">
        <v>6234347959</v>
      </c>
      <c r="C1562" s="33" t="s">
        <v>37</v>
      </c>
      <c r="D1562" s="33">
        <v>4430265054</v>
      </c>
      <c r="E1562" s="33">
        <v>797</v>
      </c>
      <c r="F1562" s="33">
        <v>716</v>
      </c>
      <c r="G1562" s="33" t="s">
        <v>38</v>
      </c>
      <c r="H1562" s="33" t="s">
        <v>4274</v>
      </c>
      <c r="I1562" s="33" t="s">
        <v>39</v>
      </c>
      <c r="J1562" s="33" t="s">
        <v>40</v>
      </c>
      <c r="K1562" s="33" t="s">
        <v>41</v>
      </c>
      <c r="L1562" s="33">
        <v>4</v>
      </c>
    </row>
    <row r="1563" spans="1:12" hidden="1" x14ac:dyDescent="0.3">
      <c r="A1563" s="39">
        <v>46066.416909722226</v>
      </c>
      <c r="B1563" s="33" t="s">
        <v>45</v>
      </c>
      <c r="C1563" s="33">
        <v>4430317020</v>
      </c>
      <c r="E1563" s="33">
        <v>2</v>
      </c>
      <c r="F1563" s="33">
        <v>0</v>
      </c>
      <c r="G1563" s="33" t="s">
        <v>47</v>
      </c>
      <c r="H1563" s="33" t="s">
        <v>5826</v>
      </c>
      <c r="I1563" s="33" t="s">
        <v>46</v>
      </c>
      <c r="J1563" s="33" t="s">
        <v>40</v>
      </c>
    </row>
    <row r="1564" spans="1:12" hidden="1" x14ac:dyDescent="0.3">
      <c r="A1564" s="39">
        <v>46066.411562499998</v>
      </c>
      <c r="B1564" s="33" t="s">
        <v>3627</v>
      </c>
      <c r="C1564" s="33">
        <v>47996355869</v>
      </c>
      <c r="E1564" s="33">
        <v>22</v>
      </c>
      <c r="F1564" s="33">
        <v>14</v>
      </c>
      <c r="G1564" s="33" t="s">
        <v>38</v>
      </c>
      <c r="H1564" s="33" t="s">
        <v>5827</v>
      </c>
      <c r="I1564" s="33" t="s">
        <v>46</v>
      </c>
      <c r="J1564" s="33" t="s">
        <v>3629</v>
      </c>
    </row>
    <row r="1565" spans="1:12" hidden="1" x14ac:dyDescent="0.3">
      <c r="A1565" s="39">
        <v>46066.411145833335</v>
      </c>
      <c r="B1565" s="33">
        <v>44999457840</v>
      </c>
      <c r="C1565" s="33" t="s">
        <v>37</v>
      </c>
      <c r="D1565" s="33">
        <v>4431268225</v>
      </c>
      <c r="E1565" s="33">
        <v>87</v>
      </c>
      <c r="F1565" s="33">
        <v>69</v>
      </c>
      <c r="G1565" s="33" t="s">
        <v>38</v>
      </c>
      <c r="H1565" s="33" t="s">
        <v>4275</v>
      </c>
      <c r="I1565" s="33" t="s">
        <v>39</v>
      </c>
      <c r="J1565" s="33" t="s">
        <v>40</v>
      </c>
      <c r="K1565" s="33" t="s">
        <v>41</v>
      </c>
    </row>
    <row r="1566" spans="1:12" hidden="1" x14ac:dyDescent="0.3">
      <c r="A1566" s="39">
        <v>46066.411087962966</v>
      </c>
      <c r="B1566" s="33" t="s">
        <v>3627</v>
      </c>
      <c r="C1566" s="33">
        <v>94984126431</v>
      </c>
      <c r="E1566" s="33">
        <v>17</v>
      </c>
      <c r="F1566" s="33">
        <v>0</v>
      </c>
      <c r="G1566" s="33" t="s">
        <v>47</v>
      </c>
      <c r="H1566" s="33" t="s">
        <v>5828</v>
      </c>
      <c r="I1566" s="33" t="s">
        <v>46</v>
      </c>
      <c r="J1566" s="33" t="s">
        <v>3629</v>
      </c>
    </row>
    <row r="1567" spans="1:12" hidden="1" x14ac:dyDescent="0.3">
      <c r="A1567" s="39">
        <v>46066.410775462966</v>
      </c>
      <c r="B1567" s="33" t="s">
        <v>3627</v>
      </c>
      <c r="C1567" s="33">
        <v>94984126431</v>
      </c>
      <c r="E1567" s="33">
        <v>26</v>
      </c>
      <c r="F1567" s="33">
        <v>0</v>
      </c>
      <c r="G1567" s="33" t="s">
        <v>47</v>
      </c>
      <c r="H1567" s="33" t="s">
        <v>5829</v>
      </c>
      <c r="I1567" s="33" t="s">
        <v>46</v>
      </c>
      <c r="J1567" s="33" t="s">
        <v>3629</v>
      </c>
    </row>
    <row r="1568" spans="1:12" hidden="1" x14ac:dyDescent="0.3">
      <c r="A1568" s="39">
        <v>46066.408692129633</v>
      </c>
      <c r="B1568" s="33" t="s">
        <v>3627</v>
      </c>
      <c r="C1568" s="33">
        <v>51999549305</v>
      </c>
      <c r="E1568" s="33">
        <v>22</v>
      </c>
      <c r="F1568" s="33">
        <v>13</v>
      </c>
      <c r="G1568" s="33" t="s">
        <v>38</v>
      </c>
      <c r="H1568" s="33" t="s">
        <v>5830</v>
      </c>
      <c r="I1568" s="33" t="s">
        <v>46</v>
      </c>
      <c r="J1568" s="33" t="s">
        <v>3629</v>
      </c>
    </row>
    <row r="1569" spans="1:11" hidden="1" x14ac:dyDescent="0.3">
      <c r="A1569" s="39">
        <v>46066.407129629632</v>
      </c>
      <c r="B1569" s="33" t="s">
        <v>45</v>
      </c>
      <c r="C1569" s="33">
        <v>4430317020</v>
      </c>
      <c r="E1569" s="33">
        <v>6</v>
      </c>
      <c r="F1569" s="33">
        <v>0</v>
      </c>
      <c r="G1569" s="33" t="s">
        <v>47</v>
      </c>
      <c r="H1569" s="33" t="s">
        <v>5831</v>
      </c>
      <c r="I1569" s="33" t="s">
        <v>46</v>
      </c>
      <c r="J1569" s="33" t="s">
        <v>40</v>
      </c>
    </row>
    <row r="1570" spans="1:11" hidden="1" x14ac:dyDescent="0.3">
      <c r="A1570" s="39">
        <v>46066.407013888886</v>
      </c>
      <c r="B1570" s="33" t="s">
        <v>45</v>
      </c>
      <c r="C1570" s="33">
        <v>4430315826</v>
      </c>
      <c r="E1570" s="33">
        <v>3</v>
      </c>
      <c r="F1570" s="33">
        <v>0</v>
      </c>
      <c r="G1570" s="33" t="s">
        <v>47</v>
      </c>
      <c r="H1570" s="33" t="s">
        <v>5832</v>
      </c>
      <c r="I1570" s="33" t="s">
        <v>46</v>
      </c>
      <c r="J1570" s="33" t="s">
        <v>40</v>
      </c>
    </row>
    <row r="1571" spans="1:11" hidden="1" x14ac:dyDescent="0.3">
      <c r="A1571" s="39">
        <v>46066.406840277778</v>
      </c>
      <c r="B1571" s="33" t="s">
        <v>45</v>
      </c>
      <c r="C1571" s="33">
        <v>4430315826</v>
      </c>
      <c r="E1571" s="33">
        <v>7</v>
      </c>
      <c r="F1571" s="33">
        <v>0</v>
      </c>
      <c r="G1571" s="33" t="s">
        <v>47</v>
      </c>
      <c r="H1571" s="33" t="s">
        <v>5833</v>
      </c>
      <c r="I1571" s="33" t="s">
        <v>46</v>
      </c>
      <c r="J1571" s="33" t="s">
        <v>40</v>
      </c>
    </row>
    <row r="1572" spans="1:11" hidden="1" x14ac:dyDescent="0.3">
      <c r="A1572" s="39">
        <v>46066.405868055554</v>
      </c>
      <c r="B1572" s="33" t="s">
        <v>45</v>
      </c>
      <c r="C1572" s="33">
        <v>44999457840</v>
      </c>
      <c r="E1572" s="33">
        <v>82</v>
      </c>
      <c r="F1572" s="33">
        <v>79</v>
      </c>
      <c r="G1572" s="33" t="s">
        <v>38</v>
      </c>
      <c r="H1572" s="33" t="s">
        <v>5834</v>
      </c>
      <c r="I1572" s="33" t="s">
        <v>46</v>
      </c>
      <c r="J1572" s="33" t="s">
        <v>40</v>
      </c>
    </row>
    <row r="1573" spans="1:11" hidden="1" x14ac:dyDescent="0.3">
      <c r="A1573" s="39">
        <v>46066.405694444446</v>
      </c>
      <c r="B1573" s="33" t="s">
        <v>3627</v>
      </c>
      <c r="C1573" s="33">
        <v>1129690834</v>
      </c>
      <c r="E1573" s="33">
        <v>70</v>
      </c>
      <c r="F1573" s="33">
        <v>68</v>
      </c>
      <c r="G1573" s="33" t="s">
        <v>38</v>
      </c>
      <c r="H1573" s="33" t="s">
        <v>5835</v>
      </c>
      <c r="I1573" s="33" t="s">
        <v>46</v>
      </c>
      <c r="J1573" s="33" t="s">
        <v>3629</v>
      </c>
    </row>
    <row r="1574" spans="1:11" hidden="1" x14ac:dyDescent="0.3">
      <c r="A1574" s="39">
        <v>46066.405358796299</v>
      </c>
      <c r="B1574" s="33" t="s">
        <v>45</v>
      </c>
      <c r="C1574" s="33">
        <v>44999457840</v>
      </c>
      <c r="E1574" s="33">
        <v>37</v>
      </c>
      <c r="F1574" s="33">
        <v>34</v>
      </c>
      <c r="G1574" s="33" t="s">
        <v>38</v>
      </c>
      <c r="H1574" s="33" t="s">
        <v>5836</v>
      </c>
      <c r="I1574" s="33" t="s">
        <v>46</v>
      </c>
      <c r="J1574" s="33" t="s">
        <v>40</v>
      </c>
    </row>
    <row r="1575" spans="1:11" hidden="1" x14ac:dyDescent="0.3">
      <c r="A1575" s="39">
        <v>46066.405219907407</v>
      </c>
      <c r="B1575" s="33" t="s">
        <v>45</v>
      </c>
      <c r="C1575" s="33">
        <v>4430317020</v>
      </c>
      <c r="E1575" s="33">
        <v>4</v>
      </c>
      <c r="F1575" s="33">
        <v>0</v>
      </c>
      <c r="G1575" s="33" t="s">
        <v>47</v>
      </c>
      <c r="H1575" s="33" t="s">
        <v>5837</v>
      </c>
      <c r="I1575" s="33" t="s">
        <v>46</v>
      </c>
      <c r="J1575" s="33" t="s">
        <v>40</v>
      </c>
    </row>
    <row r="1576" spans="1:11" hidden="1" x14ac:dyDescent="0.3">
      <c r="A1576" s="39">
        <v>46066.405185185184</v>
      </c>
      <c r="B1576" s="33" t="s">
        <v>45</v>
      </c>
      <c r="C1576" s="33">
        <v>4430317020</v>
      </c>
      <c r="E1576" s="33">
        <v>2</v>
      </c>
      <c r="F1576" s="33">
        <v>0</v>
      </c>
      <c r="G1576" s="33" t="s">
        <v>47</v>
      </c>
      <c r="H1576" s="33" t="s">
        <v>5838</v>
      </c>
      <c r="I1576" s="33" t="s">
        <v>46</v>
      </c>
      <c r="J1576" s="33" t="s">
        <v>40</v>
      </c>
    </row>
    <row r="1577" spans="1:11" hidden="1" x14ac:dyDescent="0.3">
      <c r="A1577" s="39">
        <v>46066.403495370374</v>
      </c>
      <c r="B1577" s="33" t="s">
        <v>3627</v>
      </c>
      <c r="C1577" s="33">
        <v>3133761954</v>
      </c>
      <c r="E1577" s="33">
        <v>49</v>
      </c>
      <c r="F1577" s="33">
        <v>34</v>
      </c>
      <c r="G1577" s="33" t="s">
        <v>38</v>
      </c>
      <c r="H1577" s="33" t="s">
        <v>5839</v>
      </c>
      <c r="I1577" s="33" t="s">
        <v>46</v>
      </c>
      <c r="J1577" s="33" t="s">
        <v>3629</v>
      </c>
    </row>
    <row r="1578" spans="1:11" hidden="1" x14ac:dyDescent="0.3">
      <c r="A1578" s="39">
        <v>46066.402384259258</v>
      </c>
      <c r="B1578" s="33">
        <v>4432325260</v>
      </c>
      <c r="C1578" s="33" t="s">
        <v>45</v>
      </c>
      <c r="D1578" s="33">
        <v>4430265054</v>
      </c>
      <c r="E1578" s="33">
        <v>183</v>
      </c>
      <c r="F1578" s="33">
        <v>146</v>
      </c>
      <c r="G1578" s="33" t="s">
        <v>38</v>
      </c>
      <c r="H1578" s="33" t="s">
        <v>4276</v>
      </c>
      <c r="I1578" s="33" t="s">
        <v>39</v>
      </c>
      <c r="J1578" s="33" t="s">
        <v>40</v>
      </c>
      <c r="K1578" s="33" t="s">
        <v>41</v>
      </c>
    </row>
    <row r="1579" spans="1:11" hidden="1" x14ac:dyDescent="0.3">
      <c r="A1579" s="39">
        <v>46066.402129629627</v>
      </c>
      <c r="B1579" s="33" t="s">
        <v>3627</v>
      </c>
      <c r="C1579" s="33">
        <v>3432126400</v>
      </c>
      <c r="E1579" s="33">
        <v>50</v>
      </c>
      <c r="F1579" s="33">
        <v>0</v>
      </c>
      <c r="G1579" s="33" t="s">
        <v>47</v>
      </c>
      <c r="H1579" s="33" t="s">
        <v>5840</v>
      </c>
      <c r="I1579" s="33" t="s">
        <v>46</v>
      </c>
      <c r="J1579" s="33" t="s">
        <v>3629</v>
      </c>
    </row>
    <row r="1580" spans="1:11" hidden="1" x14ac:dyDescent="0.3">
      <c r="A1580" s="39">
        <v>46066.397939814815</v>
      </c>
      <c r="B1580" s="33">
        <v>45998160883</v>
      </c>
      <c r="C1580" s="33" t="s">
        <v>42</v>
      </c>
      <c r="D1580" s="33">
        <v>4430265054</v>
      </c>
      <c r="E1580" s="33">
        <v>1270</v>
      </c>
      <c r="F1580" s="33">
        <v>1242</v>
      </c>
      <c r="G1580" s="33" t="s">
        <v>38</v>
      </c>
      <c r="H1580" s="33" t="s">
        <v>4277</v>
      </c>
      <c r="I1580" s="33" t="s">
        <v>39</v>
      </c>
      <c r="J1580" s="33" t="s">
        <v>40</v>
      </c>
      <c r="K1580" s="33" t="s">
        <v>41</v>
      </c>
    </row>
    <row r="1581" spans="1:11" hidden="1" x14ac:dyDescent="0.3">
      <c r="A1581" s="39">
        <v>46066.396562499998</v>
      </c>
      <c r="B1581" s="33">
        <v>2222100098</v>
      </c>
      <c r="C1581" s="33" t="s">
        <v>44</v>
      </c>
      <c r="D1581" s="33">
        <v>4430265054</v>
      </c>
      <c r="E1581" s="33">
        <v>363</v>
      </c>
      <c r="F1581" s="33">
        <v>285</v>
      </c>
      <c r="G1581" s="33" t="s">
        <v>38</v>
      </c>
      <c r="H1581" s="33" t="s">
        <v>4278</v>
      </c>
      <c r="I1581" s="33" t="s">
        <v>39</v>
      </c>
      <c r="J1581" s="33" t="s">
        <v>40</v>
      </c>
      <c r="K1581" s="33" t="s">
        <v>41</v>
      </c>
    </row>
    <row r="1582" spans="1:11" hidden="1" x14ac:dyDescent="0.3">
      <c r="A1582" s="39">
        <v>46066.396296296298</v>
      </c>
      <c r="B1582" s="33">
        <v>2222100098</v>
      </c>
      <c r="C1582" s="33">
        <v>4430265054</v>
      </c>
      <c r="D1582" s="33">
        <v>4430265054</v>
      </c>
      <c r="E1582" s="33">
        <v>6</v>
      </c>
      <c r="F1582" s="33">
        <v>6</v>
      </c>
      <c r="G1582" s="33" t="s">
        <v>3449</v>
      </c>
      <c r="H1582" s="33" t="s">
        <v>5841</v>
      </c>
      <c r="I1582" s="33" t="s">
        <v>39</v>
      </c>
      <c r="J1582" s="33" t="s">
        <v>3451</v>
      </c>
    </row>
    <row r="1583" spans="1:11" hidden="1" x14ac:dyDescent="0.3">
      <c r="A1583" s="39">
        <v>46066.389826388891</v>
      </c>
      <c r="B1583" s="33">
        <v>4432481225</v>
      </c>
      <c r="C1583" s="33">
        <v>4430265054</v>
      </c>
      <c r="D1583" s="33">
        <v>4430265054</v>
      </c>
      <c r="E1583" s="33">
        <v>93</v>
      </c>
      <c r="F1583" s="33">
        <v>92</v>
      </c>
      <c r="G1583" s="33" t="s">
        <v>3449</v>
      </c>
      <c r="H1583" s="33" t="s">
        <v>4279</v>
      </c>
      <c r="I1583" s="33" t="s">
        <v>39</v>
      </c>
      <c r="J1583" s="33" t="s">
        <v>3451</v>
      </c>
      <c r="K1583" s="33" t="s">
        <v>41</v>
      </c>
    </row>
    <row r="1584" spans="1:11" hidden="1" x14ac:dyDescent="0.3">
      <c r="A1584" s="39">
        <v>46066.388321759259</v>
      </c>
      <c r="B1584" s="33">
        <v>15997113760</v>
      </c>
      <c r="C1584" s="33" t="s">
        <v>45</v>
      </c>
      <c r="D1584" s="33">
        <v>4431268225</v>
      </c>
      <c r="E1584" s="33">
        <v>936</v>
      </c>
      <c r="F1584" s="33">
        <v>903</v>
      </c>
      <c r="G1584" s="33" t="s">
        <v>38</v>
      </c>
      <c r="H1584" s="33" t="s">
        <v>4280</v>
      </c>
      <c r="I1584" s="33" t="s">
        <v>39</v>
      </c>
      <c r="J1584" s="33" t="s">
        <v>40</v>
      </c>
      <c r="K1584" s="33" t="s">
        <v>41</v>
      </c>
    </row>
    <row r="1585" spans="1:12" hidden="1" x14ac:dyDescent="0.3">
      <c r="A1585" s="39">
        <v>46066.388287037036</v>
      </c>
      <c r="B1585" s="33">
        <v>44984361000</v>
      </c>
      <c r="C1585" s="33" t="s">
        <v>37</v>
      </c>
      <c r="D1585" s="33">
        <v>4430265054</v>
      </c>
      <c r="E1585" s="33">
        <v>888</v>
      </c>
      <c r="F1585" s="33">
        <v>826</v>
      </c>
      <c r="G1585" s="33" t="s">
        <v>38</v>
      </c>
      <c r="H1585" s="33" t="s">
        <v>4281</v>
      </c>
      <c r="I1585" s="33" t="s">
        <v>39</v>
      </c>
      <c r="J1585" s="33" t="s">
        <v>40</v>
      </c>
      <c r="K1585" s="33" t="s">
        <v>41</v>
      </c>
    </row>
    <row r="1586" spans="1:12" hidden="1" x14ac:dyDescent="0.3">
      <c r="A1586" s="39">
        <v>46066.386331018519</v>
      </c>
      <c r="B1586" s="33" t="s">
        <v>45</v>
      </c>
      <c r="C1586" s="33">
        <v>4520312689</v>
      </c>
      <c r="E1586" s="33">
        <v>170</v>
      </c>
      <c r="F1586" s="33">
        <v>147</v>
      </c>
      <c r="G1586" s="33" t="s">
        <v>38</v>
      </c>
      <c r="H1586" s="33" t="s">
        <v>5842</v>
      </c>
      <c r="I1586" s="33" t="s">
        <v>46</v>
      </c>
      <c r="J1586" s="33" t="s">
        <v>40</v>
      </c>
    </row>
    <row r="1587" spans="1:12" hidden="1" x14ac:dyDescent="0.3">
      <c r="A1587" s="39">
        <v>46066.384525462963</v>
      </c>
      <c r="B1587" s="33" t="s">
        <v>3627</v>
      </c>
      <c r="C1587" s="33">
        <v>31975956816</v>
      </c>
      <c r="E1587" s="33">
        <v>10</v>
      </c>
      <c r="F1587" s="33">
        <v>3</v>
      </c>
      <c r="G1587" s="33" t="s">
        <v>38</v>
      </c>
      <c r="H1587" s="33" t="s">
        <v>5843</v>
      </c>
      <c r="I1587" s="33" t="s">
        <v>46</v>
      </c>
      <c r="J1587" s="33" t="s">
        <v>3629</v>
      </c>
    </row>
    <row r="1588" spans="1:12" hidden="1" x14ac:dyDescent="0.3">
      <c r="A1588" s="39">
        <v>46066.384212962963</v>
      </c>
      <c r="B1588" s="33" t="s">
        <v>44</v>
      </c>
      <c r="C1588" s="33">
        <v>1131515685</v>
      </c>
      <c r="E1588" s="33">
        <v>74</v>
      </c>
      <c r="F1588" s="33">
        <v>0</v>
      </c>
      <c r="G1588" s="33" t="s">
        <v>47</v>
      </c>
      <c r="H1588" s="33" t="s">
        <v>5844</v>
      </c>
      <c r="I1588" s="33" t="s">
        <v>46</v>
      </c>
      <c r="J1588" s="33" t="s">
        <v>40</v>
      </c>
    </row>
    <row r="1589" spans="1:12" hidden="1" x14ac:dyDescent="0.3">
      <c r="A1589" s="39">
        <v>46066.379062499997</v>
      </c>
      <c r="B1589" s="33">
        <v>11998030658</v>
      </c>
      <c r="C1589" s="33" t="s">
        <v>37</v>
      </c>
      <c r="D1589" s="33">
        <v>4430265054</v>
      </c>
      <c r="E1589" s="33">
        <v>228</v>
      </c>
      <c r="F1589" s="33">
        <v>110</v>
      </c>
      <c r="G1589" s="33" t="s">
        <v>38</v>
      </c>
      <c r="H1589" s="33" t="s">
        <v>4282</v>
      </c>
      <c r="I1589" s="33" t="s">
        <v>39</v>
      </c>
      <c r="J1589" s="33" t="s">
        <v>40</v>
      </c>
      <c r="K1589" s="33" t="s">
        <v>41</v>
      </c>
    </row>
    <row r="1590" spans="1:12" hidden="1" x14ac:dyDescent="0.3">
      <c r="A1590" s="39">
        <v>46066.37840277778</v>
      </c>
      <c r="B1590" s="33">
        <v>43999829064</v>
      </c>
      <c r="C1590" s="33" t="s">
        <v>43</v>
      </c>
      <c r="D1590" s="33">
        <v>4430265054</v>
      </c>
      <c r="E1590" s="33">
        <v>2624</v>
      </c>
      <c r="F1590" s="33">
        <v>2585</v>
      </c>
      <c r="G1590" s="33" t="s">
        <v>38</v>
      </c>
      <c r="H1590" s="33" t="s">
        <v>4283</v>
      </c>
      <c r="I1590" s="33" t="s">
        <v>39</v>
      </c>
      <c r="J1590" s="33" t="s">
        <v>40</v>
      </c>
      <c r="K1590" s="33" t="s">
        <v>41</v>
      </c>
      <c r="L1590" s="33">
        <v>5</v>
      </c>
    </row>
    <row r="1591" spans="1:12" hidden="1" x14ac:dyDescent="0.3">
      <c r="A1591" s="39">
        <v>46066.377916666665</v>
      </c>
      <c r="B1591" s="33" t="s">
        <v>43</v>
      </c>
      <c r="C1591" s="33">
        <v>44988255390</v>
      </c>
      <c r="E1591" s="33">
        <v>51</v>
      </c>
      <c r="F1591" s="33">
        <v>43</v>
      </c>
      <c r="G1591" s="33" t="s">
        <v>38</v>
      </c>
      <c r="H1591" s="33" t="s">
        <v>5845</v>
      </c>
      <c r="I1591" s="33" t="s">
        <v>46</v>
      </c>
      <c r="J1591" s="33" t="s">
        <v>40</v>
      </c>
    </row>
    <row r="1592" spans="1:12" hidden="1" x14ac:dyDescent="0.3">
      <c r="A1592" s="39">
        <v>46066.375972222224</v>
      </c>
      <c r="B1592" s="33">
        <v>62991155122</v>
      </c>
      <c r="C1592" s="33" t="s">
        <v>37</v>
      </c>
      <c r="D1592" s="33">
        <v>4430265054</v>
      </c>
      <c r="E1592" s="33">
        <v>301</v>
      </c>
      <c r="F1592" s="33">
        <v>284</v>
      </c>
      <c r="G1592" s="33" t="s">
        <v>38</v>
      </c>
      <c r="H1592" s="33" t="s">
        <v>4284</v>
      </c>
      <c r="I1592" s="33" t="s">
        <v>39</v>
      </c>
      <c r="J1592" s="33" t="s">
        <v>40</v>
      </c>
      <c r="K1592" s="33" t="s">
        <v>41</v>
      </c>
    </row>
    <row r="1593" spans="1:12" hidden="1" x14ac:dyDescent="0.3">
      <c r="A1593" s="39">
        <v>46066.373287037037</v>
      </c>
      <c r="B1593" s="33">
        <v>4130760170</v>
      </c>
      <c r="C1593" s="33" t="s">
        <v>44</v>
      </c>
      <c r="D1593" s="33">
        <v>4430265054</v>
      </c>
      <c r="E1593" s="33">
        <v>523</v>
      </c>
      <c r="F1593" s="33">
        <v>484</v>
      </c>
      <c r="G1593" s="33" t="s">
        <v>38</v>
      </c>
      <c r="H1593" s="33" t="s">
        <v>4285</v>
      </c>
      <c r="I1593" s="33" t="s">
        <v>39</v>
      </c>
      <c r="J1593" s="33" t="s">
        <v>40</v>
      </c>
      <c r="K1593" s="33" t="s">
        <v>41</v>
      </c>
    </row>
    <row r="1594" spans="1:12" hidden="1" x14ac:dyDescent="0.3">
      <c r="A1594" s="39">
        <v>46066.370925925927</v>
      </c>
      <c r="B1594" s="33">
        <v>44988255390</v>
      </c>
      <c r="C1594" s="33" t="s">
        <v>44</v>
      </c>
      <c r="D1594" s="33">
        <v>4430265054</v>
      </c>
      <c r="E1594" s="33">
        <v>189</v>
      </c>
      <c r="F1594" s="33">
        <v>138</v>
      </c>
      <c r="G1594" s="33" t="s">
        <v>38</v>
      </c>
      <c r="H1594" s="33" t="s">
        <v>4286</v>
      </c>
      <c r="I1594" s="33" t="s">
        <v>39</v>
      </c>
      <c r="J1594" s="33" t="s">
        <v>40</v>
      </c>
      <c r="K1594" s="33" t="s">
        <v>41</v>
      </c>
    </row>
    <row r="1595" spans="1:12" hidden="1" x14ac:dyDescent="0.3">
      <c r="A1595" s="39">
        <v>46066.369895833333</v>
      </c>
      <c r="B1595" s="33">
        <v>44991738160</v>
      </c>
      <c r="C1595" s="33" t="s">
        <v>48</v>
      </c>
      <c r="D1595" s="33">
        <v>4430265054</v>
      </c>
      <c r="E1595" s="33">
        <v>1010</v>
      </c>
      <c r="F1595" s="33">
        <v>974</v>
      </c>
      <c r="G1595" s="33" t="s">
        <v>38</v>
      </c>
      <c r="H1595" s="33" t="s">
        <v>4287</v>
      </c>
      <c r="I1595" s="33" t="s">
        <v>39</v>
      </c>
      <c r="J1595" s="33" t="s">
        <v>40</v>
      </c>
      <c r="K1595" s="33" t="s">
        <v>41</v>
      </c>
    </row>
    <row r="1596" spans="1:12" hidden="1" x14ac:dyDescent="0.3">
      <c r="A1596" s="39">
        <v>46066.3672337963</v>
      </c>
      <c r="B1596" s="33">
        <v>4430459001</v>
      </c>
      <c r="C1596" s="33" t="s">
        <v>44</v>
      </c>
      <c r="D1596" s="33">
        <v>4430265054</v>
      </c>
      <c r="E1596" s="33">
        <v>266</v>
      </c>
      <c r="F1596" s="33">
        <v>214</v>
      </c>
      <c r="G1596" s="33" t="s">
        <v>38</v>
      </c>
      <c r="H1596" s="33" t="s">
        <v>4288</v>
      </c>
      <c r="I1596" s="33" t="s">
        <v>39</v>
      </c>
      <c r="J1596" s="33" t="s">
        <v>40</v>
      </c>
      <c r="K1596" s="33" t="s">
        <v>41</v>
      </c>
    </row>
    <row r="1597" spans="1:12" hidden="1" x14ac:dyDescent="0.3">
      <c r="A1597" s="39">
        <v>46066.366666666669</v>
      </c>
      <c r="B1597" s="33">
        <v>1438160351</v>
      </c>
      <c r="C1597" s="33">
        <v>4430265054</v>
      </c>
      <c r="D1597" s="33">
        <v>4430265054</v>
      </c>
      <c r="E1597" s="33">
        <v>8</v>
      </c>
      <c r="F1597" s="33">
        <v>8</v>
      </c>
      <c r="G1597" s="33" t="s">
        <v>3449</v>
      </c>
      <c r="H1597" s="33" t="s">
        <v>5846</v>
      </c>
      <c r="I1597" s="33" t="s">
        <v>39</v>
      </c>
      <c r="J1597" s="33" t="s">
        <v>3451</v>
      </c>
    </row>
    <row r="1598" spans="1:12" hidden="1" x14ac:dyDescent="0.3">
      <c r="A1598" s="39">
        <v>46066.365740740737</v>
      </c>
      <c r="B1598" s="33">
        <v>4430562296</v>
      </c>
      <c r="C1598" s="33" t="s">
        <v>43</v>
      </c>
      <c r="D1598" s="33">
        <v>4430265054</v>
      </c>
      <c r="E1598" s="33">
        <v>1010</v>
      </c>
      <c r="F1598" s="33">
        <v>974</v>
      </c>
      <c r="G1598" s="33" t="s">
        <v>38</v>
      </c>
      <c r="H1598" s="33" t="s">
        <v>4289</v>
      </c>
      <c r="I1598" s="33" t="s">
        <v>39</v>
      </c>
      <c r="J1598" s="33" t="s">
        <v>40</v>
      </c>
      <c r="K1598" s="33" t="s">
        <v>41</v>
      </c>
    </row>
    <row r="1599" spans="1:12" hidden="1" x14ac:dyDescent="0.3">
      <c r="A1599" s="39">
        <v>46066.365266203706</v>
      </c>
      <c r="B1599" s="33" t="s">
        <v>42</v>
      </c>
      <c r="C1599" s="33">
        <v>91985176746</v>
      </c>
      <c r="E1599" s="33">
        <v>661</v>
      </c>
      <c r="F1599" s="33">
        <v>648</v>
      </c>
      <c r="G1599" s="33" t="s">
        <v>38</v>
      </c>
      <c r="H1599" s="33" t="s">
        <v>5847</v>
      </c>
      <c r="I1599" s="33" t="s">
        <v>46</v>
      </c>
      <c r="J1599" s="33" t="s">
        <v>40</v>
      </c>
      <c r="L1599" s="33">
        <v>5</v>
      </c>
    </row>
    <row r="1600" spans="1:12" hidden="1" x14ac:dyDescent="0.3">
      <c r="A1600" s="39">
        <v>46066.365023148152</v>
      </c>
      <c r="B1600" s="33" t="s">
        <v>42</v>
      </c>
      <c r="C1600" s="33">
        <v>91985176746</v>
      </c>
      <c r="E1600" s="33">
        <v>46</v>
      </c>
      <c r="F1600" s="33">
        <v>31</v>
      </c>
      <c r="G1600" s="33" t="s">
        <v>38</v>
      </c>
      <c r="H1600" s="33" t="s">
        <v>5848</v>
      </c>
      <c r="I1600" s="33" t="s">
        <v>46</v>
      </c>
      <c r="J1600" s="33" t="s">
        <v>40</v>
      </c>
    </row>
    <row r="1601" spans="1:12" hidden="1" x14ac:dyDescent="0.3">
      <c r="A1601" s="39">
        <v>46066.364965277775</v>
      </c>
      <c r="B1601" s="33">
        <v>4430459001</v>
      </c>
      <c r="C1601" s="33" t="s">
        <v>37</v>
      </c>
      <c r="D1601" s="33">
        <v>4430265054</v>
      </c>
      <c r="E1601" s="33">
        <v>684</v>
      </c>
      <c r="F1601" s="33">
        <v>626</v>
      </c>
      <c r="G1601" s="33" t="s">
        <v>38</v>
      </c>
      <c r="H1601" s="33" t="s">
        <v>4290</v>
      </c>
      <c r="I1601" s="33" t="s">
        <v>39</v>
      </c>
      <c r="J1601" s="33" t="s">
        <v>40</v>
      </c>
      <c r="K1601" s="33" t="s">
        <v>41</v>
      </c>
    </row>
    <row r="1602" spans="1:12" hidden="1" x14ac:dyDescent="0.3">
      <c r="A1602" s="39">
        <v>46066.364918981482</v>
      </c>
      <c r="B1602" s="33" t="s">
        <v>42</v>
      </c>
      <c r="C1602" s="33">
        <v>91985176746</v>
      </c>
      <c r="E1602" s="33">
        <v>6</v>
      </c>
      <c r="F1602" s="33">
        <v>0</v>
      </c>
      <c r="G1602" s="33" t="s">
        <v>47</v>
      </c>
      <c r="H1602" s="33" t="s">
        <v>5849</v>
      </c>
      <c r="I1602" s="33" t="s">
        <v>46</v>
      </c>
      <c r="J1602" s="33" t="s">
        <v>40</v>
      </c>
    </row>
    <row r="1603" spans="1:12" hidden="1" x14ac:dyDescent="0.3">
      <c r="A1603" s="39">
        <v>46066.363807870373</v>
      </c>
      <c r="B1603" s="33" t="s">
        <v>43</v>
      </c>
      <c r="C1603" s="33">
        <v>44988255390</v>
      </c>
      <c r="E1603" s="33">
        <v>14</v>
      </c>
      <c r="F1603" s="33">
        <v>4</v>
      </c>
      <c r="G1603" s="33" t="s">
        <v>38</v>
      </c>
      <c r="H1603" s="33" t="s">
        <v>5850</v>
      </c>
      <c r="I1603" s="33" t="s">
        <v>46</v>
      </c>
      <c r="J1603" s="33" t="s">
        <v>40</v>
      </c>
    </row>
    <row r="1604" spans="1:12" hidden="1" x14ac:dyDescent="0.3">
      <c r="A1604" s="39">
        <v>46066.360810185186</v>
      </c>
      <c r="B1604" s="33">
        <v>4432325260</v>
      </c>
      <c r="C1604" s="33" t="s">
        <v>45</v>
      </c>
      <c r="D1604" s="33">
        <v>4430265054</v>
      </c>
      <c r="E1604" s="33">
        <v>1746</v>
      </c>
      <c r="F1604" s="33">
        <v>1726</v>
      </c>
      <c r="G1604" s="33" t="s">
        <v>38</v>
      </c>
      <c r="H1604" s="33" t="s">
        <v>4291</v>
      </c>
      <c r="I1604" s="33" t="s">
        <v>39</v>
      </c>
      <c r="J1604" s="33" t="s">
        <v>40</v>
      </c>
      <c r="K1604" s="33" t="s">
        <v>41</v>
      </c>
    </row>
    <row r="1605" spans="1:12" hidden="1" x14ac:dyDescent="0.3">
      <c r="A1605" s="39">
        <v>46066.360243055555</v>
      </c>
      <c r="B1605" s="33">
        <v>1131043888</v>
      </c>
      <c r="C1605" s="33" t="s">
        <v>43</v>
      </c>
      <c r="D1605" s="33">
        <v>4430265054</v>
      </c>
      <c r="E1605" s="33">
        <v>247</v>
      </c>
      <c r="F1605" s="33">
        <v>224</v>
      </c>
      <c r="G1605" s="33" t="s">
        <v>38</v>
      </c>
      <c r="H1605" s="33" t="s">
        <v>4292</v>
      </c>
      <c r="I1605" s="33" t="s">
        <v>39</v>
      </c>
      <c r="J1605" s="33" t="s">
        <v>40</v>
      </c>
      <c r="K1605" s="33" t="s">
        <v>41</v>
      </c>
      <c r="L1605" s="33">
        <v>5</v>
      </c>
    </row>
    <row r="1606" spans="1:12" hidden="1" x14ac:dyDescent="0.3">
      <c r="A1606" s="39">
        <v>46066.359467592592</v>
      </c>
      <c r="B1606" s="33" t="s">
        <v>45</v>
      </c>
      <c r="C1606" s="33">
        <v>4435226025</v>
      </c>
      <c r="E1606" s="33">
        <v>107</v>
      </c>
      <c r="F1606" s="33">
        <v>98</v>
      </c>
      <c r="G1606" s="33" t="s">
        <v>38</v>
      </c>
      <c r="H1606" s="33" t="s">
        <v>5851</v>
      </c>
      <c r="I1606" s="33" t="s">
        <v>46</v>
      </c>
      <c r="J1606" s="33" t="s">
        <v>40</v>
      </c>
    </row>
    <row r="1607" spans="1:12" hidden="1" x14ac:dyDescent="0.3">
      <c r="A1607" s="39">
        <v>46066.359236111108</v>
      </c>
      <c r="B1607" s="33" t="s">
        <v>45</v>
      </c>
      <c r="C1607" s="33">
        <v>4435226025</v>
      </c>
      <c r="E1607" s="33">
        <v>13</v>
      </c>
      <c r="F1607" s="33">
        <v>4</v>
      </c>
      <c r="G1607" s="33" t="s">
        <v>38</v>
      </c>
      <c r="H1607" s="33" t="s">
        <v>5852</v>
      </c>
      <c r="I1607" s="33" t="s">
        <v>46</v>
      </c>
      <c r="J1607" s="33" t="s">
        <v>40</v>
      </c>
    </row>
    <row r="1608" spans="1:12" hidden="1" x14ac:dyDescent="0.3">
      <c r="A1608" s="39">
        <v>46066.357523148145</v>
      </c>
      <c r="B1608" s="33">
        <v>43984810043</v>
      </c>
      <c r="C1608" s="33" t="s">
        <v>48</v>
      </c>
      <c r="D1608" s="33">
        <v>4430265054</v>
      </c>
      <c r="E1608" s="33">
        <v>451</v>
      </c>
      <c r="F1608" s="33">
        <v>350</v>
      </c>
      <c r="G1608" s="33" t="s">
        <v>38</v>
      </c>
      <c r="H1608" s="33" t="s">
        <v>4293</v>
      </c>
      <c r="I1608" s="33" t="s">
        <v>39</v>
      </c>
      <c r="J1608" s="33" t="s">
        <v>40</v>
      </c>
      <c r="K1608" s="33" t="s">
        <v>41</v>
      </c>
    </row>
    <row r="1609" spans="1:12" hidden="1" x14ac:dyDescent="0.3">
      <c r="A1609" s="39">
        <v>46066.357407407406</v>
      </c>
      <c r="B1609" s="33" t="s">
        <v>43</v>
      </c>
      <c r="C1609" s="33">
        <v>4436351818</v>
      </c>
      <c r="E1609" s="33">
        <v>148</v>
      </c>
      <c r="F1609" s="33">
        <v>127</v>
      </c>
      <c r="G1609" s="33" t="s">
        <v>38</v>
      </c>
      <c r="H1609" s="33" t="s">
        <v>5853</v>
      </c>
      <c r="I1609" s="33" t="s">
        <v>46</v>
      </c>
      <c r="J1609" s="33" t="s">
        <v>40</v>
      </c>
    </row>
    <row r="1610" spans="1:12" hidden="1" x14ac:dyDescent="0.3">
      <c r="A1610" s="39">
        <v>46066.356747685182</v>
      </c>
      <c r="B1610" s="33" t="s">
        <v>42</v>
      </c>
      <c r="C1610" s="33">
        <v>4436311970</v>
      </c>
      <c r="E1610" s="33">
        <v>170</v>
      </c>
      <c r="F1610" s="33">
        <v>160</v>
      </c>
      <c r="G1610" s="33" t="s">
        <v>38</v>
      </c>
      <c r="H1610" s="33" t="s">
        <v>5854</v>
      </c>
      <c r="I1610" s="33" t="s">
        <v>46</v>
      </c>
      <c r="J1610" s="33" t="s">
        <v>40</v>
      </c>
    </row>
    <row r="1611" spans="1:12" hidden="1" x14ac:dyDescent="0.3">
      <c r="A1611" s="39">
        <v>46066.356342592589</v>
      </c>
      <c r="B1611" s="33" t="s">
        <v>44</v>
      </c>
      <c r="C1611" s="33">
        <v>1131515685</v>
      </c>
      <c r="E1611" s="33">
        <v>61</v>
      </c>
      <c r="F1611" s="33">
        <v>0</v>
      </c>
      <c r="G1611" s="33" t="s">
        <v>47</v>
      </c>
      <c r="H1611" s="33" t="s">
        <v>5855</v>
      </c>
      <c r="I1611" s="33" t="s">
        <v>46</v>
      </c>
      <c r="J1611" s="33" t="s">
        <v>40</v>
      </c>
    </row>
    <row r="1612" spans="1:12" hidden="1" x14ac:dyDescent="0.3">
      <c r="A1612" s="39">
        <v>46066.35601851852</v>
      </c>
      <c r="B1612" s="33">
        <v>1131043888</v>
      </c>
      <c r="C1612" s="33" t="s">
        <v>44</v>
      </c>
      <c r="D1612" s="33">
        <v>4430265054</v>
      </c>
      <c r="E1612" s="33">
        <v>260</v>
      </c>
      <c r="F1612" s="33">
        <v>56</v>
      </c>
      <c r="G1612" s="33" t="s">
        <v>38</v>
      </c>
      <c r="H1612" s="33" t="s">
        <v>4294</v>
      </c>
      <c r="I1612" s="33" t="s">
        <v>39</v>
      </c>
      <c r="J1612" s="33" t="s">
        <v>40</v>
      </c>
      <c r="K1612" s="33" t="s">
        <v>41</v>
      </c>
    </row>
    <row r="1613" spans="1:12" hidden="1" x14ac:dyDescent="0.3">
      <c r="A1613" s="39">
        <v>46066.355046296296</v>
      </c>
      <c r="B1613" s="33" t="s">
        <v>44</v>
      </c>
      <c r="C1613" s="33">
        <v>1131515685</v>
      </c>
      <c r="E1613" s="33">
        <v>61</v>
      </c>
      <c r="F1613" s="33">
        <v>0</v>
      </c>
      <c r="G1613" s="33" t="s">
        <v>47</v>
      </c>
      <c r="H1613" s="33" t="s">
        <v>5856</v>
      </c>
      <c r="I1613" s="33" t="s">
        <v>46</v>
      </c>
      <c r="J1613" s="33" t="s">
        <v>40</v>
      </c>
    </row>
    <row r="1614" spans="1:12" hidden="1" x14ac:dyDescent="0.3">
      <c r="A1614" s="39">
        <v>46066.354837962965</v>
      </c>
      <c r="B1614" s="33">
        <v>4435226025</v>
      </c>
      <c r="C1614" s="33" t="s">
        <v>45</v>
      </c>
      <c r="D1614" s="33">
        <v>4430265054</v>
      </c>
      <c r="E1614" s="33">
        <v>376</v>
      </c>
      <c r="F1614" s="33">
        <v>341</v>
      </c>
      <c r="G1614" s="33" t="s">
        <v>38</v>
      </c>
      <c r="H1614" s="33" t="s">
        <v>4295</v>
      </c>
      <c r="I1614" s="33" t="s">
        <v>39</v>
      </c>
      <c r="J1614" s="33" t="s">
        <v>40</v>
      </c>
      <c r="K1614" s="33" t="s">
        <v>41</v>
      </c>
    </row>
    <row r="1615" spans="1:12" hidden="1" x14ac:dyDescent="0.3">
      <c r="A1615" s="39">
        <v>46066.353356481479</v>
      </c>
      <c r="B1615" s="33">
        <v>4430459001</v>
      </c>
      <c r="C1615" s="33">
        <v>4430265054</v>
      </c>
      <c r="D1615" s="33">
        <v>4430265054</v>
      </c>
      <c r="E1615" s="33">
        <v>16</v>
      </c>
      <c r="F1615" s="33">
        <v>15</v>
      </c>
      <c r="G1615" s="33" t="s">
        <v>3449</v>
      </c>
      <c r="H1615" s="33" t="s">
        <v>5857</v>
      </c>
      <c r="I1615" s="33" t="s">
        <v>39</v>
      </c>
      <c r="J1615" s="33" t="s">
        <v>3451</v>
      </c>
    </row>
    <row r="1616" spans="1:12" hidden="1" x14ac:dyDescent="0.3">
      <c r="A1616" s="39">
        <v>46066.352141203701</v>
      </c>
      <c r="B1616" s="33" t="s">
        <v>45</v>
      </c>
      <c r="C1616" s="33">
        <v>1131043888</v>
      </c>
      <c r="E1616" s="33">
        <v>236</v>
      </c>
      <c r="F1616" s="33">
        <v>234</v>
      </c>
      <c r="G1616" s="33" t="s">
        <v>38</v>
      </c>
      <c r="H1616" s="33" t="s">
        <v>5858</v>
      </c>
      <c r="I1616" s="33" t="s">
        <v>46</v>
      </c>
      <c r="J1616" s="33" t="s">
        <v>40</v>
      </c>
    </row>
    <row r="1617" spans="1:10" hidden="1" x14ac:dyDescent="0.3">
      <c r="A1617" s="39">
        <v>46066.347337962965</v>
      </c>
      <c r="B1617" s="33" t="s">
        <v>44</v>
      </c>
      <c r="C1617" s="33">
        <v>1131515685</v>
      </c>
      <c r="E1617" s="33">
        <v>46</v>
      </c>
      <c r="F1617" s="33">
        <v>0</v>
      </c>
      <c r="G1617" s="33" t="s">
        <v>47</v>
      </c>
      <c r="H1617" s="33" t="s">
        <v>5859</v>
      </c>
      <c r="I1617" s="33" t="s">
        <v>46</v>
      </c>
      <c r="J1617" s="33" t="s">
        <v>40</v>
      </c>
    </row>
    <row r="1618" spans="1:10" hidden="1" x14ac:dyDescent="0.3">
      <c r="A1618" s="39">
        <v>46066.344467592593</v>
      </c>
      <c r="B1618" s="33">
        <v>4435226025</v>
      </c>
      <c r="C1618" s="33">
        <v>4430265054</v>
      </c>
      <c r="D1618" s="33">
        <v>4430265054</v>
      </c>
      <c r="E1618" s="33">
        <v>13</v>
      </c>
      <c r="F1618" s="33">
        <v>13</v>
      </c>
      <c r="G1618" s="33" t="s">
        <v>3449</v>
      </c>
      <c r="H1618" s="33" t="s">
        <v>5860</v>
      </c>
      <c r="I1618" s="33" t="s">
        <v>39</v>
      </c>
      <c r="J1618" s="33" t="s">
        <v>3451</v>
      </c>
    </row>
    <row r="1619" spans="1:10" hidden="1" x14ac:dyDescent="0.3">
      <c r="A1619" s="39">
        <v>46066.344212962962</v>
      </c>
      <c r="B1619" s="33" t="s">
        <v>43</v>
      </c>
      <c r="C1619" s="33">
        <v>44991484476</v>
      </c>
      <c r="E1619" s="33">
        <v>712</v>
      </c>
      <c r="F1619" s="33">
        <v>705</v>
      </c>
      <c r="G1619" s="33" t="s">
        <v>38</v>
      </c>
      <c r="H1619" s="33" t="s">
        <v>5861</v>
      </c>
      <c r="I1619" s="33" t="s">
        <v>46</v>
      </c>
      <c r="J1619" s="33" t="s">
        <v>40</v>
      </c>
    </row>
    <row r="1620" spans="1:10" hidden="1" x14ac:dyDescent="0.3">
      <c r="A1620" s="39">
        <v>46066.3437962963</v>
      </c>
      <c r="B1620" s="33" t="s">
        <v>43</v>
      </c>
      <c r="C1620" s="33">
        <v>44988255390</v>
      </c>
      <c r="E1620" s="33">
        <v>31</v>
      </c>
      <c r="F1620" s="33">
        <v>21</v>
      </c>
      <c r="G1620" s="33" t="s">
        <v>38</v>
      </c>
      <c r="H1620" s="33" t="s">
        <v>5862</v>
      </c>
      <c r="I1620" s="33" t="s">
        <v>46</v>
      </c>
      <c r="J1620" s="33" t="s">
        <v>40</v>
      </c>
    </row>
    <row r="1621" spans="1:10" hidden="1" x14ac:dyDescent="0.3">
      <c r="A1621" s="39">
        <v>46066.342662037037</v>
      </c>
      <c r="B1621" s="33" t="s">
        <v>48</v>
      </c>
      <c r="C1621" s="33">
        <v>91985176746</v>
      </c>
      <c r="E1621" s="33">
        <v>8</v>
      </c>
      <c r="F1621" s="33">
        <v>0</v>
      </c>
      <c r="G1621" s="33" t="s">
        <v>47</v>
      </c>
      <c r="H1621" s="33" t="s">
        <v>5863</v>
      </c>
      <c r="I1621" s="33" t="s">
        <v>46</v>
      </c>
      <c r="J1621" s="33" t="s">
        <v>40</v>
      </c>
    </row>
    <row r="1622" spans="1:10" hidden="1" x14ac:dyDescent="0.3">
      <c r="A1622" s="39">
        <v>46066.342453703706</v>
      </c>
      <c r="B1622" s="33" t="s">
        <v>48</v>
      </c>
      <c r="C1622" s="33">
        <v>91985176746</v>
      </c>
      <c r="E1622" s="33">
        <v>45</v>
      </c>
      <c r="F1622" s="33">
        <v>32</v>
      </c>
      <c r="G1622" s="33" t="s">
        <v>38</v>
      </c>
      <c r="H1622" s="33" t="s">
        <v>5864</v>
      </c>
      <c r="I1622" s="33" t="s">
        <v>46</v>
      </c>
      <c r="J1622" s="33" t="s">
        <v>40</v>
      </c>
    </row>
    <row r="1623" spans="1:10" hidden="1" x14ac:dyDescent="0.3">
      <c r="A1623" s="39">
        <v>46066.339826388888</v>
      </c>
      <c r="B1623" s="33" t="s">
        <v>43</v>
      </c>
      <c r="C1623" s="33">
        <v>44988255390</v>
      </c>
      <c r="E1623" s="33">
        <v>9</v>
      </c>
      <c r="F1623" s="33">
        <v>0</v>
      </c>
      <c r="G1623" s="33" t="s">
        <v>47</v>
      </c>
      <c r="H1623" s="33" t="s">
        <v>5865</v>
      </c>
      <c r="I1623" s="33" t="s">
        <v>46</v>
      </c>
      <c r="J1623" s="33" t="s">
        <v>40</v>
      </c>
    </row>
    <row r="1624" spans="1:10" hidden="1" x14ac:dyDescent="0.3">
      <c r="A1624" s="39">
        <v>46066.339768518519</v>
      </c>
      <c r="B1624" s="33" t="s">
        <v>43</v>
      </c>
      <c r="C1624" s="33">
        <v>44988255390</v>
      </c>
      <c r="E1624" s="33">
        <v>2</v>
      </c>
      <c r="F1624" s="33">
        <v>0</v>
      </c>
      <c r="G1624" s="33" t="s">
        <v>47</v>
      </c>
      <c r="H1624" s="33" t="s">
        <v>5866</v>
      </c>
      <c r="I1624" s="33" t="s">
        <v>46</v>
      </c>
      <c r="J1624" s="33" t="s">
        <v>40</v>
      </c>
    </row>
    <row r="1625" spans="1:10" hidden="1" x14ac:dyDescent="0.3">
      <c r="A1625" s="39">
        <v>46066.339305555557</v>
      </c>
      <c r="B1625" s="33" t="s">
        <v>43</v>
      </c>
      <c r="C1625" s="33">
        <v>44988255390</v>
      </c>
      <c r="E1625" s="33">
        <v>46</v>
      </c>
      <c r="F1625" s="33">
        <v>36</v>
      </c>
      <c r="G1625" s="33" t="s">
        <v>38</v>
      </c>
      <c r="H1625" s="33" t="s">
        <v>5867</v>
      </c>
      <c r="I1625" s="33" t="s">
        <v>46</v>
      </c>
      <c r="J1625" s="33" t="s">
        <v>40</v>
      </c>
    </row>
    <row r="1626" spans="1:10" hidden="1" x14ac:dyDescent="0.3">
      <c r="A1626" s="39">
        <v>46066.339166666665</v>
      </c>
      <c r="B1626" s="33" t="s">
        <v>43</v>
      </c>
      <c r="C1626" s="33">
        <v>44988255390</v>
      </c>
      <c r="E1626" s="33">
        <v>6</v>
      </c>
      <c r="F1626" s="33">
        <v>0</v>
      </c>
      <c r="G1626" s="33" t="s">
        <v>47</v>
      </c>
      <c r="H1626" s="33" t="s">
        <v>5868</v>
      </c>
      <c r="I1626" s="33" t="s">
        <v>46</v>
      </c>
      <c r="J1626" s="33" t="s">
        <v>40</v>
      </c>
    </row>
    <row r="1627" spans="1:10" hidden="1" x14ac:dyDescent="0.3">
      <c r="A1627" s="39">
        <v>46065.745208333334</v>
      </c>
      <c r="B1627" s="33" t="s">
        <v>3627</v>
      </c>
      <c r="C1627" s="33">
        <v>11950632051</v>
      </c>
      <c r="E1627" s="33">
        <v>42</v>
      </c>
      <c r="F1627" s="33">
        <v>33</v>
      </c>
      <c r="G1627" s="33" t="s">
        <v>38</v>
      </c>
      <c r="H1627" s="33" t="s">
        <v>5869</v>
      </c>
      <c r="I1627" s="33" t="s">
        <v>46</v>
      </c>
      <c r="J1627" s="33" t="s">
        <v>3629</v>
      </c>
    </row>
    <row r="1628" spans="1:10" hidden="1" x14ac:dyDescent="0.3">
      <c r="A1628" s="39">
        <v>46065.743900462963</v>
      </c>
      <c r="B1628" s="33" t="s">
        <v>3627</v>
      </c>
      <c r="C1628" s="33">
        <v>4333440677</v>
      </c>
      <c r="E1628" s="33">
        <v>1</v>
      </c>
      <c r="F1628" s="33">
        <v>0</v>
      </c>
      <c r="G1628" s="33" t="s">
        <v>47</v>
      </c>
      <c r="H1628" s="33" t="s">
        <v>5870</v>
      </c>
      <c r="I1628" s="33" t="s">
        <v>46</v>
      </c>
      <c r="J1628" s="33" t="s">
        <v>3629</v>
      </c>
    </row>
    <row r="1629" spans="1:10" hidden="1" x14ac:dyDescent="0.3">
      <c r="A1629" s="39">
        <v>46065.743275462963</v>
      </c>
      <c r="B1629" s="33" t="s">
        <v>3627</v>
      </c>
      <c r="C1629" s="33">
        <v>11987217388</v>
      </c>
      <c r="E1629" s="33">
        <v>31</v>
      </c>
      <c r="F1629" s="33">
        <v>2</v>
      </c>
      <c r="G1629" s="33" t="s">
        <v>38</v>
      </c>
      <c r="H1629" s="33" t="s">
        <v>5871</v>
      </c>
      <c r="I1629" s="33" t="s">
        <v>46</v>
      </c>
      <c r="J1629" s="33" t="s">
        <v>3629</v>
      </c>
    </row>
    <row r="1630" spans="1:10" hidden="1" x14ac:dyDescent="0.3">
      <c r="A1630" s="39">
        <v>46065.741689814815</v>
      </c>
      <c r="B1630" s="33" t="s">
        <v>3627</v>
      </c>
      <c r="C1630" s="33">
        <v>85991099015</v>
      </c>
      <c r="E1630" s="33">
        <v>6</v>
      </c>
      <c r="F1630" s="33">
        <v>0</v>
      </c>
      <c r="G1630" s="33" t="s">
        <v>47</v>
      </c>
      <c r="H1630" s="33" t="s">
        <v>5872</v>
      </c>
      <c r="I1630" s="33" t="s">
        <v>46</v>
      </c>
      <c r="J1630" s="33" t="s">
        <v>3629</v>
      </c>
    </row>
    <row r="1631" spans="1:10" hidden="1" x14ac:dyDescent="0.3">
      <c r="A1631" s="39">
        <v>46065.740914351853</v>
      </c>
      <c r="B1631" s="33" t="s">
        <v>3627</v>
      </c>
      <c r="C1631" s="33">
        <v>2120056722</v>
      </c>
      <c r="E1631" s="33">
        <v>7</v>
      </c>
      <c r="F1631" s="33">
        <v>0</v>
      </c>
      <c r="G1631" s="33" t="s">
        <v>47</v>
      </c>
      <c r="H1631" s="33" t="s">
        <v>5873</v>
      </c>
      <c r="I1631" s="33" t="s">
        <v>46</v>
      </c>
      <c r="J1631" s="33" t="s">
        <v>3629</v>
      </c>
    </row>
    <row r="1632" spans="1:10" hidden="1" x14ac:dyDescent="0.3">
      <c r="A1632" s="39">
        <v>46065.737280092595</v>
      </c>
      <c r="B1632" s="33" t="s">
        <v>3627</v>
      </c>
      <c r="C1632" s="33">
        <v>98991753438</v>
      </c>
      <c r="E1632" s="33">
        <v>37</v>
      </c>
      <c r="F1632" s="33">
        <v>17</v>
      </c>
      <c r="G1632" s="33" t="s">
        <v>38</v>
      </c>
      <c r="H1632" s="33" t="s">
        <v>5874</v>
      </c>
      <c r="I1632" s="33" t="s">
        <v>46</v>
      </c>
      <c r="J1632" s="33" t="s">
        <v>3629</v>
      </c>
    </row>
    <row r="1633" spans="1:12" hidden="1" x14ac:dyDescent="0.3">
      <c r="A1633" s="39">
        <v>46065.736435185187</v>
      </c>
      <c r="B1633" s="33" t="s">
        <v>3627</v>
      </c>
      <c r="C1633" s="33">
        <v>43991755454</v>
      </c>
      <c r="E1633" s="33">
        <v>22</v>
      </c>
      <c r="F1633" s="33">
        <v>9</v>
      </c>
      <c r="G1633" s="33" t="s">
        <v>38</v>
      </c>
      <c r="H1633" s="33" t="s">
        <v>5875</v>
      </c>
      <c r="I1633" s="33" t="s">
        <v>46</v>
      </c>
      <c r="J1633" s="33" t="s">
        <v>3629</v>
      </c>
    </row>
    <row r="1634" spans="1:12" hidden="1" x14ac:dyDescent="0.3">
      <c r="A1634" s="39">
        <v>46065.734016203707</v>
      </c>
      <c r="B1634" s="33" t="s">
        <v>3627</v>
      </c>
      <c r="C1634" s="33">
        <v>41991978709</v>
      </c>
      <c r="E1634" s="33">
        <v>13</v>
      </c>
      <c r="F1634" s="33">
        <v>3</v>
      </c>
      <c r="G1634" s="33" t="s">
        <v>38</v>
      </c>
      <c r="H1634" s="33" t="s">
        <v>5876</v>
      </c>
      <c r="I1634" s="33" t="s">
        <v>46</v>
      </c>
      <c r="J1634" s="33" t="s">
        <v>3629</v>
      </c>
    </row>
    <row r="1635" spans="1:12" hidden="1" x14ac:dyDescent="0.3">
      <c r="A1635" s="39">
        <v>46065.732974537037</v>
      </c>
      <c r="B1635" s="33" t="s">
        <v>3627</v>
      </c>
      <c r="C1635" s="33">
        <v>92991222354</v>
      </c>
      <c r="E1635" s="33">
        <v>12</v>
      </c>
      <c r="F1635" s="33">
        <v>2</v>
      </c>
      <c r="G1635" s="33" t="s">
        <v>38</v>
      </c>
      <c r="H1635" s="33" t="s">
        <v>5877</v>
      </c>
      <c r="I1635" s="33" t="s">
        <v>46</v>
      </c>
      <c r="J1635" s="33" t="s">
        <v>3629</v>
      </c>
    </row>
    <row r="1636" spans="1:12" hidden="1" x14ac:dyDescent="0.3">
      <c r="A1636" s="39">
        <v>46065.731620370374</v>
      </c>
      <c r="B1636" s="33" t="s">
        <v>3627</v>
      </c>
      <c r="C1636" s="33">
        <v>11982895018</v>
      </c>
      <c r="E1636" s="33">
        <v>38</v>
      </c>
      <c r="F1636" s="33">
        <v>0</v>
      </c>
      <c r="G1636" s="33" t="s">
        <v>47</v>
      </c>
      <c r="H1636" s="33" t="s">
        <v>5878</v>
      </c>
      <c r="I1636" s="33" t="s">
        <v>46</v>
      </c>
      <c r="J1636" s="33" t="s">
        <v>3629</v>
      </c>
    </row>
    <row r="1637" spans="1:12" hidden="1" x14ac:dyDescent="0.3">
      <c r="A1637" s="39">
        <v>46065.72892361111</v>
      </c>
      <c r="B1637" s="33" t="s">
        <v>3627</v>
      </c>
      <c r="C1637" s="33">
        <v>63992193014</v>
      </c>
      <c r="E1637" s="33">
        <v>3</v>
      </c>
      <c r="F1637" s="33">
        <v>0</v>
      </c>
      <c r="G1637" s="33" t="s">
        <v>47</v>
      </c>
      <c r="H1637" s="33" t="s">
        <v>5879</v>
      </c>
      <c r="I1637" s="33" t="s">
        <v>46</v>
      </c>
      <c r="J1637" s="33" t="s">
        <v>3629</v>
      </c>
    </row>
    <row r="1638" spans="1:12" hidden="1" x14ac:dyDescent="0.3">
      <c r="A1638" s="39">
        <v>46065.728773148148</v>
      </c>
      <c r="B1638" s="33">
        <v>44999844110</v>
      </c>
      <c r="C1638" s="33" t="s">
        <v>45</v>
      </c>
      <c r="D1638" s="33">
        <v>4430265054</v>
      </c>
      <c r="E1638" s="33">
        <v>1366</v>
      </c>
      <c r="F1638" s="33">
        <v>1333</v>
      </c>
      <c r="G1638" s="33" t="s">
        <v>38</v>
      </c>
      <c r="H1638" s="33" t="s">
        <v>4296</v>
      </c>
      <c r="I1638" s="33" t="s">
        <v>39</v>
      </c>
      <c r="J1638" s="33" t="s">
        <v>40</v>
      </c>
      <c r="K1638" s="33" t="s">
        <v>41</v>
      </c>
    </row>
    <row r="1639" spans="1:12" hidden="1" x14ac:dyDescent="0.3">
      <c r="A1639" s="39">
        <v>46065.725462962961</v>
      </c>
      <c r="B1639" s="33">
        <v>44988067937</v>
      </c>
      <c r="C1639" s="33" t="s">
        <v>42</v>
      </c>
      <c r="D1639" s="33">
        <v>4430265054</v>
      </c>
      <c r="E1639" s="33">
        <v>469</v>
      </c>
      <c r="F1639" s="33">
        <v>436</v>
      </c>
      <c r="G1639" s="33" t="s">
        <v>38</v>
      </c>
      <c r="H1639" s="33" t="s">
        <v>4297</v>
      </c>
      <c r="I1639" s="33" t="s">
        <v>39</v>
      </c>
      <c r="J1639" s="33" t="s">
        <v>40</v>
      </c>
      <c r="K1639" s="33" t="s">
        <v>41</v>
      </c>
    </row>
    <row r="1640" spans="1:12" hidden="1" x14ac:dyDescent="0.3">
      <c r="A1640" s="39">
        <v>46065.72378472222</v>
      </c>
      <c r="B1640" s="33">
        <v>4330333542</v>
      </c>
      <c r="C1640" s="33" t="s">
        <v>45</v>
      </c>
      <c r="D1640" s="33">
        <v>4430265054</v>
      </c>
      <c r="E1640" s="33">
        <v>291</v>
      </c>
      <c r="F1640" s="33">
        <v>242</v>
      </c>
      <c r="G1640" s="33" t="s">
        <v>38</v>
      </c>
      <c r="H1640" s="33" t="s">
        <v>4298</v>
      </c>
      <c r="I1640" s="33" t="s">
        <v>39</v>
      </c>
      <c r="J1640" s="33" t="s">
        <v>40</v>
      </c>
      <c r="K1640" s="33" t="s">
        <v>41</v>
      </c>
      <c r="L1640" s="33">
        <v>5</v>
      </c>
    </row>
    <row r="1641" spans="1:12" hidden="1" x14ac:dyDescent="0.3">
      <c r="A1641" s="39">
        <v>46065.723240740743</v>
      </c>
      <c r="B1641" s="33">
        <v>62981535978</v>
      </c>
      <c r="C1641" s="33" t="s">
        <v>43</v>
      </c>
      <c r="D1641" s="33">
        <v>4430265054</v>
      </c>
      <c r="E1641" s="33">
        <v>139</v>
      </c>
      <c r="F1641" s="33">
        <v>103</v>
      </c>
      <c r="G1641" s="33" t="s">
        <v>38</v>
      </c>
      <c r="H1641" s="33" t="s">
        <v>4299</v>
      </c>
      <c r="I1641" s="33" t="s">
        <v>39</v>
      </c>
      <c r="J1641" s="33" t="s">
        <v>40</v>
      </c>
      <c r="K1641" s="33" t="s">
        <v>41</v>
      </c>
    </row>
    <row r="1642" spans="1:12" hidden="1" x14ac:dyDescent="0.3">
      <c r="A1642" s="39">
        <v>46065.72314814815</v>
      </c>
      <c r="B1642" s="33">
        <v>44999844110</v>
      </c>
      <c r="C1642" s="33" t="s">
        <v>5173</v>
      </c>
      <c r="D1642" s="33">
        <v>4430265054</v>
      </c>
      <c r="E1642" s="33">
        <v>483</v>
      </c>
      <c r="F1642" s="33">
        <v>452</v>
      </c>
      <c r="G1642" s="33" t="s">
        <v>38</v>
      </c>
      <c r="H1642" s="33" t="s">
        <v>5880</v>
      </c>
      <c r="I1642" s="33" t="s">
        <v>39</v>
      </c>
      <c r="J1642" s="33" t="s">
        <v>3629</v>
      </c>
      <c r="K1642" s="33" t="s">
        <v>50</v>
      </c>
    </row>
    <row r="1643" spans="1:12" hidden="1" x14ac:dyDescent="0.3">
      <c r="A1643" s="39">
        <v>46065.722685185188</v>
      </c>
      <c r="B1643" s="33" t="s">
        <v>48</v>
      </c>
      <c r="C1643" s="33">
        <v>93991495484</v>
      </c>
      <c r="E1643" s="33">
        <v>997</v>
      </c>
      <c r="F1643" s="33">
        <v>982</v>
      </c>
      <c r="G1643" s="33" t="s">
        <v>38</v>
      </c>
      <c r="H1643" s="33" t="s">
        <v>5881</v>
      </c>
      <c r="I1643" s="33" t="s">
        <v>46</v>
      </c>
      <c r="J1643" s="33" t="s">
        <v>40</v>
      </c>
      <c r="L1643" s="33">
        <v>5</v>
      </c>
    </row>
    <row r="1644" spans="1:12" hidden="1" x14ac:dyDescent="0.3">
      <c r="A1644" s="39">
        <v>46065.721701388888</v>
      </c>
      <c r="B1644" s="33" t="s">
        <v>44</v>
      </c>
      <c r="C1644" s="33">
        <v>4432325260</v>
      </c>
      <c r="E1644" s="33">
        <v>376</v>
      </c>
      <c r="F1644" s="33">
        <v>368</v>
      </c>
      <c r="G1644" s="33" t="s">
        <v>38</v>
      </c>
      <c r="H1644" s="33" t="s">
        <v>5882</v>
      </c>
      <c r="I1644" s="33" t="s">
        <v>46</v>
      </c>
      <c r="J1644" s="33" t="s">
        <v>40</v>
      </c>
    </row>
    <row r="1645" spans="1:12" hidden="1" x14ac:dyDescent="0.3">
      <c r="A1645" s="39">
        <v>46065.721655092595</v>
      </c>
      <c r="B1645" s="33" t="s">
        <v>44</v>
      </c>
      <c r="C1645" s="33">
        <v>4432325260</v>
      </c>
      <c r="E1645" s="33">
        <v>4</v>
      </c>
      <c r="F1645" s="33">
        <v>0</v>
      </c>
      <c r="G1645" s="33" t="s">
        <v>47</v>
      </c>
      <c r="H1645" s="33" t="s">
        <v>5883</v>
      </c>
      <c r="I1645" s="33" t="s">
        <v>46</v>
      </c>
      <c r="J1645" s="33" t="s">
        <v>40</v>
      </c>
    </row>
    <row r="1646" spans="1:12" hidden="1" x14ac:dyDescent="0.3">
      <c r="A1646" s="39">
        <v>46065.721365740741</v>
      </c>
      <c r="B1646" s="33" t="s">
        <v>48</v>
      </c>
      <c r="C1646" s="33">
        <v>93984112869</v>
      </c>
      <c r="E1646" s="33">
        <v>22</v>
      </c>
      <c r="F1646" s="33">
        <v>9</v>
      </c>
      <c r="G1646" s="33" t="s">
        <v>38</v>
      </c>
      <c r="H1646" s="33" t="s">
        <v>5884</v>
      </c>
      <c r="I1646" s="33" t="s">
        <v>46</v>
      </c>
      <c r="J1646" s="33" t="s">
        <v>40</v>
      </c>
    </row>
    <row r="1647" spans="1:12" hidden="1" x14ac:dyDescent="0.3">
      <c r="A1647" s="39">
        <v>46065.721354166664</v>
      </c>
      <c r="B1647" s="33">
        <v>44999550006</v>
      </c>
      <c r="C1647" s="33" t="s">
        <v>45</v>
      </c>
      <c r="D1647" s="33">
        <v>4430265054</v>
      </c>
      <c r="E1647" s="33">
        <v>206</v>
      </c>
      <c r="F1647" s="33">
        <v>148</v>
      </c>
      <c r="G1647" s="33" t="s">
        <v>38</v>
      </c>
      <c r="H1647" s="33" t="s">
        <v>4300</v>
      </c>
      <c r="I1647" s="33" t="s">
        <v>39</v>
      </c>
      <c r="J1647" s="33" t="s">
        <v>40</v>
      </c>
      <c r="K1647" s="33" t="s">
        <v>41</v>
      </c>
    </row>
    <row r="1648" spans="1:12" hidden="1" x14ac:dyDescent="0.3">
      <c r="A1648" s="39">
        <v>46065.721122685187</v>
      </c>
      <c r="B1648" s="33">
        <v>6234347959</v>
      </c>
      <c r="C1648" s="33" t="s">
        <v>43</v>
      </c>
      <c r="D1648" s="33">
        <v>4430265054</v>
      </c>
      <c r="E1648" s="33">
        <v>54</v>
      </c>
      <c r="F1648" s="33">
        <v>43</v>
      </c>
      <c r="G1648" s="33" t="s">
        <v>38</v>
      </c>
      <c r="H1648" s="33" t="s">
        <v>4301</v>
      </c>
      <c r="I1648" s="33" t="s">
        <v>39</v>
      </c>
      <c r="J1648" s="33" t="s">
        <v>40</v>
      </c>
      <c r="K1648" s="33" t="s">
        <v>41</v>
      </c>
    </row>
    <row r="1649" spans="1:12" hidden="1" x14ac:dyDescent="0.3">
      <c r="A1649" s="39">
        <v>46065.720671296294</v>
      </c>
      <c r="B1649" s="33" t="s">
        <v>48</v>
      </c>
      <c r="C1649" s="33">
        <v>93995233136</v>
      </c>
      <c r="E1649" s="33">
        <v>2</v>
      </c>
      <c r="F1649" s="33">
        <v>0</v>
      </c>
      <c r="G1649" s="33" t="s">
        <v>47</v>
      </c>
      <c r="H1649" s="33" t="s">
        <v>5885</v>
      </c>
      <c r="I1649" s="33" t="s">
        <v>46</v>
      </c>
      <c r="J1649" s="33" t="s">
        <v>40</v>
      </c>
    </row>
    <row r="1650" spans="1:12" hidden="1" x14ac:dyDescent="0.3">
      <c r="A1650" s="39">
        <v>46065.720636574071</v>
      </c>
      <c r="B1650" s="33">
        <v>44998640313</v>
      </c>
      <c r="C1650" s="33" t="s">
        <v>37</v>
      </c>
      <c r="D1650" s="33">
        <v>4430265054</v>
      </c>
      <c r="E1650" s="33">
        <v>1864</v>
      </c>
      <c r="F1650" s="33">
        <v>1832</v>
      </c>
      <c r="G1650" s="33" t="s">
        <v>38</v>
      </c>
      <c r="H1650" s="33" t="s">
        <v>4302</v>
      </c>
      <c r="I1650" s="33" t="s">
        <v>39</v>
      </c>
      <c r="J1650" s="33" t="s">
        <v>40</v>
      </c>
      <c r="K1650" s="33" t="s">
        <v>41</v>
      </c>
      <c r="L1650" s="33">
        <v>5</v>
      </c>
    </row>
    <row r="1651" spans="1:12" hidden="1" x14ac:dyDescent="0.3">
      <c r="A1651" s="39">
        <v>46065.720578703702</v>
      </c>
      <c r="B1651" s="33" t="s">
        <v>48</v>
      </c>
      <c r="C1651" s="33">
        <v>93995233136</v>
      </c>
      <c r="E1651" s="33">
        <v>5</v>
      </c>
      <c r="F1651" s="33">
        <v>0</v>
      </c>
      <c r="G1651" s="33" t="s">
        <v>47</v>
      </c>
      <c r="H1651" s="33" t="s">
        <v>5886</v>
      </c>
      <c r="I1651" s="33" t="s">
        <v>46</v>
      </c>
      <c r="J1651" s="33" t="s">
        <v>40</v>
      </c>
    </row>
    <row r="1652" spans="1:12" hidden="1" x14ac:dyDescent="0.3">
      <c r="A1652" s="39">
        <v>46065.719872685186</v>
      </c>
      <c r="B1652" s="33" t="s">
        <v>51</v>
      </c>
      <c r="C1652" s="33">
        <v>4440047905</v>
      </c>
      <c r="E1652" s="33">
        <v>1009</v>
      </c>
      <c r="F1652" s="33">
        <v>1007</v>
      </c>
      <c r="G1652" s="33" t="s">
        <v>38</v>
      </c>
      <c r="H1652" s="33" t="s">
        <v>5887</v>
      </c>
      <c r="I1652" s="33" t="s">
        <v>46</v>
      </c>
      <c r="J1652" s="33" t="s">
        <v>3629</v>
      </c>
    </row>
    <row r="1653" spans="1:12" hidden="1" x14ac:dyDescent="0.3">
      <c r="A1653" s="39">
        <v>46065.718032407407</v>
      </c>
      <c r="B1653" s="33" t="s">
        <v>3627</v>
      </c>
      <c r="C1653" s="33">
        <v>5130242003</v>
      </c>
      <c r="E1653" s="33">
        <v>15</v>
      </c>
      <c r="F1653" s="33">
        <v>11</v>
      </c>
      <c r="G1653" s="33" t="s">
        <v>38</v>
      </c>
      <c r="H1653" s="33" t="s">
        <v>5888</v>
      </c>
      <c r="I1653" s="33" t="s">
        <v>46</v>
      </c>
      <c r="J1653" s="33" t="s">
        <v>3629</v>
      </c>
    </row>
    <row r="1654" spans="1:12" hidden="1" x14ac:dyDescent="0.3">
      <c r="A1654" s="39">
        <v>46065.716840277775</v>
      </c>
      <c r="B1654" s="33" t="s">
        <v>3627</v>
      </c>
      <c r="C1654" s="33">
        <v>5130242003</v>
      </c>
      <c r="E1654" s="33">
        <v>6</v>
      </c>
      <c r="F1654" s="33">
        <v>2</v>
      </c>
      <c r="G1654" s="33" t="s">
        <v>38</v>
      </c>
      <c r="H1654" s="33" t="s">
        <v>5889</v>
      </c>
      <c r="I1654" s="33" t="s">
        <v>46</v>
      </c>
      <c r="J1654" s="33" t="s">
        <v>3629</v>
      </c>
    </row>
    <row r="1655" spans="1:12" hidden="1" x14ac:dyDescent="0.3">
      <c r="A1655" s="39">
        <v>46065.714490740742</v>
      </c>
      <c r="B1655" s="33">
        <v>44988255390</v>
      </c>
      <c r="C1655" s="33" t="s">
        <v>45</v>
      </c>
      <c r="D1655" s="33">
        <v>4430265054</v>
      </c>
      <c r="E1655" s="33">
        <v>644</v>
      </c>
      <c r="F1655" s="33">
        <v>592</v>
      </c>
      <c r="G1655" s="33" t="s">
        <v>38</v>
      </c>
      <c r="H1655" s="33" t="s">
        <v>4303</v>
      </c>
      <c r="I1655" s="33" t="s">
        <v>39</v>
      </c>
      <c r="J1655" s="33" t="s">
        <v>40</v>
      </c>
      <c r="K1655" s="33" t="s">
        <v>41</v>
      </c>
    </row>
    <row r="1656" spans="1:12" hidden="1" x14ac:dyDescent="0.3">
      <c r="A1656" s="39">
        <v>46065.714479166665</v>
      </c>
      <c r="B1656" s="33" t="s">
        <v>3627</v>
      </c>
      <c r="C1656" s="33">
        <v>92993594949</v>
      </c>
      <c r="E1656" s="33">
        <v>32</v>
      </c>
      <c r="F1656" s="33">
        <v>9</v>
      </c>
      <c r="G1656" s="33" t="s">
        <v>38</v>
      </c>
      <c r="H1656" s="33" t="s">
        <v>5890</v>
      </c>
      <c r="I1656" s="33" t="s">
        <v>46</v>
      </c>
      <c r="J1656" s="33" t="s">
        <v>3629</v>
      </c>
    </row>
    <row r="1657" spans="1:12" hidden="1" x14ac:dyDescent="0.3">
      <c r="A1657" s="39">
        <v>46065.709409722222</v>
      </c>
      <c r="B1657" s="33">
        <v>44991041123</v>
      </c>
      <c r="C1657" s="33" t="s">
        <v>44</v>
      </c>
      <c r="D1657" s="33">
        <v>4430265054</v>
      </c>
      <c r="E1657" s="33">
        <v>647</v>
      </c>
      <c r="F1657" s="33">
        <v>613</v>
      </c>
      <c r="G1657" s="33" t="s">
        <v>38</v>
      </c>
      <c r="H1657" s="33" t="s">
        <v>4304</v>
      </c>
      <c r="I1657" s="33" t="s">
        <v>39</v>
      </c>
      <c r="J1657" s="33" t="s">
        <v>40</v>
      </c>
      <c r="K1657" s="33" t="s">
        <v>41</v>
      </c>
    </row>
    <row r="1658" spans="1:12" hidden="1" x14ac:dyDescent="0.3">
      <c r="A1658" s="39">
        <v>46065.707442129627</v>
      </c>
      <c r="B1658" s="33" t="s">
        <v>3627</v>
      </c>
      <c r="C1658" s="33">
        <v>92993594949</v>
      </c>
      <c r="E1658" s="33">
        <v>37</v>
      </c>
      <c r="F1658" s="33">
        <v>3</v>
      </c>
      <c r="G1658" s="33" t="s">
        <v>38</v>
      </c>
      <c r="H1658" s="33" t="s">
        <v>5891</v>
      </c>
      <c r="I1658" s="33" t="s">
        <v>46</v>
      </c>
      <c r="J1658" s="33" t="s">
        <v>3629</v>
      </c>
    </row>
    <row r="1659" spans="1:12" hidden="1" x14ac:dyDescent="0.3">
      <c r="A1659" s="39">
        <v>46065.705509259256</v>
      </c>
      <c r="B1659" s="33">
        <v>44998640313</v>
      </c>
      <c r="C1659" s="33" t="s">
        <v>44</v>
      </c>
      <c r="D1659" s="33">
        <v>4430265054</v>
      </c>
      <c r="E1659" s="33">
        <v>430</v>
      </c>
      <c r="F1659" s="33">
        <v>404</v>
      </c>
      <c r="G1659" s="33" t="s">
        <v>38</v>
      </c>
      <c r="H1659" s="33" t="s">
        <v>4305</v>
      </c>
      <c r="I1659" s="33" t="s">
        <v>39</v>
      </c>
      <c r="J1659" s="33" t="s">
        <v>40</v>
      </c>
      <c r="K1659" s="33" t="s">
        <v>41</v>
      </c>
    </row>
    <row r="1660" spans="1:12" hidden="1" x14ac:dyDescent="0.3">
      <c r="A1660" s="39">
        <v>46065.700648148151</v>
      </c>
      <c r="B1660" s="33" t="s">
        <v>3627</v>
      </c>
      <c r="C1660" s="33">
        <v>11968719025</v>
      </c>
      <c r="E1660" s="33">
        <v>44</v>
      </c>
      <c r="F1660" s="33">
        <v>7</v>
      </c>
      <c r="G1660" s="33" t="s">
        <v>38</v>
      </c>
      <c r="H1660" s="33" t="s">
        <v>5892</v>
      </c>
      <c r="I1660" s="33" t="s">
        <v>46</v>
      </c>
      <c r="J1660" s="33" t="s">
        <v>3629</v>
      </c>
    </row>
    <row r="1661" spans="1:12" hidden="1" x14ac:dyDescent="0.3">
      <c r="A1661" s="39">
        <v>46065.699849537035</v>
      </c>
      <c r="B1661" s="33" t="s">
        <v>3627</v>
      </c>
      <c r="C1661" s="33">
        <v>11956595812</v>
      </c>
      <c r="E1661" s="33">
        <v>18</v>
      </c>
      <c r="F1661" s="33">
        <v>4</v>
      </c>
      <c r="G1661" s="33" t="s">
        <v>38</v>
      </c>
      <c r="H1661" s="33" t="s">
        <v>5893</v>
      </c>
      <c r="I1661" s="33" t="s">
        <v>46</v>
      </c>
      <c r="J1661" s="33" t="s">
        <v>3629</v>
      </c>
    </row>
    <row r="1662" spans="1:12" hidden="1" x14ac:dyDescent="0.3">
      <c r="A1662" s="39">
        <v>46065.698958333334</v>
      </c>
      <c r="B1662" s="33" t="s">
        <v>3627</v>
      </c>
      <c r="C1662" s="33">
        <v>85982021318</v>
      </c>
      <c r="E1662" s="33">
        <v>16</v>
      </c>
      <c r="F1662" s="33">
        <v>0</v>
      </c>
      <c r="G1662" s="33" t="s">
        <v>47</v>
      </c>
      <c r="H1662" s="33" t="s">
        <v>5894</v>
      </c>
      <c r="I1662" s="33" t="s">
        <v>46</v>
      </c>
      <c r="J1662" s="33" t="s">
        <v>3629</v>
      </c>
    </row>
    <row r="1663" spans="1:12" hidden="1" x14ac:dyDescent="0.3">
      <c r="A1663" s="39">
        <v>46065.695416666669</v>
      </c>
      <c r="B1663" s="33">
        <v>6234347959</v>
      </c>
      <c r="C1663" s="33" t="s">
        <v>43</v>
      </c>
      <c r="D1663" s="33">
        <v>4430265054</v>
      </c>
      <c r="E1663" s="33">
        <v>975</v>
      </c>
      <c r="F1663" s="33">
        <v>852</v>
      </c>
      <c r="G1663" s="33" t="s">
        <v>38</v>
      </c>
      <c r="H1663" s="33" t="s">
        <v>4306</v>
      </c>
      <c r="I1663" s="33" t="s">
        <v>39</v>
      </c>
      <c r="J1663" s="33" t="s">
        <v>40</v>
      </c>
      <c r="K1663" s="33" t="s">
        <v>41</v>
      </c>
    </row>
    <row r="1664" spans="1:12" hidden="1" x14ac:dyDescent="0.3">
      <c r="A1664" s="39">
        <v>46065.6953587963</v>
      </c>
      <c r="B1664" s="33">
        <v>44997343311</v>
      </c>
      <c r="C1664" s="33" t="s">
        <v>48</v>
      </c>
      <c r="D1664" s="33">
        <v>4430265054</v>
      </c>
      <c r="E1664" s="33">
        <v>627</v>
      </c>
      <c r="F1664" s="33">
        <v>521</v>
      </c>
      <c r="G1664" s="33" t="s">
        <v>38</v>
      </c>
      <c r="H1664" s="33" t="s">
        <v>4307</v>
      </c>
      <c r="I1664" s="33" t="s">
        <v>39</v>
      </c>
      <c r="J1664" s="33" t="s">
        <v>40</v>
      </c>
      <c r="K1664" s="33" t="s">
        <v>41</v>
      </c>
      <c r="L1664" s="33">
        <v>5</v>
      </c>
    </row>
    <row r="1665" spans="1:12" hidden="1" x14ac:dyDescent="0.3">
      <c r="A1665" s="39">
        <v>46065.694687499999</v>
      </c>
      <c r="B1665" s="33">
        <v>93984112869</v>
      </c>
      <c r="C1665" s="33" t="s">
        <v>44</v>
      </c>
      <c r="D1665" s="33">
        <v>4431268225</v>
      </c>
      <c r="E1665" s="33">
        <v>778</v>
      </c>
      <c r="F1665" s="33">
        <v>639</v>
      </c>
      <c r="G1665" s="33" t="s">
        <v>38</v>
      </c>
      <c r="H1665" s="33" t="s">
        <v>4308</v>
      </c>
      <c r="I1665" s="33" t="s">
        <v>39</v>
      </c>
      <c r="J1665" s="33" t="s">
        <v>40</v>
      </c>
      <c r="K1665" s="33" t="s">
        <v>41</v>
      </c>
    </row>
    <row r="1666" spans="1:12" hidden="1" x14ac:dyDescent="0.3">
      <c r="A1666" s="39">
        <v>46065.692523148151</v>
      </c>
      <c r="B1666" s="33">
        <v>41996631918</v>
      </c>
      <c r="C1666" s="33" t="s">
        <v>48</v>
      </c>
      <c r="D1666" s="33">
        <v>4430265054</v>
      </c>
      <c r="E1666" s="33">
        <v>345</v>
      </c>
      <c r="F1666" s="33">
        <v>344</v>
      </c>
      <c r="G1666" s="33" t="s">
        <v>38</v>
      </c>
      <c r="H1666" s="33" t="s">
        <v>4309</v>
      </c>
      <c r="I1666" s="33" t="s">
        <v>39</v>
      </c>
      <c r="J1666" s="33" t="s">
        <v>40</v>
      </c>
      <c r="K1666" s="33" t="s">
        <v>41</v>
      </c>
    </row>
    <row r="1667" spans="1:12" hidden="1" x14ac:dyDescent="0.3">
      <c r="A1667" s="39">
        <v>46065.691122685188</v>
      </c>
      <c r="B1667" s="33">
        <v>93991767964</v>
      </c>
      <c r="C1667" s="33" t="s">
        <v>48</v>
      </c>
      <c r="D1667" s="33">
        <v>4430265054</v>
      </c>
      <c r="E1667" s="33">
        <v>95</v>
      </c>
      <c r="F1667" s="33">
        <v>94</v>
      </c>
      <c r="G1667" s="33" t="s">
        <v>38</v>
      </c>
      <c r="H1667" s="33" t="s">
        <v>4310</v>
      </c>
      <c r="I1667" s="33" t="s">
        <v>39</v>
      </c>
      <c r="J1667" s="33" t="s">
        <v>40</v>
      </c>
      <c r="K1667" s="33" t="s">
        <v>41</v>
      </c>
    </row>
    <row r="1668" spans="1:12" hidden="1" x14ac:dyDescent="0.3">
      <c r="A1668" s="39">
        <v>46065.689722222225</v>
      </c>
      <c r="B1668" s="33">
        <v>44991116911</v>
      </c>
      <c r="C1668" s="33" t="s">
        <v>42</v>
      </c>
      <c r="D1668" s="33">
        <v>4430265054</v>
      </c>
      <c r="E1668" s="33">
        <v>2092</v>
      </c>
      <c r="F1668" s="33">
        <v>2065</v>
      </c>
      <c r="G1668" s="33" t="s">
        <v>38</v>
      </c>
      <c r="H1668" s="33" t="s">
        <v>4311</v>
      </c>
      <c r="I1668" s="33" t="s">
        <v>39</v>
      </c>
      <c r="J1668" s="33" t="s">
        <v>40</v>
      </c>
      <c r="K1668" s="33" t="s">
        <v>41</v>
      </c>
      <c r="L1668" s="33">
        <v>5</v>
      </c>
    </row>
    <row r="1669" spans="1:12" hidden="1" x14ac:dyDescent="0.3">
      <c r="A1669" s="39">
        <v>46065.686712962961</v>
      </c>
      <c r="B1669" s="33">
        <v>4436351818</v>
      </c>
      <c r="C1669" s="33" t="s">
        <v>43</v>
      </c>
      <c r="D1669" s="33">
        <v>4430265054</v>
      </c>
      <c r="E1669" s="33">
        <v>831</v>
      </c>
      <c r="F1669" s="33">
        <v>804</v>
      </c>
      <c r="G1669" s="33" t="s">
        <v>38</v>
      </c>
      <c r="H1669" s="33" t="s">
        <v>4312</v>
      </c>
      <c r="I1669" s="33" t="s">
        <v>39</v>
      </c>
      <c r="J1669" s="33" t="s">
        <v>40</v>
      </c>
      <c r="K1669" s="33" t="s">
        <v>41</v>
      </c>
    </row>
    <row r="1670" spans="1:12" hidden="1" x14ac:dyDescent="0.3">
      <c r="A1670" s="39">
        <v>46065.684641203705</v>
      </c>
      <c r="B1670" s="33">
        <v>44998849102</v>
      </c>
      <c r="C1670" s="33" t="s">
        <v>48</v>
      </c>
      <c r="D1670" s="33">
        <v>4430265054</v>
      </c>
      <c r="E1670" s="33">
        <v>462</v>
      </c>
      <c r="F1670" s="33">
        <v>461</v>
      </c>
      <c r="G1670" s="33" t="s">
        <v>38</v>
      </c>
      <c r="H1670" s="33" t="s">
        <v>4313</v>
      </c>
      <c r="I1670" s="33" t="s">
        <v>39</v>
      </c>
      <c r="J1670" s="33" t="s">
        <v>40</v>
      </c>
      <c r="K1670" s="33" t="s">
        <v>41</v>
      </c>
    </row>
    <row r="1671" spans="1:12" hidden="1" x14ac:dyDescent="0.3">
      <c r="A1671" s="39">
        <v>46065.682824074072</v>
      </c>
      <c r="B1671" s="33">
        <v>62991155122</v>
      </c>
      <c r="C1671" s="33" t="s">
        <v>43</v>
      </c>
      <c r="D1671" s="33">
        <v>4430265054</v>
      </c>
      <c r="E1671" s="33">
        <v>254</v>
      </c>
      <c r="F1671" s="33">
        <v>192</v>
      </c>
      <c r="G1671" s="33" t="s">
        <v>38</v>
      </c>
      <c r="H1671" s="33" t="s">
        <v>4314</v>
      </c>
      <c r="I1671" s="33" t="s">
        <v>39</v>
      </c>
      <c r="J1671" s="33" t="s">
        <v>40</v>
      </c>
      <c r="K1671" s="33" t="s">
        <v>41</v>
      </c>
    </row>
    <row r="1672" spans="1:12" hidden="1" x14ac:dyDescent="0.3">
      <c r="A1672" s="39">
        <v>46065.681469907409</v>
      </c>
      <c r="B1672" s="33">
        <v>4432325260</v>
      </c>
      <c r="C1672" s="33" t="s">
        <v>44</v>
      </c>
      <c r="D1672" s="33">
        <v>4430265054</v>
      </c>
      <c r="E1672" s="33">
        <v>1020</v>
      </c>
      <c r="F1672" s="33">
        <v>992</v>
      </c>
      <c r="G1672" s="33" t="s">
        <v>38</v>
      </c>
      <c r="H1672" s="33" t="s">
        <v>4315</v>
      </c>
      <c r="I1672" s="33" t="s">
        <v>39</v>
      </c>
      <c r="J1672" s="33" t="s">
        <v>40</v>
      </c>
      <c r="K1672" s="33" t="s">
        <v>41</v>
      </c>
    </row>
    <row r="1673" spans="1:12" hidden="1" x14ac:dyDescent="0.3">
      <c r="A1673" s="39">
        <v>46065.6796412037</v>
      </c>
      <c r="B1673" s="33">
        <v>44984140993</v>
      </c>
      <c r="C1673" s="33" t="s">
        <v>43</v>
      </c>
      <c r="D1673" s="33">
        <v>4430265054</v>
      </c>
      <c r="E1673" s="33">
        <v>290</v>
      </c>
      <c r="F1673" s="33">
        <v>252</v>
      </c>
      <c r="G1673" s="33" t="s">
        <v>38</v>
      </c>
      <c r="H1673" s="33" t="s">
        <v>4316</v>
      </c>
      <c r="I1673" s="33" t="s">
        <v>39</v>
      </c>
      <c r="J1673" s="33" t="s">
        <v>40</v>
      </c>
      <c r="K1673" s="33" t="s">
        <v>41</v>
      </c>
    </row>
    <row r="1674" spans="1:12" hidden="1" x14ac:dyDescent="0.3">
      <c r="A1674" s="39">
        <v>46065.678136574075</v>
      </c>
      <c r="B1674" s="33">
        <v>44999907936</v>
      </c>
      <c r="C1674" s="33" t="s">
        <v>48</v>
      </c>
      <c r="D1674" s="33">
        <v>4430265054</v>
      </c>
      <c r="E1674" s="33">
        <v>299</v>
      </c>
      <c r="F1674" s="33">
        <v>298</v>
      </c>
      <c r="G1674" s="33" t="s">
        <v>38</v>
      </c>
      <c r="H1674" s="33" t="s">
        <v>4317</v>
      </c>
      <c r="I1674" s="33" t="s">
        <v>39</v>
      </c>
      <c r="J1674" s="33" t="s">
        <v>40</v>
      </c>
      <c r="K1674" s="33" t="s">
        <v>41</v>
      </c>
    </row>
    <row r="1675" spans="1:12" hidden="1" x14ac:dyDescent="0.3">
      <c r="A1675" s="39">
        <v>46065.677083333336</v>
      </c>
      <c r="B1675" s="33">
        <v>44998305425</v>
      </c>
      <c r="C1675" s="33" t="s">
        <v>43</v>
      </c>
      <c r="D1675" s="33">
        <v>4430265054</v>
      </c>
      <c r="E1675" s="33">
        <v>219</v>
      </c>
      <c r="F1675" s="33">
        <v>181</v>
      </c>
      <c r="G1675" s="33" t="s">
        <v>38</v>
      </c>
      <c r="H1675" s="33" t="s">
        <v>4318</v>
      </c>
      <c r="I1675" s="33" t="s">
        <v>39</v>
      </c>
      <c r="J1675" s="33" t="s">
        <v>40</v>
      </c>
      <c r="K1675" s="33" t="s">
        <v>41</v>
      </c>
      <c r="L1675" s="33">
        <v>4</v>
      </c>
    </row>
    <row r="1676" spans="1:12" hidden="1" x14ac:dyDescent="0.3">
      <c r="A1676" s="39">
        <v>46065.67523148148</v>
      </c>
      <c r="B1676" s="33">
        <v>44984140993</v>
      </c>
      <c r="C1676" s="33" t="s">
        <v>43</v>
      </c>
      <c r="D1676" s="33">
        <v>4430265054</v>
      </c>
      <c r="E1676" s="33">
        <v>192</v>
      </c>
      <c r="F1676" s="33">
        <v>158</v>
      </c>
      <c r="G1676" s="33" t="s">
        <v>38</v>
      </c>
      <c r="H1676" s="33" t="s">
        <v>4319</v>
      </c>
      <c r="I1676" s="33" t="s">
        <v>39</v>
      </c>
      <c r="J1676" s="33" t="s">
        <v>40</v>
      </c>
      <c r="K1676" s="33" t="s">
        <v>41</v>
      </c>
    </row>
    <row r="1677" spans="1:12" hidden="1" x14ac:dyDescent="0.3">
      <c r="A1677" s="39">
        <v>46065.673888888887</v>
      </c>
      <c r="B1677" s="33">
        <v>4436295470</v>
      </c>
      <c r="C1677" s="33" t="s">
        <v>48</v>
      </c>
      <c r="D1677" s="33">
        <v>4430265054</v>
      </c>
      <c r="E1677" s="33">
        <v>239</v>
      </c>
      <c r="F1677" s="33">
        <v>220</v>
      </c>
      <c r="G1677" s="33" t="s">
        <v>38</v>
      </c>
      <c r="H1677" s="33" t="s">
        <v>4320</v>
      </c>
      <c r="I1677" s="33" t="s">
        <v>39</v>
      </c>
      <c r="J1677" s="33" t="s">
        <v>40</v>
      </c>
      <c r="K1677" s="33" t="s">
        <v>41</v>
      </c>
    </row>
    <row r="1678" spans="1:12" hidden="1" x14ac:dyDescent="0.3">
      <c r="A1678" s="39">
        <v>46065.673333333332</v>
      </c>
      <c r="B1678" s="33">
        <v>43984040334</v>
      </c>
      <c r="C1678" s="33" t="s">
        <v>42</v>
      </c>
      <c r="D1678" s="33">
        <v>4430265054</v>
      </c>
      <c r="E1678" s="33">
        <v>1175</v>
      </c>
      <c r="F1678" s="33">
        <v>1166</v>
      </c>
      <c r="G1678" s="33" t="s">
        <v>38</v>
      </c>
      <c r="H1678" s="33" t="s">
        <v>4321</v>
      </c>
      <c r="I1678" s="33" t="s">
        <v>39</v>
      </c>
      <c r="J1678" s="33" t="s">
        <v>40</v>
      </c>
      <c r="K1678" s="33" t="s">
        <v>41</v>
      </c>
    </row>
    <row r="1679" spans="1:12" hidden="1" x14ac:dyDescent="0.3">
      <c r="A1679" s="39">
        <v>46065.672013888892</v>
      </c>
      <c r="B1679" s="33" t="s">
        <v>48</v>
      </c>
      <c r="C1679" s="33">
        <v>44998640313</v>
      </c>
      <c r="E1679" s="33">
        <v>36</v>
      </c>
      <c r="F1679" s="33">
        <v>0</v>
      </c>
      <c r="G1679" s="33" t="s">
        <v>47</v>
      </c>
      <c r="H1679" s="33" t="s">
        <v>5895</v>
      </c>
      <c r="I1679" s="33" t="s">
        <v>46</v>
      </c>
      <c r="J1679" s="33" t="s">
        <v>40</v>
      </c>
    </row>
    <row r="1680" spans="1:12" hidden="1" x14ac:dyDescent="0.3">
      <c r="A1680" s="39">
        <v>46065.669409722221</v>
      </c>
      <c r="B1680" s="33">
        <v>44998761561</v>
      </c>
      <c r="C1680" s="33" t="s">
        <v>48</v>
      </c>
      <c r="D1680" s="33">
        <v>4430265054</v>
      </c>
      <c r="E1680" s="33">
        <v>163</v>
      </c>
      <c r="F1680" s="33">
        <v>60</v>
      </c>
      <c r="G1680" s="33" t="s">
        <v>38</v>
      </c>
      <c r="H1680" s="33" t="s">
        <v>4322</v>
      </c>
      <c r="I1680" s="33" t="s">
        <v>39</v>
      </c>
      <c r="J1680" s="33" t="s">
        <v>40</v>
      </c>
      <c r="K1680" s="33" t="s">
        <v>41</v>
      </c>
    </row>
    <row r="1681" spans="1:12" hidden="1" x14ac:dyDescent="0.3">
      <c r="A1681" s="39">
        <v>46065.669293981482</v>
      </c>
      <c r="B1681" s="33">
        <v>99985426365</v>
      </c>
      <c r="C1681" s="33" t="s">
        <v>43</v>
      </c>
      <c r="D1681" s="33">
        <v>4430265054</v>
      </c>
      <c r="E1681" s="33">
        <v>462</v>
      </c>
      <c r="F1681" s="33">
        <v>421</v>
      </c>
      <c r="G1681" s="33" t="s">
        <v>38</v>
      </c>
      <c r="H1681" s="33" t="s">
        <v>4323</v>
      </c>
      <c r="I1681" s="33" t="s">
        <v>39</v>
      </c>
      <c r="J1681" s="33" t="s">
        <v>40</v>
      </c>
      <c r="K1681" s="33" t="s">
        <v>41</v>
      </c>
    </row>
    <row r="1682" spans="1:12" hidden="1" x14ac:dyDescent="0.3">
      <c r="A1682" s="39">
        <v>46065.668483796297</v>
      </c>
      <c r="B1682" s="33">
        <v>43984996095</v>
      </c>
      <c r="C1682" s="33" t="s">
        <v>42</v>
      </c>
      <c r="D1682" s="33">
        <v>4430265054</v>
      </c>
      <c r="E1682" s="33">
        <v>197</v>
      </c>
      <c r="F1682" s="33">
        <v>153</v>
      </c>
      <c r="G1682" s="33" t="s">
        <v>38</v>
      </c>
      <c r="H1682" s="33" t="s">
        <v>4324</v>
      </c>
      <c r="I1682" s="33" t="s">
        <v>39</v>
      </c>
      <c r="J1682" s="33" t="s">
        <v>40</v>
      </c>
      <c r="K1682" s="33" t="s">
        <v>41</v>
      </c>
    </row>
    <row r="1683" spans="1:12" hidden="1" x14ac:dyDescent="0.3">
      <c r="A1683" s="39">
        <v>46065.667719907404</v>
      </c>
      <c r="B1683" s="33" t="s">
        <v>42</v>
      </c>
      <c r="C1683" s="33">
        <v>4430191465</v>
      </c>
      <c r="E1683" s="33">
        <v>54</v>
      </c>
      <c r="F1683" s="33">
        <v>38</v>
      </c>
      <c r="G1683" s="33" t="s">
        <v>38</v>
      </c>
      <c r="H1683" s="33" t="s">
        <v>5896</v>
      </c>
      <c r="I1683" s="33" t="s">
        <v>46</v>
      </c>
      <c r="J1683" s="33" t="s">
        <v>40</v>
      </c>
    </row>
    <row r="1684" spans="1:12" hidden="1" x14ac:dyDescent="0.3">
      <c r="A1684" s="39">
        <v>46065.667500000003</v>
      </c>
      <c r="B1684" s="33" t="s">
        <v>42</v>
      </c>
      <c r="C1684" s="33">
        <v>44988067937</v>
      </c>
      <c r="E1684" s="33">
        <v>4</v>
      </c>
      <c r="F1684" s="33">
        <v>0</v>
      </c>
      <c r="G1684" s="33" t="s">
        <v>47</v>
      </c>
      <c r="H1684" s="33" t="s">
        <v>5897</v>
      </c>
      <c r="I1684" s="33" t="s">
        <v>46</v>
      </c>
      <c r="J1684" s="33" t="s">
        <v>40</v>
      </c>
    </row>
    <row r="1685" spans="1:12" hidden="1" x14ac:dyDescent="0.3">
      <c r="A1685" s="39">
        <v>46065.665300925924</v>
      </c>
      <c r="B1685" s="33">
        <v>44991284259</v>
      </c>
      <c r="C1685" s="33" t="s">
        <v>48</v>
      </c>
      <c r="D1685" s="33">
        <v>4430265054</v>
      </c>
      <c r="E1685" s="33">
        <v>457</v>
      </c>
      <c r="F1685" s="33">
        <v>456</v>
      </c>
      <c r="G1685" s="33" t="s">
        <v>38</v>
      </c>
      <c r="H1685" s="33" t="s">
        <v>4325</v>
      </c>
      <c r="I1685" s="33" t="s">
        <v>39</v>
      </c>
      <c r="J1685" s="33" t="s">
        <v>40</v>
      </c>
      <c r="K1685" s="33" t="s">
        <v>41</v>
      </c>
    </row>
    <row r="1686" spans="1:12" hidden="1" x14ac:dyDescent="0.3">
      <c r="A1686" s="39">
        <v>46065.663159722222</v>
      </c>
      <c r="B1686" s="33">
        <v>4436297742</v>
      </c>
      <c r="C1686" s="33" t="s">
        <v>43</v>
      </c>
      <c r="D1686" s="33">
        <v>4430265054</v>
      </c>
      <c r="E1686" s="33">
        <v>385</v>
      </c>
      <c r="F1686" s="33">
        <v>356</v>
      </c>
      <c r="G1686" s="33" t="s">
        <v>38</v>
      </c>
      <c r="H1686" s="33" t="s">
        <v>4326</v>
      </c>
      <c r="I1686" s="33" t="s">
        <v>39</v>
      </c>
      <c r="J1686" s="33" t="s">
        <v>40</v>
      </c>
      <c r="K1686" s="33" t="s">
        <v>41</v>
      </c>
    </row>
    <row r="1687" spans="1:12" x14ac:dyDescent="0.3">
      <c r="A1687" s="39">
        <v>46065.659178240741</v>
      </c>
      <c r="B1687" s="33">
        <v>4430153305</v>
      </c>
      <c r="C1687" s="33" t="s">
        <v>44</v>
      </c>
      <c r="D1687" s="33">
        <v>4430265054</v>
      </c>
      <c r="E1687" s="33">
        <v>1778</v>
      </c>
      <c r="F1687" s="33">
        <v>1548</v>
      </c>
      <c r="G1687" s="33" t="s">
        <v>38</v>
      </c>
      <c r="H1687" s="33" t="s">
        <v>4327</v>
      </c>
      <c r="I1687" s="33" t="s">
        <v>39</v>
      </c>
      <c r="J1687" s="33" t="s">
        <v>40</v>
      </c>
      <c r="K1687" s="33" t="s">
        <v>41</v>
      </c>
      <c r="L1687" s="33">
        <v>4</v>
      </c>
    </row>
    <row r="1688" spans="1:12" hidden="1" x14ac:dyDescent="0.3">
      <c r="A1688" s="39">
        <v>46065.658599537041</v>
      </c>
      <c r="B1688" s="33">
        <v>45999211357</v>
      </c>
      <c r="C1688" s="33" t="s">
        <v>48</v>
      </c>
      <c r="D1688" s="33">
        <v>4431268225</v>
      </c>
      <c r="E1688" s="33">
        <v>300</v>
      </c>
      <c r="F1688" s="33">
        <v>120</v>
      </c>
      <c r="G1688" s="33" t="s">
        <v>38</v>
      </c>
      <c r="H1688" s="33" t="s">
        <v>4328</v>
      </c>
      <c r="I1688" s="33" t="s">
        <v>39</v>
      </c>
      <c r="J1688" s="33" t="s">
        <v>40</v>
      </c>
      <c r="K1688" s="33" t="s">
        <v>41</v>
      </c>
    </row>
    <row r="1689" spans="1:12" hidden="1" x14ac:dyDescent="0.3">
      <c r="A1689" s="39">
        <v>46065.658078703702</v>
      </c>
      <c r="B1689" s="33">
        <v>44988067937</v>
      </c>
      <c r="C1689" s="33" t="s">
        <v>45</v>
      </c>
      <c r="D1689" s="33">
        <v>4430265054</v>
      </c>
      <c r="E1689" s="33">
        <v>1726</v>
      </c>
      <c r="F1689" s="33">
        <v>1662</v>
      </c>
      <c r="G1689" s="33" t="s">
        <v>38</v>
      </c>
      <c r="H1689" s="33" t="s">
        <v>4329</v>
      </c>
      <c r="I1689" s="33" t="s">
        <v>39</v>
      </c>
      <c r="J1689" s="33" t="s">
        <v>40</v>
      </c>
      <c r="K1689" s="33" t="s">
        <v>41</v>
      </c>
    </row>
    <row r="1690" spans="1:12" hidden="1" x14ac:dyDescent="0.3">
      <c r="A1690" s="39">
        <v>46065.657708333332</v>
      </c>
      <c r="B1690" s="33" t="s">
        <v>44</v>
      </c>
      <c r="C1690" s="33">
        <v>4436351835</v>
      </c>
      <c r="E1690" s="33">
        <v>290</v>
      </c>
      <c r="F1690" s="33">
        <v>285</v>
      </c>
      <c r="G1690" s="33" t="s">
        <v>38</v>
      </c>
      <c r="H1690" s="33" t="s">
        <v>5898</v>
      </c>
      <c r="I1690" s="33" t="s">
        <v>46</v>
      </c>
      <c r="J1690" s="33" t="s">
        <v>40</v>
      </c>
    </row>
    <row r="1691" spans="1:12" hidden="1" x14ac:dyDescent="0.3">
      <c r="A1691" s="39">
        <v>46065.657222222224</v>
      </c>
      <c r="B1691" s="33">
        <v>44988067937</v>
      </c>
      <c r="C1691" s="33">
        <v>4430265054</v>
      </c>
      <c r="D1691" s="33">
        <v>4430265054</v>
      </c>
      <c r="E1691" s="33">
        <v>65</v>
      </c>
      <c r="F1691" s="33">
        <v>64</v>
      </c>
      <c r="G1691" s="33" t="s">
        <v>3449</v>
      </c>
      <c r="H1691" s="33" t="s">
        <v>4330</v>
      </c>
      <c r="I1691" s="33" t="s">
        <v>39</v>
      </c>
      <c r="J1691" s="33" t="s">
        <v>3451</v>
      </c>
      <c r="K1691" s="33" t="s">
        <v>41</v>
      </c>
    </row>
    <row r="1692" spans="1:12" hidden="1" x14ac:dyDescent="0.3">
      <c r="A1692" s="39">
        <v>46065.648009259261</v>
      </c>
      <c r="B1692" s="33">
        <v>43984040334</v>
      </c>
      <c r="C1692" s="33" t="s">
        <v>42</v>
      </c>
      <c r="D1692" s="33">
        <v>4430265054</v>
      </c>
      <c r="E1692" s="33">
        <v>1289</v>
      </c>
      <c r="F1692" s="33">
        <v>1233</v>
      </c>
      <c r="G1692" s="33" t="s">
        <v>38</v>
      </c>
      <c r="H1692" s="33" t="s">
        <v>4331</v>
      </c>
      <c r="I1692" s="33" t="s">
        <v>39</v>
      </c>
      <c r="J1692" s="33" t="s">
        <v>40</v>
      </c>
      <c r="K1692" s="33" t="s">
        <v>41</v>
      </c>
    </row>
    <row r="1693" spans="1:12" hidden="1" x14ac:dyDescent="0.3">
      <c r="A1693" s="39">
        <v>46065.647777777776</v>
      </c>
      <c r="B1693" s="33">
        <v>44999907936</v>
      </c>
      <c r="C1693" s="33" t="s">
        <v>48</v>
      </c>
      <c r="D1693" s="33">
        <v>4430265054</v>
      </c>
      <c r="E1693" s="33">
        <v>1114</v>
      </c>
      <c r="F1693" s="33">
        <v>1077</v>
      </c>
      <c r="G1693" s="33" t="s">
        <v>38</v>
      </c>
      <c r="H1693" s="33" t="s">
        <v>4332</v>
      </c>
      <c r="I1693" s="33" t="s">
        <v>39</v>
      </c>
      <c r="J1693" s="33" t="s">
        <v>40</v>
      </c>
      <c r="K1693" s="33" t="s">
        <v>41</v>
      </c>
    </row>
    <row r="1694" spans="1:12" hidden="1" x14ac:dyDescent="0.3">
      <c r="A1694" s="39">
        <v>46065.644236111111</v>
      </c>
      <c r="B1694" s="33" t="s">
        <v>3627</v>
      </c>
      <c r="C1694" s="33">
        <v>4436196400</v>
      </c>
      <c r="E1694" s="33">
        <v>290</v>
      </c>
      <c r="F1694" s="33">
        <v>285</v>
      </c>
      <c r="G1694" s="33" t="s">
        <v>38</v>
      </c>
      <c r="H1694" s="33" t="s">
        <v>5899</v>
      </c>
      <c r="I1694" s="33" t="s">
        <v>46</v>
      </c>
      <c r="J1694" s="33" t="s">
        <v>3629</v>
      </c>
    </row>
    <row r="1695" spans="1:12" hidden="1" x14ac:dyDescent="0.3">
      <c r="A1695" s="39">
        <v>46065.643518518518</v>
      </c>
      <c r="B1695" s="33" t="s">
        <v>44</v>
      </c>
      <c r="C1695" s="33">
        <v>93991495484</v>
      </c>
      <c r="E1695" s="33">
        <v>715</v>
      </c>
      <c r="F1695" s="33">
        <v>702</v>
      </c>
      <c r="G1695" s="33" t="s">
        <v>38</v>
      </c>
      <c r="H1695" s="33" t="s">
        <v>5900</v>
      </c>
      <c r="I1695" s="33" t="s">
        <v>46</v>
      </c>
      <c r="J1695" s="33" t="s">
        <v>40</v>
      </c>
    </row>
    <row r="1696" spans="1:12" hidden="1" x14ac:dyDescent="0.3">
      <c r="A1696" s="39">
        <v>46065.638472222221</v>
      </c>
      <c r="B1696" s="33" t="s">
        <v>3627</v>
      </c>
      <c r="C1696" s="33">
        <v>81989502369</v>
      </c>
      <c r="E1696" s="33">
        <v>37</v>
      </c>
      <c r="F1696" s="33">
        <v>0</v>
      </c>
      <c r="G1696" s="33" t="s">
        <v>47</v>
      </c>
      <c r="H1696" s="33" t="s">
        <v>5901</v>
      </c>
      <c r="I1696" s="33" t="s">
        <v>46</v>
      </c>
      <c r="J1696" s="33" t="s">
        <v>3629</v>
      </c>
    </row>
    <row r="1697" spans="1:12" hidden="1" x14ac:dyDescent="0.3">
      <c r="A1697" s="39">
        <v>46065.638368055559</v>
      </c>
      <c r="B1697" s="33">
        <v>44997650834</v>
      </c>
      <c r="C1697" s="33" t="s">
        <v>43</v>
      </c>
      <c r="D1697" s="33">
        <v>4430265054</v>
      </c>
      <c r="E1697" s="33">
        <v>2077</v>
      </c>
      <c r="F1697" s="33">
        <v>2049</v>
      </c>
      <c r="G1697" s="33" t="s">
        <v>38</v>
      </c>
      <c r="H1697" s="33" t="s">
        <v>4333</v>
      </c>
      <c r="I1697" s="33" t="s">
        <v>39</v>
      </c>
      <c r="J1697" s="33" t="s">
        <v>40</v>
      </c>
      <c r="K1697" s="33" t="s">
        <v>41</v>
      </c>
    </row>
    <row r="1698" spans="1:12" hidden="1" x14ac:dyDescent="0.3">
      <c r="A1698" s="39">
        <v>46065.634247685186</v>
      </c>
      <c r="B1698" s="33">
        <v>4430141533</v>
      </c>
      <c r="C1698" s="33" t="s">
        <v>42</v>
      </c>
      <c r="D1698" s="33">
        <v>4430265054</v>
      </c>
      <c r="E1698" s="33">
        <v>222</v>
      </c>
      <c r="F1698" s="33">
        <v>195</v>
      </c>
      <c r="G1698" s="33" t="s">
        <v>38</v>
      </c>
      <c r="H1698" s="33" t="s">
        <v>4334</v>
      </c>
      <c r="I1698" s="33" t="s">
        <v>39</v>
      </c>
      <c r="J1698" s="33" t="s">
        <v>40</v>
      </c>
      <c r="K1698" s="33" t="s">
        <v>41</v>
      </c>
      <c r="L1698" s="33">
        <v>5</v>
      </c>
    </row>
    <row r="1699" spans="1:12" hidden="1" x14ac:dyDescent="0.3">
      <c r="A1699" s="39">
        <v>46065.633645833332</v>
      </c>
      <c r="B1699" s="33" t="s">
        <v>3627</v>
      </c>
      <c r="C1699" s="33">
        <v>81989502369</v>
      </c>
      <c r="E1699" s="33">
        <v>4</v>
      </c>
      <c r="F1699" s="33">
        <v>0</v>
      </c>
      <c r="G1699" s="33" t="s">
        <v>47</v>
      </c>
      <c r="H1699" s="33" t="s">
        <v>5902</v>
      </c>
      <c r="I1699" s="33" t="s">
        <v>46</v>
      </c>
      <c r="J1699" s="33" t="s">
        <v>3629</v>
      </c>
    </row>
    <row r="1700" spans="1:12" hidden="1" x14ac:dyDescent="0.3">
      <c r="A1700" s="39">
        <v>46065.632245370369</v>
      </c>
      <c r="B1700" s="33">
        <v>44999680829</v>
      </c>
      <c r="C1700" s="33" t="s">
        <v>45</v>
      </c>
      <c r="D1700" s="33">
        <v>4431268225</v>
      </c>
      <c r="E1700" s="33">
        <v>1065</v>
      </c>
      <c r="F1700" s="33">
        <v>1020</v>
      </c>
      <c r="G1700" s="33" t="s">
        <v>38</v>
      </c>
      <c r="H1700" s="33" t="s">
        <v>4335</v>
      </c>
      <c r="I1700" s="33" t="s">
        <v>39</v>
      </c>
      <c r="J1700" s="33" t="s">
        <v>40</v>
      </c>
      <c r="K1700" s="33" t="s">
        <v>41</v>
      </c>
      <c r="L1700" s="33">
        <v>5</v>
      </c>
    </row>
    <row r="1701" spans="1:12" hidden="1" x14ac:dyDescent="0.3">
      <c r="A1701" s="39">
        <v>46065.629641203705</v>
      </c>
      <c r="B1701" s="33" t="s">
        <v>3627</v>
      </c>
      <c r="C1701" s="33">
        <v>11940767073</v>
      </c>
      <c r="E1701" s="33">
        <v>110</v>
      </c>
      <c r="F1701" s="33">
        <v>94</v>
      </c>
      <c r="G1701" s="33" t="s">
        <v>38</v>
      </c>
      <c r="H1701" s="33" t="s">
        <v>5903</v>
      </c>
      <c r="I1701" s="33" t="s">
        <v>46</v>
      </c>
      <c r="J1701" s="33" t="s">
        <v>3629</v>
      </c>
    </row>
    <row r="1702" spans="1:12" hidden="1" x14ac:dyDescent="0.3">
      <c r="A1702" s="39">
        <v>46065.628796296296</v>
      </c>
      <c r="B1702" s="33">
        <v>44991041123</v>
      </c>
      <c r="C1702" s="33" t="s">
        <v>44</v>
      </c>
      <c r="D1702" s="33">
        <v>4430265054</v>
      </c>
      <c r="E1702" s="33">
        <v>902</v>
      </c>
      <c r="F1702" s="33">
        <v>824</v>
      </c>
      <c r="G1702" s="33" t="s">
        <v>38</v>
      </c>
      <c r="H1702" s="33" t="s">
        <v>4336</v>
      </c>
      <c r="I1702" s="33" t="s">
        <v>39</v>
      </c>
      <c r="J1702" s="33" t="s">
        <v>40</v>
      </c>
      <c r="K1702" s="33" t="s">
        <v>41</v>
      </c>
    </row>
    <row r="1703" spans="1:12" hidden="1" x14ac:dyDescent="0.3">
      <c r="A1703" s="39">
        <v>46065.628460648149</v>
      </c>
      <c r="B1703" s="33">
        <v>44991333591</v>
      </c>
      <c r="C1703" s="33" t="s">
        <v>45</v>
      </c>
      <c r="D1703" s="33">
        <v>4430265054</v>
      </c>
      <c r="E1703" s="33">
        <v>133</v>
      </c>
      <c r="F1703" s="33">
        <v>112</v>
      </c>
      <c r="G1703" s="33" t="s">
        <v>38</v>
      </c>
      <c r="H1703" s="33" t="s">
        <v>4337</v>
      </c>
      <c r="I1703" s="33" t="s">
        <v>39</v>
      </c>
      <c r="J1703" s="33" t="s">
        <v>40</v>
      </c>
      <c r="K1703" s="33" t="s">
        <v>41</v>
      </c>
      <c r="L1703" s="33">
        <v>5</v>
      </c>
    </row>
    <row r="1704" spans="1:12" hidden="1" x14ac:dyDescent="0.3">
      <c r="A1704" s="39">
        <v>46065.627118055556</v>
      </c>
      <c r="B1704" s="33" t="s">
        <v>44</v>
      </c>
      <c r="C1704" s="33">
        <v>4430291622</v>
      </c>
      <c r="E1704" s="33">
        <v>96</v>
      </c>
      <c r="F1704" s="33">
        <v>90</v>
      </c>
      <c r="G1704" s="33" t="s">
        <v>38</v>
      </c>
      <c r="H1704" s="33" t="s">
        <v>5904</v>
      </c>
      <c r="I1704" s="33" t="s">
        <v>46</v>
      </c>
      <c r="J1704" s="33" t="s">
        <v>40</v>
      </c>
    </row>
    <row r="1705" spans="1:12" hidden="1" x14ac:dyDescent="0.3">
      <c r="A1705" s="39">
        <v>46065.627025462964</v>
      </c>
      <c r="B1705" s="33" t="s">
        <v>44</v>
      </c>
      <c r="C1705" s="33">
        <v>4430291622</v>
      </c>
      <c r="E1705" s="33">
        <v>7</v>
      </c>
      <c r="F1705" s="33">
        <v>0</v>
      </c>
      <c r="G1705" s="33" t="s">
        <v>47</v>
      </c>
      <c r="H1705" s="33" t="s">
        <v>5905</v>
      </c>
      <c r="I1705" s="33" t="s">
        <v>46</v>
      </c>
      <c r="J1705" s="33" t="s">
        <v>40</v>
      </c>
    </row>
    <row r="1706" spans="1:12" hidden="1" x14ac:dyDescent="0.3">
      <c r="A1706" s="39">
        <v>46065.626886574071</v>
      </c>
      <c r="B1706" s="33" t="s">
        <v>48</v>
      </c>
      <c r="C1706" s="33">
        <v>4432641415</v>
      </c>
      <c r="E1706" s="33">
        <v>703</v>
      </c>
      <c r="F1706" s="33">
        <v>694</v>
      </c>
      <c r="G1706" s="33" t="s">
        <v>38</v>
      </c>
      <c r="H1706" s="33" t="s">
        <v>5906</v>
      </c>
      <c r="I1706" s="33" t="s">
        <v>46</v>
      </c>
      <c r="J1706" s="33" t="s">
        <v>40</v>
      </c>
    </row>
    <row r="1707" spans="1:12" hidden="1" x14ac:dyDescent="0.3">
      <c r="A1707" s="39">
        <v>46065.626504629632</v>
      </c>
      <c r="B1707" s="33">
        <v>73982188717</v>
      </c>
      <c r="C1707" s="33" t="s">
        <v>42</v>
      </c>
      <c r="D1707" s="33">
        <v>4430265054</v>
      </c>
      <c r="E1707" s="33">
        <v>508</v>
      </c>
      <c r="F1707" s="33">
        <v>487</v>
      </c>
      <c r="G1707" s="33" t="s">
        <v>38</v>
      </c>
      <c r="H1707" s="33" t="s">
        <v>4338</v>
      </c>
      <c r="I1707" s="33" t="s">
        <v>39</v>
      </c>
      <c r="J1707" s="33" t="s">
        <v>40</v>
      </c>
      <c r="K1707" s="33" t="s">
        <v>41</v>
      </c>
    </row>
    <row r="1708" spans="1:12" hidden="1" x14ac:dyDescent="0.3">
      <c r="A1708" s="39">
        <v>46065.626030092593</v>
      </c>
      <c r="B1708" s="33" t="s">
        <v>48</v>
      </c>
      <c r="C1708" s="33">
        <v>44999680829</v>
      </c>
      <c r="E1708" s="33">
        <v>44</v>
      </c>
      <c r="F1708" s="33">
        <v>35</v>
      </c>
      <c r="G1708" s="33" t="s">
        <v>38</v>
      </c>
      <c r="H1708" s="33" t="s">
        <v>5907</v>
      </c>
      <c r="I1708" s="33" t="s">
        <v>46</v>
      </c>
      <c r="J1708" s="33" t="s">
        <v>40</v>
      </c>
    </row>
    <row r="1709" spans="1:12" hidden="1" x14ac:dyDescent="0.3">
      <c r="A1709" s="39">
        <v>46065.622546296298</v>
      </c>
      <c r="B1709" s="33" t="s">
        <v>48</v>
      </c>
      <c r="C1709" s="33">
        <v>4434531529</v>
      </c>
      <c r="E1709" s="33">
        <v>1</v>
      </c>
      <c r="F1709" s="33">
        <v>0</v>
      </c>
      <c r="G1709" s="33" t="s">
        <v>47</v>
      </c>
      <c r="H1709" s="33" t="s">
        <v>5908</v>
      </c>
      <c r="I1709" s="33" t="s">
        <v>46</v>
      </c>
      <c r="J1709" s="33" t="s">
        <v>40</v>
      </c>
    </row>
    <row r="1710" spans="1:12" hidden="1" x14ac:dyDescent="0.3">
      <c r="A1710" s="39">
        <v>46065.622511574074</v>
      </c>
      <c r="B1710" s="33">
        <v>43991364602</v>
      </c>
      <c r="C1710" s="33" t="s">
        <v>48</v>
      </c>
      <c r="D1710" s="33">
        <v>4430265054</v>
      </c>
      <c r="E1710" s="33">
        <v>183</v>
      </c>
      <c r="F1710" s="33">
        <v>166</v>
      </c>
      <c r="G1710" s="33" t="s">
        <v>38</v>
      </c>
      <c r="H1710" s="33" t="s">
        <v>4339</v>
      </c>
      <c r="I1710" s="33" t="s">
        <v>39</v>
      </c>
      <c r="J1710" s="33" t="s">
        <v>40</v>
      </c>
      <c r="K1710" s="33" t="s">
        <v>41</v>
      </c>
    </row>
    <row r="1711" spans="1:12" hidden="1" x14ac:dyDescent="0.3">
      <c r="A1711" s="39">
        <v>46065.622488425928</v>
      </c>
      <c r="B1711" s="33" t="s">
        <v>48</v>
      </c>
      <c r="C1711" s="33">
        <v>4434531529</v>
      </c>
      <c r="E1711" s="33">
        <v>3</v>
      </c>
      <c r="F1711" s="33">
        <v>0</v>
      </c>
      <c r="G1711" s="33" t="s">
        <v>47</v>
      </c>
      <c r="H1711" s="33" t="s">
        <v>5909</v>
      </c>
      <c r="I1711" s="33" t="s">
        <v>46</v>
      </c>
      <c r="J1711" s="33" t="s">
        <v>40</v>
      </c>
    </row>
    <row r="1712" spans="1:12" hidden="1" x14ac:dyDescent="0.3">
      <c r="A1712" s="39">
        <v>46065.622361111113</v>
      </c>
      <c r="B1712" s="33">
        <v>44991113954</v>
      </c>
      <c r="C1712" s="33" t="s">
        <v>43</v>
      </c>
      <c r="D1712" s="33">
        <v>4430265054</v>
      </c>
      <c r="E1712" s="33">
        <v>1157</v>
      </c>
      <c r="F1712" s="33">
        <v>1073</v>
      </c>
      <c r="G1712" s="33" t="s">
        <v>38</v>
      </c>
      <c r="H1712" s="33" t="s">
        <v>4340</v>
      </c>
      <c r="I1712" s="33" t="s">
        <v>39</v>
      </c>
      <c r="J1712" s="33" t="s">
        <v>40</v>
      </c>
      <c r="K1712" s="33" t="s">
        <v>41</v>
      </c>
    </row>
    <row r="1713" spans="1:11" hidden="1" x14ac:dyDescent="0.3">
      <c r="A1713" s="39">
        <v>46065.620717592596</v>
      </c>
      <c r="B1713" s="33">
        <v>4432268889</v>
      </c>
      <c r="C1713" s="33">
        <v>4430265054</v>
      </c>
      <c r="D1713" s="33">
        <v>4430265054</v>
      </c>
      <c r="E1713" s="33">
        <v>64</v>
      </c>
      <c r="F1713" s="33">
        <v>63</v>
      </c>
      <c r="G1713" s="33" t="s">
        <v>3449</v>
      </c>
      <c r="H1713" s="33" t="s">
        <v>4341</v>
      </c>
      <c r="I1713" s="33" t="s">
        <v>39</v>
      </c>
      <c r="J1713" s="33" t="s">
        <v>3451</v>
      </c>
      <c r="K1713" s="33" t="s">
        <v>41</v>
      </c>
    </row>
    <row r="1714" spans="1:11" hidden="1" x14ac:dyDescent="0.3">
      <c r="A1714" s="39">
        <v>46065.618888888886</v>
      </c>
      <c r="B1714" s="33">
        <v>44988067937</v>
      </c>
      <c r="C1714" s="33" t="s">
        <v>42</v>
      </c>
      <c r="D1714" s="33">
        <v>4430265054</v>
      </c>
      <c r="E1714" s="33">
        <v>622</v>
      </c>
      <c r="F1714" s="33">
        <v>587</v>
      </c>
      <c r="G1714" s="33" t="s">
        <v>38</v>
      </c>
      <c r="H1714" s="33" t="s">
        <v>4342</v>
      </c>
      <c r="I1714" s="33" t="s">
        <v>39</v>
      </c>
      <c r="J1714" s="33" t="s">
        <v>40</v>
      </c>
      <c r="K1714" s="33" t="s">
        <v>41</v>
      </c>
    </row>
    <row r="1715" spans="1:11" hidden="1" x14ac:dyDescent="0.3">
      <c r="A1715" s="39">
        <v>46065.617337962962</v>
      </c>
      <c r="B1715" s="33" t="s">
        <v>3627</v>
      </c>
      <c r="C1715" s="33">
        <v>41985071107</v>
      </c>
      <c r="E1715" s="33">
        <v>4</v>
      </c>
      <c r="F1715" s="33">
        <v>0</v>
      </c>
      <c r="G1715" s="33" t="s">
        <v>47</v>
      </c>
      <c r="H1715" s="33" t="s">
        <v>5910</v>
      </c>
      <c r="I1715" s="33" t="s">
        <v>46</v>
      </c>
      <c r="J1715" s="33" t="s">
        <v>3629</v>
      </c>
    </row>
    <row r="1716" spans="1:11" hidden="1" x14ac:dyDescent="0.3">
      <c r="A1716" s="39">
        <v>46065.614548611113</v>
      </c>
      <c r="B1716" s="33" t="s">
        <v>48</v>
      </c>
      <c r="C1716" s="33">
        <v>4330261969</v>
      </c>
      <c r="E1716" s="33">
        <v>460</v>
      </c>
      <c r="F1716" s="33">
        <v>452</v>
      </c>
      <c r="G1716" s="33" t="s">
        <v>38</v>
      </c>
      <c r="H1716" s="33" t="s">
        <v>5911</v>
      </c>
      <c r="I1716" s="33" t="s">
        <v>46</v>
      </c>
      <c r="J1716" s="33" t="s">
        <v>40</v>
      </c>
    </row>
    <row r="1717" spans="1:11" hidden="1" x14ac:dyDescent="0.3">
      <c r="A1717" s="39">
        <v>46065.614502314813</v>
      </c>
      <c r="B1717" s="33" t="s">
        <v>48</v>
      </c>
      <c r="C1717" s="33">
        <v>433061969</v>
      </c>
      <c r="E1717" s="33">
        <v>2</v>
      </c>
      <c r="F1717" s="33">
        <v>0</v>
      </c>
      <c r="G1717" s="33" t="s">
        <v>47</v>
      </c>
      <c r="H1717" s="33" t="s">
        <v>5912</v>
      </c>
      <c r="I1717" s="33" t="s">
        <v>46</v>
      </c>
      <c r="J1717" s="33" t="s">
        <v>40</v>
      </c>
    </row>
    <row r="1718" spans="1:11" hidden="1" x14ac:dyDescent="0.3">
      <c r="A1718" s="39">
        <v>46065.613807870373</v>
      </c>
      <c r="B1718" s="33" t="s">
        <v>44</v>
      </c>
      <c r="C1718" s="33">
        <v>1131515685</v>
      </c>
      <c r="E1718" s="33">
        <v>749</v>
      </c>
      <c r="F1718" s="33">
        <v>744</v>
      </c>
      <c r="G1718" s="33" t="s">
        <v>38</v>
      </c>
      <c r="H1718" s="33" t="s">
        <v>5913</v>
      </c>
      <c r="I1718" s="33" t="s">
        <v>46</v>
      </c>
      <c r="J1718" s="33" t="s">
        <v>40</v>
      </c>
    </row>
    <row r="1719" spans="1:11" hidden="1" x14ac:dyDescent="0.3">
      <c r="A1719" s="39">
        <v>46065.611215277779</v>
      </c>
      <c r="B1719" s="33">
        <v>1131043888</v>
      </c>
      <c r="C1719" s="33" t="s">
        <v>45</v>
      </c>
      <c r="D1719" s="33">
        <v>4430265054</v>
      </c>
      <c r="E1719" s="33">
        <v>1110</v>
      </c>
      <c r="F1719" s="33">
        <v>1071</v>
      </c>
      <c r="G1719" s="33" t="s">
        <v>38</v>
      </c>
      <c r="H1719" s="33" t="s">
        <v>4343</v>
      </c>
      <c r="I1719" s="33" t="s">
        <v>39</v>
      </c>
      <c r="J1719" s="33" t="s">
        <v>40</v>
      </c>
      <c r="K1719" s="33" t="s">
        <v>41</v>
      </c>
    </row>
    <row r="1720" spans="1:11" hidden="1" x14ac:dyDescent="0.3">
      <c r="A1720" s="39">
        <v>46065.609907407408</v>
      </c>
      <c r="B1720" s="33">
        <v>4432325260</v>
      </c>
      <c r="C1720" s="33" t="s">
        <v>45</v>
      </c>
      <c r="D1720" s="33">
        <v>4430265054</v>
      </c>
      <c r="E1720" s="33">
        <v>67</v>
      </c>
      <c r="F1720" s="33">
        <v>39</v>
      </c>
      <c r="G1720" s="33" t="s">
        <v>38</v>
      </c>
      <c r="H1720" s="33" t="s">
        <v>4344</v>
      </c>
      <c r="I1720" s="33" t="s">
        <v>39</v>
      </c>
      <c r="J1720" s="33" t="s">
        <v>40</v>
      </c>
      <c r="K1720" s="33" t="s">
        <v>41</v>
      </c>
    </row>
    <row r="1721" spans="1:11" hidden="1" x14ac:dyDescent="0.3">
      <c r="A1721" s="39">
        <v>46065.608124999999</v>
      </c>
      <c r="B1721" s="33">
        <v>15997113760</v>
      </c>
      <c r="C1721" s="33" t="s">
        <v>42</v>
      </c>
      <c r="D1721" s="33">
        <v>4431268225</v>
      </c>
      <c r="E1721" s="33">
        <v>774</v>
      </c>
      <c r="F1721" s="33">
        <v>721</v>
      </c>
      <c r="G1721" s="33" t="s">
        <v>38</v>
      </c>
      <c r="H1721" s="33" t="s">
        <v>4345</v>
      </c>
      <c r="I1721" s="33" t="s">
        <v>39</v>
      </c>
      <c r="J1721" s="33" t="s">
        <v>40</v>
      </c>
      <c r="K1721" s="33" t="s">
        <v>41</v>
      </c>
    </row>
    <row r="1722" spans="1:11" hidden="1" x14ac:dyDescent="0.3">
      <c r="A1722" s="39">
        <v>46065.607546296298</v>
      </c>
      <c r="B1722" s="33">
        <v>4130760170</v>
      </c>
      <c r="C1722" s="33" t="s">
        <v>48</v>
      </c>
      <c r="D1722" s="33">
        <v>4430265054</v>
      </c>
      <c r="E1722" s="33">
        <v>585</v>
      </c>
      <c r="F1722" s="33">
        <v>566</v>
      </c>
      <c r="G1722" s="33" t="s">
        <v>38</v>
      </c>
      <c r="H1722" s="33" t="s">
        <v>4346</v>
      </c>
      <c r="I1722" s="33" t="s">
        <v>39</v>
      </c>
      <c r="J1722" s="33" t="s">
        <v>40</v>
      </c>
      <c r="K1722" s="33" t="s">
        <v>41</v>
      </c>
    </row>
    <row r="1723" spans="1:11" hidden="1" x14ac:dyDescent="0.3">
      <c r="A1723" s="39">
        <v>46065.606678240743</v>
      </c>
      <c r="B1723" s="33">
        <v>44998849102</v>
      </c>
      <c r="C1723" s="33" t="s">
        <v>43</v>
      </c>
      <c r="D1723" s="33">
        <v>4430265054</v>
      </c>
      <c r="E1723" s="33">
        <v>437</v>
      </c>
      <c r="F1723" s="33">
        <v>419</v>
      </c>
      <c r="G1723" s="33" t="s">
        <v>38</v>
      </c>
      <c r="H1723" s="33" t="s">
        <v>4347</v>
      </c>
      <c r="I1723" s="33" t="s">
        <v>39</v>
      </c>
      <c r="J1723" s="33" t="s">
        <v>40</v>
      </c>
      <c r="K1723" s="33" t="s">
        <v>41</v>
      </c>
    </row>
    <row r="1724" spans="1:11" hidden="1" x14ac:dyDescent="0.3">
      <c r="A1724" s="39">
        <v>46065.605474537035</v>
      </c>
      <c r="B1724" s="33">
        <v>6234347959</v>
      </c>
      <c r="C1724" s="33" t="s">
        <v>44</v>
      </c>
      <c r="D1724" s="33">
        <v>4430265054</v>
      </c>
      <c r="E1724" s="33">
        <v>353</v>
      </c>
      <c r="F1724" s="33">
        <v>324</v>
      </c>
      <c r="G1724" s="33" t="s">
        <v>38</v>
      </c>
      <c r="H1724" s="33" t="s">
        <v>4348</v>
      </c>
      <c r="I1724" s="33" t="s">
        <v>39</v>
      </c>
      <c r="J1724" s="33" t="s">
        <v>40</v>
      </c>
      <c r="K1724" s="33" t="s">
        <v>41</v>
      </c>
    </row>
    <row r="1725" spans="1:11" hidden="1" x14ac:dyDescent="0.3">
      <c r="A1725" s="39">
        <v>46065.602187500001</v>
      </c>
      <c r="B1725" s="33">
        <v>4430291622</v>
      </c>
      <c r="C1725" s="33" t="s">
        <v>44</v>
      </c>
      <c r="D1725" s="33">
        <v>4430265054</v>
      </c>
      <c r="E1725" s="33">
        <v>352</v>
      </c>
      <c r="F1725" s="33">
        <v>313</v>
      </c>
      <c r="G1725" s="33" t="s">
        <v>38</v>
      </c>
      <c r="H1725" s="33" t="s">
        <v>4349</v>
      </c>
      <c r="I1725" s="33" t="s">
        <v>39</v>
      </c>
      <c r="J1725" s="33" t="s">
        <v>40</v>
      </c>
      <c r="K1725" s="33" t="s">
        <v>41</v>
      </c>
    </row>
    <row r="1726" spans="1:11" hidden="1" x14ac:dyDescent="0.3">
      <c r="A1726" s="39">
        <v>46065.598703703705</v>
      </c>
      <c r="B1726" s="33">
        <v>44999680829</v>
      </c>
      <c r="C1726" s="33" t="s">
        <v>48</v>
      </c>
      <c r="D1726" s="33">
        <v>4431268225</v>
      </c>
      <c r="E1726" s="33">
        <v>758</v>
      </c>
      <c r="F1726" s="33">
        <v>719</v>
      </c>
      <c r="G1726" s="33" t="s">
        <v>38</v>
      </c>
      <c r="H1726" s="33" t="s">
        <v>4350</v>
      </c>
      <c r="I1726" s="33" t="s">
        <v>39</v>
      </c>
      <c r="J1726" s="33" t="s">
        <v>40</v>
      </c>
      <c r="K1726" s="33" t="s">
        <v>41</v>
      </c>
    </row>
    <row r="1727" spans="1:11" hidden="1" x14ac:dyDescent="0.3">
      <c r="A1727" s="39">
        <v>46065.598136574074</v>
      </c>
      <c r="B1727" s="33">
        <v>44999632978</v>
      </c>
      <c r="C1727" s="33" t="s">
        <v>44</v>
      </c>
      <c r="D1727" s="33">
        <v>4430265054</v>
      </c>
      <c r="E1727" s="33">
        <v>274</v>
      </c>
      <c r="F1727" s="33">
        <v>141</v>
      </c>
      <c r="G1727" s="33" t="s">
        <v>38</v>
      </c>
      <c r="H1727" s="33" t="s">
        <v>4351</v>
      </c>
      <c r="I1727" s="33" t="s">
        <v>39</v>
      </c>
      <c r="J1727" s="33" t="s">
        <v>40</v>
      </c>
      <c r="K1727" s="33" t="s">
        <v>41</v>
      </c>
    </row>
    <row r="1728" spans="1:11" hidden="1" x14ac:dyDescent="0.3">
      <c r="A1728" s="39">
        <v>46065.597951388889</v>
      </c>
      <c r="B1728" s="33">
        <v>44991284259</v>
      </c>
      <c r="C1728" s="33" t="s">
        <v>45</v>
      </c>
      <c r="D1728" s="33">
        <v>4430265054</v>
      </c>
      <c r="E1728" s="33">
        <v>1032</v>
      </c>
      <c r="F1728" s="33">
        <v>977</v>
      </c>
      <c r="G1728" s="33" t="s">
        <v>38</v>
      </c>
      <c r="H1728" s="33" t="s">
        <v>4352</v>
      </c>
      <c r="I1728" s="33" t="s">
        <v>39</v>
      </c>
      <c r="J1728" s="33" t="s">
        <v>40</v>
      </c>
      <c r="K1728" s="33" t="s">
        <v>41</v>
      </c>
    </row>
    <row r="1729" spans="1:12" hidden="1" x14ac:dyDescent="0.3">
      <c r="A1729" s="39">
        <v>46065.597673611112</v>
      </c>
      <c r="B1729" s="33">
        <v>44997650834</v>
      </c>
      <c r="C1729" s="33" t="s">
        <v>42</v>
      </c>
      <c r="D1729" s="33">
        <v>4430265054</v>
      </c>
      <c r="E1729" s="33">
        <v>900</v>
      </c>
      <c r="F1729" s="33">
        <v>863</v>
      </c>
      <c r="G1729" s="33" t="s">
        <v>38</v>
      </c>
      <c r="H1729" s="33" t="s">
        <v>4353</v>
      </c>
      <c r="I1729" s="33" t="s">
        <v>39</v>
      </c>
      <c r="J1729" s="33" t="s">
        <v>40</v>
      </c>
      <c r="K1729" s="33" t="s">
        <v>41</v>
      </c>
      <c r="L1729" s="33">
        <v>5</v>
      </c>
    </row>
    <row r="1730" spans="1:12" hidden="1" x14ac:dyDescent="0.3">
      <c r="A1730" s="39">
        <v>46065.595497685186</v>
      </c>
      <c r="B1730" s="33">
        <v>4432672194</v>
      </c>
      <c r="C1730" s="33" t="s">
        <v>48</v>
      </c>
      <c r="D1730" s="33">
        <v>4430265054</v>
      </c>
      <c r="E1730" s="33">
        <v>293</v>
      </c>
      <c r="F1730" s="33">
        <v>293</v>
      </c>
      <c r="G1730" s="33" t="s">
        <v>38</v>
      </c>
      <c r="H1730" s="33" t="s">
        <v>4354</v>
      </c>
      <c r="I1730" s="33" t="s">
        <v>39</v>
      </c>
      <c r="J1730" s="33" t="s">
        <v>40</v>
      </c>
      <c r="K1730" s="33" t="s">
        <v>41</v>
      </c>
    </row>
    <row r="1731" spans="1:12" hidden="1" x14ac:dyDescent="0.3">
      <c r="A1731" s="39">
        <v>46065.594687500001</v>
      </c>
      <c r="B1731" s="33">
        <v>44997343311</v>
      </c>
      <c r="C1731" s="33" t="s">
        <v>43</v>
      </c>
      <c r="D1731" s="33">
        <v>4430265054</v>
      </c>
      <c r="E1731" s="33">
        <v>310</v>
      </c>
      <c r="F1731" s="33">
        <v>227</v>
      </c>
      <c r="G1731" s="33" t="s">
        <v>38</v>
      </c>
      <c r="H1731" s="33" t="s">
        <v>4355</v>
      </c>
      <c r="I1731" s="33" t="s">
        <v>39</v>
      </c>
      <c r="J1731" s="33" t="s">
        <v>40</v>
      </c>
      <c r="K1731" s="33" t="s">
        <v>41</v>
      </c>
    </row>
    <row r="1732" spans="1:12" hidden="1" x14ac:dyDescent="0.3">
      <c r="A1732" s="39">
        <v>46065.58935185185</v>
      </c>
      <c r="B1732" s="33">
        <v>44988303530</v>
      </c>
      <c r="C1732" s="33" t="s">
        <v>43</v>
      </c>
      <c r="D1732" s="33">
        <v>4430265054</v>
      </c>
      <c r="E1732" s="33">
        <v>328</v>
      </c>
      <c r="F1732" s="33">
        <v>285</v>
      </c>
      <c r="G1732" s="33" t="s">
        <v>38</v>
      </c>
      <c r="H1732" s="33" t="s">
        <v>4356</v>
      </c>
      <c r="I1732" s="33" t="s">
        <v>39</v>
      </c>
      <c r="J1732" s="33" t="s">
        <v>40</v>
      </c>
      <c r="K1732" s="33" t="s">
        <v>41</v>
      </c>
    </row>
    <row r="1733" spans="1:12" hidden="1" x14ac:dyDescent="0.3">
      <c r="A1733" s="39">
        <v>46065.588923611111</v>
      </c>
      <c r="B1733" s="33" t="s">
        <v>3627</v>
      </c>
      <c r="C1733" s="33">
        <v>24993076383</v>
      </c>
      <c r="E1733" s="33">
        <v>6</v>
      </c>
      <c r="F1733" s="33">
        <v>0</v>
      </c>
      <c r="G1733" s="33" t="s">
        <v>47</v>
      </c>
      <c r="H1733" s="33" t="s">
        <v>5914</v>
      </c>
      <c r="I1733" s="33" t="s">
        <v>46</v>
      </c>
      <c r="J1733" s="33" t="s">
        <v>3629</v>
      </c>
    </row>
    <row r="1734" spans="1:12" hidden="1" x14ac:dyDescent="0.3">
      <c r="A1734" s="39">
        <v>46065.588819444441</v>
      </c>
      <c r="B1734" s="33">
        <v>4532541802</v>
      </c>
      <c r="C1734" s="33" t="s">
        <v>48</v>
      </c>
      <c r="D1734" s="33">
        <v>4430265054</v>
      </c>
      <c r="E1734" s="33">
        <v>800</v>
      </c>
      <c r="F1734" s="33">
        <v>800</v>
      </c>
      <c r="G1734" s="33" t="s">
        <v>38</v>
      </c>
      <c r="H1734" s="33" t="s">
        <v>4357</v>
      </c>
      <c r="I1734" s="33" t="s">
        <v>39</v>
      </c>
      <c r="J1734" s="33" t="s">
        <v>40</v>
      </c>
      <c r="K1734" s="33" t="s">
        <v>41</v>
      </c>
      <c r="L1734" s="33">
        <v>5</v>
      </c>
    </row>
    <row r="1735" spans="1:12" hidden="1" x14ac:dyDescent="0.3">
      <c r="A1735" s="39">
        <v>46065.585706018515</v>
      </c>
      <c r="B1735" s="33">
        <v>4330332823</v>
      </c>
      <c r="C1735" s="33" t="s">
        <v>48</v>
      </c>
      <c r="D1735" s="33">
        <v>4430265054</v>
      </c>
      <c r="E1735" s="33">
        <v>306</v>
      </c>
      <c r="F1735" s="33">
        <v>172</v>
      </c>
      <c r="G1735" s="33" t="s">
        <v>38</v>
      </c>
      <c r="H1735" s="33" t="s">
        <v>4358</v>
      </c>
      <c r="I1735" s="33" t="s">
        <v>39</v>
      </c>
      <c r="J1735" s="33" t="s">
        <v>40</v>
      </c>
      <c r="K1735" s="33" t="s">
        <v>41</v>
      </c>
    </row>
    <row r="1736" spans="1:12" hidden="1" x14ac:dyDescent="0.3">
      <c r="A1736" s="39">
        <v>46065.583101851851</v>
      </c>
      <c r="B1736" s="33">
        <v>44991388221</v>
      </c>
      <c r="C1736" s="33" t="s">
        <v>48</v>
      </c>
      <c r="D1736" s="33">
        <v>4430265054</v>
      </c>
      <c r="E1736" s="33">
        <v>380</v>
      </c>
      <c r="F1736" s="33">
        <v>158</v>
      </c>
      <c r="G1736" s="33" t="s">
        <v>38</v>
      </c>
      <c r="H1736" s="33" t="s">
        <v>4359</v>
      </c>
      <c r="I1736" s="33" t="s">
        <v>39</v>
      </c>
      <c r="J1736" s="33" t="s">
        <v>40</v>
      </c>
      <c r="K1736" s="33" t="s">
        <v>41</v>
      </c>
      <c r="L1736" s="33">
        <v>5</v>
      </c>
    </row>
    <row r="1737" spans="1:12" hidden="1" x14ac:dyDescent="0.3">
      <c r="A1737" s="39">
        <v>46065.581134259257</v>
      </c>
      <c r="B1737" s="33">
        <v>4432637197</v>
      </c>
      <c r="C1737" s="33" t="s">
        <v>48</v>
      </c>
      <c r="D1737" s="33">
        <v>4430265054</v>
      </c>
      <c r="E1737" s="33">
        <v>165</v>
      </c>
      <c r="F1737" s="33">
        <v>137</v>
      </c>
      <c r="G1737" s="33" t="s">
        <v>38</v>
      </c>
      <c r="H1737" s="33" t="s">
        <v>4360</v>
      </c>
      <c r="I1737" s="33" t="s">
        <v>39</v>
      </c>
      <c r="J1737" s="33" t="s">
        <v>40</v>
      </c>
      <c r="K1737" s="33" t="s">
        <v>41</v>
      </c>
    </row>
    <row r="1738" spans="1:12" x14ac:dyDescent="0.3">
      <c r="A1738" s="39">
        <v>46065.581122685187</v>
      </c>
      <c r="B1738" s="33">
        <v>4432325260</v>
      </c>
      <c r="C1738" s="33" t="s">
        <v>44</v>
      </c>
      <c r="D1738" s="33">
        <v>4430265054</v>
      </c>
      <c r="E1738" s="33">
        <v>1552</v>
      </c>
      <c r="F1738" s="33">
        <v>1404</v>
      </c>
      <c r="G1738" s="33" t="s">
        <v>38</v>
      </c>
      <c r="H1738" s="33" t="s">
        <v>4361</v>
      </c>
      <c r="I1738" s="33" t="s">
        <v>39</v>
      </c>
      <c r="J1738" s="33" t="s">
        <v>40</v>
      </c>
      <c r="K1738" s="33" t="s">
        <v>41</v>
      </c>
      <c r="L1738" s="33">
        <v>5</v>
      </c>
    </row>
    <row r="1739" spans="1:12" hidden="1" x14ac:dyDescent="0.3">
      <c r="A1739" s="39">
        <v>46065.581030092595</v>
      </c>
      <c r="B1739" s="33" t="s">
        <v>44</v>
      </c>
      <c r="C1739" s="33">
        <v>1131515685</v>
      </c>
      <c r="E1739" s="33">
        <v>75</v>
      </c>
      <c r="F1739" s="33">
        <v>70</v>
      </c>
      <c r="G1739" s="33" t="s">
        <v>38</v>
      </c>
      <c r="H1739" s="33" t="s">
        <v>5915</v>
      </c>
      <c r="I1739" s="33" t="s">
        <v>46</v>
      </c>
      <c r="J1739" s="33" t="s">
        <v>40</v>
      </c>
    </row>
    <row r="1740" spans="1:12" hidden="1" x14ac:dyDescent="0.3">
      <c r="A1740" s="39">
        <v>46065.580914351849</v>
      </c>
      <c r="B1740" s="33">
        <v>1131043888</v>
      </c>
      <c r="C1740" s="33" t="s">
        <v>45</v>
      </c>
      <c r="D1740" s="33">
        <v>4430265054</v>
      </c>
      <c r="E1740" s="33">
        <v>1689</v>
      </c>
      <c r="F1740" s="33">
        <v>1654</v>
      </c>
      <c r="G1740" s="33" t="s">
        <v>38</v>
      </c>
      <c r="H1740" s="33" t="s">
        <v>4362</v>
      </c>
      <c r="I1740" s="33" t="s">
        <v>39</v>
      </c>
      <c r="J1740" s="33" t="s">
        <v>40</v>
      </c>
      <c r="K1740" s="33" t="s">
        <v>41</v>
      </c>
    </row>
    <row r="1741" spans="1:12" hidden="1" x14ac:dyDescent="0.3">
      <c r="A1741" s="39">
        <v>46065.58079861111</v>
      </c>
      <c r="B1741" s="33">
        <v>4433542435</v>
      </c>
      <c r="C1741" s="33">
        <v>4430265054</v>
      </c>
      <c r="D1741" s="33">
        <v>4430265054</v>
      </c>
      <c r="E1741" s="33">
        <v>16</v>
      </c>
      <c r="F1741" s="33">
        <v>15</v>
      </c>
      <c r="G1741" s="33" t="s">
        <v>3449</v>
      </c>
      <c r="H1741" s="33" t="s">
        <v>5916</v>
      </c>
      <c r="I1741" s="33" t="s">
        <v>39</v>
      </c>
      <c r="J1741" s="33" t="s">
        <v>3451</v>
      </c>
    </row>
    <row r="1742" spans="1:12" hidden="1" x14ac:dyDescent="0.3">
      <c r="A1742" s="39">
        <v>46065.578900462962</v>
      </c>
      <c r="B1742" s="33">
        <v>44988255390</v>
      </c>
      <c r="C1742" s="33" t="s">
        <v>43</v>
      </c>
      <c r="D1742" s="33">
        <v>4430265054</v>
      </c>
      <c r="E1742" s="33">
        <v>868</v>
      </c>
      <c r="F1742" s="33">
        <v>815</v>
      </c>
      <c r="G1742" s="33" t="s">
        <v>38</v>
      </c>
      <c r="H1742" s="33" t="s">
        <v>4363</v>
      </c>
      <c r="I1742" s="33" t="s">
        <v>39</v>
      </c>
      <c r="J1742" s="33" t="s">
        <v>40</v>
      </c>
      <c r="K1742" s="33" t="s">
        <v>41</v>
      </c>
    </row>
    <row r="1743" spans="1:12" hidden="1" x14ac:dyDescent="0.3">
      <c r="A1743" s="39">
        <v>46065.576342592591</v>
      </c>
      <c r="B1743" s="33">
        <v>44988303530</v>
      </c>
      <c r="C1743" s="33" t="s">
        <v>45</v>
      </c>
      <c r="D1743" s="33">
        <v>4430265054</v>
      </c>
      <c r="E1743" s="33">
        <v>183</v>
      </c>
      <c r="F1743" s="33">
        <v>151</v>
      </c>
      <c r="G1743" s="33" t="s">
        <v>38</v>
      </c>
      <c r="H1743" s="33" t="s">
        <v>4364</v>
      </c>
      <c r="I1743" s="33" t="s">
        <v>39</v>
      </c>
      <c r="J1743" s="33" t="s">
        <v>40</v>
      </c>
      <c r="K1743" s="33" t="s">
        <v>41</v>
      </c>
    </row>
    <row r="1744" spans="1:12" hidden="1" x14ac:dyDescent="0.3">
      <c r="A1744" s="39">
        <v>46065.575706018521</v>
      </c>
      <c r="B1744" s="33" t="s">
        <v>44</v>
      </c>
      <c r="C1744" s="33">
        <v>1131515685</v>
      </c>
      <c r="E1744" s="33">
        <v>172</v>
      </c>
      <c r="F1744" s="33">
        <v>167</v>
      </c>
      <c r="G1744" s="33" t="s">
        <v>38</v>
      </c>
      <c r="H1744" s="33" t="s">
        <v>5917</v>
      </c>
      <c r="I1744" s="33" t="s">
        <v>46</v>
      </c>
      <c r="J1744" s="33" t="s">
        <v>40</v>
      </c>
    </row>
    <row r="1745" spans="1:12" hidden="1" x14ac:dyDescent="0.3">
      <c r="A1745" s="39">
        <v>46065.573125000003</v>
      </c>
      <c r="B1745" s="33">
        <v>4432522019</v>
      </c>
      <c r="C1745" s="33" t="s">
        <v>48</v>
      </c>
      <c r="D1745" s="33">
        <v>4430265054</v>
      </c>
      <c r="E1745" s="33">
        <v>348</v>
      </c>
      <c r="F1745" s="33">
        <v>192</v>
      </c>
      <c r="G1745" s="33" t="s">
        <v>38</v>
      </c>
      <c r="H1745" s="33" t="s">
        <v>4365</v>
      </c>
      <c r="I1745" s="33" t="s">
        <v>39</v>
      </c>
      <c r="J1745" s="33" t="s">
        <v>40</v>
      </c>
      <c r="K1745" s="33" t="s">
        <v>41</v>
      </c>
    </row>
    <row r="1746" spans="1:12" hidden="1" x14ac:dyDescent="0.3">
      <c r="A1746" s="39">
        <v>46065.571736111109</v>
      </c>
      <c r="B1746" s="33">
        <v>44988303530</v>
      </c>
      <c r="C1746" s="33" t="s">
        <v>37</v>
      </c>
      <c r="D1746" s="33">
        <v>4430265054</v>
      </c>
      <c r="E1746" s="33">
        <v>317</v>
      </c>
      <c r="F1746" s="33">
        <v>166</v>
      </c>
      <c r="G1746" s="33" t="s">
        <v>38</v>
      </c>
      <c r="H1746" s="33" t="s">
        <v>4366</v>
      </c>
      <c r="I1746" s="33" t="s">
        <v>39</v>
      </c>
      <c r="J1746" s="33" t="s">
        <v>40</v>
      </c>
      <c r="K1746" s="33" t="s">
        <v>41</v>
      </c>
    </row>
    <row r="1747" spans="1:12" hidden="1" x14ac:dyDescent="0.3">
      <c r="A1747" s="39">
        <v>46065.569687499999</v>
      </c>
      <c r="B1747" s="33">
        <v>91985176746</v>
      </c>
      <c r="C1747" s="33" t="s">
        <v>42</v>
      </c>
      <c r="D1747" s="33">
        <v>4430265054</v>
      </c>
      <c r="E1747" s="33">
        <v>2458</v>
      </c>
      <c r="F1747" s="33">
        <v>2317</v>
      </c>
      <c r="G1747" s="33" t="s">
        <v>38</v>
      </c>
      <c r="H1747" s="33" t="s">
        <v>4367</v>
      </c>
      <c r="I1747" s="33" t="s">
        <v>39</v>
      </c>
      <c r="J1747" s="33" t="s">
        <v>40</v>
      </c>
      <c r="K1747" s="33" t="s">
        <v>41</v>
      </c>
      <c r="L1747" s="33">
        <v>5</v>
      </c>
    </row>
    <row r="1748" spans="1:12" hidden="1" x14ac:dyDescent="0.3">
      <c r="A1748" s="39">
        <v>46065.569594907407</v>
      </c>
      <c r="B1748" s="33">
        <v>6234347959</v>
      </c>
      <c r="C1748" s="33" t="s">
        <v>44</v>
      </c>
      <c r="D1748" s="33">
        <v>4430265054</v>
      </c>
      <c r="E1748" s="33">
        <v>481</v>
      </c>
      <c r="F1748" s="33">
        <v>238</v>
      </c>
      <c r="G1748" s="33" t="s">
        <v>38</v>
      </c>
      <c r="H1748" s="33" t="s">
        <v>4368</v>
      </c>
      <c r="I1748" s="33" t="s">
        <v>39</v>
      </c>
      <c r="J1748" s="33" t="s">
        <v>40</v>
      </c>
      <c r="K1748" s="33" t="s">
        <v>41</v>
      </c>
    </row>
    <row r="1749" spans="1:12" hidden="1" x14ac:dyDescent="0.3">
      <c r="A1749" s="39">
        <v>46065.569016203706</v>
      </c>
      <c r="B1749" s="33">
        <v>4432672194</v>
      </c>
      <c r="C1749" s="33" t="s">
        <v>48</v>
      </c>
      <c r="D1749" s="33">
        <v>4430265054</v>
      </c>
      <c r="E1749" s="33">
        <v>512</v>
      </c>
      <c r="F1749" s="33">
        <v>392</v>
      </c>
      <c r="G1749" s="33" t="s">
        <v>38</v>
      </c>
      <c r="H1749" s="33" t="s">
        <v>4369</v>
      </c>
      <c r="I1749" s="33" t="s">
        <v>39</v>
      </c>
      <c r="J1749" s="33" t="s">
        <v>40</v>
      </c>
      <c r="K1749" s="33" t="s">
        <v>41</v>
      </c>
    </row>
    <row r="1750" spans="1:12" hidden="1" x14ac:dyDescent="0.3">
      <c r="A1750" s="39">
        <v>46065.568460648145</v>
      </c>
      <c r="B1750" s="33">
        <v>4436351414</v>
      </c>
      <c r="C1750" s="33" t="s">
        <v>43</v>
      </c>
      <c r="D1750" s="33">
        <v>4430265054</v>
      </c>
      <c r="E1750" s="33">
        <v>705</v>
      </c>
      <c r="F1750" s="33">
        <v>495</v>
      </c>
      <c r="G1750" s="33" t="s">
        <v>38</v>
      </c>
      <c r="H1750" s="33" t="s">
        <v>4370</v>
      </c>
      <c r="I1750" s="33" t="s">
        <v>39</v>
      </c>
      <c r="J1750" s="33" t="s">
        <v>40</v>
      </c>
      <c r="K1750" s="33" t="s">
        <v>41</v>
      </c>
    </row>
    <row r="1751" spans="1:12" hidden="1" x14ac:dyDescent="0.3">
      <c r="A1751" s="39">
        <v>46065.568136574075</v>
      </c>
      <c r="B1751" s="33">
        <v>44988303530</v>
      </c>
      <c r="C1751" s="33" t="s">
        <v>48</v>
      </c>
      <c r="D1751" s="33">
        <v>4430265054</v>
      </c>
      <c r="E1751" s="33">
        <v>194</v>
      </c>
      <c r="F1751" s="33">
        <v>105</v>
      </c>
      <c r="G1751" s="33" t="s">
        <v>38</v>
      </c>
      <c r="H1751" s="33" t="s">
        <v>4371</v>
      </c>
      <c r="I1751" s="33" t="s">
        <v>39</v>
      </c>
      <c r="J1751" s="33" t="s">
        <v>40</v>
      </c>
      <c r="K1751" s="33" t="s">
        <v>41</v>
      </c>
    </row>
    <row r="1752" spans="1:12" hidden="1" x14ac:dyDescent="0.3">
      <c r="A1752" s="39">
        <v>46065.567847222221</v>
      </c>
      <c r="B1752" s="33">
        <v>44999680829</v>
      </c>
      <c r="C1752" s="33" t="s">
        <v>48</v>
      </c>
      <c r="D1752" s="33">
        <v>4431268225</v>
      </c>
      <c r="E1752" s="33">
        <v>147</v>
      </c>
      <c r="F1752" s="33">
        <v>104</v>
      </c>
      <c r="G1752" s="33" t="s">
        <v>38</v>
      </c>
      <c r="H1752" s="33" t="s">
        <v>4372</v>
      </c>
      <c r="I1752" s="33" t="s">
        <v>39</v>
      </c>
      <c r="J1752" s="33" t="s">
        <v>40</v>
      </c>
      <c r="K1752" s="33" t="s">
        <v>41</v>
      </c>
      <c r="L1752" s="33">
        <v>5</v>
      </c>
    </row>
    <row r="1753" spans="1:12" hidden="1" x14ac:dyDescent="0.3">
      <c r="A1753" s="39">
        <v>46065.565578703703</v>
      </c>
      <c r="B1753" s="33">
        <v>3432424736</v>
      </c>
      <c r="C1753" s="33" t="s">
        <v>43</v>
      </c>
      <c r="D1753" s="33">
        <v>4430265054</v>
      </c>
      <c r="E1753" s="33">
        <v>434</v>
      </c>
      <c r="F1753" s="33">
        <v>399</v>
      </c>
      <c r="G1753" s="33" t="s">
        <v>38</v>
      </c>
      <c r="H1753" s="33" t="s">
        <v>4373</v>
      </c>
      <c r="I1753" s="33" t="s">
        <v>39</v>
      </c>
      <c r="J1753" s="33" t="s">
        <v>40</v>
      </c>
      <c r="K1753" s="33" t="s">
        <v>41</v>
      </c>
    </row>
    <row r="1754" spans="1:12" hidden="1" x14ac:dyDescent="0.3">
      <c r="A1754" s="39">
        <v>46065.565393518518</v>
      </c>
      <c r="B1754" s="33" t="s">
        <v>42</v>
      </c>
      <c r="C1754" s="33">
        <v>1639391799</v>
      </c>
      <c r="E1754" s="33">
        <v>531</v>
      </c>
      <c r="F1754" s="33">
        <v>507</v>
      </c>
      <c r="G1754" s="33" t="s">
        <v>38</v>
      </c>
      <c r="H1754" s="33" t="s">
        <v>5918</v>
      </c>
      <c r="I1754" s="33" t="s">
        <v>46</v>
      </c>
      <c r="J1754" s="33" t="s">
        <v>40</v>
      </c>
      <c r="L1754" s="33">
        <v>5</v>
      </c>
    </row>
    <row r="1755" spans="1:12" hidden="1" x14ac:dyDescent="0.3">
      <c r="A1755" s="39">
        <v>46065.56517361111</v>
      </c>
      <c r="B1755" s="33" t="s">
        <v>42</v>
      </c>
      <c r="C1755" s="33">
        <v>1630127977</v>
      </c>
      <c r="E1755" s="33">
        <v>9</v>
      </c>
      <c r="F1755" s="33">
        <v>0</v>
      </c>
      <c r="G1755" s="33" t="s">
        <v>47</v>
      </c>
      <c r="H1755" s="33" t="s">
        <v>5919</v>
      </c>
      <c r="I1755" s="33" t="s">
        <v>46</v>
      </c>
      <c r="J1755" s="33" t="s">
        <v>40</v>
      </c>
    </row>
    <row r="1756" spans="1:12" hidden="1" x14ac:dyDescent="0.3">
      <c r="A1756" s="39">
        <v>46065.565115740741</v>
      </c>
      <c r="B1756" s="33">
        <v>4436351835</v>
      </c>
      <c r="C1756" s="33" t="s">
        <v>44</v>
      </c>
      <c r="D1756" s="33">
        <v>4430265054</v>
      </c>
      <c r="E1756" s="33">
        <v>617</v>
      </c>
      <c r="F1756" s="33">
        <v>561</v>
      </c>
      <c r="G1756" s="33" t="s">
        <v>38</v>
      </c>
      <c r="H1756" s="33" t="s">
        <v>4374</v>
      </c>
      <c r="I1756" s="33" t="s">
        <v>39</v>
      </c>
      <c r="J1756" s="33" t="s">
        <v>40</v>
      </c>
      <c r="K1756" s="33" t="s">
        <v>41</v>
      </c>
    </row>
    <row r="1757" spans="1:12" hidden="1" x14ac:dyDescent="0.3">
      <c r="A1757" s="39">
        <v>46065.563680555555</v>
      </c>
      <c r="B1757" s="33">
        <v>44991284259</v>
      </c>
      <c r="C1757" s="33" t="s">
        <v>45</v>
      </c>
      <c r="D1757" s="33">
        <v>4430265054</v>
      </c>
      <c r="E1757" s="33">
        <v>1020</v>
      </c>
      <c r="F1757" s="33">
        <v>1001</v>
      </c>
      <c r="G1757" s="33" t="s">
        <v>38</v>
      </c>
      <c r="H1757" s="33" t="s">
        <v>4375</v>
      </c>
      <c r="I1757" s="33" t="s">
        <v>39</v>
      </c>
      <c r="J1757" s="33" t="s">
        <v>40</v>
      </c>
      <c r="K1757" s="33" t="s">
        <v>41</v>
      </c>
    </row>
    <row r="1758" spans="1:12" hidden="1" x14ac:dyDescent="0.3">
      <c r="A1758" s="39">
        <v>46065.562152777777</v>
      </c>
      <c r="B1758" s="33">
        <v>44984140993</v>
      </c>
      <c r="C1758" s="33">
        <v>4430265054</v>
      </c>
      <c r="D1758" s="33">
        <v>4430265054</v>
      </c>
      <c r="E1758" s="33">
        <v>16</v>
      </c>
      <c r="F1758" s="33">
        <v>15</v>
      </c>
      <c r="G1758" s="33" t="s">
        <v>3449</v>
      </c>
      <c r="H1758" s="33" t="s">
        <v>5920</v>
      </c>
      <c r="I1758" s="33" t="s">
        <v>39</v>
      </c>
      <c r="J1758" s="33" t="s">
        <v>3451</v>
      </c>
    </row>
    <row r="1759" spans="1:12" hidden="1" x14ac:dyDescent="0.3">
      <c r="A1759" s="39">
        <v>46065.560393518521</v>
      </c>
      <c r="B1759" s="33">
        <v>4436351818</v>
      </c>
      <c r="C1759" s="33">
        <v>4430265054</v>
      </c>
      <c r="D1759" s="33">
        <v>4430265054</v>
      </c>
      <c r="E1759" s="33">
        <v>15</v>
      </c>
      <c r="F1759" s="33">
        <v>15</v>
      </c>
      <c r="G1759" s="33" t="s">
        <v>3449</v>
      </c>
      <c r="H1759" s="33" t="s">
        <v>5921</v>
      </c>
      <c r="I1759" s="33" t="s">
        <v>39</v>
      </c>
      <c r="J1759" s="33" t="s">
        <v>3451</v>
      </c>
    </row>
    <row r="1760" spans="1:12" hidden="1" x14ac:dyDescent="0.3">
      <c r="A1760" s="39">
        <v>46065.559166666666</v>
      </c>
      <c r="B1760" s="33">
        <v>44991284259</v>
      </c>
      <c r="C1760" s="33">
        <v>4430265054</v>
      </c>
      <c r="D1760" s="33">
        <v>4430265054</v>
      </c>
      <c r="E1760" s="33">
        <v>14</v>
      </c>
      <c r="F1760" s="33">
        <v>13</v>
      </c>
      <c r="G1760" s="33" t="s">
        <v>3449</v>
      </c>
      <c r="H1760" s="33" t="s">
        <v>5922</v>
      </c>
      <c r="I1760" s="33" t="s">
        <v>39</v>
      </c>
      <c r="J1760" s="33" t="s">
        <v>3451</v>
      </c>
    </row>
    <row r="1761" spans="1:12" hidden="1" x14ac:dyDescent="0.3">
      <c r="A1761" s="39">
        <v>46065.558622685188</v>
      </c>
      <c r="B1761" s="33">
        <v>44991284259</v>
      </c>
      <c r="C1761" s="33">
        <v>4430265054</v>
      </c>
      <c r="D1761" s="33">
        <v>4430265054</v>
      </c>
      <c r="E1761" s="33">
        <v>29</v>
      </c>
      <c r="F1761" s="33">
        <v>29</v>
      </c>
      <c r="G1761" s="33" t="s">
        <v>3449</v>
      </c>
      <c r="H1761" s="33" t="s">
        <v>5923</v>
      </c>
      <c r="I1761" s="33" t="s">
        <v>39</v>
      </c>
      <c r="J1761" s="33" t="s">
        <v>3451</v>
      </c>
    </row>
    <row r="1762" spans="1:12" hidden="1" x14ac:dyDescent="0.3">
      <c r="A1762" s="39">
        <v>46065.556203703702</v>
      </c>
      <c r="B1762" s="33">
        <v>4436351835</v>
      </c>
      <c r="C1762" s="33">
        <v>4430265054</v>
      </c>
      <c r="D1762" s="33">
        <v>4430265054</v>
      </c>
      <c r="E1762" s="33">
        <v>16</v>
      </c>
      <c r="F1762" s="33">
        <v>16</v>
      </c>
      <c r="G1762" s="33" t="s">
        <v>3449</v>
      </c>
      <c r="H1762" s="33" t="s">
        <v>5924</v>
      </c>
      <c r="I1762" s="33" t="s">
        <v>39</v>
      </c>
      <c r="J1762" s="33" t="s">
        <v>3451</v>
      </c>
    </row>
    <row r="1763" spans="1:12" hidden="1" x14ac:dyDescent="0.3">
      <c r="A1763" s="39">
        <v>46065.514560185184</v>
      </c>
      <c r="B1763" s="33">
        <v>1131043888</v>
      </c>
      <c r="C1763" s="33">
        <v>4430265054</v>
      </c>
      <c r="D1763" s="33">
        <v>4430265054</v>
      </c>
      <c r="E1763" s="33">
        <v>29</v>
      </c>
      <c r="F1763" s="33">
        <v>29</v>
      </c>
      <c r="G1763" s="33" t="s">
        <v>3449</v>
      </c>
      <c r="H1763" s="33" t="s">
        <v>5925</v>
      </c>
      <c r="I1763" s="33" t="s">
        <v>39</v>
      </c>
      <c r="J1763" s="33" t="s">
        <v>3451</v>
      </c>
    </row>
    <row r="1764" spans="1:12" hidden="1" x14ac:dyDescent="0.3">
      <c r="A1764" s="39">
        <v>46065.514305555553</v>
      </c>
      <c r="B1764" s="33">
        <v>6234347959</v>
      </c>
      <c r="C1764" s="33">
        <v>4430265054</v>
      </c>
      <c r="D1764" s="33">
        <v>4430265054</v>
      </c>
      <c r="E1764" s="33">
        <v>16</v>
      </c>
      <c r="F1764" s="33">
        <v>15</v>
      </c>
      <c r="G1764" s="33" t="s">
        <v>3449</v>
      </c>
      <c r="H1764" s="33" t="s">
        <v>5926</v>
      </c>
      <c r="I1764" s="33" t="s">
        <v>39</v>
      </c>
      <c r="J1764" s="33" t="s">
        <v>3451</v>
      </c>
    </row>
    <row r="1765" spans="1:12" hidden="1" x14ac:dyDescent="0.3">
      <c r="A1765" s="39">
        <v>46065.514120370368</v>
      </c>
      <c r="B1765" s="33">
        <v>1131043888</v>
      </c>
      <c r="C1765" s="33">
        <v>4430265054</v>
      </c>
      <c r="D1765" s="33">
        <v>4430265054</v>
      </c>
      <c r="E1765" s="33">
        <v>29</v>
      </c>
      <c r="F1765" s="33">
        <v>29</v>
      </c>
      <c r="G1765" s="33" t="s">
        <v>3449</v>
      </c>
      <c r="H1765" s="33" t="s">
        <v>5927</v>
      </c>
      <c r="I1765" s="33" t="s">
        <v>39</v>
      </c>
      <c r="J1765" s="33" t="s">
        <v>3451</v>
      </c>
    </row>
    <row r="1766" spans="1:12" hidden="1" x14ac:dyDescent="0.3">
      <c r="A1766" s="39">
        <v>46065.497685185182</v>
      </c>
      <c r="B1766" s="33">
        <v>35998295948</v>
      </c>
      <c r="C1766" s="33" t="s">
        <v>45</v>
      </c>
      <c r="D1766" s="33">
        <v>4430265054</v>
      </c>
      <c r="E1766" s="33">
        <v>179</v>
      </c>
      <c r="F1766" s="33">
        <v>137</v>
      </c>
      <c r="G1766" s="33" t="s">
        <v>38</v>
      </c>
      <c r="H1766" s="33" t="s">
        <v>4376</v>
      </c>
      <c r="I1766" s="33" t="s">
        <v>39</v>
      </c>
      <c r="J1766" s="33" t="s">
        <v>40</v>
      </c>
      <c r="K1766" s="33" t="s">
        <v>41</v>
      </c>
      <c r="L1766" s="33">
        <v>5</v>
      </c>
    </row>
    <row r="1767" spans="1:12" hidden="1" x14ac:dyDescent="0.3">
      <c r="A1767" s="39">
        <v>46065.49318287037</v>
      </c>
      <c r="B1767" s="33">
        <v>35998295948</v>
      </c>
      <c r="C1767" s="33" t="s">
        <v>45</v>
      </c>
      <c r="D1767" s="33">
        <v>4430265054</v>
      </c>
      <c r="E1767" s="33">
        <v>239</v>
      </c>
      <c r="F1767" s="33">
        <v>188</v>
      </c>
      <c r="G1767" s="33" t="s">
        <v>38</v>
      </c>
      <c r="H1767" s="33" t="s">
        <v>4377</v>
      </c>
      <c r="I1767" s="33" t="s">
        <v>39</v>
      </c>
      <c r="J1767" s="33" t="s">
        <v>40</v>
      </c>
      <c r="K1767" s="33" t="s">
        <v>41</v>
      </c>
    </row>
    <row r="1768" spans="1:12" hidden="1" x14ac:dyDescent="0.3">
      <c r="A1768" s="39">
        <v>46065.487083333333</v>
      </c>
      <c r="B1768" s="33">
        <v>4133491428</v>
      </c>
      <c r="C1768" s="33" t="s">
        <v>42</v>
      </c>
      <c r="D1768" s="33">
        <v>4430265054</v>
      </c>
      <c r="E1768" s="33">
        <v>502</v>
      </c>
      <c r="F1768" s="33">
        <v>447</v>
      </c>
      <c r="G1768" s="33" t="s">
        <v>38</v>
      </c>
      <c r="H1768" s="33" t="s">
        <v>4378</v>
      </c>
      <c r="I1768" s="33" t="s">
        <v>39</v>
      </c>
      <c r="J1768" s="33" t="s">
        <v>40</v>
      </c>
      <c r="K1768" s="33" t="s">
        <v>41</v>
      </c>
    </row>
    <row r="1769" spans="1:12" hidden="1" x14ac:dyDescent="0.3">
      <c r="A1769" s="39">
        <v>46065.484097222223</v>
      </c>
      <c r="B1769" s="33" t="s">
        <v>43</v>
      </c>
      <c r="C1769" s="33">
        <v>1131043888</v>
      </c>
      <c r="E1769" s="33">
        <v>214</v>
      </c>
      <c r="F1769" s="33">
        <v>212</v>
      </c>
      <c r="G1769" s="33" t="s">
        <v>38</v>
      </c>
      <c r="H1769" s="33" t="s">
        <v>5928</v>
      </c>
      <c r="I1769" s="33" t="s">
        <v>46</v>
      </c>
      <c r="J1769" s="33" t="s">
        <v>40</v>
      </c>
      <c r="L1769" s="33">
        <v>5</v>
      </c>
    </row>
    <row r="1770" spans="1:12" hidden="1" x14ac:dyDescent="0.3">
      <c r="A1770" s="39">
        <v>46065.483553240738</v>
      </c>
      <c r="B1770" s="33" t="s">
        <v>44</v>
      </c>
      <c r="C1770" s="33">
        <v>93991495484</v>
      </c>
      <c r="E1770" s="33">
        <v>1493</v>
      </c>
      <c r="F1770" s="33">
        <v>1480</v>
      </c>
      <c r="G1770" s="33" t="s">
        <v>38</v>
      </c>
      <c r="H1770" s="33" t="s">
        <v>5929</v>
      </c>
      <c r="I1770" s="33" t="s">
        <v>46</v>
      </c>
      <c r="J1770" s="33" t="s">
        <v>40</v>
      </c>
      <c r="L1770" s="33">
        <v>5</v>
      </c>
    </row>
    <row r="1771" spans="1:12" hidden="1" x14ac:dyDescent="0.3">
      <c r="A1771" s="39">
        <v>46065.483368055553</v>
      </c>
      <c r="B1771" s="33" t="s">
        <v>48</v>
      </c>
      <c r="C1771" s="33">
        <v>4532541802</v>
      </c>
      <c r="E1771" s="33">
        <v>624</v>
      </c>
      <c r="F1771" s="33">
        <v>623</v>
      </c>
      <c r="G1771" s="33" t="s">
        <v>38</v>
      </c>
      <c r="H1771" s="33" t="s">
        <v>5930</v>
      </c>
      <c r="I1771" s="33" t="s">
        <v>46</v>
      </c>
      <c r="J1771" s="33" t="s">
        <v>40</v>
      </c>
      <c r="L1771" s="33">
        <v>5</v>
      </c>
    </row>
    <row r="1772" spans="1:12" hidden="1" x14ac:dyDescent="0.3">
      <c r="A1772" s="39">
        <v>46065.483032407406</v>
      </c>
      <c r="B1772" s="33">
        <v>42998221810</v>
      </c>
      <c r="C1772" s="33" t="s">
        <v>45</v>
      </c>
      <c r="D1772" s="33">
        <v>4430265054</v>
      </c>
      <c r="E1772" s="33">
        <v>406</v>
      </c>
      <c r="F1772" s="33">
        <v>349</v>
      </c>
      <c r="G1772" s="33" t="s">
        <v>38</v>
      </c>
      <c r="H1772" s="33" t="s">
        <v>4379</v>
      </c>
      <c r="I1772" s="33" t="s">
        <v>39</v>
      </c>
      <c r="J1772" s="33" t="s">
        <v>40</v>
      </c>
      <c r="K1772" s="33" t="s">
        <v>41</v>
      </c>
      <c r="L1772" s="33">
        <v>5</v>
      </c>
    </row>
    <row r="1773" spans="1:12" hidden="1" x14ac:dyDescent="0.3">
      <c r="A1773" s="39">
        <v>46065.479803240742</v>
      </c>
      <c r="B1773" s="33">
        <v>44999267282</v>
      </c>
      <c r="C1773" s="33" t="s">
        <v>43</v>
      </c>
      <c r="D1773" s="33">
        <v>4430265054</v>
      </c>
      <c r="E1773" s="33">
        <v>221</v>
      </c>
      <c r="F1773" s="33">
        <v>117</v>
      </c>
      <c r="G1773" s="33" t="s">
        <v>38</v>
      </c>
      <c r="H1773" s="33" t="s">
        <v>4380</v>
      </c>
      <c r="I1773" s="33" t="s">
        <v>39</v>
      </c>
      <c r="J1773" s="33" t="s">
        <v>40</v>
      </c>
      <c r="K1773" s="33" t="s">
        <v>41</v>
      </c>
    </row>
    <row r="1774" spans="1:12" hidden="1" x14ac:dyDescent="0.3">
      <c r="A1774" s="39">
        <v>46065.477719907409</v>
      </c>
      <c r="B1774" s="33">
        <v>1131515685</v>
      </c>
      <c r="C1774" s="33" t="s">
        <v>44</v>
      </c>
      <c r="D1774" s="33">
        <v>4430265054</v>
      </c>
      <c r="E1774" s="33">
        <v>340</v>
      </c>
      <c r="F1774" s="33">
        <v>317</v>
      </c>
      <c r="G1774" s="33" t="s">
        <v>38</v>
      </c>
      <c r="H1774" s="33" t="s">
        <v>4381</v>
      </c>
      <c r="I1774" s="33" t="s">
        <v>39</v>
      </c>
      <c r="J1774" s="33" t="s">
        <v>40</v>
      </c>
      <c r="K1774" s="33" t="s">
        <v>41</v>
      </c>
    </row>
    <row r="1775" spans="1:12" hidden="1" x14ac:dyDescent="0.3">
      <c r="A1775" s="39">
        <v>46065.476736111108</v>
      </c>
      <c r="B1775" s="33">
        <v>77981432308</v>
      </c>
      <c r="C1775" s="33" t="s">
        <v>45</v>
      </c>
      <c r="D1775" s="33">
        <v>4430265054</v>
      </c>
      <c r="E1775" s="33">
        <v>451</v>
      </c>
      <c r="F1775" s="33">
        <v>418</v>
      </c>
      <c r="G1775" s="33" t="s">
        <v>38</v>
      </c>
      <c r="H1775" s="33" t="s">
        <v>4382</v>
      </c>
      <c r="I1775" s="33" t="s">
        <v>39</v>
      </c>
      <c r="J1775" s="33" t="s">
        <v>40</v>
      </c>
      <c r="K1775" s="33" t="s">
        <v>41</v>
      </c>
      <c r="L1775" s="33">
        <v>5</v>
      </c>
    </row>
    <row r="1776" spans="1:12" hidden="1" x14ac:dyDescent="0.3">
      <c r="A1776" s="39">
        <v>46065.47320601852</v>
      </c>
      <c r="B1776" s="33" t="s">
        <v>44</v>
      </c>
      <c r="C1776" s="33">
        <v>44999267282</v>
      </c>
      <c r="E1776" s="33">
        <v>58</v>
      </c>
      <c r="F1776" s="33">
        <v>28</v>
      </c>
      <c r="G1776" s="33" t="s">
        <v>38</v>
      </c>
      <c r="H1776" s="33" t="s">
        <v>5931</v>
      </c>
      <c r="I1776" s="33" t="s">
        <v>46</v>
      </c>
      <c r="J1776" s="33" t="s">
        <v>40</v>
      </c>
    </row>
    <row r="1777" spans="1:12" hidden="1" x14ac:dyDescent="0.3">
      <c r="A1777" s="39">
        <v>46065.47315972222</v>
      </c>
      <c r="B1777" s="33" t="s">
        <v>44</v>
      </c>
      <c r="C1777" s="33">
        <v>44999267282</v>
      </c>
      <c r="E1777" s="33">
        <v>2</v>
      </c>
      <c r="F1777" s="33">
        <v>0</v>
      </c>
      <c r="G1777" s="33" t="s">
        <v>47</v>
      </c>
      <c r="H1777" s="33" t="s">
        <v>5932</v>
      </c>
      <c r="I1777" s="33" t="s">
        <v>46</v>
      </c>
      <c r="J1777" s="33" t="s">
        <v>40</v>
      </c>
    </row>
    <row r="1778" spans="1:12" hidden="1" x14ac:dyDescent="0.3">
      <c r="A1778" s="39">
        <v>46065.472557870373</v>
      </c>
      <c r="B1778" s="33">
        <v>44991484476</v>
      </c>
      <c r="C1778" s="33" t="s">
        <v>43</v>
      </c>
      <c r="D1778" s="33">
        <v>4430265054</v>
      </c>
      <c r="E1778" s="33">
        <v>581</v>
      </c>
      <c r="F1778" s="33">
        <v>558</v>
      </c>
      <c r="G1778" s="33" t="s">
        <v>38</v>
      </c>
      <c r="H1778" s="33" t="s">
        <v>4383</v>
      </c>
      <c r="I1778" s="33" t="s">
        <v>39</v>
      </c>
      <c r="J1778" s="33" t="s">
        <v>40</v>
      </c>
      <c r="K1778" s="33" t="s">
        <v>41</v>
      </c>
    </row>
    <row r="1779" spans="1:12" hidden="1" x14ac:dyDescent="0.3">
      <c r="A1779" s="39">
        <v>46065.471655092595</v>
      </c>
      <c r="B1779" s="33" t="s">
        <v>51</v>
      </c>
      <c r="C1779" s="33" t="s">
        <v>5173</v>
      </c>
      <c r="E1779" s="33">
        <v>823</v>
      </c>
      <c r="F1779" s="33">
        <v>820</v>
      </c>
      <c r="G1779" s="33" t="s">
        <v>38</v>
      </c>
      <c r="H1779" s="33" t="s">
        <v>5933</v>
      </c>
      <c r="I1779" s="33" t="s">
        <v>52</v>
      </c>
      <c r="J1779" s="33" t="s">
        <v>3629</v>
      </c>
    </row>
    <row r="1780" spans="1:12" hidden="1" x14ac:dyDescent="0.3">
      <c r="A1780" s="39">
        <v>46065.471562500003</v>
      </c>
      <c r="B1780" s="33" t="s">
        <v>51</v>
      </c>
      <c r="C1780" s="33" t="s">
        <v>5173</v>
      </c>
      <c r="E1780" s="33">
        <v>4</v>
      </c>
      <c r="F1780" s="33">
        <v>0</v>
      </c>
      <c r="G1780" s="33" t="s">
        <v>47</v>
      </c>
      <c r="H1780" s="33" t="s">
        <v>5934</v>
      </c>
      <c r="I1780" s="33" t="s">
        <v>52</v>
      </c>
      <c r="J1780" s="33" t="s">
        <v>3629</v>
      </c>
    </row>
    <row r="1781" spans="1:12" hidden="1" x14ac:dyDescent="0.3">
      <c r="A1781" s="39">
        <v>46065.471250000002</v>
      </c>
      <c r="B1781" s="33">
        <v>4330261969</v>
      </c>
      <c r="C1781" s="33" t="s">
        <v>37</v>
      </c>
      <c r="D1781" s="33">
        <v>4430265054</v>
      </c>
      <c r="E1781" s="33">
        <v>1912</v>
      </c>
      <c r="F1781" s="33">
        <v>1857</v>
      </c>
      <c r="G1781" s="33" t="s">
        <v>38</v>
      </c>
      <c r="H1781" s="33" t="s">
        <v>4384</v>
      </c>
      <c r="I1781" s="33" t="s">
        <v>39</v>
      </c>
      <c r="J1781" s="33" t="s">
        <v>40</v>
      </c>
      <c r="K1781" s="33" t="s">
        <v>41</v>
      </c>
    </row>
    <row r="1782" spans="1:12" hidden="1" x14ac:dyDescent="0.3">
      <c r="A1782" s="39">
        <v>46065.470960648148</v>
      </c>
      <c r="B1782" s="33" t="s">
        <v>45</v>
      </c>
      <c r="C1782" s="33">
        <v>1732146970</v>
      </c>
      <c r="E1782" s="33">
        <v>201</v>
      </c>
      <c r="F1782" s="33">
        <v>200</v>
      </c>
      <c r="G1782" s="33" t="s">
        <v>38</v>
      </c>
      <c r="H1782" s="33" t="s">
        <v>5935</v>
      </c>
      <c r="I1782" s="33" t="s">
        <v>46</v>
      </c>
      <c r="J1782" s="33" t="s">
        <v>40</v>
      </c>
    </row>
    <row r="1783" spans="1:12" hidden="1" x14ac:dyDescent="0.3">
      <c r="A1783" s="39">
        <v>46065.459861111114</v>
      </c>
      <c r="B1783" s="33">
        <v>44988266118</v>
      </c>
      <c r="C1783" s="33">
        <v>4430265054</v>
      </c>
      <c r="D1783" s="33">
        <v>4430265054</v>
      </c>
      <c r="E1783" s="33">
        <v>9</v>
      </c>
      <c r="F1783" s="33">
        <v>8</v>
      </c>
      <c r="G1783" s="33" t="s">
        <v>3449</v>
      </c>
      <c r="H1783" s="33" t="s">
        <v>5936</v>
      </c>
      <c r="I1783" s="33" t="s">
        <v>39</v>
      </c>
      <c r="J1783" s="33" t="s">
        <v>3451</v>
      </c>
    </row>
    <row r="1784" spans="1:12" hidden="1" x14ac:dyDescent="0.3">
      <c r="A1784" s="39">
        <v>46065.458506944444</v>
      </c>
      <c r="B1784" s="33">
        <v>44991798896</v>
      </c>
      <c r="C1784" s="33" t="s">
        <v>44</v>
      </c>
      <c r="D1784" s="33">
        <v>4430265054</v>
      </c>
      <c r="E1784" s="33">
        <v>652</v>
      </c>
      <c r="F1784" s="33">
        <v>582</v>
      </c>
      <c r="G1784" s="33" t="s">
        <v>38</v>
      </c>
      <c r="H1784" s="33" t="s">
        <v>4385</v>
      </c>
      <c r="I1784" s="33" t="s">
        <v>39</v>
      </c>
      <c r="J1784" s="33" t="s">
        <v>40</v>
      </c>
      <c r="K1784" s="33" t="s">
        <v>41</v>
      </c>
    </row>
    <row r="1785" spans="1:12" hidden="1" x14ac:dyDescent="0.3">
      <c r="A1785" s="39">
        <v>46065.457696759258</v>
      </c>
      <c r="B1785" s="33">
        <v>44988303530</v>
      </c>
      <c r="C1785" s="33" t="s">
        <v>48</v>
      </c>
      <c r="D1785" s="33">
        <v>4430265054</v>
      </c>
      <c r="E1785" s="33">
        <v>1082</v>
      </c>
      <c r="F1785" s="33">
        <v>1081</v>
      </c>
      <c r="G1785" s="33" t="s">
        <v>38</v>
      </c>
      <c r="H1785" s="33" t="s">
        <v>4386</v>
      </c>
      <c r="I1785" s="33" t="s">
        <v>39</v>
      </c>
      <c r="J1785" s="33" t="s">
        <v>40</v>
      </c>
      <c r="K1785" s="33" t="s">
        <v>41</v>
      </c>
      <c r="L1785" s="33">
        <v>5</v>
      </c>
    </row>
    <row r="1786" spans="1:12" hidden="1" x14ac:dyDescent="0.3">
      <c r="A1786" s="39">
        <v>46065.45480324074</v>
      </c>
      <c r="B1786" s="33" t="s">
        <v>44</v>
      </c>
      <c r="C1786" s="33">
        <v>4532541802</v>
      </c>
      <c r="E1786" s="33">
        <v>193</v>
      </c>
      <c r="F1786" s="33">
        <v>193</v>
      </c>
      <c r="G1786" s="33" t="s">
        <v>38</v>
      </c>
      <c r="H1786" s="33" t="s">
        <v>5937</v>
      </c>
      <c r="I1786" s="33" t="s">
        <v>46</v>
      </c>
      <c r="J1786" s="33" t="s">
        <v>40</v>
      </c>
    </row>
    <row r="1787" spans="1:12" hidden="1" x14ac:dyDescent="0.3">
      <c r="A1787" s="39">
        <v>46065.454664351855</v>
      </c>
      <c r="B1787" s="33">
        <v>35998295948</v>
      </c>
      <c r="C1787" s="33" t="s">
        <v>48</v>
      </c>
      <c r="D1787" s="33">
        <v>4430265054</v>
      </c>
      <c r="E1787" s="33">
        <v>247</v>
      </c>
      <c r="F1787" s="33">
        <v>148</v>
      </c>
      <c r="G1787" s="33" t="s">
        <v>38</v>
      </c>
      <c r="H1787" s="33" t="s">
        <v>4387</v>
      </c>
      <c r="I1787" s="33" t="s">
        <v>39</v>
      </c>
      <c r="J1787" s="33" t="s">
        <v>40</v>
      </c>
      <c r="K1787" s="33" t="s">
        <v>41</v>
      </c>
    </row>
    <row r="1788" spans="1:12" hidden="1" x14ac:dyDescent="0.3">
      <c r="A1788" s="39">
        <v>46065.451469907406</v>
      </c>
      <c r="B1788" s="33">
        <v>91981481202</v>
      </c>
      <c r="C1788" s="33" t="s">
        <v>42</v>
      </c>
      <c r="D1788" s="33">
        <v>4430265054</v>
      </c>
      <c r="E1788" s="33">
        <v>1898</v>
      </c>
      <c r="F1788" s="33">
        <v>1868</v>
      </c>
      <c r="G1788" s="33" t="s">
        <v>38</v>
      </c>
      <c r="H1788" s="33" t="s">
        <v>4388</v>
      </c>
      <c r="I1788" s="33" t="s">
        <v>39</v>
      </c>
      <c r="J1788" s="33" t="s">
        <v>40</v>
      </c>
      <c r="K1788" s="33" t="s">
        <v>41</v>
      </c>
    </row>
    <row r="1789" spans="1:12" hidden="1" x14ac:dyDescent="0.3">
      <c r="A1789" s="39">
        <v>46065.449560185189</v>
      </c>
      <c r="B1789" s="33">
        <v>44991484476</v>
      </c>
      <c r="C1789" s="33" t="s">
        <v>48</v>
      </c>
      <c r="D1789" s="33">
        <v>4430265054</v>
      </c>
      <c r="E1789" s="33">
        <v>243</v>
      </c>
      <c r="F1789" s="33">
        <v>199</v>
      </c>
      <c r="G1789" s="33" t="s">
        <v>38</v>
      </c>
      <c r="H1789" s="33" t="s">
        <v>4389</v>
      </c>
      <c r="I1789" s="33" t="s">
        <v>39</v>
      </c>
      <c r="J1789" s="33" t="s">
        <v>40</v>
      </c>
      <c r="K1789" s="33" t="s">
        <v>41</v>
      </c>
    </row>
    <row r="1790" spans="1:12" hidden="1" x14ac:dyDescent="0.3">
      <c r="A1790" s="39">
        <v>46065.448877314811</v>
      </c>
      <c r="B1790" s="33">
        <v>6234347959</v>
      </c>
      <c r="C1790" s="33" t="s">
        <v>43</v>
      </c>
      <c r="D1790" s="33">
        <v>4430265054</v>
      </c>
      <c r="E1790" s="33">
        <v>1599</v>
      </c>
      <c r="F1790" s="33">
        <v>1503</v>
      </c>
      <c r="G1790" s="33" t="s">
        <v>38</v>
      </c>
      <c r="H1790" s="33" t="s">
        <v>4390</v>
      </c>
      <c r="I1790" s="33" t="s">
        <v>39</v>
      </c>
      <c r="J1790" s="33" t="s">
        <v>40</v>
      </c>
      <c r="K1790" s="33" t="s">
        <v>41</v>
      </c>
      <c r="L1790" s="33">
        <v>5</v>
      </c>
    </row>
    <row r="1791" spans="1:12" hidden="1" x14ac:dyDescent="0.3">
      <c r="A1791" s="39">
        <v>46065.448252314818</v>
      </c>
      <c r="B1791" s="33">
        <v>44999267282</v>
      </c>
      <c r="C1791" s="33" t="s">
        <v>44</v>
      </c>
      <c r="D1791" s="33">
        <v>4430265054</v>
      </c>
      <c r="E1791" s="33">
        <v>501</v>
      </c>
      <c r="F1791" s="33">
        <v>418</v>
      </c>
      <c r="G1791" s="33" t="s">
        <v>38</v>
      </c>
      <c r="H1791" s="33" t="s">
        <v>4391</v>
      </c>
      <c r="I1791" s="33" t="s">
        <v>39</v>
      </c>
      <c r="J1791" s="33" t="s">
        <v>40</v>
      </c>
      <c r="K1791" s="33" t="s">
        <v>41</v>
      </c>
    </row>
    <row r="1792" spans="1:12" hidden="1" x14ac:dyDescent="0.3">
      <c r="A1792" s="39">
        <v>46065.447766203702</v>
      </c>
      <c r="B1792" s="33">
        <v>18996991511</v>
      </c>
      <c r="C1792" s="33" t="s">
        <v>45</v>
      </c>
      <c r="D1792" s="33">
        <v>4430265054</v>
      </c>
      <c r="E1792" s="33">
        <v>1204</v>
      </c>
      <c r="F1792" s="33">
        <v>1170</v>
      </c>
      <c r="G1792" s="33" t="s">
        <v>38</v>
      </c>
      <c r="H1792" s="33" t="s">
        <v>4392</v>
      </c>
      <c r="I1792" s="33" t="s">
        <v>39</v>
      </c>
      <c r="J1792" s="33" t="s">
        <v>40</v>
      </c>
      <c r="K1792" s="33" t="s">
        <v>41</v>
      </c>
      <c r="L1792" s="33">
        <v>5</v>
      </c>
    </row>
    <row r="1793" spans="1:12" hidden="1" x14ac:dyDescent="0.3">
      <c r="A1793" s="39">
        <v>46065.444918981484</v>
      </c>
      <c r="B1793" s="33">
        <v>44988303530</v>
      </c>
      <c r="C1793" s="33" t="s">
        <v>43</v>
      </c>
      <c r="D1793" s="33">
        <v>4430265054</v>
      </c>
      <c r="E1793" s="33">
        <v>295</v>
      </c>
      <c r="F1793" s="33">
        <v>182</v>
      </c>
      <c r="G1793" s="33" t="s">
        <v>38</v>
      </c>
      <c r="H1793" s="33" t="s">
        <v>4393</v>
      </c>
      <c r="I1793" s="33" t="s">
        <v>39</v>
      </c>
      <c r="J1793" s="33" t="s">
        <v>40</v>
      </c>
      <c r="K1793" s="33" t="s">
        <v>41</v>
      </c>
    </row>
    <row r="1794" spans="1:12" hidden="1" x14ac:dyDescent="0.3">
      <c r="A1794" s="39">
        <v>46065.441134259258</v>
      </c>
      <c r="B1794" s="33" t="s">
        <v>45</v>
      </c>
      <c r="C1794" s="33">
        <v>4434013046</v>
      </c>
      <c r="E1794" s="33">
        <v>61</v>
      </c>
      <c r="F1794" s="33">
        <v>0</v>
      </c>
      <c r="G1794" s="33" t="s">
        <v>47</v>
      </c>
      <c r="H1794" s="33" t="s">
        <v>5938</v>
      </c>
      <c r="I1794" s="33" t="s">
        <v>46</v>
      </c>
      <c r="J1794" s="33" t="s">
        <v>40</v>
      </c>
    </row>
    <row r="1795" spans="1:12" hidden="1" x14ac:dyDescent="0.3">
      <c r="A1795" s="39">
        <v>46065.441111111111</v>
      </c>
      <c r="B1795" s="33">
        <v>44999654761</v>
      </c>
      <c r="C1795" s="33" t="s">
        <v>37</v>
      </c>
      <c r="D1795" s="33">
        <v>4430265054</v>
      </c>
      <c r="E1795" s="33">
        <v>2088</v>
      </c>
      <c r="F1795" s="33">
        <v>2027</v>
      </c>
      <c r="G1795" s="33" t="s">
        <v>38</v>
      </c>
      <c r="H1795" s="33" t="s">
        <v>4394</v>
      </c>
      <c r="I1795" s="33" t="s">
        <v>39</v>
      </c>
      <c r="J1795" s="33" t="s">
        <v>40</v>
      </c>
      <c r="K1795" s="33" t="s">
        <v>41</v>
      </c>
    </row>
    <row r="1796" spans="1:12" hidden="1" x14ac:dyDescent="0.3">
      <c r="A1796" s="39">
        <v>46065.435914351852</v>
      </c>
      <c r="B1796" s="33" t="s">
        <v>44</v>
      </c>
      <c r="C1796" s="33">
        <v>4532541802</v>
      </c>
      <c r="E1796" s="33">
        <v>324</v>
      </c>
      <c r="F1796" s="33">
        <v>323</v>
      </c>
      <c r="G1796" s="33" t="s">
        <v>38</v>
      </c>
      <c r="H1796" s="33" t="s">
        <v>5939</v>
      </c>
      <c r="I1796" s="33" t="s">
        <v>46</v>
      </c>
      <c r="J1796" s="33" t="s">
        <v>40</v>
      </c>
    </row>
    <row r="1797" spans="1:12" hidden="1" x14ac:dyDescent="0.3">
      <c r="A1797" s="39">
        <v>46065.435023148151</v>
      </c>
      <c r="B1797" s="33">
        <v>6234347959</v>
      </c>
      <c r="C1797" s="33" t="s">
        <v>43</v>
      </c>
      <c r="D1797" s="33">
        <v>4430265054</v>
      </c>
      <c r="E1797" s="33">
        <v>243</v>
      </c>
      <c r="F1797" s="33">
        <v>206</v>
      </c>
      <c r="G1797" s="33" t="s">
        <v>38</v>
      </c>
      <c r="H1797" s="33" t="s">
        <v>4395</v>
      </c>
      <c r="I1797" s="33" t="s">
        <v>39</v>
      </c>
      <c r="J1797" s="33" t="s">
        <v>40</v>
      </c>
      <c r="K1797" s="33" t="s">
        <v>41</v>
      </c>
      <c r="L1797" s="33">
        <v>5</v>
      </c>
    </row>
    <row r="1798" spans="1:12" hidden="1" x14ac:dyDescent="0.3">
      <c r="A1798" s="39">
        <v>46065.433877314812</v>
      </c>
      <c r="B1798" s="33">
        <v>1131043888</v>
      </c>
      <c r="C1798" s="33" t="s">
        <v>45</v>
      </c>
      <c r="D1798" s="33">
        <v>4430265054</v>
      </c>
      <c r="E1798" s="33">
        <v>135</v>
      </c>
      <c r="F1798" s="33">
        <v>79</v>
      </c>
      <c r="G1798" s="33" t="s">
        <v>38</v>
      </c>
      <c r="H1798" s="33" t="s">
        <v>4396</v>
      </c>
      <c r="I1798" s="33" t="s">
        <v>39</v>
      </c>
      <c r="J1798" s="33" t="s">
        <v>40</v>
      </c>
      <c r="K1798" s="33" t="s">
        <v>41</v>
      </c>
    </row>
    <row r="1799" spans="1:12" hidden="1" x14ac:dyDescent="0.3">
      <c r="A1799" s="39">
        <v>46065.433136574073</v>
      </c>
      <c r="B1799" s="33" t="s">
        <v>45</v>
      </c>
      <c r="C1799" s="33">
        <v>4434013046</v>
      </c>
      <c r="E1799" s="33">
        <v>14</v>
      </c>
      <c r="F1799" s="33">
        <v>0</v>
      </c>
      <c r="G1799" s="33" t="s">
        <v>47</v>
      </c>
      <c r="H1799" s="33" t="s">
        <v>5940</v>
      </c>
      <c r="I1799" s="33" t="s">
        <v>46</v>
      </c>
      <c r="J1799" s="33" t="s">
        <v>40</v>
      </c>
    </row>
    <row r="1800" spans="1:12" hidden="1" x14ac:dyDescent="0.3">
      <c r="A1800" s="39">
        <v>46065.43</v>
      </c>
      <c r="B1800" s="33" t="s">
        <v>43</v>
      </c>
      <c r="C1800" s="33">
        <v>4434013046</v>
      </c>
      <c r="E1800" s="33">
        <v>34</v>
      </c>
      <c r="F1800" s="33">
        <v>0</v>
      </c>
      <c r="G1800" s="33" t="s">
        <v>47</v>
      </c>
      <c r="H1800" s="33" t="s">
        <v>5941</v>
      </c>
      <c r="I1800" s="33" t="s">
        <v>46</v>
      </c>
      <c r="J1800" s="33" t="s">
        <v>40</v>
      </c>
    </row>
    <row r="1801" spans="1:12" hidden="1" x14ac:dyDescent="0.3">
      <c r="A1801" s="39">
        <v>46065.428993055553</v>
      </c>
      <c r="B1801" s="33" t="s">
        <v>43</v>
      </c>
      <c r="C1801" s="33">
        <v>4434013046</v>
      </c>
      <c r="E1801" s="33">
        <v>83</v>
      </c>
      <c r="F1801" s="33">
        <v>0</v>
      </c>
      <c r="G1801" s="33" t="s">
        <v>47</v>
      </c>
      <c r="H1801" s="33" t="s">
        <v>5942</v>
      </c>
      <c r="I1801" s="33" t="s">
        <v>46</v>
      </c>
      <c r="J1801" s="33" t="s">
        <v>40</v>
      </c>
    </row>
    <row r="1802" spans="1:12" hidden="1" x14ac:dyDescent="0.3">
      <c r="A1802" s="39">
        <v>46065.428819444445</v>
      </c>
      <c r="B1802" s="33" t="s">
        <v>43</v>
      </c>
      <c r="C1802" s="33">
        <v>4434013046</v>
      </c>
      <c r="E1802" s="33">
        <v>3</v>
      </c>
      <c r="F1802" s="33">
        <v>0</v>
      </c>
      <c r="G1802" s="33" t="s">
        <v>47</v>
      </c>
      <c r="H1802" s="33" t="s">
        <v>5943</v>
      </c>
      <c r="I1802" s="33" t="s">
        <v>46</v>
      </c>
      <c r="J1802" s="33" t="s">
        <v>40</v>
      </c>
    </row>
    <row r="1803" spans="1:12" x14ac:dyDescent="0.3">
      <c r="A1803" s="39">
        <v>46065.427997685183</v>
      </c>
      <c r="B1803" s="33">
        <v>4432256273</v>
      </c>
      <c r="C1803" s="33" t="s">
        <v>44</v>
      </c>
      <c r="D1803" s="33">
        <v>4430265054</v>
      </c>
      <c r="E1803" s="33">
        <v>431</v>
      </c>
      <c r="F1803" s="33">
        <v>388</v>
      </c>
      <c r="G1803" s="33" t="s">
        <v>38</v>
      </c>
      <c r="H1803" s="33" t="s">
        <v>4397</v>
      </c>
      <c r="I1803" s="33" t="s">
        <v>39</v>
      </c>
      <c r="J1803" s="33" t="s">
        <v>40</v>
      </c>
      <c r="K1803" s="33" t="s">
        <v>41</v>
      </c>
      <c r="L1803" s="33">
        <v>5</v>
      </c>
    </row>
    <row r="1804" spans="1:12" hidden="1" x14ac:dyDescent="0.3">
      <c r="A1804" s="39">
        <v>46065.426840277774</v>
      </c>
      <c r="B1804" s="33">
        <v>4430188650</v>
      </c>
      <c r="C1804" s="33" t="s">
        <v>43</v>
      </c>
      <c r="D1804" s="33">
        <v>4430265054</v>
      </c>
      <c r="E1804" s="33">
        <v>127</v>
      </c>
      <c r="F1804" s="33">
        <v>6</v>
      </c>
      <c r="G1804" s="33" t="s">
        <v>38</v>
      </c>
      <c r="H1804" s="33" t="s">
        <v>4398</v>
      </c>
      <c r="I1804" s="33" t="s">
        <v>39</v>
      </c>
      <c r="J1804" s="33" t="s">
        <v>40</v>
      </c>
      <c r="K1804" s="33" t="s">
        <v>41</v>
      </c>
    </row>
    <row r="1805" spans="1:12" hidden="1" x14ac:dyDescent="0.3">
      <c r="A1805" s="39">
        <v>46065.426446759258</v>
      </c>
      <c r="B1805" s="33">
        <v>44997734943</v>
      </c>
      <c r="C1805" s="33" t="s">
        <v>42</v>
      </c>
      <c r="D1805" s="33">
        <v>4430265054</v>
      </c>
      <c r="E1805" s="33">
        <v>538</v>
      </c>
      <c r="F1805" s="33">
        <v>475</v>
      </c>
      <c r="G1805" s="33" t="s">
        <v>38</v>
      </c>
      <c r="H1805" s="33" t="s">
        <v>4399</v>
      </c>
      <c r="I1805" s="33" t="s">
        <v>39</v>
      </c>
      <c r="J1805" s="33" t="s">
        <v>40</v>
      </c>
      <c r="K1805" s="33" t="s">
        <v>41</v>
      </c>
    </row>
    <row r="1806" spans="1:12" hidden="1" x14ac:dyDescent="0.3">
      <c r="A1806" s="39">
        <v>46065.424976851849</v>
      </c>
      <c r="B1806" s="33">
        <v>83988398480</v>
      </c>
      <c r="C1806" s="33" t="s">
        <v>48</v>
      </c>
      <c r="D1806" s="33">
        <v>4430265054</v>
      </c>
      <c r="E1806" s="33">
        <v>442</v>
      </c>
      <c r="F1806" s="33">
        <v>392</v>
      </c>
      <c r="G1806" s="33" t="s">
        <v>38</v>
      </c>
      <c r="H1806" s="33" t="s">
        <v>4400</v>
      </c>
      <c r="I1806" s="33" t="s">
        <v>39</v>
      </c>
      <c r="J1806" s="33" t="s">
        <v>40</v>
      </c>
      <c r="K1806" s="33" t="s">
        <v>41</v>
      </c>
    </row>
    <row r="1807" spans="1:12" hidden="1" x14ac:dyDescent="0.3">
      <c r="A1807" s="39">
        <v>46065.423483796294</v>
      </c>
      <c r="B1807" s="33">
        <v>44988303530</v>
      </c>
      <c r="C1807" s="33" t="s">
        <v>43</v>
      </c>
      <c r="D1807" s="33">
        <v>4430265054</v>
      </c>
      <c r="E1807" s="33">
        <v>360</v>
      </c>
      <c r="F1807" s="33">
        <v>297</v>
      </c>
      <c r="G1807" s="33" t="s">
        <v>38</v>
      </c>
      <c r="H1807" s="33" t="s">
        <v>4401</v>
      </c>
      <c r="I1807" s="33" t="s">
        <v>39</v>
      </c>
      <c r="J1807" s="33" t="s">
        <v>40</v>
      </c>
      <c r="K1807" s="33" t="s">
        <v>41</v>
      </c>
    </row>
    <row r="1808" spans="1:12" hidden="1" x14ac:dyDescent="0.3">
      <c r="A1808" s="39">
        <v>46065.420335648145</v>
      </c>
      <c r="B1808" s="33">
        <v>44988303530</v>
      </c>
      <c r="C1808" s="33" t="s">
        <v>43</v>
      </c>
      <c r="D1808" s="33">
        <v>4430265054</v>
      </c>
      <c r="E1808" s="33">
        <v>122</v>
      </c>
      <c r="F1808" s="33">
        <v>71</v>
      </c>
      <c r="G1808" s="33" t="s">
        <v>38</v>
      </c>
      <c r="H1808" s="33" t="s">
        <v>4402</v>
      </c>
      <c r="I1808" s="33" t="s">
        <v>39</v>
      </c>
      <c r="J1808" s="33" t="s">
        <v>40</v>
      </c>
      <c r="K1808" s="33" t="s">
        <v>41</v>
      </c>
    </row>
    <row r="1809" spans="1:12" hidden="1" x14ac:dyDescent="0.3">
      <c r="A1809" s="39">
        <v>46065.419675925928</v>
      </c>
      <c r="B1809" s="33" t="s">
        <v>37</v>
      </c>
      <c r="C1809" s="33">
        <v>4432443131</v>
      </c>
      <c r="E1809" s="33">
        <v>1061</v>
      </c>
      <c r="F1809" s="33">
        <v>1053</v>
      </c>
      <c r="G1809" s="33" t="s">
        <v>38</v>
      </c>
      <c r="H1809" s="33" t="s">
        <v>5944</v>
      </c>
      <c r="I1809" s="33" t="s">
        <v>46</v>
      </c>
      <c r="J1809" s="33" t="s">
        <v>40</v>
      </c>
    </row>
    <row r="1810" spans="1:12" hidden="1" x14ac:dyDescent="0.3">
      <c r="A1810" s="39">
        <v>46065.419085648151</v>
      </c>
      <c r="B1810" s="33" t="s">
        <v>37</v>
      </c>
      <c r="C1810" s="33">
        <v>4432443131</v>
      </c>
      <c r="E1810" s="33">
        <v>40</v>
      </c>
      <c r="F1810" s="33">
        <v>0</v>
      </c>
      <c r="G1810" s="33" t="s">
        <v>47</v>
      </c>
      <c r="H1810" s="33" t="s">
        <v>5945</v>
      </c>
      <c r="I1810" s="33" t="s">
        <v>46</v>
      </c>
      <c r="J1810" s="33" t="s">
        <v>40</v>
      </c>
    </row>
    <row r="1811" spans="1:12" hidden="1" x14ac:dyDescent="0.3">
      <c r="A1811" s="39">
        <v>46065.419016203705</v>
      </c>
      <c r="B1811" s="33" t="s">
        <v>37</v>
      </c>
      <c r="C1811" s="33">
        <v>4432443131</v>
      </c>
      <c r="E1811" s="33">
        <v>5</v>
      </c>
      <c r="F1811" s="33">
        <v>0</v>
      </c>
      <c r="G1811" s="33" t="s">
        <v>47</v>
      </c>
      <c r="H1811" s="33" t="s">
        <v>5946</v>
      </c>
      <c r="I1811" s="33" t="s">
        <v>46</v>
      </c>
      <c r="J1811" s="33" t="s">
        <v>40</v>
      </c>
    </row>
    <row r="1812" spans="1:12" hidden="1" x14ac:dyDescent="0.3">
      <c r="A1812" s="39">
        <v>46065.418969907405</v>
      </c>
      <c r="B1812" s="33" t="s">
        <v>37</v>
      </c>
      <c r="C1812" s="33">
        <v>4432443131</v>
      </c>
      <c r="E1812" s="33">
        <v>2</v>
      </c>
      <c r="F1812" s="33">
        <v>0</v>
      </c>
      <c r="G1812" s="33" t="s">
        <v>47</v>
      </c>
      <c r="H1812" s="33" t="s">
        <v>5947</v>
      </c>
      <c r="I1812" s="33" t="s">
        <v>46</v>
      </c>
      <c r="J1812" s="33" t="s">
        <v>40</v>
      </c>
    </row>
    <row r="1813" spans="1:12" hidden="1" x14ac:dyDescent="0.3">
      <c r="A1813" s="39">
        <v>46065.418761574074</v>
      </c>
      <c r="B1813" s="33">
        <v>44999670264</v>
      </c>
      <c r="C1813" s="33" t="s">
        <v>45</v>
      </c>
      <c r="D1813" s="33">
        <v>4430265054</v>
      </c>
      <c r="E1813" s="33">
        <v>1189</v>
      </c>
      <c r="F1813" s="33">
        <v>1125</v>
      </c>
      <c r="G1813" s="33" t="s">
        <v>38</v>
      </c>
      <c r="H1813" s="33" t="s">
        <v>4403</v>
      </c>
      <c r="I1813" s="33" t="s">
        <v>39</v>
      </c>
      <c r="J1813" s="33" t="s">
        <v>40</v>
      </c>
      <c r="K1813" s="33" t="s">
        <v>41</v>
      </c>
      <c r="L1813" s="33">
        <v>5</v>
      </c>
    </row>
    <row r="1814" spans="1:12" hidden="1" x14ac:dyDescent="0.3">
      <c r="A1814" s="39">
        <v>46065.418298611112</v>
      </c>
      <c r="B1814" s="33" t="s">
        <v>43</v>
      </c>
      <c r="C1814" s="33">
        <v>44988303530</v>
      </c>
      <c r="E1814" s="33">
        <v>39</v>
      </c>
      <c r="F1814" s="33">
        <v>0</v>
      </c>
      <c r="G1814" s="33" t="s">
        <v>47</v>
      </c>
      <c r="H1814" s="33" t="s">
        <v>5948</v>
      </c>
      <c r="I1814" s="33" t="s">
        <v>46</v>
      </c>
      <c r="J1814" s="33" t="s">
        <v>40</v>
      </c>
    </row>
    <row r="1815" spans="1:12" hidden="1" x14ac:dyDescent="0.3">
      <c r="A1815" s="39">
        <v>46065.418217592596</v>
      </c>
      <c r="B1815" s="33" t="s">
        <v>43</v>
      </c>
      <c r="C1815" s="33">
        <v>44988303530</v>
      </c>
      <c r="E1815" s="33">
        <v>6</v>
      </c>
      <c r="F1815" s="33">
        <v>0</v>
      </c>
      <c r="G1815" s="33" t="s">
        <v>47</v>
      </c>
      <c r="H1815" s="33" t="s">
        <v>5949</v>
      </c>
      <c r="I1815" s="33" t="s">
        <v>46</v>
      </c>
      <c r="J1815" s="33" t="s">
        <v>40</v>
      </c>
    </row>
    <row r="1816" spans="1:12" hidden="1" x14ac:dyDescent="0.3">
      <c r="A1816" s="39">
        <v>46065.41746527778</v>
      </c>
      <c r="B1816" s="33">
        <v>93991495484</v>
      </c>
      <c r="C1816" s="33" t="s">
        <v>44</v>
      </c>
      <c r="D1816" s="33">
        <v>4430265054</v>
      </c>
      <c r="E1816" s="33">
        <v>892</v>
      </c>
      <c r="F1816" s="33">
        <v>831</v>
      </c>
      <c r="G1816" s="33" t="s">
        <v>38</v>
      </c>
      <c r="H1816" s="33" t="s">
        <v>4404</v>
      </c>
      <c r="I1816" s="33" t="s">
        <v>39</v>
      </c>
      <c r="J1816" s="33" t="s">
        <v>40</v>
      </c>
      <c r="K1816" s="33" t="s">
        <v>41</v>
      </c>
    </row>
    <row r="1817" spans="1:12" hidden="1" x14ac:dyDescent="0.3">
      <c r="A1817" s="39">
        <v>46065.416655092595</v>
      </c>
      <c r="B1817" s="33">
        <v>44997400641</v>
      </c>
      <c r="C1817" s="33" t="s">
        <v>42</v>
      </c>
      <c r="D1817" s="33">
        <v>4430265054</v>
      </c>
      <c r="E1817" s="33">
        <v>893</v>
      </c>
      <c r="F1817" s="33">
        <v>855</v>
      </c>
      <c r="G1817" s="33" t="s">
        <v>38</v>
      </c>
      <c r="H1817" s="33" t="s">
        <v>4405</v>
      </c>
      <c r="I1817" s="33" t="s">
        <v>39</v>
      </c>
      <c r="J1817" s="33" t="s">
        <v>40</v>
      </c>
      <c r="K1817" s="33" t="s">
        <v>41</v>
      </c>
      <c r="L1817" s="33">
        <v>5</v>
      </c>
    </row>
    <row r="1818" spans="1:12" hidden="1" x14ac:dyDescent="0.3">
      <c r="A1818" s="39">
        <v>46065.416608796295</v>
      </c>
      <c r="B1818" s="33">
        <v>4432443131</v>
      </c>
      <c r="C1818" s="33" t="s">
        <v>37</v>
      </c>
      <c r="D1818" s="33">
        <v>4430265054</v>
      </c>
      <c r="E1818" s="33">
        <v>232</v>
      </c>
      <c r="F1818" s="33">
        <v>196</v>
      </c>
      <c r="G1818" s="33" t="s">
        <v>38</v>
      </c>
      <c r="H1818" s="33" t="s">
        <v>4406</v>
      </c>
      <c r="I1818" s="33" t="s">
        <v>39</v>
      </c>
      <c r="J1818" s="33" t="s">
        <v>40</v>
      </c>
      <c r="K1818" s="33" t="s">
        <v>41</v>
      </c>
    </row>
    <row r="1819" spans="1:12" hidden="1" x14ac:dyDescent="0.3">
      <c r="A1819" s="39">
        <v>46065.414837962962</v>
      </c>
      <c r="B1819" s="33">
        <v>44988303530</v>
      </c>
      <c r="C1819" s="33" t="s">
        <v>43</v>
      </c>
      <c r="D1819" s="33">
        <v>4430265054</v>
      </c>
      <c r="E1819" s="33">
        <v>252</v>
      </c>
      <c r="F1819" s="33">
        <v>160</v>
      </c>
      <c r="G1819" s="33" t="s">
        <v>38</v>
      </c>
      <c r="H1819" s="33" t="s">
        <v>4407</v>
      </c>
      <c r="I1819" s="33" t="s">
        <v>39</v>
      </c>
      <c r="J1819" s="33" t="s">
        <v>40</v>
      </c>
      <c r="K1819" s="33" t="s">
        <v>41</v>
      </c>
    </row>
    <row r="1820" spans="1:12" hidden="1" x14ac:dyDescent="0.3">
      <c r="A1820" s="39">
        <v>46065.410150462965</v>
      </c>
      <c r="B1820" s="33">
        <v>11985836640</v>
      </c>
      <c r="C1820" s="33" t="s">
        <v>48</v>
      </c>
      <c r="D1820" s="33">
        <v>4430265054</v>
      </c>
      <c r="E1820" s="33">
        <v>820</v>
      </c>
      <c r="F1820" s="33">
        <v>820</v>
      </c>
      <c r="G1820" s="33" t="s">
        <v>38</v>
      </c>
      <c r="H1820" s="33" t="s">
        <v>4408</v>
      </c>
      <c r="I1820" s="33" t="s">
        <v>39</v>
      </c>
      <c r="J1820" s="33" t="s">
        <v>40</v>
      </c>
      <c r="K1820" s="33" t="s">
        <v>41</v>
      </c>
      <c r="L1820" s="33">
        <v>5</v>
      </c>
    </row>
    <row r="1821" spans="1:12" hidden="1" x14ac:dyDescent="0.3">
      <c r="A1821" s="39">
        <v>46065.408773148149</v>
      </c>
      <c r="B1821" s="33">
        <v>44997734943</v>
      </c>
      <c r="C1821" s="33" t="s">
        <v>48</v>
      </c>
      <c r="D1821" s="33">
        <v>4430265054</v>
      </c>
      <c r="E1821" s="33">
        <v>308</v>
      </c>
      <c r="F1821" s="33">
        <v>261</v>
      </c>
      <c r="G1821" s="33" t="s">
        <v>38</v>
      </c>
      <c r="H1821" s="33" t="s">
        <v>4409</v>
      </c>
      <c r="I1821" s="33" t="s">
        <v>39</v>
      </c>
      <c r="J1821" s="33" t="s">
        <v>40</v>
      </c>
      <c r="K1821" s="33" t="s">
        <v>41</v>
      </c>
    </row>
    <row r="1822" spans="1:12" x14ac:dyDescent="0.3">
      <c r="A1822" s="39">
        <v>46065.408217592594</v>
      </c>
      <c r="B1822" s="33">
        <v>4430450103</v>
      </c>
      <c r="C1822" s="33" t="s">
        <v>44</v>
      </c>
      <c r="D1822" s="33">
        <v>4430265054</v>
      </c>
      <c r="E1822" s="33">
        <v>418</v>
      </c>
      <c r="F1822" s="33">
        <v>355</v>
      </c>
      <c r="G1822" s="33" t="s">
        <v>38</v>
      </c>
      <c r="H1822" s="33" t="s">
        <v>4410</v>
      </c>
      <c r="I1822" s="33" t="s">
        <v>39</v>
      </c>
      <c r="J1822" s="33" t="s">
        <v>40</v>
      </c>
      <c r="K1822" s="33" t="s">
        <v>41</v>
      </c>
      <c r="L1822" s="33">
        <v>5</v>
      </c>
    </row>
    <row r="1823" spans="1:12" hidden="1" x14ac:dyDescent="0.3">
      <c r="A1823" s="39">
        <v>46065.407129629632</v>
      </c>
      <c r="B1823" s="33">
        <v>43991364602</v>
      </c>
      <c r="C1823" s="33" t="s">
        <v>37</v>
      </c>
      <c r="D1823" s="33">
        <v>4430265054</v>
      </c>
      <c r="E1823" s="33">
        <v>688</v>
      </c>
      <c r="F1823" s="33">
        <v>478</v>
      </c>
      <c r="G1823" s="33" t="s">
        <v>38</v>
      </c>
      <c r="H1823" s="33" t="s">
        <v>4411</v>
      </c>
      <c r="I1823" s="33" t="s">
        <v>39</v>
      </c>
      <c r="J1823" s="33" t="s">
        <v>40</v>
      </c>
      <c r="K1823" s="33" t="s">
        <v>41</v>
      </c>
    </row>
    <row r="1824" spans="1:12" hidden="1" x14ac:dyDescent="0.3">
      <c r="A1824" s="39">
        <v>46065.406342592592</v>
      </c>
      <c r="B1824" s="33">
        <v>44997400641</v>
      </c>
      <c r="C1824" s="33" t="s">
        <v>43</v>
      </c>
      <c r="D1824" s="33">
        <v>4430265054</v>
      </c>
      <c r="E1824" s="33">
        <v>513</v>
      </c>
      <c r="F1824" s="33">
        <v>356</v>
      </c>
      <c r="G1824" s="33" t="s">
        <v>38</v>
      </c>
      <c r="H1824" s="33" t="s">
        <v>4412</v>
      </c>
      <c r="I1824" s="33" t="s">
        <v>39</v>
      </c>
      <c r="J1824" s="33" t="s">
        <v>40</v>
      </c>
      <c r="K1824" s="33" t="s">
        <v>41</v>
      </c>
    </row>
    <row r="1825" spans="1:12" hidden="1" x14ac:dyDescent="0.3">
      <c r="A1825" s="39">
        <v>46065.405787037038</v>
      </c>
      <c r="B1825" s="33">
        <v>4532541802</v>
      </c>
      <c r="C1825" s="33" t="s">
        <v>44</v>
      </c>
      <c r="D1825" s="33">
        <v>4430265054</v>
      </c>
      <c r="E1825" s="33">
        <v>262</v>
      </c>
      <c r="F1825" s="33">
        <v>193</v>
      </c>
      <c r="G1825" s="33" t="s">
        <v>38</v>
      </c>
      <c r="H1825" s="33" t="s">
        <v>4413</v>
      </c>
      <c r="I1825" s="33" t="s">
        <v>39</v>
      </c>
      <c r="J1825" s="33" t="s">
        <v>40</v>
      </c>
      <c r="K1825" s="33" t="s">
        <v>41</v>
      </c>
    </row>
    <row r="1826" spans="1:12" hidden="1" x14ac:dyDescent="0.3">
      <c r="A1826" s="39">
        <v>46065.401747685188</v>
      </c>
      <c r="B1826" s="33">
        <v>4434013046</v>
      </c>
      <c r="C1826" s="33" t="s">
        <v>45</v>
      </c>
      <c r="D1826" s="33">
        <v>4430265054</v>
      </c>
      <c r="E1826" s="33">
        <v>1532</v>
      </c>
      <c r="F1826" s="33">
        <v>1504</v>
      </c>
      <c r="G1826" s="33" t="s">
        <v>38</v>
      </c>
      <c r="H1826" s="33" t="s">
        <v>4414</v>
      </c>
      <c r="I1826" s="33" t="s">
        <v>39</v>
      </c>
      <c r="J1826" s="33" t="s">
        <v>40</v>
      </c>
      <c r="K1826" s="33" t="s">
        <v>41</v>
      </c>
    </row>
    <row r="1827" spans="1:12" hidden="1" x14ac:dyDescent="0.3">
      <c r="A1827" s="39">
        <v>46065.398055555554</v>
      </c>
      <c r="B1827" s="33">
        <v>4430141092</v>
      </c>
      <c r="C1827" s="33" t="s">
        <v>42</v>
      </c>
      <c r="D1827" s="33">
        <v>4430265054</v>
      </c>
      <c r="E1827" s="33">
        <v>1231</v>
      </c>
      <c r="F1827" s="33">
        <v>1194</v>
      </c>
      <c r="G1827" s="33" t="s">
        <v>38</v>
      </c>
      <c r="H1827" s="33" t="s">
        <v>4415</v>
      </c>
      <c r="I1827" s="33" t="s">
        <v>39</v>
      </c>
      <c r="J1827" s="33" t="s">
        <v>40</v>
      </c>
      <c r="K1827" s="33" t="s">
        <v>41</v>
      </c>
      <c r="L1827" s="33">
        <v>5</v>
      </c>
    </row>
    <row r="1828" spans="1:12" hidden="1" x14ac:dyDescent="0.3">
      <c r="A1828" s="39">
        <v>46065.395914351851</v>
      </c>
      <c r="B1828" s="33">
        <v>44999670264</v>
      </c>
      <c r="C1828" s="33" t="s">
        <v>45</v>
      </c>
      <c r="D1828" s="33">
        <v>4430265054</v>
      </c>
      <c r="E1828" s="33">
        <v>329</v>
      </c>
      <c r="F1828" s="33">
        <v>291</v>
      </c>
      <c r="G1828" s="33" t="s">
        <v>38</v>
      </c>
      <c r="H1828" s="33" t="s">
        <v>4416</v>
      </c>
      <c r="I1828" s="33" t="s">
        <v>39</v>
      </c>
      <c r="J1828" s="33" t="s">
        <v>40</v>
      </c>
      <c r="K1828" s="33" t="s">
        <v>41</v>
      </c>
      <c r="L1828" s="33">
        <v>5</v>
      </c>
    </row>
    <row r="1829" spans="1:12" hidden="1" x14ac:dyDescent="0.3">
      <c r="A1829" s="39">
        <v>46065.395636574074</v>
      </c>
      <c r="B1829" s="33" t="s">
        <v>43</v>
      </c>
      <c r="C1829" s="33">
        <v>6234347959</v>
      </c>
      <c r="E1829" s="33">
        <v>54</v>
      </c>
      <c r="F1829" s="33">
        <v>41</v>
      </c>
      <c r="G1829" s="33" t="s">
        <v>38</v>
      </c>
      <c r="H1829" s="33" t="s">
        <v>5950</v>
      </c>
      <c r="I1829" s="33" t="s">
        <v>46</v>
      </c>
      <c r="J1829" s="33" t="s">
        <v>40</v>
      </c>
    </row>
    <row r="1830" spans="1:12" hidden="1" x14ac:dyDescent="0.3">
      <c r="A1830" s="39">
        <v>46065.393287037034</v>
      </c>
      <c r="B1830" s="33">
        <v>4432325260</v>
      </c>
      <c r="C1830" s="33">
        <v>4430265054</v>
      </c>
      <c r="D1830" s="33">
        <v>4430265054</v>
      </c>
      <c r="E1830" s="33">
        <v>65</v>
      </c>
      <c r="F1830" s="33">
        <v>64</v>
      </c>
      <c r="G1830" s="33" t="s">
        <v>3449</v>
      </c>
      <c r="H1830" s="33" t="s">
        <v>4417</v>
      </c>
      <c r="I1830" s="33" t="s">
        <v>39</v>
      </c>
      <c r="J1830" s="33" t="s">
        <v>3451</v>
      </c>
      <c r="K1830" s="33" t="s">
        <v>41</v>
      </c>
    </row>
    <row r="1831" spans="1:12" hidden="1" x14ac:dyDescent="0.3">
      <c r="A1831" s="39">
        <v>46065.391111111108</v>
      </c>
      <c r="B1831" s="33">
        <v>4436372125</v>
      </c>
      <c r="C1831" s="33" t="s">
        <v>44</v>
      </c>
      <c r="D1831" s="33">
        <v>4430265054</v>
      </c>
      <c r="E1831" s="33">
        <v>661</v>
      </c>
      <c r="F1831" s="33">
        <v>605</v>
      </c>
      <c r="G1831" s="33" t="s">
        <v>38</v>
      </c>
      <c r="H1831" s="33" t="s">
        <v>4418</v>
      </c>
      <c r="I1831" s="33" t="s">
        <v>39</v>
      </c>
      <c r="J1831" s="33" t="s">
        <v>40</v>
      </c>
      <c r="K1831" s="33" t="s">
        <v>41</v>
      </c>
    </row>
    <row r="1832" spans="1:12" hidden="1" x14ac:dyDescent="0.3">
      <c r="A1832" s="39">
        <v>46065.390960648147</v>
      </c>
      <c r="B1832" s="33" t="s">
        <v>48</v>
      </c>
      <c r="C1832" s="33">
        <v>4436313773</v>
      </c>
      <c r="E1832" s="33">
        <v>98</v>
      </c>
      <c r="F1832" s="33">
        <v>89</v>
      </c>
      <c r="G1832" s="33" t="s">
        <v>38</v>
      </c>
      <c r="H1832" s="33" t="s">
        <v>5951</v>
      </c>
      <c r="I1832" s="33" t="s">
        <v>46</v>
      </c>
      <c r="J1832" s="33" t="s">
        <v>40</v>
      </c>
    </row>
    <row r="1833" spans="1:12" hidden="1" x14ac:dyDescent="0.3">
      <c r="A1833" s="39">
        <v>46065.390208333331</v>
      </c>
      <c r="B1833" s="33">
        <v>1135975154</v>
      </c>
      <c r="C1833" s="33" t="s">
        <v>45</v>
      </c>
      <c r="D1833" s="33">
        <v>4430265054</v>
      </c>
      <c r="E1833" s="33">
        <v>193</v>
      </c>
      <c r="F1833" s="33">
        <v>170</v>
      </c>
      <c r="G1833" s="33" t="s">
        <v>38</v>
      </c>
      <c r="H1833" s="33" t="s">
        <v>4419</v>
      </c>
      <c r="I1833" s="33" t="s">
        <v>39</v>
      </c>
      <c r="J1833" s="33" t="s">
        <v>40</v>
      </c>
      <c r="K1833" s="33" t="s">
        <v>41</v>
      </c>
    </row>
    <row r="1834" spans="1:12" hidden="1" x14ac:dyDescent="0.3">
      <c r="A1834" s="39">
        <v>46065.376203703701</v>
      </c>
      <c r="B1834" s="33">
        <v>62991155122</v>
      </c>
      <c r="C1834" s="33" t="s">
        <v>37</v>
      </c>
      <c r="D1834" s="33">
        <v>4430265054</v>
      </c>
      <c r="E1834" s="33">
        <v>2642</v>
      </c>
      <c r="F1834" s="33">
        <v>2558</v>
      </c>
      <c r="G1834" s="33" t="s">
        <v>38</v>
      </c>
      <c r="H1834" s="33" t="s">
        <v>4420</v>
      </c>
      <c r="I1834" s="33" t="s">
        <v>39</v>
      </c>
      <c r="J1834" s="33" t="s">
        <v>40</v>
      </c>
      <c r="K1834" s="33" t="s">
        <v>41</v>
      </c>
    </row>
    <row r="1835" spans="1:12" hidden="1" x14ac:dyDescent="0.3">
      <c r="A1835" s="39">
        <v>46065.375474537039</v>
      </c>
      <c r="B1835" s="33">
        <v>4432637197</v>
      </c>
      <c r="C1835" s="33" t="s">
        <v>48</v>
      </c>
      <c r="D1835" s="33">
        <v>4430265054</v>
      </c>
      <c r="E1835" s="33">
        <v>355</v>
      </c>
      <c r="F1835" s="33">
        <v>321</v>
      </c>
      <c r="G1835" s="33" t="s">
        <v>38</v>
      </c>
      <c r="H1835" s="33" t="s">
        <v>4421</v>
      </c>
      <c r="I1835" s="33" t="s">
        <v>39</v>
      </c>
      <c r="J1835" s="33" t="s">
        <v>40</v>
      </c>
      <c r="K1835" s="33" t="s">
        <v>41</v>
      </c>
    </row>
    <row r="1836" spans="1:12" hidden="1" x14ac:dyDescent="0.3">
      <c r="A1836" s="39">
        <v>46065.374664351853</v>
      </c>
      <c r="B1836" s="33">
        <v>44988303530</v>
      </c>
      <c r="C1836" s="33" t="s">
        <v>44</v>
      </c>
      <c r="D1836" s="33">
        <v>4430265054</v>
      </c>
      <c r="E1836" s="33">
        <v>456</v>
      </c>
      <c r="F1836" s="33">
        <v>320</v>
      </c>
      <c r="G1836" s="33" t="s">
        <v>38</v>
      </c>
      <c r="H1836" s="33" t="s">
        <v>4422</v>
      </c>
      <c r="I1836" s="33" t="s">
        <v>39</v>
      </c>
      <c r="J1836" s="33" t="s">
        <v>40</v>
      </c>
      <c r="K1836" s="33" t="s">
        <v>41</v>
      </c>
    </row>
    <row r="1837" spans="1:12" hidden="1" x14ac:dyDescent="0.3">
      <c r="A1837" s="39">
        <v>46065.374212962961</v>
      </c>
      <c r="B1837" s="33">
        <v>1131043888</v>
      </c>
      <c r="C1837" s="33" t="s">
        <v>44</v>
      </c>
      <c r="D1837" s="33">
        <v>4430265054</v>
      </c>
      <c r="E1837" s="33">
        <v>140</v>
      </c>
      <c r="F1837" s="33">
        <v>114</v>
      </c>
      <c r="G1837" s="33" t="s">
        <v>38</v>
      </c>
      <c r="H1837" s="33" t="s">
        <v>4423</v>
      </c>
      <c r="I1837" s="33" t="s">
        <v>39</v>
      </c>
      <c r="J1837" s="33" t="s">
        <v>40</v>
      </c>
      <c r="K1837" s="33" t="s">
        <v>41</v>
      </c>
    </row>
    <row r="1838" spans="1:12" x14ac:dyDescent="0.3">
      <c r="A1838" s="39">
        <v>46065.367662037039</v>
      </c>
      <c r="B1838" s="33">
        <v>4432325260</v>
      </c>
      <c r="C1838" s="33" t="s">
        <v>44</v>
      </c>
      <c r="D1838" s="33">
        <v>4430265054</v>
      </c>
      <c r="E1838" s="33">
        <v>481</v>
      </c>
      <c r="F1838" s="33">
        <v>437</v>
      </c>
      <c r="G1838" s="33" t="s">
        <v>38</v>
      </c>
      <c r="H1838" s="33" t="s">
        <v>4424</v>
      </c>
      <c r="I1838" s="33" t="s">
        <v>39</v>
      </c>
      <c r="J1838" s="33" t="s">
        <v>40</v>
      </c>
      <c r="K1838" s="33" t="s">
        <v>41</v>
      </c>
      <c r="L1838" s="33">
        <v>5</v>
      </c>
    </row>
    <row r="1839" spans="1:12" hidden="1" x14ac:dyDescent="0.3">
      <c r="A1839" s="39">
        <v>46065.367384259262</v>
      </c>
      <c r="B1839" s="33">
        <v>1733231449</v>
      </c>
      <c r="C1839" s="33" t="s">
        <v>45</v>
      </c>
      <c r="D1839" s="33">
        <v>4430265054</v>
      </c>
      <c r="E1839" s="33">
        <v>1886</v>
      </c>
      <c r="F1839" s="33">
        <v>1843</v>
      </c>
      <c r="G1839" s="33" t="s">
        <v>38</v>
      </c>
      <c r="H1839" s="33" t="s">
        <v>4425</v>
      </c>
      <c r="I1839" s="33" t="s">
        <v>39</v>
      </c>
      <c r="J1839" s="33" t="s">
        <v>40</v>
      </c>
      <c r="K1839" s="33" t="s">
        <v>41</v>
      </c>
      <c r="L1839" s="33">
        <v>5</v>
      </c>
    </row>
    <row r="1840" spans="1:12" hidden="1" x14ac:dyDescent="0.3">
      <c r="A1840" s="39">
        <v>46065.366736111115</v>
      </c>
      <c r="B1840" s="33">
        <v>44988300360</v>
      </c>
      <c r="C1840" s="33" t="s">
        <v>37</v>
      </c>
      <c r="D1840" s="33">
        <v>4430265054</v>
      </c>
      <c r="E1840" s="33">
        <v>780</v>
      </c>
      <c r="F1840" s="33">
        <v>744</v>
      </c>
      <c r="G1840" s="33" t="s">
        <v>38</v>
      </c>
      <c r="H1840" s="33" t="s">
        <v>4426</v>
      </c>
      <c r="I1840" s="33" t="s">
        <v>39</v>
      </c>
      <c r="J1840" s="33" t="s">
        <v>40</v>
      </c>
      <c r="K1840" s="33" t="s">
        <v>41</v>
      </c>
      <c r="L1840" s="33">
        <v>5</v>
      </c>
    </row>
    <row r="1841" spans="1:12" hidden="1" x14ac:dyDescent="0.3">
      <c r="A1841" s="39">
        <v>46065.365983796299</v>
      </c>
      <c r="B1841" s="33">
        <v>1438160351</v>
      </c>
      <c r="C1841" s="33">
        <v>4430265054</v>
      </c>
      <c r="D1841" s="33">
        <v>4430265054</v>
      </c>
      <c r="E1841" s="33">
        <v>10</v>
      </c>
      <c r="F1841" s="33">
        <v>10</v>
      </c>
      <c r="G1841" s="33" t="s">
        <v>3449</v>
      </c>
      <c r="H1841" s="33" t="s">
        <v>5952</v>
      </c>
      <c r="I1841" s="33" t="s">
        <v>39</v>
      </c>
      <c r="J1841" s="33" t="s">
        <v>3451</v>
      </c>
    </row>
    <row r="1842" spans="1:12" hidden="1" x14ac:dyDescent="0.3">
      <c r="A1842" s="39">
        <v>46065.361620370371</v>
      </c>
      <c r="B1842" s="33">
        <v>67992169496</v>
      </c>
      <c r="C1842" s="33" t="s">
        <v>48</v>
      </c>
      <c r="D1842" s="33">
        <v>4430265054</v>
      </c>
      <c r="E1842" s="33">
        <v>274</v>
      </c>
      <c r="F1842" s="33">
        <v>273</v>
      </c>
      <c r="G1842" s="33" t="s">
        <v>38</v>
      </c>
      <c r="H1842" s="33" t="s">
        <v>4427</v>
      </c>
      <c r="I1842" s="33" t="s">
        <v>39</v>
      </c>
      <c r="J1842" s="33" t="s">
        <v>40</v>
      </c>
      <c r="K1842" s="33" t="s">
        <v>41</v>
      </c>
    </row>
    <row r="1843" spans="1:12" hidden="1" x14ac:dyDescent="0.3">
      <c r="A1843" s="39">
        <v>46065.359375</v>
      </c>
      <c r="B1843" s="33" t="s">
        <v>45</v>
      </c>
      <c r="C1843" s="33">
        <v>4520312689</v>
      </c>
      <c r="E1843" s="33">
        <v>722</v>
      </c>
      <c r="F1843" s="33">
        <v>711</v>
      </c>
      <c r="G1843" s="33" t="s">
        <v>38</v>
      </c>
      <c r="H1843" s="33" t="s">
        <v>5953</v>
      </c>
      <c r="I1843" s="33" t="s">
        <v>46</v>
      </c>
      <c r="J1843" s="33" t="s">
        <v>40</v>
      </c>
    </row>
    <row r="1844" spans="1:12" hidden="1" x14ac:dyDescent="0.3">
      <c r="A1844" s="39">
        <v>46065.358761574076</v>
      </c>
      <c r="B1844" s="33">
        <v>4430459032</v>
      </c>
      <c r="C1844" s="33" t="s">
        <v>37</v>
      </c>
      <c r="D1844" s="33">
        <v>4430265054</v>
      </c>
      <c r="E1844" s="33">
        <v>216</v>
      </c>
      <c r="F1844" s="33">
        <v>179</v>
      </c>
      <c r="G1844" s="33" t="s">
        <v>38</v>
      </c>
      <c r="H1844" s="33" t="s">
        <v>4428</v>
      </c>
      <c r="I1844" s="33" t="s">
        <v>39</v>
      </c>
      <c r="J1844" s="33" t="s">
        <v>40</v>
      </c>
      <c r="K1844" s="33" t="s">
        <v>41</v>
      </c>
    </row>
    <row r="1845" spans="1:12" hidden="1" x14ac:dyDescent="0.3">
      <c r="A1845" s="39">
        <v>46065.358680555553</v>
      </c>
      <c r="B1845" s="33">
        <v>44988303530</v>
      </c>
      <c r="C1845" s="33" t="s">
        <v>42</v>
      </c>
      <c r="D1845" s="33">
        <v>4430265054</v>
      </c>
      <c r="E1845" s="33">
        <v>824</v>
      </c>
      <c r="F1845" s="33">
        <v>580</v>
      </c>
      <c r="G1845" s="33" t="s">
        <v>38</v>
      </c>
      <c r="H1845" s="33" t="s">
        <v>4429</v>
      </c>
      <c r="I1845" s="33" t="s">
        <v>39</v>
      </c>
      <c r="J1845" s="33" t="s">
        <v>40</v>
      </c>
      <c r="K1845" s="33" t="s">
        <v>41</v>
      </c>
    </row>
    <row r="1846" spans="1:12" hidden="1" x14ac:dyDescent="0.3">
      <c r="A1846" s="39">
        <v>46065.344884259262</v>
      </c>
      <c r="B1846" s="33">
        <v>83988398480</v>
      </c>
      <c r="C1846" s="33">
        <v>4430265054</v>
      </c>
      <c r="D1846" s="33">
        <v>4430265054</v>
      </c>
      <c r="E1846" s="33">
        <v>12</v>
      </c>
      <c r="F1846" s="33">
        <v>11</v>
      </c>
      <c r="G1846" s="33" t="s">
        <v>3449</v>
      </c>
      <c r="H1846" s="33" t="s">
        <v>5954</v>
      </c>
      <c r="I1846" s="33" t="s">
        <v>39</v>
      </c>
      <c r="J1846" s="33" t="s">
        <v>3451</v>
      </c>
    </row>
    <row r="1847" spans="1:12" hidden="1" x14ac:dyDescent="0.3">
      <c r="A1847" s="39">
        <v>46065.338449074072</v>
      </c>
      <c r="B1847" s="33" t="s">
        <v>37</v>
      </c>
      <c r="C1847" s="33">
        <v>4430285070</v>
      </c>
      <c r="E1847" s="33">
        <v>700</v>
      </c>
      <c r="F1847" s="33">
        <v>685</v>
      </c>
      <c r="G1847" s="33" t="s">
        <v>38</v>
      </c>
      <c r="H1847" s="33" t="s">
        <v>5955</v>
      </c>
      <c r="I1847" s="33" t="s">
        <v>46</v>
      </c>
      <c r="J1847" s="33" t="s">
        <v>40</v>
      </c>
      <c r="L1847" s="33">
        <v>5</v>
      </c>
    </row>
    <row r="1848" spans="1:12" hidden="1" x14ac:dyDescent="0.3">
      <c r="A1848" s="39">
        <v>46065.337997685187</v>
      </c>
      <c r="B1848" s="33" t="s">
        <v>43</v>
      </c>
      <c r="C1848" s="33">
        <v>6234347959</v>
      </c>
      <c r="E1848" s="33">
        <v>103</v>
      </c>
      <c r="F1848" s="33">
        <v>93</v>
      </c>
      <c r="G1848" s="33" t="s">
        <v>38</v>
      </c>
      <c r="H1848" s="33" t="s">
        <v>5956</v>
      </c>
      <c r="I1848" s="33" t="s">
        <v>46</v>
      </c>
      <c r="J1848" s="33" t="s">
        <v>40</v>
      </c>
    </row>
    <row r="1849" spans="1:12" hidden="1" x14ac:dyDescent="0.3">
      <c r="A1849" s="39">
        <v>46064.747719907406</v>
      </c>
      <c r="B1849" s="33" t="s">
        <v>3627</v>
      </c>
      <c r="C1849" s="33">
        <v>62996869970</v>
      </c>
      <c r="E1849" s="33">
        <v>38</v>
      </c>
      <c r="F1849" s="33">
        <v>1</v>
      </c>
      <c r="G1849" s="33" t="s">
        <v>38</v>
      </c>
      <c r="H1849" s="33" t="s">
        <v>5957</v>
      </c>
      <c r="I1849" s="33" t="s">
        <v>46</v>
      </c>
      <c r="J1849" s="33" t="s">
        <v>3629</v>
      </c>
    </row>
    <row r="1850" spans="1:12" hidden="1" x14ac:dyDescent="0.3">
      <c r="A1850" s="39">
        <v>46064.747013888889</v>
      </c>
      <c r="B1850" s="33" t="s">
        <v>3627</v>
      </c>
      <c r="C1850" s="33">
        <v>24993076383</v>
      </c>
      <c r="E1850" s="33">
        <v>7</v>
      </c>
      <c r="F1850" s="33">
        <v>0</v>
      </c>
      <c r="G1850" s="33" t="s">
        <v>47</v>
      </c>
      <c r="H1850" s="33" t="s">
        <v>5958</v>
      </c>
      <c r="I1850" s="33" t="s">
        <v>46</v>
      </c>
      <c r="J1850" s="33" t="s">
        <v>3629</v>
      </c>
    </row>
    <row r="1851" spans="1:12" hidden="1" x14ac:dyDescent="0.3">
      <c r="A1851" s="39">
        <v>46064.74554398148</v>
      </c>
      <c r="B1851" s="33" t="s">
        <v>3627</v>
      </c>
      <c r="C1851" s="33">
        <v>75991376031</v>
      </c>
      <c r="E1851" s="33">
        <v>27</v>
      </c>
      <c r="F1851" s="33">
        <v>0</v>
      </c>
      <c r="G1851" s="33" t="s">
        <v>47</v>
      </c>
      <c r="H1851" s="33" t="s">
        <v>5959</v>
      </c>
      <c r="I1851" s="33" t="s">
        <v>46</v>
      </c>
      <c r="J1851" s="33" t="s">
        <v>3629</v>
      </c>
    </row>
    <row r="1852" spans="1:12" hidden="1" x14ac:dyDescent="0.3">
      <c r="A1852" s="39">
        <v>46064.744710648149</v>
      </c>
      <c r="B1852" s="33" t="s">
        <v>3627</v>
      </c>
      <c r="C1852" s="33">
        <v>99991707676</v>
      </c>
      <c r="E1852" s="33">
        <v>16</v>
      </c>
      <c r="F1852" s="33">
        <v>8</v>
      </c>
      <c r="G1852" s="33" t="s">
        <v>38</v>
      </c>
      <c r="H1852" s="33" t="s">
        <v>5960</v>
      </c>
      <c r="I1852" s="33" t="s">
        <v>46</v>
      </c>
      <c r="J1852" s="33" t="s">
        <v>3629</v>
      </c>
    </row>
    <row r="1853" spans="1:12" hidden="1" x14ac:dyDescent="0.3">
      <c r="A1853" s="39">
        <v>46064.743437500001</v>
      </c>
      <c r="B1853" s="33" t="s">
        <v>3627</v>
      </c>
      <c r="C1853" s="33">
        <v>92984139622</v>
      </c>
      <c r="E1853" s="33">
        <v>28</v>
      </c>
      <c r="F1853" s="33">
        <v>22</v>
      </c>
      <c r="G1853" s="33" t="s">
        <v>38</v>
      </c>
      <c r="H1853" s="33" t="s">
        <v>5961</v>
      </c>
      <c r="I1853" s="33" t="s">
        <v>46</v>
      </c>
      <c r="J1853" s="33" t="s">
        <v>3629</v>
      </c>
    </row>
    <row r="1854" spans="1:12" hidden="1" x14ac:dyDescent="0.3">
      <c r="A1854" s="39">
        <v>46064.742337962962</v>
      </c>
      <c r="B1854" s="33" t="s">
        <v>3627</v>
      </c>
      <c r="C1854" s="33">
        <v>1124363133</v>
      </c>
      <c r="E1854" s="33">
        <v>29</v>
      </c>
      <c r="F1854" s="33">
        <v>28</v>
      </c>
      <c r="G1854" s="33" t="s">
        <v>38</v>
      </c>
      <c r="H1854" s="33" t="s">
        <v>5962</v>
      </c>
      <c r="I1854" s="33" t="s">
        <v>46</v>
      </c>
      <c r="J1854" s="33" t="s">
        <v>3629</v>
      </c>
    </row>
    <row r="1855" spans="1:12" hidden="1" x14ac:dyDescent="0.3">
      <c r="A1855" s="39">
        <v>46064.741099537037</v>
      </c>
      <c r="B1855" s="33">
        <v>4433543396</v>
      </c>
      <c r="C1855" s="33" t="s">
        <v>37</v>
      </c>
      <c r="D1855" s="33">
        <v>4430265054</v>
      </c>
      <c r="E1855" s="33">
        <v>513</v>
      </c>
      <c r="F1855" s="33">
        <v>496</v>
      </c>
      <c r="G1855" s="33" t="s">
        <v>38</v>
      </c>
      <c r="H1855" s="33" t="s">
        <v>4430</v>
      </c>
      <c r="I1855" s="33" t="s">
        <v>39</v>
      </c>
      <c r="J1855" s="33" t="s">
        <v>40</v>
      </c>
      <c r="K1855" s="33" t="s">
        <v>41</v>
      </c>
      <c r="L1855" s="33">
        <v>5</v>
      </c>
    </row>
    <row r="1856" spans="1:12" hidden="1" x14ac:dyDescent="0.3">
      <c r="A1856" s="39">
        <v>46064.740717592591</v>
      </c>
      <c r="B1856" s="33" t="s">
        <v>3627</v>
      </c>
      <c r="C1856" s="33">
        <v>27997790044</v>
      </c>
      <c r="E1856" s="33">
        <v>47</v>
      </c>
      <c r="F1856" s="33">
        <v>20</v>
      </c>
      <c r="G1856" s="33" t="s">
        <v>38</v>
      </c>
      <c r="H1856" s="33" t="s">
        <v>5963</v>
      </c>
      <c r="I1856" s="33" t="s">
        <v>46</v>
      </c>
      <c r="J1856" s="33" t="s">
        <v>3629</v>
      </c>
    </row>
    <row r="1857" spans="1:12" hidden="1" x14ac:dyDescent="0.3">
      <c r="A1857" s="39">
        <v>46064.740567129629</v>
      </c>
      <c r="B1857" s="33" t="s">
        <v>42</v>
      </c>
      <c r="C1857" s="33">
        <v>4432672194</v>
      </c>
      <c r="E1857" s="33">
        <v>80</v>
      </c>
      <c r="F1857" s="33">
        <v>68</v>
      </c>
      <c r="G1857" s="33" t="s">
        <v>38</v>
      </c>
      <c r="H1857" s="33" t="s">
        <v>5964</v>
      </c>
      <c r="I1857" s="33" t="s">
        <v>46</v>
      </c>
      <c r="J1857" s="33" t="s">
        <v>40</v>
      </c>
    </row>
    <row r="1858" spans="1:12" hidden="1" x14ac:dyDescent="0.3">
      <c r="A1858" s="39">
        <v>46064.74050925926</v>
      </c>
      <c r="B1858" s="33" t="s">
        <v>42</v>
      </c>
      <c r="C1858" s="33">
        <v>4432672194</v>
      </c>
      <c r="E1858" s="33">
        <v>2</v>
      </c>
      <c r="F1858" s="33">
        <v>0</v>
      </c>
      <c r="G1858" s="33" t="s">
        <v>47</v>
      </c>
      <c r="H1858" s="33" t="s">
        <v>5965</v>
      </c>
      <c r="I1858" s="33" t="s">
        <v>46</v>
      </c>
      <c r="J1858" s="33" t="s">
        <v>40</v>
      </c>
    </row>
    <row r="1859" spans="1:12" hidden="1" x14ac:dyDescent="0.3">
      <c r="A1859" s="39">
        <v>46064.739745370367</v>
      </c>
      <c r="B1859" s="33" t="s">
        <v>42</v>
      </c>
      <c r="C1859" s="33">
        <v>4432672194</v>
      </c>
      <c r="E1859" s="33">
        <v>30</v>
      </c>
      <c r="F1859" s="33">
        <v>0</v>
      </c>
      <c r="G1859" s="33" t="s">
        <v>47</v>
      </c>
      <c r="H1859" s="33" t="s">
        <v>5966</v>
      </c>
      <c r="I1859" s="33" t="s">
        <v>46</v>
      </c>
      <c r="J1859" s="33" t="s">
        <v>40</v>
      </c>
    </row>
    <row r="1860" spans="1:12" hidden="1" x14ac:dyDescent="0.3">
      <c r="A1860" s="39">
        <v>46064.738969907405</v>
      </c>
      <c r="B1860" s="33" t="s">
        <v>3627</v>
      </c>
      <c r="C1860" s="33">
        <v>11997913959</v>
      </c>
      <c r="E1860" s="33">
        <v>26</v>
      </c>
      <c r="F1860" s="33">
        <v>6</v>
      </c>
      <c r="G1860" s="33" t="s">
        <v>38</v>
      </c>
      <c r="H1860" s="33" t="s">
        <v>5967</v>
      </c>
      <c r="I1860" s="33" t="s">
        <v>46</v>
      </c>
      <c r="J1860" s="33" t="s">
        <v>3629</v>
      </c>
    </row>
    <row r="1861" spans="1:12" hidden="1" x14ac:dyDescent="0.3">
      <c r="A1861" s="39">
        <v>46064.738703703704</v>
      </c>
      <c r="B1861" s="33" t="s">
        <v>42</v>
      </c>
      <c r="C1861" s="33">
        <v>44999571792</v>
      </c>
      <c r="E1861" s="33">
        <v>52</v>
      </c>
      <c r="F1861" s="33">
        <v>30</v>
      </c>
      <c r="G1861" s="33" t="s">
        <v>38</v>
      </c>
      <c r="H1861" s="33" t="s">
        <v>5968</v>
      </c>
      <c r="I1861" s="33" t="s">
        <v>46</v>
      </c>
      <c r="J1861" s="33" t="s">
        <v>40</v>
      </c>
    </row>
    <row r="1862" spans="1:12" hidden="1" x14ac:dyDescent="0.3">
      <c r="A1862" s="39">
        <v>46064.738483796296</v>
      </c>
      <c r="B1862" s="33">
        <v>44988067937</v>
      </c>
      <c r="C1862" s="33">
        <v>4430265054</v>
      </c>
      <c r="D1862" s="33">
        <v>4430265054</v>
      </c>
      <c r="E1862" s="33">
        <v>79</v>
      </c>
      <c r="F1862" s="33">
        <v>78</v>
      </c>
      <c r="G1862" s="33" t="s">
        <v>3449</v>
      </c>
      <c r="H1862" s="33" t="s">
        <v>4431</v>
      </c>
      <c r="I1862" s="33" t="s">
        <v>39</v>
      </c>
      <c r="J1862" s="33" t="s">
        <v>3451</v>
      </c>
      <c r="K1862" s="33" t="s">
        <v>41</v>
      </c>
    </row>
    <row r="1863" spans="1:12" hidden="1" x14ac:dyDescent="0.3">
      <c r="A1863" s="39">
        <v>46064.738368055558</v>
      </c>
      <c r="B1863" s="33">
        <v>67992169496</v>
      </c>
      <c r="C1863" s="33" t="s">
        <v>43</v>
      </c>
      <c r="D1863" s="33">
        <v>4430265054</v>
      </c>
      <c r="E1863" s="33">
        <v>838</v>
      </c>
      <c r="F1863" s="33">
        <v>778</v>
      </c>
      <c r="G1863" s="33" t="s">
        <v>38</v>
      </c>
      <c r="H1863" s="33" t="s">
        <v>4432</v>
      </c>
      <c r="I1863" s="33" t="s">
        <v>39</v>
      </c>
      <c r="J1863" s="33" t="s">
        <v>40</v>
      </c>
      <c r="K1863" s="33" t="s">
        <v>41</v>
      </c>
    </row>
    <row r="1864" spans="1:12" hidden="1" x14ac:dyDescent="0.3">
      <c r="A1864" s="39">
        <v>46064.737986111111</v>
      </c>
      <c r="B1864" s="33" t="s">
        <v>37</v>
      </c>
      <c r="C1864" s="33">
        <v>4434231198</v>
      </c>
      <c r="E1864" s="33">
        <v>175</v>
      </c>
      <c r="F1864" s="33">
        <v>171</v>
      </c>
      <c r="G1864" s="33" t="s">
        <v>38</v>
      </c>
      <c r="H1864" s="33" t="s">
        <v>5969</v>
      </c>
      <c r="I1864" s="33" t="s">
        <v>46</v>
      </c>
      <c r="J1864" s="33" t="s">
        <v>40</v>
      </c>
      <c r="L1864" s="33">
        <v>5</v>
      </c>
    </row>
    <row r="1865" spans="1:12" hidden="1" x14ac:dyDescent="0.3">
      <c r="A1865" s="39">
        <v>46064.733622685184</v>
      </c>
      <c r="B1865" s="33" t="s">
        <v>48</v>
      </c>
      <c r="C1865" s="33">
        <v>44999236655</v>
      </c>
      <c r="E1865" s="33">
        <v>800</v>
      </c>
      <c r="F1865" s="33">
        <v>789</v>
      </c>
      <c r="G1865" s="33" t="s">
        <v>38</v>
      </c>
      <c r="H1865" s="33" t="s">
        <v>5970</v>
      </c>
      <c r="I1865" s="33" t="s">
        <v>46</v>
      </c>
      <c r="J1865" s="33" t="s">
        <v>40</v>
      </c>
    </row>
    <row r="1866" spans="1:12" hidden="1" x14ac:dyDescent="0.3">
      <c r="A1866" s="39">
        <v>46064.729768518519</v>
      </c>
      <c r="B1866" s="33" t="s">
        <v>3627</v>
      </c>
      <c r="C1866" s="33">
        <v>75992078509</v>
      </c>
      <c r="E1866" s="33">
        <v>13</v>
      </c>
      <c r="F1866" s="33">
        <v>7</v>
      </c>
      <c r="G1866" s="33" t="s">
        <v>38</v>
      </c>
      <c r="H1866" s="33" t="s">
        <v>5971</v>
      </c>
      <c r="I1866" s="33" t="s">
        <v>46</v>
      </c>
      <c r="J1866" s="33" t="s">
        <v>3629</v>
      </c>
    </row>
    <row r="1867" spans="1:12" hidden="1" x14ac:dyDescent="0.3">
      <c r="A1867" s="39">
        <v>46064.728530092594</v>
      </c>
      <c r="B1867" s="33" t="s">
        <v>3627</v>
      </c>
      <c r="C1867" s="33">
        <v>61981041495</v>
      </c>
      <c r="E1867" s="33">
        <v>40</v>
      </c>
      <c r="F1867" s="33">
        <v>1</v>
      </c>
      <c r="G1867" s="33" t="s">
        <v>38</v>
      </c>
      <c r="H1867" s="33" t="s">
        <v>5972</v>
      </c>
      <c r="I1867" s="33" t="s">
        <v>46</v>
      </c>
      <c r="J1867" s="33" t="s">
        <v>3629</v>
      </c>
    </row>
    <row r="1868" spans="1:12" hidden="1" x14ac:dyDescent="0.3">
      <c r="A1868" s="39">
        <v>46064.728182870371</v>
      </c>
      <c r="B1868" s="33">
        <v>4433543396</v>
      </c>
      <c r="C1868" s="33" t="s">
        <v>45</v>
      </c>
      <c r="D1868" s="33">
        <v>4430265054</v>
      </c>
      <c r="E1868" s="33">
        <v>759</v>
      </c>
      <c r="F1868" s="33">
        <v>695</v>
      </c>
      <c r="G1868" s="33" t="s">
        <v>38</v>
      </c>
      <c r="H1868" s="33" t="s">
        <v>4433</v>
      </c>
      <c r="I1868" s="33" t="s">
        <v>39</v>
      </c>
      <c r="J1868" s="33" t="s">
        <v>40</v>
      </c>
      <c r="K1868" s="33" t="s">
        <v>41</v>
      </c>
    </row>
    <row r="1869" spans="1:12" hidden="1" x14ac:dyDescent="0.3">
      <c r="A1869" s="39">
        <v>46064.726111111115</v>
      </c>
      <c r="B1869" s="33">
        <v>1128897100</v>
      </c>
      <c r="C1869" s="33" t="s">
        <v>42</v>
      </c>
      <c r="D1869" s="33">
        <v>4430265054</v>
      </c>
      <c r="E1869" s="33">
        <v>557</v>
      </c>
      <c r="F1869" s="33">
        <v>457</v>
      </c>
      <c r="G1869" s="33" t="s">
        <v>38</v>
      </c>
      <c r="H1869" s="33" t="s">
        <v>4434</v>
      </c>
      <c r="I1869" s="33" t="s">
        <v>39</v>
      </c>
      <c r="J1869" s="33" t="s">
        <v>40</v>
      </c>
      <c r="K1869" s="33" t="s">
        <v>41</v>
      </c>
    </row>
    <row r="1870" spans="1:12" hidden="1" x14ac:dyDescent="0.3">
      <c r="A1870" s="39">
        <v>46064.723078703704</v>
      </c>
      <c r="B1870" s="33" t="s">
        <v>3627</v>
      </c>
      <c r="C1870" s="33">
        <v>11956595812</v>
      </c>
      <c r="E1870" s="33">
        <v>40</v>
      </c>
      <c r="F1870" s="33">
        <v>4</v>
      </c>
      <c r="G1870" s="33" t="s">
        <v>38</v>
      </c>
      <c r="H1870" s="33" t="s">
        <v>5973</v>
      </c>
      <c r="I1870" s="33" t="s">
        <v>46</v>
      </c>
      <c r="J1870" s="33" t="s">
        <v>3629</v>
      </c>
    </row>
    <row r="1871" spans="1:12" hidden="1" x14ac:dyDescent="0.3">
      <c r="A1871" s="39">
        <v>46064.722997685189</v>
      </c>
      <c r="B1871" s="33" t="s">
        <v>3627</v>
      </c>
      <c r="C1871" s="33">
        <v>1156595812</v>
      </c>
      <c r="E1871" s="33">
        <v>3</v>
      </c>
      <c r="F1871" s="33">
        <v>0</v>
      </c>
      <c r="G1871" s="33" t="s">
        <v>47</v>
      </c>
      <c r="H1871" s="33" t="s">
        <v>5974</v>
      </c>
      <c r="I1871" s="33" t="s">
        <v>46</v>
      </c>
      <c r="J1871" s="33" t="s">
        <v>3629</v>
      </c>
    </row>
    <row r="1872" spans="1:12" hidden="1" x14ac:dyDescent="0.3">
      <c r="A1872" s="39">
        <v>46064.721018518518</v>
      </c>
      <c r="B1872" s="33">
        <v>44991249108</v>
      </c>
      <c r="C1872" s="33" t="s">
        <v>45</v>
      </c>
      <c r="D1872" s="33">
        <v>4430265054</v>
      </c>
      <c r="E1872" s="33">
        <v>307</v>
      </c>
      <c r="F1872" s="33">
        <v>246</v>
      </c>
      <c r="G1872" s="33" t="s">
        <v>38</v>
      </c>
      <c r="H1872" s="33" t="s">
        <v>4435</v>
      </c>
      <c r="I1872" s="33" t="s">
        <v>39</v>
      </c>
      <c r="J1872" s="33" t="s">
        <v>40</v>
      </c>
      <c r="K1872" s="33" t="s">
        <v>41</v>
      </c>
      <c r="L1872" s="33">
        <v>5</v>
      </c>
    </row>
    <row r="1873" spans="1:12" hidden="1" x14ac:dyDescent="0.3">
      <c r="A1873" s="39">
        <v>46064.719282407408</v>
      </c>
      <c r="B1873" s="33" t="s">
        <v>3627</v>
      </c>
      <c r="C1873" s="33">
        <v>19978264557</v>
      </c>
      <c r="E1873" s="33">
        <v>41</v>
      </c>
      <c r="F1873" s="33">
        <v>27</v>
      </c>
      <c r="G1873" s="33" t="s">
        <v>38</v>
      </c>
      <c r="H1873" s="33" t="s">
        <v>5975</v>
      </c>
      <c r="I1873" s="33" t="s">
        <v>46</v>
      </c>
      <c r="J1873" s="33" t="s">
        <v>3629</v>
      </c>
    </row>
    <row r="1874" spans="1:12" hidden="1" x14ac:dyDescent="0.3">
      <c r="A1874" s="39">
        <v>46064.713252314818</v>
      </c>
      <c r="B1874" s="33">
        <v>93991495484</v>
      </c>
      <c r="C1874" s="33" t="s">
        <v>45</v>
      </c>
      <c r="D1874" s="33">
        <v>4430265054</v>
      </c>
      <c r="E1874" s="33">
        <v>455</v>
      </c>
      <c r="F1874" s="33">
        <v>416</v>
      </c>
      <c r="G1874" s="33" t="s">
        <v>38</v>
      </c>
      <c r="H1874" s="33" t="s">
        <v>4436</v>
      </c>
      <c r="I1874" s="33" t="s">
        <v>39</v>
      </c>
      <c r="J1874" s="33" t="s">
        <v>40</v>
      </c>
      <c r="K1874" s="33" t="s">
        <v>41</v>
      </c>
      <c r="L1874" s="33">
        <v>5</v>
      </c>
    </row>
    <row r="1875" spans="1:12" hidden="1" x14ac:dyDescent="0.3">
      <c r="A1875" s="39">
        <v>46064.710844907408</v>
      </c>
      <c r="B1875" s="33">
        <v>44991484476</v>
      </c>
      <c r="C1875" s="33" t="s">
        <v>45</v>
      </c>
      <c r="D1875" s="33">
        <v>4430265054</v>
      </c>
      <c r="E1875" s="33">
        <v>135</v>
      </c>
      <c r="F1875" s="33">
        <v>110</v>
      </c>
      <c r="G1875" s="33" t="s">
        <v>38</v>
      </c>
      <c r="H1875" s="33" t="s">
        <v>4437</v>
      </c>
      <c r="I1875" s="33" t="s">
        <v>39</v>
      </c>
      <c r="J1875" s="33" t="s">
        <v>40</v>
      </c>
      <c r="K1875" s="33" t="s">
        <v>41</v>
      </c>
      <c r="L1875" s="33">
        <v>5</v>
      </c>
    </row>
    <row r="1876" spans="1:12" hidden="1" x14ac:dyDescent="0.3">
      <c r="A1876" s="39">
        <v>46064.709374999999</v>
      </c>
      <c r="B1876" s="33" t="s">
        <v>3627</v>
      </c>
      <c r="C1876" s="33">
        <v>16991141350</v>
      </c>
      <c r="E1876" s="33">
        <v>11</v>
      </c>
      <c r="F1876" s="33">
        <v>0</v>
      </c>
      <c r="G1876" s="33" t="s">
        <v>47</v>
      </c>
      <c r="H1876" s="33" t="s">
        <v>5976</v>
      </c>
      <c r="I1876" s="33" t="s">
        <v>46</v>
      </c>
      <c r="J1876" s="33" t="s">
        <v>3629</v>
      </c>
    </row>
    <row r="1877" spans="1:12" hidden="1" x14ac:dyDescent="0.3">
      <c r="A1877" s="39">
        <v>46064.705787037034</v>
      </c>
      <c r="B1877" s="33" t="s">
        <v>3627</v>
      </c>
      <c r="C1877" s="33">
        <v>62985877831</v>
      </c>
      <c r="E1877" s="33">
        <v>30</v>
      </c>
      <c r="F1877" s="33">
        <v>0</v>
      </c>
      <c r="G1877" s="33" t="s">
        <v>47</v>
      </c>
      <c r="H1877" s="33" t="s">
        <v>5977</v>
      </c>
      <c r="I1877" s="33" t="s">
        <v>46</v>
      </c>
      <c r="J1877" s="33" t="s">
        <v>3629</v>
      </c>
    </row>
    <row r="1878" spans="1:12" hidden="1" x14ac:dyDescent="0.3">
      <c r="A1878" s="39">
        <v>46064.705729166664</v>
      </c>
      <c r="B1878" s="33" t="s">
        <v>3627</v>
      </c>
      <c r="C1878" s="33">
        <v>62985877931</v>
      </c>
      <c r="E1878" s="33">
        <v>1</v>
      </c>
      <c r="F1878" s="33">
        <v>0</v>
      </c>
      <c r="G1878" s="33" t="s">
        <v>47</v>
      </c>
      <c r="H1878" s="33" t="s">
        <v>5978</v>
      </c>
      <c r="I1878" s="33" t="s">
        <v>46</v>
      </c>
      <c r="J1878" s="33" t="s">
        <v>3629</v>
      </c>
    </row>
    <row r="1879" spans="1:12" hidden="1" x14ac:dyDescent="0.3">
      <c r="A1879" s="39">
        <v>46064.70412037037</v>
      </c>
      <c r="B1879" s="33">
        <v>1639391799</v>
      </c>
      <c r="C1879" s="33" t="s">
        <v>42</v>
      </c>
      <c r="D1879" s="33">
        <v>4430265054</v>
      </c>
      <c r="E1879" s="33">
        <v>1910</v>
      </c>
      <c r="F1879" s="33">
        <v>1882</v>
      </c>
      <c r="G1879" s="33" t="s">
        <v>38</v>
      </c>
      <c r="H1879" s="33" t="s">
        <v>4438</v>
      </c>
      <c r="I1879" s="33" t="s">
        <v>39</v>
      </c>
      <c r="J1879" s="33" t="s">
        <v>40</v>
      </c>
      <c r="K1879" s="33" t="s">
        <v>41</v>
      </c>
      <c r="L1879" s="33">
        <v>5</v>
      </c>
    </row>
    <row r="1880" spans="1:12" hidden="1" x14ac:dyDescent="0.3">
      <c r="A1880" s="39">
        <v>46064.704027777778</v>
      </c>
      <c r="B1880" s="33" t="s">
        <v>48</v>
      </c>
      <c r="C1880" s="33">
        <v>4432524636</v>
      </c>
      <c r="E1880" s="33">
        <v>1005</v>
      </c>
      <c r="F1880" s="33">
        <v>997</v>
      </c>
      <c r="G1880" s="33" t="s">
        <v>38</v>
      </c>
      <c r="H1880" s="33" t="s">
        <v>5979</v>
      </c>
      <c r="I1880" s="33" t="s">
        <v>46</v>
      </c>
      <c r="J1880" s="33" t="s">
        <v>40</v>
      </c>
      <c r="L1880" s="33">
        <v>5</v>
      </c>
    </row>
    <row r="1881" spans="1:12" hidden="1" x14ac:dyDescent="0.3">
      <c r="A1881" s="39">
        <v>46064.703715277778</v>
      </c>
      <c r="B1881" s="33" t="s">
        <v>3627</v>
      </c>
      <c r="C1881" s="33">
        <v>44999016325</v>
      </c>
      <c r="E1881" s="33">
        <v>28</v>
      </c>
      <c r="F1881" s="33">
        <v>0</v>
      </c>
      <c r="G1881" s="33" t="s">
        <v>47</v>
      </c>
      <c r="H1881" s="33" t="s">
        <v>5980</v>
      </c>
      <c r="I1881" s="33" t="s">
        <v>46</v>
      </c>
      <c r="J1881" s="33" t="s">
        <v>3629</v>
      </c>
    </row>
    <row r="1882" spans="1:12" hidden="1" x14ac:dyDescent="0.3">
      <c r="A1882" s="39">
        <v>46064.702615740738</v>
      </c>
      <c r="B1882" s="33">
        <v>6234347959</v>
      </c>
      <c r="C1882" s="33" t="s">
        <v>43</v>
      </c>
      <c r="D1882" s="33">
        <v>4430265054</v>
      </c>
      <c r="E1882" s="33">
        <v>313</v>
      </c>
      <c r="F1882" s="33">
        <v>274</v>
      </c>
      <c r="G1882" s="33" t="s">
        <v>38</v>
      </c>
      <c r="H1882" s="33" t="s">
        <v>4439</v>
      </c>
      <c r="I1882" s="33" t="s">
        <v>39</v>
      </c>
      <c r="J1882" s="33" t="s">
        <v>40</v>
      </c>
      <c r="K1882" s="33" t="s">
        <v>41</v>
      </c>
    </row>
    <row r="1883" spans="1:12" hidden="1" x14ac:dyDescent="0.3">
      <c r="A1883" s="39">
        <v>46064.701736111114</v>
      </c>
      <c r="B1883" s="33" t="s">
        <v>3627</v>
      </c>
      <c r="C1883" s="33">
        <v>33998466626</v>
      </c>
      <c r="E1883" s="33">
        <v>11</v>
      </c>
      <c r="F1883" s="33">
        <v>0</v>
      </c>
      <c r="G1883" s="33" t="s">
        <v>47</v>
      </c>
      <c r="H1883" s="33" t="s">
        <v>5981</v>
      </c>
      <c r="I1883" s="33" t="s">
        <v>46</v>
      </c>
      <c r="J1883" s="33" t="s">
        <v>3629</v>
      </c>
    </row>
    <row r="1884" spans="1:12" x14ac:dyDescent="0.3">
      <c r="A1884" s="39">
        <v>46064.698645833334</v>
      </c>
      <c r="B1884" s="33">
        <v>44999632141</v>
      </c>
      <c r="C1884" s="33" t="s">
        <v>44</v>
      </c>
      <c r="D1884" s="33">
        <v>4430265054</v>
      </c>
      <c r="E1884" s="33">
        <v>714</v>
      </c>
      <c r="F1884" s="33">
        <v>618</v>
      </c>
      <c r="G1884" s="33" t="s">
        <v>38</v>
      </c>
      <c r="H1884" s="33" t="s">
        <v>4440</v>
      </c>
      <c r="I1884" s="33" t="s">
        <v>39</v>
      </c>
      <c r="J1884" s="33" t="s">
        <v>40</v>
      </c>
      <c r="K1884" s="33" t="s">
        <v>41</v>
      </c>
      <c r="L1884" s="33">
        <v>5</v>
      </c>
    </row>
    <row r="1885" spans="1:12" hidden="1" x14ac:dyDescent="0.3">
      <c r="A1885" s="39">
        <v>46064.696932870371</v>
      </c>
      <c r="B1885" s="33">
        <v>4432672194</v>
      </c>
      <c r="C1885" s="33" t="s">
        <v>42</v>
      </c>
      <c r="D1885" s="33">
        <v>4430265054</v>
      </c>
      <c r="E1885" s="33">
        <v>414</v>
      </c>
      <c r="F1885" s="33">
        <v>386</v>
      </c>
      <c r="G1885" s="33" t="s">
        <v>38</v>
      </c>
      <c r="H1885" s="33" t="s">
        <v>4441</v>
      </c>
      <c r="I1885" s="33" t="s">
        <v>39</v>
      </c>
      <c r="J1885" s="33" t="s">
        <v>40</v>
      </c>
      <c r="K1885" s="33" t="s">
        <v>41</v>
      </c>
    </row>
    <row r="1886" spans="1:12" hidden="1" x14ac:dyDescent="0.3">
      <c r="A1886" s="39">
        <v>46064.695902777778</v>
      </c>
      <c r="B1886" s="33">
        <v>43984040334</v>
      </c>
      <c r="C1886" s="33" t="s">
        <v>43</v>
      </c>
      <c r="D1886" s="33">
        <v>4430265054</v>
      </c>
      <c r="E1886" s="33">
        <v>138</v>
      </c>
      <c r="F1886" s="33">
        <v>120</v>
      </c>
      <c r="G1886" s="33" t="s">
        <v>38</v>
      </c>
      <c r="H1886" s="33" t="s">
        <v>4442</v>
      </c>
      <c r="I1886" s="33" t="s">
        <v>39</v>
      </c>
      <c r="J1886" s="33" t="s">
        <v>40</v>
      </c>
      <c r="K1886" s="33" t="s">
        <v>41</v>
      </c>
    </row>
    <row r="1887" spans="1:12" hidden="1" x14ac:dyDescent="0.3">
      <c r="A1887" s="39">
        <v>46064.695497685185</v>
      </c>
      <c r="B1887" s="33" t="s">
        <v>48</v>
      </c>
      <c r="C1887" s="33">
        <v>4436351414</v>
      </c>
      <c r="E1887" s="33">
        <v>551</v>
      </c>
      <c r="F1887" s="33">
        <v>532</v>
      </c>
      <c r="G1887" s="33" t="s">
        <v>38</v>
      </c>
      <c r="H1887" s="33" t="s">
        <v>5982</v>
      </c>
      <c r="I1887" s="33" t="s">
        <v>46</v>
      </c>
      <c r="J1887" s="33" t="s">
        <v>40</v>
      </c>
    </row>
    <row r="1888" spans="1:12" hidden="1" x14ac:dyDescent="0.3">
      <c r="A1888" s="39">
        <v>46064.695393518516</v>
      </c>
      <c r="B1888" s="33" t="s">
        <v>48</v>
      </c>
      <c r="C1888" s="33">
        <v>4436351414</v>
      </c>
      <c r="E1888" s="33">
        <v>3</v>
      </c>
      <c r="F1888" s="33">
        <v>0</v>
      </c>
      <c r="G1888" s="33" t="s">
        <v>47</v>
      </c>
      <c r="H1888" s="33" t="s">
        <v>5983</v>
      </c>
      <c r="I1888" s="33" t="s">
        <v>46</v>
      </c>
      <c r="J1888" s="33" t="s">
        <v>40</v>
      </c>
    </row>
    <row r="1889" spans="1:12" hidden="1" x14ac:dyDescent="0.3">
      <c r="A1889" s="39">
        <v>46064.693715277775</v>
      </c>
      <c r="B1889" s="33" t="s">
        <v>48</v>
      </c>
      <c r="C1889" s="33">
        <v>4436351414</v>
      </c>
      <c r="E1889" s="33">
        <v>62</v>
      </c>
      <c r="F1889" s="33">
        <v>41</v>
      </c>
      <c r="G1889" s="33" t="s">
        <v>38</v>
      </c>
      <c r="H1889" s="33" t="s">
        <v>5984</v>
      </c>
      <c r="I1889" s="33" t="s">
        <v>46</v>
      </c>
      <c r="J1889" s="33" t="s">
        <v>40</v>
      </c>
    </row>
    <row r="1890" spans="1:12" hidden="1" x14ac:dyDescent="0.3">
      <c r="A1890" s="39">
        <v>46064.693576388891</v>
      </c>
      <c r="B1890" s="33" t="s">
        <v>48</v>
      </c>
      <c r="C1890" s="33">
        <v>4436351414</v>
      </c>
      <c r="E1890" s="33">
        <v>2</v>
      </c>
      <c r="F1890" s="33">
        <v>0</v>
      </c>
      <c r="G1890" s="33" t="s">
        <v>47</v>
      </c>
      <c r="H1890" s="33" t="s">
        <v>5985</v>
      </c>
      <c r="I1890" s="33" t="s">
        <v>46</v>
      </c>
      <c r="J1890" s="33" t="s">
        <v>40</v>
      </c>
    </row>
    <row r="1891" spans="1:12" hidden="1" x14ac:dyDescent="0.3">
      <c r="A1891" s="39">
        <v>46064.693506944444</v>
      </c>
      <c r="B1891" s="33" t="s">
        <v>48</v>
      </c>
      <c r="C1891" s="33">
        <v>4436351414</v>
      </c>
      <c r="E1891" s="33">
        <v>3</v>
      </c>
      <c r="F1891" s="33">
        <v>0</v>
      </c>
      <c r="G1891" s="33" t="s">
        <v>47</v>
      </c>
      <c r="H1891" s="33" t="s">
        <v>5986</v>
      </c>
      <c r="I1891" s="33" t="s">
        <v>46</v>
      </c>
      <c r="J1891" s="33" t="s">
        <v>40</v>
      </c>
    </row>
    <row r="1892" spans="1:12" hidden="1" x14ac:dyDescent="0.3">
      <c r="A1892" s="39">
        <v>46064.693449074075</v>
      </c>
      <c r="B1892" s="33" t="s">
        <v>48</v>
      </c>
      <c r="C1892" s="33">
        <v>4436351414</v>
      </c>
      <c r="E1892" s="33">
        <v>3</v>
      </c>
      <c r="F1892" s="33">
        <v>0</v>
      </c>
      <c r="G1892" s="33" t="s">
        <v>47</v>
      </c>
      <c r="H1892" s="33" t="s">
        <v>5987</v>
      </c>
      <c r="I1892" s="33" t="s">
        <v>46</v>
      </c>
      <c r="J1892" s="33" t="s">
        <v>40</v>
      </c>
    </row>
    <row r="1893" spans="1:12" hidden="1" x14ac:dyDescent="0.3">
      <c r="A1893" s="39">
        <v>46064.692615740743</v>
      </c>
      <c r="B1893" s="33">
        <v>44999571792</v>
      </c>
      <c r="C1893" s="33" t="s">
        <v>42</v>
      </c>
      <c r="D1893" s="33">
        <v>4430265054</v>
      </c>
      <c r="E1893" s="33">
        <v>306</v>
      </c>
      <c r="F1893" s="33">
        <v>284</v>
      </c>
      <c r="G1893" s="33" t="s">
        <v>38</v>
      </c>
      <c r="H1893" s="33" t="s">
        <v>4443</v>
      </c>
      <c r="I1893" s="33" t="s">
        <v>39</v>
      </c>
      <c r="J1893" s="33" t="s">
        <v>40</v>
      </c>
      <c r="K1893" s="33" t="s">
        <v>41</v>
      </c>
    </row>
    <row r="1894" spans="1:12" hidden="1" x14ac:dyDescent="0.3">
      <c r="A1894" s="39">
        <v>46064.692280092589</v>
      </c>
      <c r="B1894" s="33">
        <v>44999571792</v>
      </c>
      <c r="C1894" s="33">
        <v>4430265054</v>
      </c>
      <c r="D1894" s="33">
        <v>4430265054</v>
      </c>
      <c r="E1894" s="33">
        <v>28</v>
      </c>
      <c r="F1894" s="33">
        <v>27</v>
      </c>
      <c r="G1894" s="33" t="s">
        <v>3449</v>
      </c>
      <c r="H1894" s="33" t="s">
        <v>4444</v>
      </c>
      <c r="I1894" s="33" t="s">
        <v>39</v>
      </c>
      <c r="J1894" s="33" t="s">
        <v>3451</v>
      </c>
      <c r="K1894" s="33" t="s">
        <v>41</v>
      </c>
    </row>
    <row r="1895" spans="1:12" hidden="1" x14ac:dyDescent="0.3">
      <c r="A1895" s="39">
        <v>46064.690104166664</v>
      </c>
      <c r="B1895" s="33">
        <v>44999632141</v>
      </c>
      <c r="C1895" s="33">
        <v>4430265054</v>
      </c>
      <c r="D1895" s="33">
        <v>4430265054</v>
      </c>
      <c r="E1895" s="33">
        <v>10</v>
      </c>
      <c r="F1895" s="33">
        <v>9</v>
      </c>
      <c r="G1895" s="33" t="s">
        <v>3449</v>
      </c>
      <c r="H1895" s="33" t="s">
        <v>5988</v>
      </c>
      <c r="I1895" s="33" t="s">
        <v>39</v>
      </c>
      <c r="J1895" s="33" t="s">
        <v>3451</v>
      </c>
    </row>
    <row r="1896" spans="1:12" hidden="1" x14ac:dyDescent="0.3">
      <c r="A1896" s="39">
        <v>46064.68854166667</v>
      </c>
      <c r="B1896" s="33" t="s">
        <v>48</v>
      </c>
      <c r="C1896" s="33">
        <v>4433232740</v>
      </c>
      <c r="E1896" s="33">
        <v>431</v>
      </c>
      <c r="F1896" s="33">
        <v>423</v>
      </c>
      <c r="G1896" s="33" t="s">
        <v>38</v>
      </c>
      <c r="H1896" s="33" t="s">
        <v>5989</v>
      </c>
      <c r="I1896" s="33" t="s">
        <v>46</v>
      </c>
      <c r="J1896" s="33" t="s">
        <v>40</v>
      </c>
    </row>
    <row r="1897" spans="1:12" hidden="1" x14ac:dyDescent="0.3">
      <c r="A1897" s="39">
        <v>46064.688437500001</v>
      </c>
      <c r="B1897" s="33" t="s">
        <v>48</v>
      </c>
      <c r="C1897" s="33">
        <v>44988300360</v>
      </c>
      <c r="E1897" s="33">
        <v>1</v>
      </c>
      <c r="F1897" s="33">
        <v>0</v>
      </c>
      <c r="G1897" s="33" t="s">
        <v>47</v>
      </c>
      <c r="H1897" s="33" t="s">
        <v>5990</v>
      </c>
      <c r="I1897" s="33" t="s">
        <v>46</v>
      </c>
      <c r="J1897" s="33" t="s">
        <v>40</v>
      </c>
    </row>
    <row r="1898" spans="1:12" hidden="1" x14ac:dyDescent="0.3">
      <c r="A1898" s="39">
        <v>46064.688414351855</v>
      </c>
      <c r="B1898" s="33" t="s">
        <v>48</v>
      </c>
      <c r="C1898" s="33">
        <v>44988300360</v>
      </c>
      <c r="E1898" s="33">
        <v>0</v>
      </c>
      <c r="F1898" s="33">
        <v>0</v>
      </c>
      <c r="G1898" s="33" t="s">
        <v>47</v>
      </c>
      <c r="H1898" s="33" t="s">
        <v>5991</v>
      </c>
      <c r="I1898" s="33" t="s">
        <v>46</v>
      </c>
      <c r="J1898" s="33" t="s">
        <v>40</v>
      </c>
    </row>
    <row r="1899" spans="1:12" hidden="1" x14ac:dyDescent="0.3">
      <c r="A1899" s="39">
        <v>46064.688206018516</v>
      </c>
      <c r="B1899" s="33" t="s">
        <v>48</v>
      </c>
      <c r="C1899" s="33">
        <v>44988300360</v>
      </c>
      <c r="E1899" s="33">
        <v>39</v>
      </c>
      <c r="F1899" s="33">
        <v>35</v>
      </c>
      <c r="G1899" s="33" t="s">
        <v>38</v>
      </c>
      <c r="H1899" s="33" t="s">
        <v>5992</v>
      </c>
      <c r="I1899" s="33" t="s">
        <v>46</v>
      </c>
      <c r="J1899" s="33" t="s">
        <v>40</v>
      </c>
    </row>
    <row r="1900" spans="1:12" hidden="1" x14ac:dyDescent="0.3">
      <c r="A1900" s="39">
        <v>46064.688136574077</v>
      </c>
      <c r="B1900" s="33" t="s">
        <v>48</v>
      </c>
      <c r="C1900" s="33">
        <v>44988300360</v>
      </c>
      <c r="E1900" s="33">
        <v>2</v>
      </c>
      <c r="F1900" s="33">
        <v>0</v>
      </c>
      <c r="G1900" s="33" t="s">
        <v>47</v>
      </c>
      <c r="H1900" s="33" t="s">
        <v>5993</v>
      </c>
      <c r="I1900" s="33" t="s">
        <v>46</v>
      </c>
      <c r="J1900" s="33" t="s">
        <v>40</v>
      </c>
    </row>
    <row r="1901" spans="1:12" hidden="1" x14ac:dyDescent="0.3">
      <c r="A1901" s="39">
        <v>46064.682858796295</v>
      </c>
      <c r="B1901" s="33">
        <v>11965990735</v>
      </c>
      <c r="C1901" s="33" t="s">
        <v>43</v>
      </c>
      <c r="D1901" s="33">
        <v>4430265054</v>
      </c>
      <c r="E1901" s="33">
        <v>1089</v>
      </c>
      <c r="F1901" s="33">
        <v>1068</v>
      </c>
      <c r="G1901" s="33" t="s">
        <v>38</v>
      </c>
      <c r="H1901" s="33" t="s">
        <v>4445</v>
      </c>
      <c r="I1901" s="33" t="s">
        <v>39</v>
      </c>
      <c r="J1901" s="33" t="s">
        <v>40</v>
      </c>
      <c r="K1901" s="33" t="s">
        <v>41</v>
      </c>
      <c r="L1901" s="33">
        <v>5</v>
      </c>
    </row>
    <row r="1902" spans="1:12" hidden="1" x14ac:dyDescent="0.3">
      <c r="A1902" s="39">
        <v>46064.677685185183</v>
      </c>
      <c r="B1902" s="33" t="s">
        <v>3873</v>
      </c>
      <c r="C1902" s="33">
        <v>44991486467</v>
      </c>
      <c r="E1902" s="33">
        <v>491</v>
      </c>
      <c r="F1902" s="33">
        <v>472</v>
      </c>
      <c r="G1902" s="33" t="s">
        <v>38</v>
      </c>
      <c r="H1902" s="33" t="s">
        <v>5994</v>
      </c>
      <c r="I1902" s="33" t="s">
        <v>46</v>
      </c>
      <c r="J1902" s="33" t="s">
        <v>3451</v>
      </c>
    </row>
    <row r="1903" spans="1:12" hidden="1" x14ac:dyDescent="0.3">
      <c r="A1903" s="39">
        <v>46064.676354166666</v>
      </c>
      <c r="B1903" s="33">
        <v>1131515685</v>
      </c>
      <c r="C1903" s="33" t="s">
        <v>48</v>
      </c>
      <c r="D1903" s="33">
        <v>4430265054</v>
      </c>
      <c r="E1903" s="33">
        <v>348</v>
      </c>
      <c r="F1903" s="33">
        <v>347</v>
      </c>
      <c r="G1903" s="33" t="s">
        <v>38</v>
      </c>
      <c r="H1903" s="33" t="s">
        <v>4446</v>
      </c>
      <c r="I1903" s="33" t="s">
        <v>39</v>
      </c>
      <c r="J1903" s="33" t="s">
        <v>40</v>
      </c>
      <c r="K1903" s="33" t="s">
        <v>41</v>
      </c>
    </row>
    <row r="1904" spans="1:12" hidden="1" x14ac:dyDescent="0.3">
      <c r="A1904" s="39">
        <v>46064.675266203703</v>
      </c>
      <c r="B1904" s="33">
        <v>6234347959</v>
      </c>
      <c r="C1904" s="33" t="s">
        <v>48</v>
      </c>
      <c r="D1904" s="33">
        <v>4430265054</v>
      </c>
      <c r="E1904" s="33">
        <v>94</v>
      </c>
      <c r="F1904" s="33">
        <v>75</v>
      </c>
      <c r="G1904" s="33" t="s">
        <v>38</v>
      </c>
      <c r="H1904" s="33" t="s">
        <v>4447</v>
      </c>
      <c r="I1904" s="33" t="s">
        <v>39</v>
      </c>
      <c r="J1904" s="33" t="s">
        <v>40</v>
      </c>
      <c r="K1904" s="33" t="s">
        <v>41</v>
      </c>
    </row>
    <row r="1905" spans="1:12" hidden="1" x14ac:dyDescent="0.3">
      <c r="A1905" s="39">
        <v>46064.675081018519</v>
      </c>
      <c r="B1905" s="33">
        <v>11965990735</v>
      </c>
      <c r="C1905" s="33" t="s">
        <v>45</v>
      </c>
      <c r="D1905" s="33">
        <v>4430265054</v>
      </c>
      <c r="E1905" s="33">
        <v>106</v>
      </c>
      <c r="F1905" s="33">
        <v>5</v>
      </c>
      <c r="G1905" s="33" t="s">
        <v>38</v>
      </c>
      <c r="H1905" s="33" t="s">
        <v>4448</v>
      </c>
      <c r="I1905" s="33" t="s">
        <v>39</v>
      </c>
      <c r="J1905" s="33" t="s">
        <v>40</v>
      </c>
      <c r="K1905" s="33" t="s">
        <v>41</v>
      </c>
    </row>
    <row r="1906" spans="1:12" hidden="1" x14ac:dyDescent="0.3">
      <c r="A1906" s="39">
        <v>46064.673495370371</v>
      </c>
      <c r="B1906" s="33">
        <v>11947305533</v>
      </c>
      <c r="C1906" s="33" t="s">
        <v>43</v>
      </c>
      <c r="D1906" s="33">
        <v>4430265054</v>
      </c>
      <c r="E1906" s="33">
        <v>350</v>
      </c>
      <c r="F1906" s="33">
        <v>137</v>
      </c>
      <c r="G1906" s="33" t="s">
        <v>38</v>
      </c>
      <c r="H1906" s="33" t="s">
        <v>4449</v>
      </c>
      <c r="I1906" s="33" t="s">
        <v>39</v>
      </c>
      <c r="J1906" s="33" t="s">
        <v>40</v>
      </c>
      <c r="K1906" s="33" t="s">
        <v>41</v>
      </c>
    </row>
    <row r="1907" spans="1:12" hidden="1" x14ac:dyDescent="0.3">
      <c r="A1907" s="39">
        <v>46064.673194444447</v>
      </c>
      <c r="B1907" s="33">
        <v>4334234629</v>
      </c>
      <c r="C1907" s="33" t="s">
        <v>45</v>
      </c>
      <c r="D1907" s="33">
        <v>4430265054</v>
      </c>
      <c r="E1907" s="33">
        <v>261</v>
      </c>
      <c r="F1907" s="33">
        <v>167</v>
      </c>
      <c r="G1907" s="33" t="s">
        <v>38</v>
      </c>
      <c r="H1907" s="33" t="s">
        <v>4450</v>
      </c>
      <c r="I1907" s="33" t="s">
        <v>39</v>
      </c>
      <c r="J1907" s="33" t="s">
        <v>40</v>
      </c>
      <c r="K1907" s="33" t="s">
        <v>41</v>
      </c>
      <c r="L1907" s="33">
        <v>5</v>
      </c>
    </row>
    <row r="1908" spans="1:12" hidden="1" x14ac:dyDescent="0.3">
      <c r="A1908" s="39">
        <v>46064.672013888892</v>
      </c>
      <c r="B1908" s="33">
        <v>44988303530</v>
      </c>
      <c r="C1908" s="33" t="s">
        <v>44</v>
      </c>
      <c r="D1908" s="33">
        <v>4430265054</v>
      </c>
      <c r="E1908" s="33">
        <v>1266</v>
      </c>
      <c r="F1908" s="33">
        <v>1223</v>
      </c>
      <c r="G1908" s="33" t="s">
        <v>38</v>
      </c>
      <c r="H1908" s="33" t="s">
        <v>4451</v>
      </c>
      <c r="I1908" s="33" t="s">
        <v>39</v>
      </c>
      <c r="J1908" s="33" t="s">
        <v>40</v>
      </c>
      <c r="K1908" s="33" t="s">
        <v>41</v>
      </c>
    </row>
    <row r="1909" spans="1:12" hidden="1" x14ac:dyDescent="0.3">
      <c r="A1909" s="39">
        <v>46064.671967592592</v>
      </c>
      <c r="B1909" s="33" t="s">
        <v>3627</v>
      </c>
      <c r="C1909" s="33">
        <v>98984507887</v>
      </c>
      <c r="E1909" s="33">
        <v>20</v>
      </c>
      <c r="F1909" s="33">
        <v>11</v>
      </c>
      <c r="G1909" s="33" t="s">
        <v>38</v>
      </c>
      <c r="H1909" s="33" t="s">
        <v>5995</v>
      </c>
      <c r="I1909" s="33" t="s">
        <v>46</v>
      </c>
      <c r="J1909" s="33" t="s">
        <v>3629</v>
      </c>
    </row>
    <row r="1910" spans="1:12" hidden="1" x14ac:dyDescent="0.3">
      <c r="A1910" s="39">
        <v>46064.670717592591</v>
      </c>
      <c r="B1910" s="33">
        <v>1128897100</v>
      </c>
      <c r="C1910" s="33" t="s">
        <v>42</v>
      </c>
      <c r="D1910" s="33">
        <v>4430265054</v>
      </c>
      <c r="E1910" s="33">
        <v>1164</v>
      </c>
      <c r="F1910" s="33">
        <v>1123</v>
      </c>
      <c r="G1910" s="33" t="s">
        <v>38</v>
      </c>
      <c r="H1910" s="33" t="s">
        <v>4452</v>
      </c>
      <c r="I1910" s="33" t="s">
        <v>39</v>
      </c>
      <c r="J1910" s="33" t="s">
        <v>40</v>
      </c>
      <c r="K1910" s="33" t="s">
        <v>41</v>
      </c>
    </row>
    <row r="1911" spans="1:12" hidden="1" x14ac:dyDescent="0.3">
      <c r="A1911" s="39">
        <v>46064.669386574074</v>
      </c>
      <c r="B1911" s="33" t="s">
        <v>45</v>
      </c>
      <c r="C1911" s="33">
        <v>4436296655</v>
      </c>
      <c r="E1911" s="33">
        <v>150</v>
      </c>
      <c r="F1911" s="33">
        <v>141</v>
      </c>
      <c r="G1911" s="33" t="s">
        <v>38</v>
      </c>
      <c r="H1911" s="33" t="s">
        <v>5996</v>
      </c>
      <c r="I1911" s="33" t="s">
        <v>46</v>
      </c>
      <c r="J1911" s="33" t="s">
        <v>40</v>
      </c>
      <c r="L1911" s="33">
        <v>5</v>
      </c>
    </row>
    <row r="1912" spans="1:12" hidden="1" x14ac:dyDescent="0.3">
      <c r="A1912" s="39">
        <v>46064.668946759259</v>
      </c>
      <c r="B1912" s="33" t="s">
        <v>37</v>
      </c>
      <c r="C1912" s="33">
        <v>19992581194</v>
      </c>
      <c r="E1912" s="33">
        <v>3718</v>
      </c>
      <c r="F1912" s="33">
        <v>3706</v>
      </c>
      <c r="G1912" s="33" t="s">
        <v>38</v>
      </c>
      <c r="H1912" s="33" t="s">
        <v>5997</v>
      </c>
      <c r="I1912" s="33" t="s">
        <v>46</v>
      </c>
      <c r="J1912" s="33" t="s">
        <v>40</v>
      </c>
    </row>
    <row r="1913" spans="1:12" hidden="1" x14ac:dyDescent="0.3">
      <c r="A1913" s="39">
        <v>46064.668912037036</v>
      </c>
      <c r="B1913" s="33">
        <v>43999855301</v>
      </c>
      <c r="C1913" s="33" t="s">
        <v>43</v>
      </c>
      <c r="D1913" s="33">
        <v>4430265054</v>
      </c>
      <c r="E1913" s="33">
        <v>322</v>
      </c>
      <c r="F1913" s="33">
        <v>248</v>
      </c>
      <c r="G1913" s="33" t="s">
        <v>38</v>
      </c>
      <c r="H1913" s="33" t="s">
        <v>4453</v>
      </c>
      <c r="I1913" s="33" t="s">
        <v>39</v>
      </c>
      <c r="J1913" s="33" t="s">
        <v>40</v>
      </c>
      <c r="K1913" s="33" t="s">
        <v>41</v>
      </c>
      <c r="L1913" s="33">
        <v>5</v>
      </c>
    </row>
    <row r="1914" spans="1:12" hidden="1" x14ac:dyDescent="0.3">
      <c r="A1914" s="39">
        <v>46064.666666666664</v>
      </c>
      <c r="B1914" s="33">
        <v>44988303530</v>
      </c>
      <c r="C1914" s="33">
        <v>4430265054</v>
      </c>
      <c r="D1914" s="33">
        <v>4430265054</v>
      </c>
      <c r="E1914" s="33">
        <v>32</v>
      </c>
      <c r="F1914" s="33">
        <v>31</v>
      </c>
      <c r="G1914" s="33" t="s">
        <v>3449</v>
      </c>
      <c r="H1914" s="33" t="s">
        <v>4454</v>
      </c>
      <c r="I1914" s="33" t="s">
        <v>39</v>
      </c>
      <c r="J1914" s="33" t="s">
        <v>3451</v>
      </c>
      <c r="K1914" s="33" t="s">
        <v>41</v>
      </c>
    </row>
    <row r="1915" spans="1:12" hidden="1" x14ac:dyDescent="0.3">
      <c r="A1915" s="39">
        <v>46064.662361111114</v>
      </c>
      <c r="B1915" s="33">
        <v>11989293711</v>
      </c>
      <c r="C1915" s="33" t="s">
        <v>44</v>
      </c>
      <c r="D1915" s="33">
        <v>4430265054</v>
      </c>
      <c r="E1915" s="33">
        <v>101</v>
      </c>
      <c r="F1915" s="33">
        <v>41</v>
      </c>
      <c r="G1915" s="33" t="s">
        <v>38</v>
      </c>
      <c r="H1915" s="33" t="s">
        <v>4455</v>
      </c>
      <c r="I1915" s="33" t="s">
        <v>39</v>
      </c>
      <c r="J1915" s="33" t="s">
        <v>40</v>
      </c>
      <c r="K1915" s="33" t="s">
        <v>41</v>
      </c>
    </row>
    <row r="1916" spans="1:12" hidden="1" x14ac:dyDescent="0.3">
      <c r="A1916" s="39">
        <v>46064.661504629628</v>
      </c>
      <c r="B1916" s="33">
        <v>6234347959</v>
      </c>
      <c r="C1916" s="33" t="s">
        <v>48</v>
      </c>
      <c r="D1916" s="33">
        <v>4430265054</v>
      </c>
      <c r="E1916" s="33">
        <v>1167</v>
      </c>
      <c r="F1916" s="33">
        <v>1166</v>
      </c>
      <c r="G1916" s="33" t="s">
        <v>38</v>
      </c>
      <c r="H1916" s="33" t="s">
        <v>4456</v>
      </c>
      <c r="I1916" s="33" t="s">
        <v>39</v>
      </c>
      <c r="J1916" s="33" t="s">
        <v>40</v>
      </c>
      <c r="K1916" s="33" t="s">
        <v>41</v>
      </c>
    </row>
    <row r="1917" spans="1:12" hidden="1" x14ac:dyDescent="0.3">
      <c r="A1917" s="39">
        <v>46064.657731481479</v>
      </c>
      <c r="B1917" s="33">
        <v>44999632141</v>
      </c>
      <c r="C1917" s="33" t="s">
        <v>48</v>
      </c>
      <c r="D1917" s="33">
        <v>4430265054</v>
      </c>
      <c r="E1917" s="33">
        <v>191</v>
      </c>
      <c r="F1917" s="33">
        <v>171</v>
      </c>
      <c r="G1917" s="33" t="s">
        <v>38</v>
      </c>
      <c r="H1917" s="33" t="s">
        <v>4457</v>
      </c>
      <c r="I1917" s="33" t="s">
        <v>39</v>
      </c>
      <c r="J1917" s="33" t="s">
        <v>40</v>
      </c>
      <c r="K1917" s="33" t="s">
        <v>41</v>
      </c>
    </row>
    <row r="1918" spans="1:12" hidden="1" x14ac:dyDescent="0.3">
      <c r="A1918" s="39">
        <v>46064.657372685186</v>
      </c>
      <c r="B1918" s="33">
        <v>4432269849</v>
      </c>
      <c r="C1918" s="33" t="s">
        <v>43</v>
      </c>
      <c r="D1918" s="33">
        <v>4430265054</v>
      </c>
      <c r="E1918" s="33">
        <v>1031</v>
      </c>
      <c r="F1918" s="33">
        <v>890</v>
      </c>
      <c r="G1918" s="33" t="s">
        <v>38</v>
      </c>
      <c r="H1918" s="33" t="s">
        <v>4458</v>
      </c>
      <c r="I1918" s="33" t="s">
        <v>39</v>
      </c>
      <c r="J1918" s="33" t="s">
        <v>40</v>
      </c>
      <c r="K1918" s="33" t="s">
        <v>41</v>
      </c>
      <c r="L1918" s="33">
        <v>5</v>
      </c>
    </row>
    <row r="1919" spans="1:12" hidden="1" x14ac:dyDescent="0.3">
      <c r="A1919" s="39">
        <v>46064.653402777774</v>
      </c>
      <c r="B1919" s="33">
        <v>44997719213</v>
      </c>
      <c r="C1919" s="33" t="s">
        <v>45</v>
      </c>
      <c r="D1919" s="33">
        <v>4430265054</v>
      </c>
      <c r="E1919" s="33">
        <v>984</v>
      </c>
      <c r="F1919" s="33">
        <v>967</v>
      </c>
      <c r="G1919" s="33" t="s">
        <v>38</v>
      </c>
      <c r="H1919" s="33" t="s">
        <v>4459</v>
      </c>
      <c r="I1919" s="33" t="s">
        <v>39</v>
      </c>
      <c r="J1919" s="33" t="s">
        <v>40</v>
      </c>
      <c r="K1919" s="33" t="s">
        <v>41</v>
      </c>
    </row>
    <row r="1920" spans="1:12" hidden="1" x14ac:dyDescent="0.3">
      <c r="A1920" s="39">
        <v>46064.649189814816</v>
      </c>
      <c r="B1920" s="33">
        <v>4433543396</v>
      </c>
      <c r="C1920" s="33" t="s">
        <v>45</v>
      </c>
      <c r="D1920" s="33">
        <v>4430265054</v>
      </c>
      <c r="E1920" s="33">
        <v>340</v>
      </c>
      <c r="F1920" s="33">
        <v>320</v>
      </c>
      <c r="G1920" s="33" t="s">
        <v>38</v>
      </c>
      <c r="H1920" s="33" t="s">
        <v>4460</v>
      </c>
      <c r="I1920" s="33" t="s">
        <v>39</v>
      </c>
      <c r="J1920" s="33" t="s">
        <v>40</v>
      </c>
      <c r="K1920" s="33" t="s">
        <v>41</v>
      </c>
      <c r="L1920" s="33">
        <v>5</v>
      </c>
    </row>
    <row r="1921" spans="1:12" hidden="1" x14ac:dyDescent="0.3">
      <c r="A1921" s="39">
        <v>46064.647592592592</v>
      </c>
      <c r="B1921" s="33">
        <v>1128897100</v>
      </c>
      <c r="C1921" s="33" t="s">
        <v>5173</v>
      </c>
      <c r="D1921" s="33">
        <v>4430265054</v>
      </c>
      <c r="E1921" s="33">
        <v>184</v>
      </c>
      <c r="F1921" s="33">
        <v>162</v>
      </c>
      <c r="G1921" s="33" t="s">
        <v>38</v>
      </c>
      <c r="H1921" s="33" t="s">
        <v>5998</v>
      </c>
      <c r="I1921" s="33" t="s">
        <v>39</v>
      </c>
      <c r="J1921" s="33" t="s">
        <v>3629</v>
      </c>
      <c r="K1921" s="33" t="s">
        <v>50</v>
      </c>
    </row>
    <row r="1922" spans="1:12" hidden="1" x14ac:dyDescent="0.3">
      <c r="A1922" s="39">
        <v>46064.647557870368</v>
      </c>
      <c r="B1922" s="33">
        <v>4130760170</v>
      </c>
      <c r="C1922" s="33" t="s">
        <v>48</v>
      </c>
      <c r="D1922" s="33">
        <v>4430265054</v>
      </c>
      <c r="E1922" s="33">
        <v>647</v>
      </c>
      <c r="F1922" s="33">
        <v>646</v>
      </c>
      <c r="G1922" s="33" t="s">
        <v>38</v>
      </c>
      <c r="H1922" s="33" t="s">
        <v>4461</v>
      </c>
      <c r="I1922" s="33" t="s">
        <v>39</v>
      </c>
      <c r="J1922" s="33" t="s">
        <v>40</v>
      </c>
      <c r="K1922" s="33" t="s">
        <v>41</v>
      </c>
    </row>
    <row r="1923" spans="1:12" hidden="1" x14ac:dyDescent="0.3">
      <c r="A1923" s="39">
        <v>46064.645613425928</v>
      </c>
      <c r="B1923" s="33">
        <v>4432443131</v>
      </c>
      <c r="C1923" s="33" t="s">
        <v>43</v>
      </c>
      <c r="D1923" s="33">
        <v>4430265054</v>
      </c>
      <c r="E1923" s="33">
        <v>358</v>
      </c>
      <c r="F1923" s="33">
        <v>307</v>
      </c>
      <c r="G1923" s="33" t="s">
        <v>38</v>
      </c>
      <c r="H1923" s="33" t="s">
        <v>4462</v>
      </c>
      <c r="I1923" s="33" t="s">
        <v>39</v>
      </c>
      <c r="J1923" s="33" t="s">
        <v>40</v>
      </c>
      <c r="K1923" s="33" t="s">
        <v>41</v>
      </c>
    </row>
    <row r="1924" spans="1:12" hidden="1" x14ac:dyDescent="0.3">
      <c r="A1924" s="39">
        <v>46064.645208333335</v>
      </c>
      <c r="B1924" s="33">
        <v>44997719213</v>
      </c>
      <c r="C1924" s="33" t="s">
        <v>45</v>
      </c>
      <c r="D1924" s="33">
        <v>4430265054</v>
      </c>
      <c r="E1924" s="33">
        <v>228</v>
      </c>
      <c r="F1924" s="33">
        <v>203</v>
      </c>
      <c r="G1924" s="33" t="s">
        <v>38</v>
      </c>
      <c r="H1924" s="33" t="s">
        <v>4463</v>
      </c>
      <c r="I1924" s="33" t="s">
        <v>39</v>
      </c>
      <c r="J1924" s="33" t="s">
        <v>40</v>
      </c>
      <c r="K1924" s="33" t="s">
        <v>41</v>
      </c>
    </row>
    <row r="1925" spans="1:12" hidden="1" x14ac:dyDescent="0.3">
      <c r="A1925" s="39">
        <v>46064.643854166665</v>
      </c>
      <c r="B1925" s="33">
        <v>4432524636</v>
      </c>
      <c r="C1925" s="33" t="s">
        <v>42</v>
      </c>
      <c r="D1925" s="33">
        <v>4430265054</v>
      </c>
      <c r="E1925" s="33">
        <v>2050</v>
      </c>
      <c r="F1925" s="33">
        <v>2028</v>
      </c>
      <c r="G1925" s="33" t="s">
        <v>38</v>
      </c>
      <c r="H1925" s="33" t="s">
        <v>4464</v>
      </c>
      <c r="I1925" s="33" t="s">
        <v>39</v>
      </c>
      <c r="J1925" s="33" t="s">
        <v>40</v>
      </c>
      <c r="K1925" s="33" t="s">
        <v>41</v>
      </c>
      <c r="L1925" s="33">
        <v>5</v>
      </c>
    </row>
    <row r="1926" spans="1:12" hidden="1" x14ac:dyDescent="0.3">
      <c r="A1926" s="39">
        <v>46064.638483796298</v>
      </c>
      <c r="B1926" s="33">
        <v>4433543396</v>
      </c>
      <c r="C1926" s="33" t="s">
        <v>43</v>
      </c>
      <c r="D1926" s="33">
        <v>4430265054</v>
      </c>
      <c r="E1926" s="33">
        <v>209</v>
      </c>
      <c r="F1926" s="33">
        <v>121</v>
      </c>
      <c r="G1926" s="33" t="s">
        <v>38</v>
      </c>
      <c r="H1926" s="33" t="s">
        <v>4465</v>
      </c>
      <c r="I1926" s="33" t="s">
        <v>39</v>
      </c>
      <c r="J1926" s="33" t="s">
        <v>40</v>
      </c>
      <c r="K1926" s="33" t="s">
        <v>41</v>
      </c>
    </row>
    <row r="1927" spans="1:12" hidden="1" x14ac:dyDescent="0.3">
      <c r="A1927" s="39">
        <v>46064.635555555556</v>
      </c>
      <c r="B1927" s="33">
        <v>4334226481</v>
      </c>
      <c r="C1927" s="33" t="s">
        <v>43</v>
      </c>
      <c r="D1927" s="33">
        <v>4430265054</v>
      </c>
      <c r="E1927" s="33">
        <v>320</v>
      </c>
      <c r="F1927" s="33">
        <v>279</v>
      </c>
      <c r="G1927" s="33" t="s">
        <v>38</v>
      </c>
      <c r="H1927" s="33" t="s">
        <v>4466</v>
      </c>
      <c r="I1927" s="33" t="s">
        <v>39</v>
      </c>
      <c r="J1927" s="33" t="s">
        <v>40</v>
      </c>
      <c r="K1927" s="33" t="s">
        <v>41</v>
      </c>
    </row>
    <row r="1928" spans="1:12" hidden="1" x14ac:dyDescent="0.3">
      <c r="A1928" s="39">
        <v>46064.631851851853</v>
      </c>
      <c r="B1928" s="33">
        <v>44988300360</v>
      </c>
      <c r="C1928" s="33" t="s">
        <v>42</v>
      </c>
      <c r="D1928" s="33">
        <v>4430265054</v>
      </c>
      <c r="E1928" s="33">
        <v>428</v>
      </c>
      <c r="F1928" s="33">
        <v>403</v>
      </c>
      <c r="G1928" s="33" t="s">
        <v>38</v>
      </c>
      <c r="H1928" s="33" t="s">
        <v>4467</v>
      </c>
      <c r="I1928" s="33" t="s">
        <v>39</v>
      </c>
      <c r="J1928" s="33" t="s">
        <v>40</v>
      </c>
      <c r="K1928" s="33" t="s">
        <v>41</v>
      </c>
    </row>
    <row r="1929" spans="1:12" hidden="1" x14ac:dyDescent="0.3">
      <c r="A1929" s="39">
        <v>46064.63040509259</v>
      </c>
      <c r="B1929" s="33">
        <v>43984040334</v>
      </c>
      <c r="C1929" s="33" t="s">
        <v>43</v>
      </c>
      <c r="D1929" s="33">
        <v>4430265054</v>
      </c>
      <c r="E1929" s="33">
        <v>229</v>
      </c>
      <c r="F1929" s="33">
        <v>140</v>
      </c>
      <c r="G1929" s="33" t="s">
        <v>38</v>
      </c>
      <c r="H1929" s="33" t="s">
        <v>4468</v>
      </c>
      <c r="I1929" s="33" t="s">
        <v>39</v>
      </c>
      <c r="J1929" s="33" t="s">
        <v>40</v>
      </c>
      <c r="K1929" s="33" t="s">
        <v>41</v>
      </c>
    </row>
    <row r="1930" spans="1:12" hidden="1" x14ac:dyDescent="0.3">
      <c r="A1930" s="39">
        <v>46064.628611111111</v>
      </c>
      <c r="B1930" s="33">
        <v>43984040334</v>
      </c>
      <c r="C1930" s="33">
        <v>4430265054</v>
      </c>
      <c r="D1930" s="33">
        <v>4430265054</v>
      </c>
      <c r="E1930" s="33">
        <v>151</v>
      </c>
      <c r="F1930" s="33">
        <v>151</v>
      </c>
      <c r="G1930" s="33" t="s">
        <v>3449</v>
      </c>
      <c r="H1930" s="33" t="s">
        <v>5999</v>
      </c>
      <c r="I1930" s="33" t="s">
        <v>39</v>
      </c>
      <c r="J1930" s="33" t="s">
        <v>3451</v>
      </c>
      <c r="K1930" s="33" t="s">
        <v>50</v>
      </c>
    </row>
    <row r="1931" spans="1:12" hidden="1" x14ac:dyDescent="0.3">
      <c r="A1931" s="39">
        <v>46064.627997685187</v>
      </c>
      <c r="B1931" s="33">
        <v>43984040334</v>
      </c>
      <c r="C1931" s="33">
        <v>4430265054</v>
      </c>
      <c r="D1931" s="33">
        <v>4430265054</v>
      </c>
      <c r="E1931" s="33">
        <v>49</v>
      </c>
      <c r="F1931" s="33">
        <v>49</v>
      </c>
      <c r="G1931" s="33" t="s">
        <v>3449</v>
      </c>
      <c r="H1931" s="33" t="s">
        <v>4469</v>
      </c>
      <c r="I1931" s="33" t="s">
        <v>39</v>
      </c>
      <c r="J1931" s="33" t="s">
        <v>3451</v>
      </c>
      <c r="K1931" s="33" t="s">
        <v>41</v>
      </c>
    </row>
    <row r="1932" spans="1:12" hidden="1" x14ac:dyDescent="0.3">
      <c r="A1932" s="39">
        <v>46064.622569444444</v>
      </c>
      <c r="B1932" s="33">
        <v>1732146970</v>
      </c>
      <c r="C1932" s="33" t="s">
        <v>45</v>
      </c>
      <c r="D1932" s="33">
        <v>4431268225</v>
      </c>
      <c r="E1932" s="33">
        <v>1463</v>
      </c>
      <c r="F1932" s="33">
        <v>1385</v>
      </c>
      <c r="G1932" s="33" t="s">
        <v>38</v>
      </c>
      <c r="H1932" s="33" t="s">
        <v>4470</v>
      </c>
      <c r="I1932" s="33" t="s">
        <v>39</v>
      </c>
      <c r="J1932" s="33" t="s">
        <v>40</v>
      </c>
      <c r="K1932" s="33" t="s">
        <v>41</v>
      </c>
    </row>
    <row r="1933" spans="1:12" hidden="1" x14ac:dyDescent="0.3">
      <c r="A1933" s="39">
        <v>46064.619942129626</v>
      </c>
      <c r="B1933" s="33" t="s">
        <v>44</v>
      </c>
      <c r="C1933" s="33">
        <v>4436249360</v>
      </c>
      <c r="E1933" s="33">
        <v>100</v>
      </c>
      <c r="F1933" s="33">
        <v>87</v>
      </c>
      <c r="G1933" s="33" t="s">
        <v>38</v>
      </c>
      <c r="H1933" s="33" t="s">
        <v>6000</v>
      </c>
      <c r="I1933" s="33" t="s">
        <v>46</v>
      </c>
      <c r="J1933" s="33" t="s">
        <v>40</v>
      </c>
      <c r="L1933" s="33">
        <v>5</v>
      </c>
    </row>
    <row r="1934" spans="1:12" hidden="1" x14ac:dyDescent="0.3">
      <c r="A1934" s="39">
        <v>46064.619814814818</v>
      </c>
      <c r="B1934" s="33" t="s">
        <v>44</v>
      </c>
      <c r="C1934" s="33">
        <v>4436249360</v>
      </c>
      <c r="E1934" s="33">
        <v>6</v>
      </c>
      <c r="F1934" s="33">
        <v>0</v>
      </c>
      <c r="G1934" s="33" t="s">
        <v>47</v>
      </c>
      <c r="H1934" s="33" t="s">
        <v>6001</v>
      </c>
      <c r="I1934" s="33" t="s">
        <v>46</v>
      </c>
      <c r="J1934" s="33" t="s">
        <v>40</v>
      </c>
    </row>
    <row r="1935" spans="1:12" hidden="1" x14ac:dyDescent="0.3">
      <c r="A1935" s="39">
        <v>46064.619479166664</v>
      </c>
      <c r="B1935" s="33" t="s">
        <v>43</v>
      </c>
      <c r="C1935" s="33">
        <v>44991041123</v>
      </c>
      <c r="E1935" s="33">
        <v>7</v>
      </c>
      <c r="F1935" s="33">
        <v>0</v>
      </c>
      <c r="G1935" s="33" t="s">
        <v>47</v>
      </c>
      <c r="H1935" s="33" t="s">
        <v>6002</v>
      </c>
      <c r="I1935" s="33" t="s">
        <v>46</v>
      </c>
      <c r="J1935" s="33" t="s">
        <v>40</v>
      </c>
    </row>
    <row r="1936" spans="1:12" hidden="1" x14ac:dyDescent="0.3">
      <c r="A1936" s="39">
        <v>46064.616585648146</v>
      </c>
      <c r="B1936" s="33" t="s">
        <v>44</v>
      </c>
      <c r="C1936" s="33">
        <v>44991041123</v>
      </c>
      <c r="E1936" s="33">
        <v>4</v>
      </c>
      <c r="F1936" s="33">
        <v>0</v>
      </c>
      <c r="G1936" s="33" t="s">
        <v>47</v>
      </c>
      <c r="H1936" s="33" t="s">
        <v>6003</v>
      </c>
      <c r="I1936" s="33" t="s">
        <v>46</v>
      </c>
      <c r="J1936" s="33" t="s">
        <v>40</v>
      </c>
    </row>
    <row r="1937" spans="1:12" hidden="1" x14ac:dyDescent="0.3">
      <c r="A1937" s="39">
        <v>46064.616516203707</v>
      </c>
      <c r="B1937" s="33" t="s">
        <v>44</v>
      </c>
      <c r="C1937" s="33">
        <v>44991041123</v>
      </c>
      <c r="E1937" s="33">
        <v>4</v>
      </c>
      <c r="F1937" s="33">
        <v>0</v>
      </c>
      <c r="G1937" s="33" t="s">
        <v>47</v>
      </c>
      <c r="H1937" s="33" t="s">
        <v>6004</v>
      </c>
      <c r="I1937" s="33" t="s">
        <v>46</v>
      </c>
      <c r="J1937" s="33" t="s">
        <v>40</v>
      </c>
    </row>
    <row r="1938" spans="1:12" hidden="1" x14ac:dyDescent="0.3">
      <c r="A1938" s="39">
        <v>46064.616423611114</v>
      </c>
      <c r="B1938" s="33" t="s">
        <v>44</v>
      </c>
      <c r="C1938" s="33">
        <v>44991041123</v>
      </c>
      <c r="E1938" s="33">
        <v>32</v>
      </c>
      <c r="F1938" s="33">
        <v>26</v>
      </c>
      <c r="G1938" s="33" t="s">
        <v>38</v>
      </c>
      <c r="H1938" s="33" t="s">
        <v>6005</v>
      </c>
      <c r="I1938" s="33" t="s">
        <v>46</v>
      </c>
      <c r="J1938" s="33" t="s">
        <v>40</v>
      </c>
    </row>
    <row r="1939" spans="1:12" hidden="1" x14ac:dyDescent="0.3">
      <c r="A1939" s="39">
        <v>46064.616087962961</v>
      </c>
      <c r="B1939" s="33" t="s">
        <v>44</v>
      </c>
      <c r="C1939" s="33">
        <v>44991041123</v>
      </c>
      <c r="E1939" s="33">
        <v>17</v>
      </c>
      <c r="F1939" s="33">
        <v>9</v>
      </c>
      <c r="G1939" s="33" t="s">
        <v>38</v>
      </c>
      <c r="H1939" s="33" t="s">
        <v>6006</v>
      </c>
      <c r="I1939" s="33" t="s">
        <v>46</v>
      </c>
      <c r="J1939" s="33" t="s">
        <v>40</v>
      </c>
    </row>
    <row r="1940" spans="1:12" hidden="1" x14ac:dyDescent="0.3">
      <c r="A1940" s="39">
        <v>46064.615393518521</v>
      </c>
      <c r="B1940" s="33">
        <v>44997343311</v>
      </c>
      <c r="C1940" s="33" t="s">
        <v>44</v>
      </c>
      <c r="D1940" s="33">
        <v>4430265054</v>
      </c>
      <c r="E1940" s="33">
        <v>323</v>
      </c>
      <c r="F1940" s="33">
        <v>200</v>
      </c>
      <c r="G1940" s="33" t="s">
        <v>38</v>
      </c>
      <c r="H1940" s="33" t="s">
        <v>4471</v>
      </c>
      <c r="I1940" s="33" t="s">
        <v>39</v>
      </c>
      <c r="J1940" s="33" t="s">
        <v>40</v>
      </c>
      <c r="K1940" s="33" t="s">
        <v>41</v>
      </c>
    </row>
    <row r="1941" spans="1:12" hidden="1" x14ac:dyDescent="0.3">
      <c r="A1941" s="39">
        <v>46064.613298611112</v>
      </c>
      <c r="B1941" s="33">
        <v>44999976008</v>
      </c>
      <c r="C1941" s="33" t="s">
        <v>45</v>
      </c>
      <c r="D1941" s="33">
        <v>4430265054</v>
      </c>
      <c r="E1941" s="33">
        <v>817</v>
      </c>
      <c r="F1941" s="33">
        <v>782</v>
      </c>
      <c r="G1941" s="33" t="s">
        <v>38</v>
      </c>
      <c r="H1941" s="33" t="s">
        <v>4472</v>
      </c>
      <c r="I1941" s="33" t="s">
        <v>39</v>
      </c>
      <c r="J1941" s="33" t="s">
        <v>40</v>
      </c>
      <c r="K1941" s="33" t="s">
        <v>41</v>
      </c>
      <c r="L1941" s="33">
        <v>5</v>
      </c>
    </row>
    <row r="1942" spans="1:12" hidden="1" x14ac:dyDescent="0.3">
      <c r="A1942" s="39">
        <v>46064.607986111114</v>
      </c>
      <c r="B1942" s="33">
        <v>62981535978</v>
      </c>
      <c r="C1942" s="33" t="s">
        <v>43</v>
      </c>
      <c r="D1942" s="33">
        <v>4430265054</v>
      </c>
      <c r="E1942" s="33">
        <v>972</v>
      </c>
      <c r="F1942" s="33">
        <v>947</v>
      </c>
      <c r="G1942" s="33" t="s">
        <v>38</v>
      </c>
      <c r="H1942" s="33" t="s">
        <v>4473</v>
      </c>
      <c r="I1942" s="33" t="s">
        <v>39</v>
      </c>
      <c r="J1942" s="33" t="s">
        <v>40</v>
      </c>
      <c r="K1942" s="33" t="s">
        <v>41</v>
      </c>
      <c r="L1942" s="33">
        <v>5</v>
      </c>
    </row>
    <row r="1943" spans="1:12" hidden="1" x14ac:dyDescent="0.3">
      <c r="A1943" s="39">
        <v>46064.607488425929</v>
      </c>
      <c r="B1943" s="33">
        <v>12997611769</v>
      </c>
      <c r="C1943" s="33" t="s">
        <v>42</v>
      </c>
      <c r="D1943" s="33">
        <v>4430265054</v>
      </c>
      <c r="E1943" s="33">
        <v>1275</v>
      </c>
      <c r="F1943" s="33">
        <v>1245</v>
      </c>
      <c r="G1943" s="33" t="s">
        <v>38</v>
      </c>
      <c r="H1943" s="33" t="s">
        <v>4474</v>
      </c>
      <c r="I1943" s="33" t="s">
        <v>39</v>
      </c>
      <c r="J1943" s="33" t="s">
        <v>40</v>
      </c>
      <c r="K1943" s="33" t="s">
        <v>41</v>
      </c>
      <c r="L1943" s="33">
        <v>5</v>
      </c>
    </row>
    <row r="1944" spans="1:12" hidden="1" x14ac:dyDescent="0.3">
      <c r="A1944" s="39">
        <v>46064.607361111113</v>
      </c>
      <c r="B1944" s="33">
        <v>44988300360</v>
      </c>
      <c r="C1944" s="33" t="s">
        <v>45</v>
      </c>
      <c r="D1944" s="33">
        <v>4430265054</v>
      </c>
      <c r="E1944" s="33">
        <v>109</v>
      </c>
      <c r="F1944" s="33">
        <v>73</v>
      </c>
      <c r="G1944" s="33" t="s">
        <v>38</v>
      </c>
      <c r="H1944" s="33" t="s">
        <v>4475</v>
      </c>
      <c r="I1944" s="33" t="s">
        <v>39</v>
      </c>
      <c r="J1944" s="33" t="s">
        <v>40</v>
      </c>
      <c r="K1944" s="33" t="s">
        <v>41</v>
      </c>
    </row>
    <row r="1945" spans="1:12" hidden="1" x14ac:dyDescent="0.3">
      <c r="A1945" s="39">
        <v>46064.605925925927</v>
      </c>
      <c r="B1945" s="33" t="s">
        <v>3627</v>
      </c>
      <c r="C1945" s="33">
        <v>51984672753</v>
      </c>
      <c r="E1945" s="33">
        <v>14</v>
      </c>
      <c r="F1945" s="33">
        <v>9</v>
      </c>
      <c r="G1945" s="33" t="s">
        <v>38</v>
      </c>
      <c r="H1945" s="33" t="s">
        <v>6007</v>
      </c>
      <c r="I1945" s="33" t="s">
        <v>46</v>
      </c>
      <c r="J1945" s="33" t="s">
        <v>3629</v>
      </c>
    </row>
    <row r="1946" spans="1:12" hidden="1" x14ac:dyDescent="0.3">
      <c r="A1946" s="39">
        <v>46064.601493055554</v>
      </c>
      <c r="B1946" s="33">
        <v>15997113760</v>
      </c>
      <c r="C1946" s="33">
        <v>4431268225</v>
      </c>
      <c r="D1946" s="33">
        <v>4431268225</v>
      </c>
      <c r="E1946" s="33">
        <v>28</v>
      </c>
      <c r="F1946" s="33">
        <v>28</v>
      </c>
      <c r="G1946" s="33" t="s">
        <v>3449</v>
      </c>
      <c r="H1946" s="33" t="s">
        <v>6008</v>
      </c>
      <c r="I1946" s="33" t="s">
        <v>39</v>
      </c>
      <c r="J1946" s="33" t="s">
        <v>3451</v>
      </c>
    </row>
    <row r="1947" spans="1:12" hidden="1" x14ac:dyDescent="0.3">
      <c r="A1947" s="39">
        <v>46064.597777777781</v>
      </c>
      <c r="B1947" s="33">
        <v>4432522019</v>
      </c>
      <c r="C1947" s="33" t="s">
        <v>45</v>
      </c>
      <c r="D1947" s="33">
        <v>4430265054</v>
      </c>
      <c r="E1947" s="33">
        <v>478</v>
      </c>
      <c r="F1947" s="33">
        <v>432</v>
      </c>
      <c r="G1947" s="33" t="s">
        <v>38</v>
      </c>
      <c r="H1947" s="33" t="s">
        <v>4476</v>
      </c>
      <c r="I1947" s="33" t="s">
        <v>39</v>
      </c>
      <c r="J1947" s="33" t="s">
        <v>40</v>
      </c>
      <c r="K1947" s="33" t="s">
        <v>41</v>
      </c>
    </row>
    <row r="1948" spans="1:12" x14ac:dyDescent="0.3">
      <c r="A1948" s="39">
        <v>46064.59511574074</v>
      </c>
      <c r="B1948" s="33">
        <v>4430450103</v>
      </c>
      <c r="C1948" s="33" t="s">
        <v>44</v>
      </c>
      <c r="D1948" s="33">
        <v>4430265054</v>
      </c>
      <c r="E1948" s="33">
        <v>379</v>
      </c>
      <c r="F1948" s="33">
        <v>106</v>
      </c>
      <c r="G1948" s="33" t="s">
        <v>38</v>
      </c>
      <c r="H1948" s="33" t="s">
        <v>4477</v>
      </c>
      <c r="I1948" s="33" t="s">
        <v>39</v>
      </c>
      <c r="J1948" s="33" t="s">
        <v>40</v>
      </c>
      <c r="K1948" s="33" t="s">
        <v>41</v>
      </c>
      <c r="L1948" s="33">
        <v>5</v>
      </c>
    </row>
    <row r="1949" spans="1:12" hidden="1" x14ac:dyDescent="0.3">
      <c r="A1949" s="39">
        <v>46064.594756944447</v>
      </c>
      <c r="B1949" s="33">
        <v>44997571961</v>
      </c>
      <c r="C1949" s="33" t="s">
        <v>48</v>
      </c>
      <c r="D1949" s="33">
        <v>4430265054</v>
      </c>
      <c r="E1949" s="33">
        <v>1153</v>
      </c>
      <c r="F1949" s="33">
        <v>1101</v>
      </c>
      <c r="G1949" s="33" t="s">
        <v>38</v>
      </c>
      <c r="H1949" s="33" t="s">
        <v>4478</v>
      </c>
      <c r="I1949" s="33" t="s">
        <v>39</v>
      </c>
      <c r="J1949" s="33" t="s">
        <v>40</v>
      </c>
      <c r="K1949" s="33" t="s">
        <v>41</v>
      </c>
    </row>
    <row r="1950" spans="1:12" hidden="1" x14ac:dyDescent="0.3">
      <c r="A1950" s="39">
        <v>46064.594398148147</v>
      </c>
      <c r="B1950" s="33">
        <v>44991041123</v>
      </c>
      <c r="C1950" s="33" t="s">
        <v>43</v>
      </c>
      <c r="D1950" s="33">
        <v>4430265054</v>
      </c>
      <c r="E1950" s="33">
        <v>948</v>
      </c>
      <c r="F1950" s="33">
        <v>911</v>
      </c>
      <c r="G1950" s="33" t="s">
        <v>38</v>
      </c>
      <c r="H1950" s="33" t="s">
        <v>4479</v>
      </c>
      <c r="I1950" s="33" t="s">
        <v>39</v>
      </c>
      <c r="J1950" s="33" t="s">
        <v>40</v>
      </c>
      <c r="K1950" s="33" t="s">
        <v>41</v>
      </c>
    </row>
    <row r="1951" spans="1:12" hidden="1" x14ac:dyDescent="0.3">
      <c r="A1951" s="39">
        <v>46064.593969907408</v>
      </c>
      <c r="B1951" s="33">
        <v>44988255390</v>
      </c>
      <c r="C1951" s="33" t="s">
        <v>44</v>
      </c>
      <c r="D1951" s="33">
        <v>4430265054</v>
      </c>
      <c r="E1951" s="33">
        <v>265</v>
      </c>
      <c r="F1951" s="33">
        <v>211</v>
      </c>
      <c r="G1951" s="33" t="s">
        <v>38</v>
      </c>
      <c r="H1951" s="33" t="s">
        <v>4480</v>
      </c>
      <c r="I1951" s="33" t="s">
        <v>39</v>
      </c>
      <c r="J1951" s="33" t="s">
        <v>40</v>
      </c>
      <c r="K1951" s="33" t="s">
        <v>41</v>
      </c>
    </row>
    <row r="1952" spans="1:12" hidden="1" x14ac:dyDescent="0.3">
      <c r="A1952" s="39">
        <v>46064.592731481483</v>
      </c>
      <c r="B1952" s="33">
        <v>44999195785</v>
      </c>
      <c r="C1952" s="33">
        <v>4430265054</v>
      </c>
      <c r="D1952" s="33">
        <v>4430265054</v>
      </c>
      <c r="E1952" s="33">
        <v>27</v>
      </c>
      <c r="F1952" s="33">
        <v>27</v>
      </c>
      <c r="G1952" s="33" t="s">
        <v>3449</v>
      </c>
      <c r="H1952" s="33" t="s">
        <v>4481</v>
      </c>
      <c r="I1952" s="33" t="s">
        <v>39</v>
      </c>
      <c r="J1952" s="33" t="s">
        <v>3451</v>
      </c>
      <c r="K1952" s="33" t="s">
        <v>41</v>
      </c>
    </row>
    <row r="1953" spans="1:12" hidden="1" x14ac:dyDescent="0.3">
      <c r="A1953" s="39">
        <v>46064.591273148151</v>
      </c>
      <c r="B1953" s="33">
        <v>4532541802</v>
      </c>
      <c r="C1953" s="33" t="s">
        <v>43</v>
      </c>
      <c r="D1953" s="33">
        <v>4430265054</v>
      </c>
      <c r="E1953" s="33">
        <v>267</v>
      </c>
      <c r="F1953" s="33">
        <v>155</v>
      </c>
      <c r="G1953" s="33" t="s">
        <v>38</v>
      </c>
      <c r="H1953" s="33" t="s">
        <v>4482</v>
      </c>
      <c r="I1953" s="33" t="s">
        <v>39</v>
      </c>
      <c r="J1953" s="33" t="s">
        <v>40</v>
      </c>
      <c r="K1953" s="33" t="s">
        <v>41</v>
      </c>
    </row>
    <row r="1954" spans="1:12" hidden="1" x14ac:dyDescent="0.3">
      <c r="A1954" s="39">
        <v>46064.589016203703</v>
      </c>
      <c r="B1954" s="33">
        <v>4635363602</v>
      </c>
      <c r="C1954" s="33" t="s">
        <v>5173</v>
      </c>
      <c r="D1954" s="33">
        <v>4430265054</v>
      </c>
      <c r="E1954" s="33">
        <v>373</v>
      </c>
      <c r="F1954" s="33">
        <v>340</v>
      </c>
      <c r="G1954" s="33" t="s">
        <v>38</v>
      </c>
      <c r="H1954" s="33" t="s">
        <v>6009</v>
      </c>
      <c r="I1954" s="33" t="s">
        <v>39</v>
      </c>
      <c r="J1954" s="33" t="s">
        <v>3629</v>
      </c>
      <c r="K1954" s="33" t="s">
        <v>50</v>
      </c>
    </row>
    <row r="1955" spans="1:12" hidden="1" x14ac:dyDescent="0.3">
      <c r="A1955" s="39">
        <v>46064.588368055556</v>
      </c>
      <c r="B1955" s="33" t="s">
        <v>51</v>
      </c>
      <c r="C1955" s="33">
        <v>15997113760</v>
      </c>
      <c r="E1955" s="33">
        <v>25</v>
      </c>
      <c r="F1955" s="33">
        <v>0</v>
      </c>
      <c r="G1955" s="33" t="s">
        <v>47</v>
      </c>
      <c r="H1955" s="33" t="s">
        <v>6010</v>
      </c>
      <c r="I1955" s="33" t="s">
        <v>46</v>
      </c>
      <c r="J1955" s="33" t="s">
        <v>3629</v>
      </c>
    </row>
    <row r="1956" spans="1:12" hidden="1" x14ac:dyDescent="0.3">
      <c r="A1956" s="39">
        <v>46064.585266203707</v>
      </c>
      <c r="B1956" s="33">
        <v>44998592903</v>
      </c>
      <c r="C1956" s="33">
        <v>4430265054</v>
      </c>
      <c r="D1956" s="33">
        <v>4430265054</v>
      </c>
      <c r="E1956" s="33">
        <v>541</v>
      </c>
      <c r="F1956" s="33">
        <v>540</v>
      </c>
      <c r="G1956" s="33" t="s">
        <v>3449</v>
      </c>
      <c r="H1956" s="33" t="s">
        <v>4483</v>
      </c>
      <c r="I1956" s="33" t="s">
        <v>39</v>
      </c>
      <c r="J1956" s="33" t="s">
        <v>3451</v>
      </c>
      <c r="K1956" s="33" t="s">
        <v>41</v>
      </c>
    </row>
    <row r="1957" spans="1:12" hidden="1" x14ac:dyDescent="0.3">
      <c r="A1957" s="39">
        <v>46064.585034722222</v>
      </c>
      <c r="B1957" s="33">
        <v>43984040334</v>
      </c>
      <c r="C1957" s="33" t="s">
        <v>48</v>
      </c>
      <c r="D1957" s="33">
        <v>4430265054</v>
      </c>
      <c r="E1957" s="33">
        <v>689</v>
      </c>
      <c r="F1957" s="33">
        <v>610</v>
      </c>
      <c r="G1957" s="33" t="s">
        <v>38</v>
      </c>
      <c r="H1957" s="33" t="s">
        <v>4484</v>
      </c>
      <c r="I1957" s="33" t="s">
        <v>39</v>
      </c>
      <c r="J1957" s="33" t="s">
        <v>40</v>
      </c>
      <c r="K1957" s="33" t="s">
        <v>41</v>
      </c>
    </row>
    <row r="1958" spans="1:12" hidden="1" x14ac:dyDescent="0.3">
      <c r="A1958" s="39">
        <v>46064.584016203706</v>
      </c>
      <c r="B1958" s="33">
        <v>4432672194</v>
      </c>
      <c r="C1958" s="33" t="s">
        <v>42</v>
      </c>
      <c r="D1958" s="33">
        <v>4430265054</v>
      </c>
      <c r="E1958" s="33">
        <v>1886</v>
      </c>
      <c r="F1958" s="33">
        <v>1810</v>
      </c>
      <c r="G1958" s="33" t="s">
        <v>38</v>
      </c>
      <c r="H1958" s="33" t="s">
        <v>4485</v>
      </c>
      <c r="I1958" s="33" t="s">
        <v>39</v>
      </c>
      <c r="J1958" s="33" t="s">
        <v>40</v>
      </c>
      <c r="K1958" s="33" t="s">
        <v>41</v>
      </c>
    </row>
    <row r="1959" spans="1:12" hidden="1" x14ac:dyDescent="0.3">
      <c r="A1959" s="39">
        <v>46064.583715277775</v>
      </c>
      <c r="B1959" s="33">
        <v>4430414545</v>
      </c>
      <c r="C1959" s="33" t="s">
        <v>3873</v>
      </c>
      <c r="D1959" s="33">
        <v>4430265054</v>
      </c>
      <c r="E1959" s="33">
        <v>2361</v>
      </c>
      <c r="F1959" s="33">
        <v>2283</v>
      </c>
      <c r="G1959" s="33" t="s">
        <v>38</v>
      </c>
      <c r="H1959" s="33" t="s">
        <v>4486</v>
      </c>
      <c r="I1959" s="33" t="s">
        <v>39</v>
      </c>
      <c r="J1959" s="33" t="s">
        <v>3451</v>
      </c>
      <c r="K1959" s="33" t="s">
        <v>41</v>
      </c>
    </row>
    <row r="1960" spans="1:12" hidden="1" x14ac:dyDescent="0.3">
      <c r="A1960" s="39">
        <v>46064.582951388889</v>
      </c>
      <c r="B1960" s="33" t="s">
        <v>3627</v>
      </c>
      <c r="C1960" s="33">
        <v>44991484476</v>
      </c>
      <c r="E1960" s="33">
        <v>459</v>
      </c>
      <c r="F1960" s="33">
        <v>453</v>
      </c>
      <c r="G1960" s="33" t="s">
        <v>38</v>
      </c>
      <c r="H1960" s="33" t="s">
        <v>6011</v>
      </c>
      <c r="I1960" s="33" t="s">
        <v>46</v>
      </c>
      <c r="J1960" s="33" t="s">
        <v>3629</v>
      </c>
    </row>
    <row r="1961" spans="1:12" hidden="1" x14ac:dyDescent="0.3">
      <c r="A1961" s="39">
        <v>46064.581516203703</v>
      </c>
      <c r="B1961" s="33">
        <v>4430414545</v>
      </c>
      <c r="C1961" s="33">
        <v>4430265054</v>
      </c>
      <c r="D1961" s="33">
        <v>4430265054</v>
      </c>
      <c r="E1961" s="33">
        <v>175</v>
      </c>
      <c r="F1961" s="33">
        <v>174</v>
      </c>
      <c r="G1961" s="33" t="s">
        <v>3449</v>
      </c>
      <c r="H1961" s="33" t="s">
        <v>4487</v>
      </c>
      <c r="I1961" s="33" t="s">
        <v>39</v>
      </c>
      <c r="J1961" s="33" t="s">
        <v>3451</v>
      </c>
      <c r="K1961" s="33" t="s">
        <v>41</v>
      </c>
    </row>
    <row r="1962" spans="1:12" hidden="1" x14ac:dyDescent="0.3">
      <c r="A1962" s="39">
        <v>46064.579861111109</v>
      </c>
      <c r="B1962" s="33">
        <v>44991041123</v>
      </c>
      <c r="C1962" s="33" t="s">
        <v>44</v>
      </c>
      <c r="D1962" s="33">
        <v>4430265054</v>
      </c>
      <c r="E1962" s="33">
        <v>964</v>
      </c>
      <c r="F1962" s="33">
        <v>744</v>
      </c>
      <c r="G1962" s="33" t="s">
        <v>38</v>
      </c>
      <c r="H1962" s="33" t="s">
        <v>4488</v>
      </c>
      <c r="I1962" s="33" t="s">
        <v>39</v>
      </c>
      <c r="J1962" s="33" t="s">
        <v>40</v>
      </c>
      <c r="K1962" s="33" t="s">
        <v>41</v>
      </c>
    </row>
    <row r="1963" spans="1:12" hidden="1" x14ac:dyDescent="0.3">
      <c r="A1963" s="39">
        <v>46064.573645833334</v>
      </c>
      <c r="B1963" s="33" t="s">
        <v>37</v>
      </c>
      <c r="C1963" s="33">
        <v>19992581194</v>
      </c>
      <c r="E1963" s="33">
        <v>7708</v>
      </c>
      <c r="F1963" s="33">
        <v>7696</v>
      </c>
      <c r="G1963" s="33" t="s">
        <v>38</v>
      </c>
      <c r="H1963" s="33" t="s">
        <v>6012</v>
      </c>
      <c r="I1963" s="33" t="s">
        <v>46</v>
      </c>
      <c r="J1963" s="33" t="s">
        <v>40</v>
      </c>
    </row>
    <row r="1964" spans="1:12" hidden="1" x14ac:dyDescent="0.3">
      <c r="A1964" s="39">
        <v>46064.573113425926</v>
      </c>
      <c r="B1964" s="33" t="s">
        <v>37</v>
      </c>
      <c r="C1964" s="33">
        <v>19992581194</v>
      </c>
      <c r="E1964" s="33">
        <v>59</v>
      </c>
      <c r="F1964" s="33">
        <v>26</v>
      </c>
      <c r="G1964" s="33" t="s">
        <v>38</v>
      </c>
      <c r="H1964" s="33" t="s">
        <v>6013</v>
      </c>
      <c r="I1964" s="33" t="s">
        <v>46</v>
      </c>
      <c r="J1964" s="33" t="s">
        <v>40</v>
      </c>
    </row>
    <row r="1965" spans="1:12" hidden="1" x14ac:dyDescent="0.3">
      <c r="A1965" s="39">
        <v>46064.572210648148</v>
      </c>
      <c r="B1965" s="33" t="s">
        <v>43</v>
      </c>
      <c r="C1965" s="33">
        <v>35997000807</v>
      </c>
      <c r="E1965" s="33">
        <v>1652</v>
      </c>
      <c r="F1965" s="33">
        <v>1646</v>
      </c>
      <c r="G1965" s="33" t="s">
        <v>38</v>
      </c>
      <c r="H1965" s="33" t="s">
        <v>6014</v>
      </c>
      <c r="I1965" s="33" t="s">
        <v>46</v>
      </c>
      <c r="J1965" s="33" t="s">
        <v>40</v>
      </c>
    </row>
    <row r="1966" spans="1:12" hidden="1" x14ac:dyDescent="0.3">
      <c r="A1966" s="39">
        <v>46064.571759259263</v>
      </c>
      <c r="B1966" s="33">
        <v>1732146970</v>
      </c>
      <c r="C1966" s="33" t="s">
        <v>48</v>
      </c>
      <c r="D1966" s="33">
        <v>4431268225</v>
      </c>
      <c r="E1966" s="33">
        <v>1225</v>
      </c>
      <c r="F1966" s="33">
        <v>989</v>
      </c>
      <c r="G1966" s="33" t="s">
        <v>38</v>
      </c>
      <c r="H1966" s="33" t="s">
        <v>4489</v>
      </c>
      <c r="I1966" s="33" t="s">
        <v>39</v>
      </c>
      <c r="J1966" s="33" t="s">
        <v>40</v>
      </c>
      <c r="K1966" s="33" t="s">
        <v>41</v>
      </c>
    </row>
    <row r="1967" spans="1:12" hidden="1" x14ac:dyDescent="0.3">
      <c r="A1967" s="39">
        <v>46064.571377314816</v>
      </c>
      <c r="B1967" s="33">
        <v>4520312689</v>
      </c>
      <c r="C1967" s="33" t="s">
        <v>45</v>
      </c>
      <c r="D1967" s="33">
        <v>4430265054</v>
      </c>
      <c r="E1967" s="33">
        <v>2297</v>
      </c>
      <c r="F1967" s="33">
        <v>2111</v>
      </c>
      <c r="G1967" s="33" t="s">
        <v>38</v>
      </c>
      <c r="H1967" s="33" t="s">
        <v>4490</v>
      </c>
      <c r="I1967" s="33" t="s">
        <v>39</v>
      </c>
      <c r="J1967" s="33" t="s">
        <v>40</v>
      </c>
      <c r="K1967" s="33" t="s">
        <v>41</v>
      </c>
      <c r="L1967" s="33">
        <v>3</v>
      </c>
    </row>
    <row r="1968" spans="1:12" hidden="1" x14ac:dyDescent="0.3">
      <c r="A1968" s="39">
        <v>46064.569467592592</v>
      </c>
      <c r="B1968" s="33">
        <v>4432525112</v>
      </c>
      <c r="C1968" s="33" t="s">
        <v>48</v>
      </c>
      <c r="D1968" s="33">
        <v>4430265054</v>
      </c>
      <c r="E1968" s="33">
        <v>384</v>
      </c>
      <c r="F1968" s="33">
        <v>363</v>
      </c>
      <c r="G1968" s="33" t="s">
        <v>38</v>
      </c>
      <c r="H1968" s="33" t="s">
        <v>4491</v>
      </c>
      <c r="I1968" s="33" t="s">
        <v>39</v>
      </c>
      <c r="J1968" s="33" t="s">
        <v>40</v>
      </c>
      <c r="K1968" s="33" t="s">
        <v>41</v>
      </c>
    </row>
    <row r="1969" spans="1:12" hidden="1" x14ac:dyDescent="0.3">
      <c r="A1969" s="39">
        <v>46064.568807870368</v>
      </c>
      <c r="B1969" s="33">
        <v>4432522019</v>
      </c>
      <c r="C1969" s="33">
        <v>4430265054</v>
      </c>
      <c r="D1969" s="33">
        <v>4430265054</v>
      </c>
      <c r="E1969" s="33">
        <v>299</v>
      </c>
      <c r="F1969" s="33">
        <v>299</v>
      </c>
      <c r="G1969" s="33" t="s">
        <v>3449</v>
      </c>
      <c r="H1969" s="33" t="s">
        <v>4492</v>
      </c>
      <c r="I1969" s="33" t="s">
        <v>39</v>
      </c>
      <c r="J1969" s="33" t="s">
        <v>3451</v>
      </c>
      <c r="K1969" s="33" t="s">
        <v>41</v>
      </c>
    </row>
    <row r="1970" spans="1:12" hidden="1" x14ac:dyDescent="0.3">
      <c r="A1970" s="39">
        <v>46064.567187499997</v>
      </c>
      <c r="B1970" s="33">
        <v>4130775695</v>
      </c>
      <c r="C1970" s="33" t="s">
        <v>44</v>
      </c>
      <c r="D1970" s="33">
        <v>4430265054</v>
      </c>
      <c r="E1970" s="33">
        <v>1163</v>
      </c>
      <c r="F1970" s="33">
        <v>1120</v>
      </c>
      <c r="G1970" s="33" t="s">
        <v>38</v>
      </c>
      <c r="H1970" s="33" t="s">
        <v>4493</v>
      </c>
      <c r="I1970" s="33" t="s">
        <v>39</v>
      </c>
      <c r="J1970" s="33" t="s">
        <v>40</v>
      </c>
      <c r="K1970" s="33" t="s">
        <v>41</v>
      </c>
    </row>
    <row r="1971" spans="1:12" hidden="1" x14ac:dyDescent="0.3">
      <c r="A1971" s="39">
        <v>46064.565879629627</v>
      </c>
      <c r="B1971" s="33">
        <v>43999855301</v>
      </c>
      <c r="C1971" s="33" t="s">
        <v>45</v>
      </c>
      <c r="D1971" s="33">
        <v>4430265054</v>
      </c>
      <c r="E1971" s="33">
        <v>684</v>
      </c>
      <c r="F1971" s="33">
        <v>631</v>
      </c>
      <c r="G1971" s="33" t="s">
        <v>38</v>
      </c>
      <c r="H1971" s="33" t="s">
        <v>4494</v>
      </c>
      <c r="I1971" s="33" t="s">
        <v>39</v>
      </c>
      <c r="J1971" s="33" t="s">
        <v>40</v>
      </c>
      <c r="K1971" s="33" t="s">
        <v>41</v>
      </c>
      <c r="L1971" s="33">
        <v>5</v>
      </c>
    </row>
    <row r="1972" spans="1:12" hidden="1" x14ac:dyDescent="0.3">
      <c r="A1972" s="39">
        <v>46064.564791666664</v>
      </c>
      <c r="B1972" s="33" t="s">
        <v>42</v>
      </c>
      <c r="C1972" s="33">
        <v>91985176746</v>
      </c>
      <c r="E1972" s="33">
        <v>1743</v>
      </c>
      <c r="F1972" s="33">
        <v>1738</v>
      </c>
      <c r="G1972" s="33" t="s">
        <v>38</v>
      </c>
      <c r="H1972" s="33" t="s">
        <v>6015</v>
      </c>
      <c r="I1972" s="33" t="s">
        <v>46</v>
      </c>
      <c r="J1972" s="33" t="s">
        <v>40</v>
      </c>
      <c r="L1972" s="33">
        <v>5</v>
      </c>
    </row>
    <row r="1973" spans="1:12" hidden="1" x14ac:dyDescent="0.3">
      <c r="A1973" s="39">
        <v>46064.564641203702</v>
      </c>
      <c r="B1973" s="33" t="s">
        <v>42</v>
      </c>
      <c r="C1973" s="33">
        <v>91985176746</v>
      </c>
      <c r="E1973" s="33">
        <v>39</v>
      </c>
      <c r="F1973" s="33">
        <v>30</v>
      </c>
      <c r="G1973" s="33" t="s">
        <v>38</v>
      </c>
      <c r="H1973" s="33" t="s">
        <v>6016</v>
      </c>
      <c r="I1973" s="33" t="s">
        <v>46</v>
      </c>
      <c r="J1973" s="33" t="s">
        <v>40</v>
      </c>
    </row>
    <row r="1974" spans="1:12" hidden="1" x14ac:dyDescent="0.3">
      <c r="A1974" s="39">
        <v>46064.56454861111</v>
      </c>
      <c r="B1974" s="33" t="s">
        <v>42</v>
      </c>
      <c r="C1974" s="33">
        <v>91985176746</v>
      </c>
      <c r="E1974" s="33">
        <v>34</v>
      </c>
      <c r="F1974" s="33">
        <v>28</v>
      </c>
      <c r="G1974" s="33" t="s">
        <v>38</v>
      </c>
      <c r="H1974" s="33" t="s">
        <v>6017</v>
      </c>
      <c r="I1974" s="33" t="s">
        <v>46</v>
      </c>
      <c r="J1974" s="33" t="s">
        <v>40</v>
      </c>
    </row>
    <row r="1975" spans="1:12" x14ac:dyDescent="0.3">
      <c r="A1975" s="39">
        <v>46064.563888888886</v>
      </c>
      <c r="B1975" s="33">
        <v>6234347959</v>
      </c>
      <c r="C1975" s="33" t="s">
        <v>44</v>
      </c>
      <c r="D1975" s="33">
        <v>4430265054</v>
      </c>
      <c r="E1975" s="33">
        <v>219</v>
      </c>
      <c r="F1975" s="33">
        <v>156</v>
      </c>
      <c r="G1975" s="33" t="s">
        <v>38</v>
      </c>
      <c r="H1975" s="33" t="s">
        <v>4495</v>
      </c>
      <c r="I1975" s="33" t="s">
        <v>39</v>
      </c>
      <c r="J1975" s="33" t="s">
        <v>40</v>
      </c>
      <c r="K1975" s="33" t="s">
        <v>41</v>
      </c>
      <c r="L1975" s="33">
        <v>5</v>
      </c>
    </row>
    <row r="1976" spans="1:12" hidden="1" x14ac:dyDescent="0.3">
      <c r="A1976" s="39">
        <v>46064.56322916667</v>
      </c>
      <c r="B1976" s="33">
        <v>44991041123</v>
      </c>
      <c r="C1976" s="33" t="s">
        <v>45</v>
      </c>
      <c r="D1976" s="33">
        <v>4430265054</v>
      </c>
      <c r="E1976" s="33">
        <v>236</v>
      </c>
      <c r="F1976" s="33">
        <v>154</v>
      </c>
      <c r="G1976" s="33" t="s">
        <v>38</v>
      </c>
      <c r="H1976" s="33" t="s">
        <v>4496</v>
      </c>
      <c r="I1976" s="33" t="s">
        <v>39</v>
      </c>
      <c r="J1976" s="33" t="s">
        <v>40</v>
      </c>
      <c r="K1976" s="33" t="s">
        <v>41</v>
      </c>
      <c r="L1976" s="33">
        <v>5</v>
      </c>
    </row>
    <row r="1977" spans="1:12" hidden="1" x14ac:dyDescent="0.3">
      <c r="A1977" s="39">
        <v>46064.563125000001</v>
      </c>
      <c r="B1977" s="33">
        <v>4432522019</v>
      </c>
      <c r="C1977" s="33">
        <v>4430265054</v>
      </c>
      <c r="D1977" s="33">
        <v>4430265054</v>
      </c>
      <c r="E1977" s="33">
        <v>13</v>
      </c>
      <c r="F1977" s="33">
        <v>13</v>
      </c>
      <c r="G1977" s="33" t="s">
        <v>3449</v>
      </c>
      <c r="H1977" s="33" t="s">
        <v>6018</v>
      </c>
      <c r="I1977" s="33" t="s">
        <v>39</v>
      </c>
      <c r="J1977" s="33" t="s">
        <v>3451</v>
      </c>
    </row>
    <row r="1978" spans="1:12" hidden="1" x14ac:dyDescent="0.3">
      <c r="A1978" s="39">
        <v>46064.562094907407</v>
      </c>
      <c r="B1978" s="33">
        <v>4436249360</v>
      </c>
      <c r="C1978" s="33">
        <v>4430265054</v>
      </c>
      <c r="D1978" s="33">
        <v>4430265054</v>
      </c>
      <c r="E1978" s="33">
        <v>5</v>
      </c>
      <c r="F1978" s="33">
        <v>5</v>
      </c>
      <c r="G1978" s="33" t="s">
        <v>3449</v>
      </c>
      <c r="H1978" s="33" t="s">
        <v>6019</v>
      </c>
      <c r="I1978" s="33" t="s">
        <v>39</v>
      </c>
      <c r="J1978" s="33" t="s">
        <v>3451</v>
      </c>
    </row>
    <row r="1979" spans="1:12" hidden="1" x14ac:dyDescent="0.3">
      <c r="A1979" s="39">
        <v>46064.551921296297</v>
      </c>
      <c r="B1979" s="33">
        <v>4130760170</v>
      </c>
      <c r="C1979" s="33">
        <v>4430265054</v>
      </c>
      <c r="D1979" s="33">
        <v>4430265054</v>
      </c>
      <c r="E1979" s="33">
        <v>28</v>
      </c>
      <c r="F1979" s="33">
        <v>28</v>
      </c>
      <c r="G1979" s="33" t="s">
        <v>3449</v>
      </c>
      <c r="H1979" s="33" t="s">
        <v>6020</v>
      </c>
      <c r="I1979" s="33" t="s">
        <v>39</v>
      </c>
      <c r="J1979" s="33" t="s">
        <v>3451</v>
      </c>
    </row>
    <row r="1980" spans="1:12" hidden="1" x14ac:dyDescent="0.3">
      <c r="A1980" s="39">
        <v>46064.537395833337</v>
      </c>
      <c r="B1980" s="33">
        <v>12997611769</v>
      </c>
      <c r="C1980" s="33">
        <v>4430265054</v>
      </c>
      <c r="D1980" s="33">
        <v>4430265054</v>
      </c>
      <c r="E1980" s="33">
        <v>14</v>
      </c>
      <c r="F1980" s="33">
        <v>13</v>
      </c>
      <c r="G1980" s="33" t="s">
        <v>3449</v>
      </c>
      <c r="H1980" s="33" t="s">
        <v>6021</v>
      </c>
      <c r="I1980" s="33" t="s">
        <v>39</v>
      </c>
      <c r="J1980" s="33" t="s">
        <v>3451</v>
      </c>
    </row>
    <row r="1981" spans="1:12" hidden="1" x14ac:dyDescent="0.3">
      <c r="A1981" s="39">
        <v>46064.493171296293</v>
      </c>
      <c r="B1981" s="33">
        <v>4430289556</v>
      </c>
      <c r="C1981" s="33" t="s">
        <v>48</v>
      </c>
      <c r="D1981" s="33">
        <v>4430265054</v>
      </c>
      <c r="E1981" s="33">
        <v>211</v>
      </c>
      <c r="F1981" s="33">
        <v>210</v>
      </c>
      <c r="G1981" s="33" t="s">
        <v>38</v>
      </c>
      <c r="H1981" s="33" t="s">
        <v>4497</v>
      </c>
      <c r="I1981" s="33" t="s">
        <v>39</v>
      </c>
      <c r="J1981" s="33" t="s">
        <v>40</v>
      </c>
      <c r="K1981" s="33" t="s">
        <v>41</v>
      </c>
    </row>
    <row r="1982" spans="1:12" hidden="1" x14ac:dyDescent="0.3">
      <c r="A1982" s="39">
        <v>46064.492650462962</v>
      </c>
      <c r="B1982" s="33">
        <v>62981535978</v>
      </c>
      <c r="C1982" s="33" t="s">
        <v>44</v>
      </c>
      <c r="D1982" s="33">
        <v>4430265054</v>
      </c>
      <c r="E1982" s="33">
        <v>290</v>
      </c>
      <c r="F1982" s="33">
        <v>190</v>
      </c>
      <c r="G1982" s="33" t="s">
        <v>38</v>
      </c>
      <c r="H1982" s="33" t="s">
        <v>4498</v>
      </c>
      <c r="I1982" s="33" t="s">
        <v>39</v>
      </c>
      <c r="J1982" s="33" t="s">
        <v>40</v>
      </c>
      <c r="K1982" s="33" t="s">
        <v>41</v>
      </c>
    </row>
    <row r="1983" spans="1:12" hidden="1" x14ac:dyDescent="0.3">
      <c r="A1983" s="39">
        <v>46064.487881944442</v>
      </c>
      <c r="B1983" s="33">
        <v>43984040334</v>
      </c>
      <c r="C1983" s="33" t="s">
        <v>45</v>
      </c>
      <c r="D1983" s="33">
        <v>4430265054</v>
      </c>
      <c r="E1983" s="33">
        <v>1133</v>
      </c>
      <c r="F1983" s="33">
        <v>1068</v>
      </c>
      <c r="G1983" s="33" t="s">
        <v>38</v>
      </c>
      <c r="H1983" s="33" t="s">
        <v>4499</v>
      </c>
      <c r="I1983" s="33" t="s">
        <v>39</v>
      </c>
      <c r="J1983" s="33" t="s">
        <v>40</v>
      </c>
      <c r="K1983" s="33" t="s">
        <v>41</v>
      </c>
    </row>
    <row r="1984" spans="1:12" hidden="1" x14ac:dyDescent="0.3">
      <c r="A1984" s="39">
        <v>46064.487407407411</v>
      </c>
      <c r="B1984" s="33">
        <v>43999855301</v>
      </c>
      <c r="C1984" s="33" t="s">
        <v>37</v>
      </c>
      <c r="D1984" s="33">
        <v>4430265054</v>
      </c>
      <c r="E1984" s="33">
        <v>1082</v>
      </c>
      <c r="F1984" s="33">
        <v>1069</v>
      </c>
      <c r="G1984" s="33" t="s">
        <v>38</v>
      </c>
      <c r="H1984" s="33" t="s">
        <v>4500</v>
      </c>
      <c r="I1984" s="33" t="s">
        <v>39</v>
      </c>
      <c r="J1984" s="33" t="s">
        <v>40</v>
      </c>
      <c r="K1984" s="33" t="s">
        <v>41</v>
      </c>
      <c r="L1984" s="33">
        <v>5</v>
      </c>
    </row>
    <row r="1985" spans="1:12" hidden="1" x14ac:dyDescent="0.3">
      <c r="A1985" s="39">
        <v>46064.487187500003</v>
      </c>
      <c r="B1985" s="33">
        <v>1438160351</v>
      </c>
      <c r="C1985" s="33">
        <v>4430265054</v>
      </c>
      <c r="D1985" s="33">
        <v>4430265054</v>
      </c>
      <c r="E1985" s="33">
        <v>9</v>
      </c>
      <c r="F1985" s="33">
        <v>8</v>
      </c>
      <c r="G1985" s="33" t="s">
        <v>3449</v>
      </c>
      <c r="H1985" s="33" t="s">
        <v>6022</v>
      </c>
      <c r="I1985" s="33" t="s">
        <v>39</v>
      </c>
      <c r="J1985" s="33" t="s">
        <v>3451</v>
      </c>
    </row>
    <row r="1986" spans="1:12" hidden="1" x14ac:dyDescent="0.3">
      <c r="A1986" s="39">
        <v>46064.485069444447</v>
      </c>
      <c r="B1986" s="33">
        <v>11989293711</v>
      </c>
      <c r="C1986" s="33" t="s">
        <v>43</v>
      </c>
      <c r="D1986" s="33">
        <v>4430265054</v>
      </c>
      <c r="E1986" s="33">
        <v>531</v>
      </c>
      <c r="F1986" s="33">
        <v>431</v>
      </c>
      <c r="G1986" s="33" t="s">
        <v>38</v>
      </c>
      <c r="H1986" s="33" t="s">
        <v>4501</v>
      </c>
      <c r="I1986" s="33" t="s">
        <v>39</v>
      </c>
      <c r="J1986" s="33" t="s">
        <v>40</v>
      </c>
      <c r="K1986" s="33" t="s">
        <v>41</v>
      </c>
    </row>
    <row r="1987" spans="1:12" hidden="1" x14ac:dyDescent="0.3">
      <c r="A1987" s="39">
        <v>46064.484375</v>
      </c>
      <c r="B1987" s="33">
        <v>1131043888</v>
      </c>
      <c r="C1987" s="33">
        <v>4430265054</v>
      </c>
      <c r="D1987" s="33">
        <v>4430265054</v>
      </c>
      <c r="E1987" s="33">
        <v>36</v>
      </c>
      <c r="F1987" s="33">
        <v>35</v>
      </c>
      <c r="G1987" s="33" t="s">
        <v>3449</v>
      </c>
      <c r="H1987" s="33" t="s">
        <v>4502</v>
      </c>
      <c r="I1987" s="33" t="s">
        <v>39</v>
      </c>
      <c r="J1987" s="33" t="s">
        <v>3451</v>
      </c>
      <c r="K1987" s="33" t="s">
        <v>41</v>
      </c>
    </row>
    <row r="1988" spans="1:12" hidden="1" x14ac:dyDescent="0.3">
      <c r="A1988" s="39">
        <v>46064.483032407406</v>
      </c>
      <c r="B1988" s="33">
        <v>1131043888</v>
      </c>
      <c r="C1988" s="33" t="s">
        <v>43</v>
      </c>
      <c r="D1988" s="33">
        <v>4430265054</v>
      </c>
      <c r="E1988" s="33">
        <v>107</v>
      </c>
      <c r="F1988" s="33">
        <v>63</v>
      </c>
      <c r="G1988" s="33" t="s">
        <v>38</v>
      </c>
      <c r="H1988" s="33" t="s">
        <v>4503</v>
      </c>
      <c r="I1988" s="33" t="s">
        <v>39</v>
      </c>
      <c r="J1988" s="33" t="s">
        <v>40</v>
      </c>
      <c r="K1988" s="33" t="s">
        <v>41</v>
      </c>
    </row>
    <row r="1989" spans="1:12" hidden="1" x14ac:dyDescent="0.3">
      <c r="A1989" s="39">
        <v>46064.479050925926</v>
      </c>
      <c r="B1989" s="33">
        <v>4432541200</v>
      </c>
      <c r="C1989" s="33" t="s">
        <v>37</v>
      </c>
      <c r="D1989" s="33">
        <v>4430265054</v>
      </c>
      <c r="E1989" s="33">
        <v>401</v>
      </c>
      <c r="F1989" s="33">
        <v>382</v>
      </c>
      <c r="G1989" s="33" t="s">
        <v>38</v>
      </c>
      <c r="H1989" s="33" t="s">
        <v>4504</v>
      </c>
      <c r="I1989" s="33" t="s">
        <v>39</v>
      </c>
      <c r="J1989" s="33" t="s">
        <v>40</v>
      </c>
      <c r="K1989" s="33" t="s">
        <v>41</v>
      </c>
      <c r="L1989" s="33">
        <v>5</v>
      </c>
    </row>
    <row r="1990" spans="1:12" hidden="1" x14ac:dyDescent="0.3">
      <c r="A1990" s="39">
        <v>46064.478206018517</v>
      </c>
      <c r="B1990" s="33">
        <v>91985176746</v>
      </c>
      <c r="C1990" s="33" t="s">
        <v>42</v>
      </c>
      <c r="D1990" s="33">
        <v>4430265054</v>
      </c>
      <c r="E1990" s="33">
        <v>1834</v>
      </c>
      <c r="F1990" s="33">
        <v>1808</v>
      </c>
      <c r="G1990" s="33" t="s">
        <v>38</v>
      </c>
      <c r="H1990" s="33" t="s">
        <v>4505</v>
      </c>
      <c r="I1990" s="33" t="s">
        <v>39</v>
      </c>
      <c r="J1990" s="33" t="s">
        <v>40</v>
      </c>
      <c r="K1990" s="33" t="s">
        <v>41</v>
      </c>
    </row>
    <row r="1991" spans="1:12" hidden="1" x14ac:dyDescent="0.3">
      <c r="A1991" s="39">
        <v>46064.477627314816</v>
      </c>
      <c r="B1991" s="33" t="s">
        <v>37</v>
      </c>
      <c r="C1991" s="33">
        <v>4434231198</v>
      </c>
      <c r="E1991" s="33">
        <v>8</v>
      </c>
      <c r="F1991" s="33">
        <v>0</v>
      </c>
      <c r="G1991" s="33" t="s">
        <v>47</v>
      </c>
      <c r="H1991" s="33" t="s">
        <v>6023</v>
      </c>
      <c r="I1991" s="33" t="s">
        <v>46</v>
      </c>
      <c r="J1991" s="33" t="s">
        <v>40</v>
      </c>
    </row>
    <row r="1992" spans="1:12" hidden="1" x14ac:dyDescent="0.3">
      <c r="A1992" s="39">
        <v>46064.475578703707</v>
      </c>
      <c r="B1992" s="33" t="s">
        <v>3627</v>
      </c>
      <c r="C1992" s="33">
        <v>53991871917</v>
      </c>
      <c r="E1992" s="33">
        <v>9</v>
      </c>
      <c r="F1992" s="33">
        <v>0</v>
      </c>
      <c r="G1992" s="33" t="s">
        <v>47</v>
      </c>
      <c r="H1992" s="33" t="s">
        <v>6024</v>
      </c>
      <c r="I1992" s="33" t="s">
        <v>46</v>
      </c>
      <c r="J1992" s="33" t="s">
        <v>3629</v>
      </c>
    </row>
    <row r="1993" spans="1:12" hidden="1" x14ac:dyDescent="0.3">
      <c r="A1993" s="39">
        <v>46064.474629629629</v>
      </c>
      <c r="B1993" s="33">
        <v>91985176746</v>
      </c>
      <c r="C1993" s="33" t="s">
        <v>5173</v>
      </c>
      <c r="D1993" s="33">
        <v>4430265054</v>
      </c>
      <c r="E1993" s="33">
        <v>94</v>
      </c>
      <c r="F1993" s="33">
        <v>69</v>
      </c>
      <c r="G1993" s="33" t="s">
        <v>38</v>
      </c>
      <c r="H1993" s="33" t="s">
        <v>6025</v>
      </c>
      <c r="I1993" s="33" t="s">
        <v>39</v>
      </c>
      <c r="J1993" s="33" t="s">
        <v>3629</v>
      </c>
      <c r="K1993" s="33" t="s">
        <v>50</v>
      </c>
    </row>
    <row r="1994" spans="1:12" hidden="1" x14ac:dyDescent="0.3">
      <c r="A1994" s="39">
        <v>46064.473078703704</v>
      </c>
      <c r="B1994" s="33">
        <v>67996356530</v>
      </c>
      <c r="C1994" s="33">
        <v>4430265054</v>
      </c>
      <c r="D1994" s="33">
        <v>4430265054</v>
      </c>
      <c r="E1994" s="33">
        <v>19</v>
      </c>
      <c r="F1994" s="33">
        <v>19</v>
      </c>
      <c r="G1994" s="33" t="s">
        <v>3449</v>
      </c>
      <c r="H1994" s="33" t="s">
        <v>6026</v>
      </c>
      <c r="I1994" s="33" t="s">
        <v>39</v>
      </c>
      <c r="J1994" s="33" t="s">
        <v>3451</v>
      </c>
    </row>
    <row r="1995" spans="1:12" hidden="1" x14ac:dyDescent="0.3">
      <c r="A1995" s="39">
        <v>46064.468240740738</v>
      </c>
      <c r="B1995" s="33">
        <v>4434239353</v>
      </c>
      <c r="C1995" s="33" t="s">
        <v>45</v>
      </c>
      <c r="D1995" s="33">
        <v>4430265054</v>
      </c>
      <c r="E1995" s="33">
        <v>1357</v>
      </c>
      <c r="F1995" s="33">
        <v>1299</v>
      </c>
      <c r="G1995" s="33" t="s">
        <v>38</v>
      </c>
      <c r="H1995" s="33" t="s">
        <v>4506</v>
      </c>
      <c r="I1995" s="33" t="s">
        <v>39</v>
      </c>
      <c r="J1995" s="33" t="s">
        <v>40</v>
      </c>
      <c r="K1995" s="33" t="s">
        <v>41</v>
      </c>
    </row>
    <row r="1996" spans="1:12" hidden="1" x14ac:dyDescent="0.3">
      <c r="A1996" s="39">
        <v>46064.466284722221</v>
      </c>
      <c r="B1996" s="33">
        <v>44988303530</v>
      </c>
      <c r="C1996" s="33" t="s">
        <v>43</v>
      </c>
      <c r="D1996" s="33">
        <v>4430265054</v>
      </c>
      <c r="E1996" s="33">
        <v>1081</v>
      </c>
      <c r="F1996" s="33">
        <v>909</v>
      </c>
      <c r="G1996" s="33" t="s">
        <v>38</v>
      </c>
      <c r="H1996" s="33" t="s">
        <v>4507</v>
      </c>
      <c r="I1996" s="33" t="s">
        <v>39</v>
      </c>
      <c r="J1996" s="33" t="s">
        <v>40</v>
      </c>
      <c r="K1996" s="33" t="s">
        <v>41</v>
      </c>
    </row>
    <row r="1997" spans="1:12" hidden="1" x14ac:dyDescent="0.3">
      <c r="A1997" s="39">
        <v>46064.465949074074</v>
      </c>
      <c r="B1997" s="33">
        <v>4430451163</v>
      </c>
      <c r="C1997" s="33" t="s">
        <v>42</v>
      </c>
      <c r="D1997" s="33">
        <v>4430265054</v>
      </c>
      <c r="E1997" s="33">
        <v>161</v>
      </c>
      <c r="F1997" s="33">
        <v>21</v>
      </c>
      <c r="G1997" s="33" t="s">
        <v>38</v>
      </c>
      <c r="H1997" s="33" t="s">
        <v>4508</v>
      </c>
      <c r="I1997" s="33" t="s">
        <v>39</v>
      </c>
      <c r="J1997" s="33" t="s">
        <v>40</v>
      </c>
      <c r="K1997" s="33" t="s">
        <v>41</v>
      </c>
    </row>
    <row r="1998" spans="1:12" hidden="1" x14ac:dyDescent="0.3">
      <c r="A1998" s="39">
        <v>46064.464583333334</v>
      </c>
      <c r="B1998" s="33" t="s">
        <v>3627</v>
      </c>
      <c r="C1998" s="33">
        <v>3232157661</v>
      </c>
      <c r="E1998" s="33">
        <v>21</v>
      </c>
      <c r="F1998" s="33">
        <v>0</v>
      </c>
      <c r="G1998" s="33" t="s">
        <v>47</v>
      </c>
      <c r="H1998" s="33" t="s">
        <v>6027</v>
      </c>
      <c r="I1998" s="33" t="s">
        <v>46</v>
      </c>
      <c r="J1998" s="33" t="s">
        <v>3629</v>
      </c>
    </row>
    <row r="1999" spans="1:12" hidden="1" x14ac:dyDescent="0.3">
      <c r="A1999" s="39">
        <v>46064.464479166665</v>
      </c>
      <c r="B1999" s="33">
        <v>4436291247</v>
      </c>
      <c r="C1999" s="33" t="s">
        <v>37</v>
      </c>
      <c r="D1999" s="33">
        <v>4430265054</v>
      </c>
      <c r="E1999" s="33">
        <v>668</v>
      </c>
      <c r="F1999" s="33">
        <v>652</v>
      </c>
      <c r="G1999" s="33" t="s">
        <v>38</v>
      </c>
      <c r="H1999" s="33" t="s">
        <v>4509</v>
      </c>
      <c r="I1999" s="33" t="s">
        <v>39</v>
      </c>
      <c r="J1999" s="33" t="s">
        <v>40</v>
      </c>
      <c r="K1999" s="33" t="s">
        <v>41</v>
      </c>
      <c r="L1999" s="33">
        <v>5</v>
      </c>
    </row>
    <row r="2000" spans="1:12" hidden="1" x14ac:dyDescent="0.3">
      <c r="A2000" s="39">
        <v>46064.462476851855</v>
      </c>
      <c r="B2000" s="33">
        <v>44988303530</v>
      </c>
      <c r="C2000" s="33">
        <v>4430265054</v>
      </c>
      <c r="D2000" s="33">
        <v>4430265054</v>
      </c>
      <c r="E2000" s="33">
        <v>91</v>
      </c>
      <c r="F2000" s="33">
        <v>91</v>
      </c>
      <c r="G2000" s="33" t="s">
        <v>3449</v>
      </c>
      <c r="H2000" s="33" t="s">
        <v>4510</v>
      </c>
      <c r="I2000" s="33" t="s">
        <v>39</v>
      </c>
      <c r="J2000" s="33" t="s">
        <v>3451</v>
      </c>
      <c r="K2000" s="33" t="s">
        <v>41</v>
      </c>
    </row>
    <row r="2001" spans="1:12" hidden="1" x14ac:dyDescent="0.3">
      <c r="A2001" s="39">
        <v>46064.459467592591</v>
      </c>
      <c r="B2001" s="33">
        <v>44997438006</v>
      </c>
      <c r="C2001" s="33" t="s">
        <v>42</v>
      </c>
      <c r="D2001" s="33">
        <v>4430265054</v>
      </c>
      <c r="E2001" s="33">
        <v>365</v>
      </c>
      <c r="F2001" s="33">
        <v>327</v>
      </c>
      <c r="G2001" s="33" t="s">
        <v>38</v>
      </c>
      <c r="H2001" s="33" t="s">
        <v>4511</v>
      </c>
      <c r="I2001" s="33" t="s">
        <v>39</v>
      </c>
      <c r="J2001" s="33" t="s">
        <v>40</v>
      </c>
      <c r="K2001" s="33" t="s">
        <v>41</v>
      </c>
    </row>
    <row r="2002" spans="1:12" hidden="1" x14ac:dyDescent="0.3">
      <c r="A2002" s="39">
        <v>46064.45894675926</v>
      </c>
      <c r="B2002" s="33">
        <v>44988303530</v>
      </c>
      <c r="C2002" s="33">
        <v>4430265054</v>
      </c>
      <c r="D2002" s="33">
        <v>4430265054</v>
      </c>
      <c r="E2002" s="33">
        <v>217</v>
      </c>
      <c r="F2002" s="33">
        <v>216</v>
      </c>
      <c r="G2002" s="33" t="s">
        <v>3449</v>
      </c>
      <c r="H2002" s="33" t="s">
        <v>4512</v>
      </c>
      <c r="I2002" s="33" t="s">
        <v>39</v>
      </c>
      <c r="J2002" s="33" t="s">
        <v>3451</v>
      </c>
      <c r="K2002" s="33" t="s">
        <v>41</v>
      </c>
    </row>
    <row r="2003" spans="1:12" hidden="1" x14ac:dyDescent="0.3">
      <c r="A2003" s="39">
        <v>46064.457754629628</v>
      </c>
      <c r="B2003" s="33">
        <v>44997438006</v>
      </c>
      <c r="C2003" s="33" t="s">
        <v>42</v>
      </c>
      <c r="D2003" s="33">
        <v>4430265054</v>
      </c>
      <c r="E2003" s="33">
        <v>132</v>
      </c>
      <c r="F2003" s="33">
        <v>34</v>
      </c>
      <c r="G2003" s="33" t="s">
        <v>38</v>
      </c>
      <c r="H2003" s="33" t="s">
        <v>4513</v>
      </c>
      <c r="I2003" s="33" t="s">
        <v>39</v>
      </c>
      <c r="J2003" s="33" t="s">
        <v>40</v>
      </c>
      <c r="K2003" s="33" t="s">
        <v>41</v>
      </c>
    </row>
    <row r="2004" spans="1:12" x14ac:dyDescent="0.3">
      <c r="A2004" s="39">
        <v>46064.457048611112</v>
      </c>
      <c r="B2004" s="33">
        <v>43999855301</v>
      </c>
      <c r="C2004" s="33" t="s">
        <v>44</v>
      </c>
      <c r="D2004" s="33">
        <v>4430265054</v>
      </c>
      <c r="E2004" s="33">
        <v>1586</v>
      </c>
      <c r="F2004" s="33">
        <v>1552</v>
      </c>
      <c r="G2004" s="33" t="s">
        <v>38</v>
      </c>
      <c r="H2004" s="33" t="s">
        <v>4514</v>
      </c>
      <c r="I2004" s="33" t="s">
        <v>39</v>
      </c>
      <c r="J2004" s="33" t="s">
        <v>40</v>
      </c>
      <c r="K2004" s="33" t="s">
        <v>41</v>
      </c>
      <c r="L2004" s="33">
        <v>5</v>
      </c>
    </row>
    <row r="2005" spans="1:12" hidden="1" x14ac:dyDescent="0.3">
      <c r="A2005" s="39">
        <v>46064.454953703702</v>
      </c>
      <c r="B2005" s="33">
        <v>43999855301</v>
      </c>
      <c r="C2005" s="33" t="s">
        <v>44</v>
      </c>
      <c r="D2005" s="33">
        <v>4430265054</v>
      </c>
      <c r="E2005" s="33">
        <v>138</v>
      </c>
      <c r="F2005" s="33">
        <v>3</v>
      </c>
      <c r="G2005" s="33" t="s">
        <v>38</v>
      </c>
      <c r="H2005" s="33" t="s">
        <v>4515</v>
      </c>
      <c r="I2005" s="33" t="s">
        <v>39</v>
      </c>
      <c r="J2005" s="33" t="s">
        <v>40</v>
      </c>
      <c r="K2005" s="33" t="s">
        <v>41</v>
      </c>
    </row>
    <row r="2006" spans="1:12" hidden="1" x14ac:dyDescent="0.3">
      <c r="A2006" s="39">
        <v>46064.454872685186</v>
      </c>
      <c r="B2006" s="33">
        <v>4432524636</v>
      </c>
      <c r="C2006" s="33" t="s">
        <v>43</v>
      </c>
      <c r="D2006" s="33">
        <v>4430265054</v>
      </c>
      <c r="E2006" s="33">
        <v>1009</v>
      </c>
      <c r="F2006" s="33">
        <v>968</v>
      </c>
      <c r="G2006" s="33" t="s">
        <v>38</v>
      </c>
      <c r="H2006" s="33" t="s">
        <v>4516</v>
      </c>
      <c r="I2006" s="33" t="s">
        <v>39</v>
      </c>
      <c r="J2006" s="33" t="s">
        <v>40</v>
      </c>
      <c r="K2006" s="33" t="s">
        <v>41</v>
      </c>
    </row>
    <row r="2007" spans="1:12" hidden="1" x14ac:dyDescent="0.3">
      <c r="A2007" s="39">
        <v>46064.45349537037</v>
      </c>
      <c r="B2007" s="33">
        <v>44997079838</v>
      </c>
      <c r="C2007" s="33" t="s">
        <v>42</v>
      </c>
      <c r="D2007" s="33">
        <v>4430265054</v>
      </c>
      <c r="E2007" s="33">
        <v>234</v>
      </c>
      <c r="F2007" s="33">
        <v>182</v>
      </c>
      <c r="G2007" s="33" t="s">
        <v>38</v>
      </c>
      <c r="H2007" s="33" t="s">
        <v>4517</v>
      </c>
      <c r="I2007" s="33" t="s">
        <v>39</v>
      </c>
      <c r="J2007" s="33" t="s">
        <v>40</v>
      </c>
      <c r="K2007" s="33" t="s">
        <v>41</v>
      </c>
    </row>
    <row r="2008" spans="1:12" hidden="1" x14ac:dyDescent="0.3">
      <c r="A2008" s="39">
        <v>46064.451805555553</v>
      </c>
      <c r="B2008" s="33" t="s">
        <v>3627</v>
      </c>
      <c r="C2008" s="33">
        <v>51983385241</v>
      </c>
      <c r="E2008" s="33">
        <v>19</v>
      </c>
      <c r="F2008" s="33">
        <v>3</v>
      </c>
      <c r="G2008" s="33" t="s">
        <v>38</v>
      </c>
      <c r="H2008" s="33" t="s">
        <v>6028</v>
      </c>
      <c r="I2008" s="33" t="s">
        <v>46</v>
      </c>
      <c r="J2008" s="33" t="s">
        <v>3629</v>
      </c>
    </row>
    <row r="2009" spans="1:12" hidden="1" x14ac:dyDescent="0.3">
      <c r="A2009" s="39">
        <v>46064.450104166666</v>
      </c>
      <c r="B2009" s="33">
        <v>4434231198</v>
      </c>
      <c r="C2009" s="33" t="s">
        <v>37</v>
      </c>
      <c r="D2009" s="33">
        <v>4430265054</v>
      </c>
      <c r="E2009" s="33">
        <v>731</v>
      </c>
      <c r="F2009" s="33">
        <v>714</v>
      </c>
      <c r="G2009" s="33" t="s">
        <v>38</v>
      </c>
      <c r="H2009" s="33" t="s">
        <v>4518</v>
      </c>
      <c r="I2009" s="33" t="s">
        <v>39</v>
      </c>
      <c r="J2009" s="33" t="s">
        <v>40</v>
      </c>
      <c r="K2009" s="33" t="s">
        <v>41</v>
      </c>
    </row>
    <row r="2010" spans="1:12" hidden="1" x14ac:dyDescent="0.3">
      <c r="A2010" s="39">
        <v>46064.449571759258</v>
      </c>
      <c r="B2010" s="33">
        <v>44999571792</v>
      </c>
      <c r="C2010" s="33" t="s">
        <v>48</v>
      </c>
      <c r="D2010" s="33">
        <v>4430265054</v>
      </c>
      <c r="E2010" s="33">
        <v>1550</v>
      </c>
      <c r="F2010" s="33">
        <v>1549</v>
      </c>
      <c r="G2010" s="33" t="s">
        <v>38</v>
      </c>
      <c r="H2010" s="33" t="s">
        <v>4519</v>
      </c>
      <c r="I2010" s="33" t="s">
        <v>39</v>
      </c>
      <c r="J2010" s="33" t="s">
        <v>40</v>
      </c>
      <c r="K2010" s="33" t="s">
        <v>41</v>
      </c>
    </row>
    <row r="2011" spans="1:12" hidden="1" x14ac:dyDescent="0.3">
      <c r="A2011" s="39">
        <v>46064.44798611111</v>
      </c>
      <c r="B2011" s="33" t="s">
        <v>3627</v>
      </c>
      <c r="C2011" s="33">
        <v>21964354049</v>
      </c>
      <c r="E2011" s="33">
        <v>6</v>
      </c>
      <c r="F2011" s="33">
        <v>3</v>
      </c>
      <c r="G2011" s="33" t="s">
        <v>38</v>
      </c>
      <c r="H2011" s="33" t="s">
        <v>6029</v>
      </c>
      <c r="I2011" s="33" t="s">
        <v>46</v>
      </c>
      <c r="J2011" s="33" t="s">
        <v>3629</v>
      </c>
    </row>
    <row r="2012" spans="1:12" hidden="1" x14ac:dyDescent="0.3">
      <c r="A2012" s="39">
        <v>46064.447488425925</v>
      </c>
      <c r="B2012" s="33">
        <v>1131043888</v>
      </c>
      <c r="C2012" s="33">
        <v>4430265054</v>
      </c>
      <c r="D2012" s="33">
        <v>4430265054</v>
      </c>
      <c r="E2012" s="33">
        <v>75</v>
      </c>
      <c r="F2012" s="33">
        <v>74</v>
      </c>
      <c r="G2012" s="33" t="s">
        <v>3449</v>
      </c>
      <c r="H2012" s="33" t="s">
        <v>4520</v>
      </c>
      <c r="I2012" s="33" t="s">
        <v>39</v>
      </c>
      <c r="J2012" s="33" t="s">
        <v>3451</v>
      </c>
      <c r="K2012" s="33" t="s">
        <v>41</v>
      </c>
    </row>
    <row r="2013" spans="1:12" hidden="1" x14ac:dyDescent="0.3">
      <c r="A2013" s="39">
        <v>46064.443229166667</v>
      </c>
      <c r="B2013" s="33">
        <v>4436351414</v>
      </c>
      <c r="C2013" s="33" t="s">
        <v>43</v>
      </c>
      <c r="D2013" s="33">
        <v>4430265054</v>
      </c>
      <c r="E2013" s="33">
        <v>878</v>
      </c>
      <c r="F2013" s="33">
        <v>790</v>
      </c>
      <c r="G2013" s="33" t="s">
        <v>38</v>
      </c>
      <c r="H2013" s="33" t="s">
        <v>4521</v>
      </c>
      <c r="I2013" s="33" t="s">
        <v>39</v>
      </c>
      <c r="J2013" s="33" t="s">
        <v>40</v>
      </c>
      <c r="K2013" s="33" t="s">
        <v>41</v>
      </c>
    </row>
    <row r="2014" spans="1:12" hidden="1" x14ac:dyDescent="0.3">
      <c r="A2014" s="39">
        <v>46064.442476851851</v>
      </c>
      <c r="B2014" s="33">
        <v>4430450103</v>
      </c>
      <c r="C2014" s="33" t="s">
        <v>45</v>
      </c>
      <c r="D2014" s="33">
        <v>4430265054</v>
      </c>
      <c r="E2014" s="33">
        <v>1812</v>
      </c>
      <c r="F2014" s="33">
        <v>1784</v>
      </c>
      <c r="G2014" s="33" t="s">
        <v>38</v>
      </c>
      <c r="H2014" s="33" t="s">
        <v>4522</v>
      </c>
      <c r="I2014" s="33" t="s">
        <v>39</v>
      </c>
      <c r="J2014" s="33" t="s">
        <v>40</v>
      </c>
      <c r="K2014" s="33" t="s">
        <v>41</v>
      </c>
      <c r="L2014" s="33">
        <v>5</v>
      </c>
    </row>
    <row r="2015" spans="1:12" hidden="1" x14ac:dyDescent="0.3">
      <c r="A2015" s="39">
        <v>46064.437685185185</v>
      </c>
      <c r="B2015" s="33">
        <v>16997190170</v>
      </c>
      <c r="C2015" s="33" t="s">
        <v>44</v>
      </c>
      <c r="D2015" s="33">
        <v>4430265054</v>
      </c>
      <c r="E2015" s="33">
        <v>1001</v>
      </c>
      <c r="F2015" s="33">
        <v>774</v>
      </c>
      <c r="G2015" s="33" t="s">
        <v>38</v>
      </c>
      <c r="H2015" s="33" t="s">
        <v>4523</v>
      </c>
      <c r="I2015" s="33" t="s">
        <v>39</v>
      </c>
      <c r="J2015" s="33" t="s">
        <v>40</v>
      </c>
      <c r="K2015" s="33" t="s">
        <v>41</v>
      </c>
    </row>
    <row r="2016" spans="1:12" hidden="1" x14ac:dyDescent="0.3">
      <c r="A2016" s="39">
        <v>46064.422627314816</v>
      </c>
      <c r="B2016" s="33">
        <v>4133491428</v>
      </c>
      <c r="C2016" s="33" t="s">
        <v>44</v>
      </c>
      <c r="D2016" s="33">
        <v>4430265054</v>
      </c>
      <c r="E2016" s="33">
        <v>1070</v>
      </c>
      <c r="F2016" s="33">
        <v>958</v>
      </c>
      <c r="G2016" s="33" t="s">
        <v>38</v>
      </c>
      <c r="H2016" s="33" t="s">
        <v>4524</v>
      </c>
      <c r="I2016" s="33" t="s">
        <v>39</v>
      </c>
      <c r="J2016" s="33" t="s">
        <v>40</v>
      </c>
      <c r="K2016" s="33" t="s">
        <v>41</v>
      </c>
    </row>
    <row r="2017" spans="1:12" hidden="1" x14ac:dyDescent="0.3">
      <c r="A2017" s="39">
        <v>46064.420034722221</v>
      </c>
      <c r="B2017" s="33" t="s">
        <v>44</v>
      </c>
      <c r="C2017" s="33">
        <v>4133491428</v>
      </c>
      <c r="E2017" s="33">
        <v>1</v>
      </c>
      <c r="F2017" s="33">
        <v>0</v>
      </c>
      <c r="G2017" s="33" t="s">
        <v>47</v>
      </c>
      <c r="H2017" s="33" t="s">
        <v>6030</v>
      </c>
      <c r="I2017" s="33" t="s">
        <v>46</v>
      </c>
      <c r="J2017" s="33" t="s">
        <v>40</v>
      </c>
    </row>
    <row r="2018" spans="1:12" hidden="1" x14ac:dyDescent="0.3">
      <c r="A2018" s="39">
        <v>46064.419849537036</v>
      </c>
      <c r="B2018" s="33">
        <v>4430414545</v>
      </c>
      <c r="C2018" s="33" t="s">
        <v>45</v>
      </c>
      <c r="D2018" s="33">
        <v>4430265054</v>
      </c>
      <c r="E2018" s="33">
        <v>319</v>
      </c>
      <c r="F2018" s="33">
        <v>300</v>
      </c>
      <c r="G2018" s="33" t="s">
        <v>38</v>
      </c>
      <c r="H2018" s="33" t="s">
        <v>4525</v>
      </c>
      <c r="I2018" s="33" t="s">
        <v>39</v>
      </c>
      <c r="J2018" s="33" t="s">
        <v>40</v>
      </c>
      <c r="K2018" s="33" t="s">
        <v>41</v>
      </c>
    </row>
    <row r="2019" spans="1:12" hidden="1" x14ac:dyDescent="0.3">
      <c r="A2019" s="39">
        <v>46064.416238425925</v>
      </c>
      <c r="B2019" s="33">
        <v>44988303530</v>
      </c>
      <c r="C2019" s="33" t="s">
        <v>43</v>
      </c>
      <c r="D2019" s="33">
        <v>4430265054</v>
      </c>
      <c r="E2019" s="33">
        <v>1384</v>
      </c>
      <c r="F2019" s="33">
        <v>1340</v>
      </c>
      <c r="G2019" s="33" t="s">
        <v>38</v>
      </c>
      <c r="H2019" s="33" t="s">
        <v>4526</v>
      </c>
      <c r="I2019" s="33" t="s">
        <v>39</v>
      </c>
      <c r="J2019" s="33" t="s">
        <v>40</v>
      </c>
      <c r="K2019" s="33" t="s">
        <v>41</v>
      </c>
    </row>
    <row r="2020" spans="1:12" hidden="1" x14ac:dyDescent="0.3">
      <c r="A2020" s="39">
        <v>46064.412291666667</v>
      </c>
      <c r="B2020" s="33">
        <v>41999865917</v>
      </c>
      <c r="C2020" s="33" t="s">
        <v>37</v>
      </c>
      <c r="D2020" s="33">
        <v>4430265054</v>
      </c>
      <c r="E2020" s="33">
        <v>873</v>
      </c>
      <c r="F2020" s="33">
        <v>797</v>
      </c>
      <c r="G2020" s="33" t="s">
        <v>38</v>
      </c>
      <c r="H2020" s="33" t="s">
        <v>4527</v>
      </c>
      <c r="I2020" s="33" t="s">
        <v>39</v>
      </c>
      <c r="J2020" s="33" t="s">
        <v>40</v>
      </c>
      <c r="K2020" s="33" t="s">
        <v>41</v>
      </c>
      <c r="L2020" s="33">
        <v>5</v>
      </c>
    </row>
    <row r="2021" spans="1:12" hidden="1" x14ac:dyDescent="0.3">
      <c r="A2021" s="39">
        <v>46064.412141203706</v>
      </c>
      <c r="B2021" s="33">
        <v>4432272377</v>
      </c>
      <c r="C2021" s="33" t="s">
        <v>43</v>
      </c>
      <c r="D2021" s="33">
        <v>4430265054</v>
      </c>
      <c r="E2021" s="33">
        <v>319</v>
      </c>
      <c r="F2021" s="33">
        <v>273</v>
      </c>
      <c r="G2021" s="33" t="s">
        <v>38</v>
      </c>
      <c r="H2021" s="33" t="s">
        <v>4528</v>
      </c>
      <c r="I2021" s="33" t="s">
        <v>39</v>
      </c>
      <c r="J2021" s="33" t="s">
        <v>40</v>
      </c>
      <c r="K2021" s="33" t="s">
        <v>41</v>
      </c>
      <c r="L2021" s="33">
        <v>5</v>
      </c>
    </row>
    <row r="2022" spans="1:12" hidden="1" x14ac:dyDescent="0.3">
      <c r="A2022" s="39">
        <v>46064.411261574074</v>
      </c>
      <c r="B2022" s="33">
        <v>4133491428</v>
      </c>
      <c r="C2022" s="33" t="s">
        <v>44</v>
      </c>
      <c r="D2022" s="33">
        <v>4430265054</v>
      </c>
      <c r="E2022" s="33">
        <v>762</v>
      </c>
      <c r="F2022" s="33">
        <v>732</v>
      </c>
      <c r="G2022" s="33" t="s">
        <v>38</v>
      </c>
      <c r="H2022" s="33" t="s">
        <v>4529</v>
      </c>
      <c r="I2022" s="33" t="s">
        <v>39</v>
      </c>
      <c r="J2022" s="33" t="s">
        <v>40</v>
      </c>
      <c r="K2022" s="33" t="s">
        <v>41</v>
      </c>
    </row>
    <row r="2023" spans="1:12" hidden="1" x14ac:dyDescent="0.3">
      <c r="A2023" s="39">
        <v>46064.410729166666</v>
      </c>
      <c r="B2023" s="33">
        <v>4133491428</v>
      </c>
      <c r="C2023" s="33">
        <v>4430265054</v>
      </c>
      <c r="D2023" s="33">
        <v>4430265054</v>
      </c>
      <c r="E2023" s="33">
        <v>7</v>
      </c>
      <c r="F2023" s="33">
        <v>7</v>
      </c>
      <c r="G2023" s="33" t="s">
        <v>3449</v>
      </c>
      <c r="H2023" s="33" t="s">
        <v>6031</v>
      </c>
      <c r="I2023" s="33" t="s">
        <v>39</v>
      </c>
      <c r="J2023" s="33" t="s">
        <v>3451</v>
      </c>
    </row>
    <row r="2024" spans="1:12" hidden="1" x14ac:dyDescent="0.3">
      <c r="A2024" s="39">
        <v>46064.408692129633</v>
      </c>
      <c r="B2024" s="33">
        <v>44997079838</v>
      </c>
      <c r="C2024" s="33" t="s">
        <v>42</v>
      </c>
      <c r="D2024" s="33">
        <v>4430265054</v>
      </c>
      <c r="E2024" s="33">
        <v>1929</v>
      </c>
      <c r="F2024" s="33">
        <v>1857</v>
      </c>
      <c r="G2024" s="33" t="s">
        <v>38</v>
      </c>
      <c r="H2024" s="33" t="s">
        <v>4530</v>
      </c>
      <c r="I2024" s="33" t="s">
        <v>39</v>
      </c>
      <c r="J2024" s="33" t="s">
        <v>40</v>
      </c>
      <c r="K2024" s="33" t="s">
        <v>41</v>
      </c>
    </row>
    <row r="2025" spans="1:12" hidden="1" x14ac:dyDescent="0.3">
      <c r="A2025" s="39">
        <v>46064.40457175926</v>
      </c>
      <c r="B2025" s="33">
        <v>1143744993</v>
      </c>
      <c r="C2025" s="33" t="s">
        <v>37</v>
      </c>
      <c r="D2025" s="33">
        <v>4431268225</v>
      </c>
      <c r="E2025" s="33">
        <v>493</v>
      </c>
      <c r="F2025" s="33">
        <v>412</v>
      </c>
      <c r="G2025" s="33" t="s">
        <v>38</v>
      </c>
      <c r="H2025" s="33" t="s">
        <v>4531</v>
      </c>
      <c r="I2025" s="33" t="s">
        <v>39</v>
      </c>
      <c r="J2025" s="33" t="s">
        <v>40</v>
      </c>
      <c r="K2025" s="33" t="s">
        <v>41</v>
      </c>
    </row>
    <row r="2026" spans="1:12" hidden="1" x14ac:dyDescent="0.3">
      <c r="A2026" s="39">
        <v>46064.40221064815</v>
      </c>
      <c r="B2026" s="33" t="s">
        <v>42</v>
      </c>
      <c r="C2026" s="33">
        <v>4430284942</v>
      </c>
      <c r="E2026" s="33">
        <v>376</v>
      </c>
      <c r="F2026" s="33">
        <v>365</v>
      </c>
      <c r="G2026" s="33" t="s">
        <v>38</v>
      </c>
      <c r="H2026" s="33" t="s">
        <v>6032</v>
      </c>
      <c r="I2026" s="33" t="s">
        <v>46</v>
      </c>
      <c r="J2026" s="33" t="s">
        <v>40</v>
      </c>
    </row>
    <row r="2027" spans="1:12" hidden="1" x14ac:dyDescent="0.3">
      <c r="A2027" s="39">
        <v>46064.397592592592</v>
      </c>
      <c r="B2027" s="33">
        <v>44988300360</v>
      </c>
      <c r="C2027" s="33" t="s">
        <v>43</v>
      </c>
      <c r="D2027" s="33">
        <v>4430265054</v>
      </c>
      <c r="E2027" s="33">
        <v>612</v>
      </c>
      <c r="F2027" s="33">
        <v>584</v>
      </c>
      <c r="G2027" s="33" t="s">
        <v>38</v>
      </c>
      <c r="H2027" s="33" t="s">
        <v>4532</v>
      </c>
      <c r="I2027" s="33" t="s">
        <v>39</v>
      </c>
      <c r="J2027" s="33" t="s">
        <v>40</v>
      </c>
      <c r="K2027" s="33" t="s">
        <v>41</v>
      </c>
    </row>
    <row r="2028" spans="1:12" x14ac:dyDescent="0.3">
      <c r="A2028" s="39">
        <v>46064.39738425926</v>
      </c>
      <c r="B2028" s="33">
        <v>44984580001</v>
      </c>
      <c r="C2028" s="33" t="s">
        <v>44</v>
      </c>
      <c r="D2028" s="33">
        <v>4430265054</v>
      </c>
      <c r="E2028" s="33">
        <v>636</v>
      </c>
      <c r="F2028" s="33">
        <v>606</v>
      </c>
      <c r="G2028" s="33" t="s">
        <v>38</v>
      </c>
      <c r="H2028" s="33" t="s">
        <v>4533</v>
      </c>
      <c r="I2028" s="33" t="s">
        <v>39</v>
      </c>
      <c r="J2028" s="33" t="s">
        <v>40</v>
      </c>
      <c r="K2028" s="33" t="s">
        <v>41</v>
      </c>
      <c r="L2028" s="33">
        <v>5</v>
      </c>
    </row>
    <row r="2029" spans="1:12" hidden="1" x14ac:dyDescent="0.3">
      <c r="A2029" s="39">
        <v>46064.389490740738</v>
      </c>
      <c r="B2029" s="33" t="s">
        <v>44</v>
      </c>
      <c r="C2029" s="33">
        <v>44984241715</v>
      </c>
      <c r="E2029" s="33">
        <v>45</v>
      </c>
      <c r="F2029" s="33">
        <v>32</v>
      </c>
      <c r="G2029" s="33" t="s">
        <v>38</v>
      </c>
      <c r="H2029" s="33" t="s">
        <v>6033</v>
      </c>
      <c r="I2029" s="33" t="s">
        <v>46</v>
      </c>
      <c r="J2029" s="33" t="s">
        <v>40</v>
      </c>
    </row>
    <row r="2030" spans="1:12" hidden="1" x14ac:dyDescent="0.3">
      <c r="A2030" s="39">
        <v>46064.389120370368</v>
      </c>
      <c r="B2030" s="33" t="s">
        <v>44</v>
      </c>
      <c r="C2030" s="33">
        <v>44984241715</v>
      </c>
      <c r="E2030" s="33">
        <v>57</v>
      </c>
      <c r="F2030" s="33">
        <v>30</v>
      </c>
      <c r="G2030" s="33" t="s">
        <v>38</v>
      </c>
      <c r="H2030" s="33" t="s">
        <v>6034</v>
      </c>
      <c r="I2030" s="33" t="s">
        <v>46</v>
      </c>
      <c r="J2030" s="33" t="s">
        <v>40</v>
      </c>
    </row>
    <row r="2031" spans="1:12" hidden="1" x14ac:dyDescent="0.3">
      <c r="A2031" s="39">
        <v>46064.389062499999</v>
      </c>
      <c r="B2031" s="33" t="s">
        <v>44</v>
      </c>
      <c r="C2031" s="33">
        <v>44984241715</v>
      </c>
      <c r="E2031" s="33">
        <v>4</v>
      </c>
      <c r="F2031" s="33">
        <v>0</v>
      </c>
      <c r="G2031" s="33" t="s">
        <v>47</v>
      </c>
      <c r="H2031" s="33" t="s">
        <v>6035</v>
      </c>
      <c r="I2031" s="33" t="s">
        <v>46</v>
      </c>
      <c r="J2031" s="33" t="s">
        <v>40</v>
      </c>
    </row>
    <row r="2032" spans="1:12" hidden="1" x14ac:dyDescent="0.3">
      <c r="A2032" s="39">
        <v>46064.386979166666</v>
      </c>
      <c r="B2032" s="33">
        <v>44988303530</v>
      </c>
      <c r="C2032" s="33" t="s">
        <v>37</v>
      </c>
      <c r="D2032" s="33">
        <v>4430265054</v>
      </c>
      <c r="E2032" s="33">
        <v>448</v>
      </c>
      <c r="F2032" s="33">
        <v>251</v>
      </c>
      <c r="G2032" s="33" t="s">
        <v>38</v>
      </c>
      <c r="H2032" s="33" t="s">
        <v>4534</v>
      </c>
      <c r="I2032" s="33" t="s">
        <v>39</v>
      </c>
      <c r="J2032" s="33" t="s">
        <v>40</v>
      </c>
      <c r="K2032" s="33" t="s">
        <v>41</v>
      </c>
    </row>
    <row r="2033" spans="1:12" hidden="1" x14ac:dyDescent="0.3">
      <c r="A2033" s="39">
        <v>46064.38422453704</v>
      </c>
      <c r="B2033" s="33">
        <v>44997079838</v>
      </c>
      <c r="C2033" s="33" t="s">
        <v>42</v>
      </c>
      <c r="D2033" s="33">
        <v>4430265054</v>
      </c>
      <c r="E2033" s="33">
        <v>313</v>
      </c>
      <c r="F2033" s="33">
        <v>270</v>
      </c>
      <c r="G2033" s="33" t="s">
        <v>38</v>
      </c>
      <c r="H2033" s="33" t="s">
        <v>4535</v>
      </c>
      <c r="I2033" s="33" t="s">
        <v>39</v>
      </c>
      <c r="J2033" s="33" t="s">
        <v>40</v>
      </c>
      <c r="K2033" s="33" t="s">
        <v>41</v>
      </c>
    </row>
    <row r="2034" spans="1:12" hidden="1" x14ac:dyDescent="0.3">
      <c r="A2034" s="39">
        <v>46064.381041666667</v>
      </c>
      <c r="B2034" s="33">
        <v>4430141092</v>
      </c>
      <c r="C2034" s="33" t="s">
        <v>43</v>
      </c>
      <c r="D2034" s="33">
        <v>4430265054</v>
      </c>
      <c r="E2034" s="33">
        <v>678</v>
      </c>
      <c r="F2034" s="33">
        <v>588</v>
      </c>
      <c r="G2034" s="33" t="s">
        <v>38</v>
      </c>
      <c r="H2034" s="33" t="s">
        <v>4536</v>
      </c>
      <c r="I2034" s="33" t="s">
        <v>39</v>
      </c>
      <c r="J2034" s="33" t="s">
        <v>40</v>
      </c>
      <c r="K2034" s="33" t="s">
        <v>41</v>
      </c>
    </row>
    <row r="2035" spans="1:12" hidden="1" x14ac:dyDescent="0.3">
      <c r="A2035" s="39">
        <v>46064.380057870374</v>
      </c>
      <c r="B2035" s="33">
        <v>44984241715</v>
      </c>
      <c r="C2035" s="33" t="s">
        <v>44</v>
      </c>
      <c r="D2035" s="33">
        <v>4430265054</v>
      </c>
      <c r="E2035" s="33">
        <v>698</v>
      </c>
      <c r="F2035" s="33">
        <v>586</v>
      </c>
      <c r="G2035" s="33" t="s">
        <v>38</v>
      </c>
      <c r="H2035" s="33" t="s">
        <v>4537</v>
      </c>
      <c r="I2035" s="33" t="s">
        <v>39</v>
      </c>
      <c r="J2035" s="33" t="s">
        <v>40</v>
      </c>
      <c r="K2035" s="33" t="s">
        <v>41</v>
      </c>
    </row>
    <row r="2036" spans="1:12" hidden="1" x14ac:dyDescent="0.3">
      <c r="A2036" s="39">
        <v>46064.379074074073</v>
      </c>
      <c r="B2036" s="33">
        <v>3432424736</v>
      </c>
      <c r="C2036" s="33" t="s">
        <v>37</v>
      </c>
      <c r="D2036" s="33">
        <v>4430265054</v>
      </c>
      <c r="E2036" s="33">
        <v>763</v>
      </c>
      <c r="F2036" s="33">
        <v>644</v>
      </c>
      <c r="G2036" s="33" t="s">
        <v>38</v>
      </c>
      <c r="H2036" s="33" t="s">
        <v>4538</v>
      </c>
      <c r="I2036" s="33" t="s">
        <v>39</v>
      </c>
      <c r="J2036" s="33" t="s">
        <v>40</v>
      </c>
      <c r="K2036" s="33" t="s">
        <v>41</v>
      </c>
    </row>
    <row r="2037" spans="1:12" hidden="1" x14ac:dyDescent="0.3">
      <c r="A2037" s="39">
        <v>46064.375509259262</v>
      </c>
      <c r="B2037" s="33">
        <v>4331622700</v>
      </c>
      <c r="C2037" s="33" t="s">
        <v>45</v>
      </c>
      <c r="D2037" s="33">
        <v>4430265054</v>
      </c>
      <c r="E2037" s="33">
        <v>473</v>
      </c>
      <c r="F2037" s="33">
        <v>415</v>
      </c>
      <c r="G2037" s="33" t="s">
        <v>38</v>
      </c>
      <c r="H2037" s="33" t="s">
        <v>4539</v>
      </c>
      <c r="I2037" s="33" t="s">
        <v>39</v>
      </c>
      <c r="J2037" s="33" t="s">
        <v>40</v>
      </c>
      <c r="K2037" s="33" t="s">
        <v>41</v>
      </c>
      <c r="L2037" s="33">
        <v>5</v>
      </c>
    </row>
    <row r="2038" spans="1:12" hidden="1" x14ac:dyDescent="0.3">
      <c r="A2038" s="39">
        <v>46064.371354166666</v>
      </c>
      <c r="B2038" s="33">
        <v>44997343311</v>
      </c>
      <c r="C2038" s="33" t="s">
        <v>42</v>
      </c>
      <c r="D2038" s="33">
        <v>4430265054</v>
      </c>
      <c r="E2038" s="33">
        <v>265</v>
      </c>
      <c r="F2038" s="33">
        <v>218</v>
      </c>
      <c r="G2038" s="33" t="s">
        <v>38</v>
      </c>
      <c r="H2038" s="33" t="s">
        <v>4540</v>
      </c>
      <c r="I2038" s="33" t="s">
        <v>39</v>
      </c>
      <c r="J2038" s="33" t="s">
        <v>40</v>
      </c>
      <c r="K2038" s="33" t="s">
        <v>41</v>
      </c>
      <c r="L2038" s="33">
        <v>5</v>
      </c>
    </row>
    <row r="2039" spans="1:12" hidden="1" x14ac:dyDescent="0.3">
      <c r="A2039" s="39">
        <v>46064.362175925926</v>
      </c>
      <c r="B2039" s="33" t="s">
        <v>5173</v>
      </c>
      <c r="C2039" s="33">
        <v>41984338706</v>
      </c>
      <c r="E2039" s="33">
        <v>8</v>
      </c>
      <c r="F2039" s="33">
        <v>2</v>
      </c>
      <c r="G2039" s="33" t="s">
        <v>38</v>
      </c>
      <c r="H2039" s="33" t="s">
        <v>6036</v>
      </c>
      <c r="I2039" s="33" t="s">
        <v>46</v>
      </c>
      <c r="J2039" s="33" t="s">
        <v>3629</v>
      </c>
    </row>
    <row r="2040" spans="1:12" hidden="1" x14ac:dyDescent="0.3">
      <c r="A2040" s="39">
        <v>46064.362071759257</v>
      </c>
      <c r="B2040" s="33">
        <v>44998046835</v>
      </c>
      <c r="C2040" s="33">
        <v>4430265054</v>
      </c>
      <c r="D2040" s="33">
        <v>4430265054</v>
      </c>
      <c r="E2040" s="33">
        <v>16</v>
      </c>
      <c r="F2040" s="33">
        <v>16</v>
      </c>
      <c r="G2040" s="33" t="s">
        <v>3449</v>
      </c>
      <c r="H2040" s="33" t="s">
        <v>6037</v>
      </c>
      <c r="I2040" s="33" t="s">
        <v>39</v>
      </c>
      <c r="J2040" s="33" t="s">
        <v>3451</v>
      </c>
    </row>
    <row r="2041" spans="1:12" hidden="1" x14ac:dyDescent="0.3">
      <c r="A2041" s="39">
        <v>46064.361030092594</v>
      </c>
      <c r="B2041" s="33" t="s">
        <v>3873</v>
      </c>
      <c r="C2041" s="33">
        <v>4540639075</v>
      </c>
      <c r="E2041" s="33">
        <v>76</v>
      </c>
      <c r="F2041" s="33">
        <v>74</v>
      </c>
      <c r="G2041" s="33" t="s">
        <v>38</v>
      </c>
      <c r="H2041" s="33" t="s">
        <v>6038</v>
      </c>
      <c r="I2041" s="33" t="s">
        <v>46</v>
      </c>
      <c r="J2041" s="33" t="s">
        <v>3451</v>
      </c>
    </row>
    <row r="2042" spans="1:12" hidden="1" x14ac:dyDescent="0.3">
      <c r="A2042" s="39">
        <v>46064.355624999997</v>
      </c>
      <c r="B2042" s="33">
        <v>44988303530</v>
      </c>
      <c r="C2042" s="33" t="s">
        <v>45</v>
      </c>
      <c r="D2042" s="33">
        <v>4430265054</v>
      </c>
      <c r="E2042" s="33">
        <v>338</v>
      </c>
      <c r="F2042" s="33">
        <v>255</v>
      </c>
      <c r="G2042" s="33" t="s">
        <v>38</v>
      </c>
      <c r="H2042" s="33" t="s">
        <v>4541</v>
      </c>
      <c r="I2042" s="33" t="s">
        <v>39</v>
      </c>
      <c r="J2042" s="33" t="s">
        <v>40</v>
      </c>
      <c r="K2042" s="33" t="s">
        <v>41</v>
      </c>
      <c r="L2042" s="33">
        <v>5</v>
      </c>
    </row>
    <row r="2043" spans="1:12" hidden="1" x14ac:dyDescent="0.3">
      <c r="A2043" s="39">
        <v>46063.809236111112</v>
      </c>
      <c r="B2043" s="33">
        <v>44988255390</v>
      </c>
      <c r="C2043" s="33">
        <v>4430265054</v>
      </c>
      <c r="D2043" s="33">
        <v>4430265054</v>
      </c>
      <c r="E2043" s="33">
        <v>1</v>
      </c>
      <c r="F2043" s="33">
        <v>0</v>
      </c>
      <c r="G2043" s="33" t="s">
        <v>3449</v>
      </c>
      <c r="H2043" s="33" t="s">
        <v>6039</v>
      </c>
      <c r="I2043" s="33" t="s">
        <v>39</v>
      </c>
      <c r="J2043" s="33" t="s">
        <v>3451</v>
      </c>
    </row>
    <row r="2044" spans="1:12" hidden="1" x14ac:dyDescent="0.3">
      <c r="A2044" s="39">
        <v>46063.743298611109</v>
      </c>
      <c r="B2044" s="33">
        <v>44999632141</v>
      </c>
      <c r="C2044" s="33" t="s">
        <v>43</v>
      </c>
      <c r="D2044" s="33">
        <v>4430265054</v>
      </c>
      <c r="E2044" s="33">
        <v>521</v>
      </c>
      <c r="F2044" s="33">
        <v>465</v>
      </c>
      <c r="G2044" s="33" t="s">
        <v>38</v>
      </c>
      <c r="H2044" s="33" t="s">
        <v>4542</v>
      </c>
      <c r="I2044" s="33" t="s">
        <v>39</v>
      </c>
      <c r="J2044" s="33" t="s">
        <v>40</v>
      </c>
      <c r="K2044" s="33" t="s">
        <v>41</v>
      </c>
      <c r="L2044" s="33">
        <v>3</v>
      </c>
    </row>
    <row r="2045" spans="1:12" hidden="1" x14ac:dyDescent="0.3">
      <c r="A2045" s="39">
        <v>46063.736863425926</v>
      </c>
      <c r="B2045" s="33">
        <v>41996631918</v>
      </c>
      <c r="C2045" s="33" t="s">
        <v>37</v>
      </c>
      <c r="D2045" s="33">
        <v>4430265054</v>
      </c>
      <c r="E2045" s="33">
        <v>901</v>
      </c>
      <c r="F2045" s="33">
        <v>860</v>
      </c>
      <c r="G2045" s="33" t="s">
        <v>38</v>
      </c>
      <c r="H2045" s="33" t="s">
        <v>4543</v>
      </c>
      <c r="I2045" s="33" t="s">
        <v>39</v>
      </c>
      <c r="J2045" s="33" t="s">
        <v>40</v>
      </c>
      <c r="K2045" s="33" t="s">
        <v>41</v>
      </c>
      <c r="L2045" s="33">
        <v>5</v>
      </c>
    </row>
    <row r="2046" spans="1:12" hidden="1" x14ac:dyDescent="0.3">
      <c r="A2046" s="39">
        <v>46063.734467592592</v>
      </c>
      <c r="B2046" s="33" t="s">
        <v>37</v>
      </c>
      <c r="C2046" s="33">
        <v>44997735525</v>
      </c>
      <c r="E2046" s="33">
        <v>5</v>
      </c>
      <c r="F2046" s="33">
        <v>0</v>
      </c>
      <c r="G2046" s="33" t="s">
        <v>47</v>
      </c>
      <c r="H2046" s="33" t="s">
        <v>6040</v>
      </c>
      <c r="I2046" s="33" t="s">
        <v>46</v>
      </c>
      <c r="J2046" s="33" t="s">
        <v>40</v>
      </c>
    </row>
    <row r="2047" spans="1:12" hidden="1" x14ac:dyDescent="0.3">
      <c r="A2047" s="39">
        <v>46063.734247685185</v>
      </c>
      <c r="B2047" s="33">
        <v>44988300360</v>
      </c>
      <c r="C2047" s="33" t="s">
        <v>42</v>
      </c>
      <c r="D2047" s="33">
        <v>4430265054</v>
      </c>
      <c r="E2047" s="33">
        <v>386</v>
      </c>
      <c r="F2047" s="33">
        <v>286</v>
      </c>
      <c r="G2047" s="33" t="s">
        <v>38</v>
      </c>
      <c r="H2047" s="33" t="s">
        <v>4544</v>
      </c>
      <c r="I2047" s="33" t="s">
        <v>39</v>
      </c>
      <c r="J2047" s="33" t="s">
        <v>40</v>
      </c>
      <c r="K2047" s="33" t="s">
        <v>41</v>
      </c>
    </row>
    <row r="2048" spans="1:12" hidden="1" x14ac:dyDescent="0.3">
      <c r="A2048" s="39">
        <v>46063.733622685184</v>
      </c>
      <c r="B2048" s="33" t="s">
        <v>37</v>
      </c>
      <c r="C2048" s="33">
        <v>44997735525</v>
      </c>
      <c r="E2048" s="33">
        <v>6</v>
      </c>
      <c r="F2048" s="33">
        <v>0</v>
      </c>
      <c r="G2048" s="33" t="s">
        <v>47</v>
      </c>
      <c r="H2048" s="33" t="s">
        <v>6041</v>
      </c>
      <c r="I2048" s="33" t="s">
        <v>46</v>
      </c>
      <c r="J2048" s="33" t="s">
        <v>40</v>
      </c>
    </row>
    <row r="2049" spans="1:12" hidden="1" x14ac:dyDescent="0.3">
      <c r="A2049" s="39">
        <v>46063.73337962963</v>
      </c>
      <c r="B2049" s="33" t="s">
        <v>37</v>
      </c>
      <c r="C2049" s="33">
        <v>44997735525</v>
      </c>
      <c r="E2049" s="33">
        <v>5</v>
      </c>
      <c r="F2049" s="33">
        <v>0</v>
      </c>
      <c r="G2049" s="33" t="s">
        <v>47</v>
      </c>
      <c r="H2049" s="33" t="s">
        <v>6042</v>
      </c>
      <c r="I2049" s="33" t="s">
        <v>46</v>
      </c>
      <c r="J2049" s="33" t="s">
        <v>40</v>
      </c>
    </row>
    <row r="2050" spans="1:12" hidden="1" x14ac:dyDescent="0.3">
      <c r="A2050" s="39">
        <v>46063.722430555557</v>
      </c>
      <c r="B2050" s="33" t="s">
        <v>44</v>
      </c>
      <c r="C2050" s="33">
        <v>45999211357</v>
      </c>
      <c r="E2050" s="33">
        <v>59</v>
      </c>
      <c r="F2050" s="33">
        <v>40</v>
      </c>
      <c r="G2050" s="33" t="s">
        <v>38</v>
      </c>
      <c r="H2050" s="33" t="s">
        <v>6043</v>
      </c>
      <c r="I2050" s="33" t="s">
        <v>46</v>
      </c>
      <c r="J2050" s="33" t="s">
        <v>40</v>
      </c>
    </row>
    <row r="2051" spans="1:12" hidden="1" x14ac:dyDescent="0.3">
      <c r="A2051" s="39">
        <v>46063.719629629632</v>
      </c>
      <c r="B2051" s="33">
        <v>77999014770</v>
      </c>
      <c r="C2051" s="33" t="s">
        <v>43</v>
      </c>
      <c r="D2051" s="33">
        <v>4430265054</v>
      </c>
      <c r="E2051" s="33">
        <v>529</v>
      </c>
      <c r="F2051" s="33">
        <v>468</v>
      </c>
      <c r="G2051" s="33" t="s">
        <v>38</v>
      </c>
      <c r="H2051" s="33" t="s">
        <v>4545</v>
      </c>
      <c r="I2051" s="33" t="s">
        <v>39</v>
      </c>
      <c r="J2051" s="33" t="s">
        <v>40</v>
      </c>
      <c r="K2051" s="33" t="s">
        <v>41</v>
      </c>
    </row>
    <row r="2052" spans="1:12" hidden="1" x14ac:dyDescent="0.3">
      <c r="A2052" s="39">
        <v>46063.719525462962</v>
      </c>
      <c r="B2052" s="33" t="s">
        <v>44</v>
      </c>
      <c r="C2052" s="33">
        <v>4430141092</v>
      </c>
      <c r="E2052" s="33">
        <v>102</v>
      </c>
      <c r="F2052" s="33">
        <v>91</v>
      </c>
      <c r="G2052" s="33" t="s">
        <v>38</v>
      </c>
      <c r="H2052" s="33" t="s">
        <v>6044</v>
      </c>
      <c r="I2052" s="33" t="s">
        <v>46</v>
      </c>
      <c r="J2052" s="33" t="s">
        <v>40</v>
      </c>
    </row>
    <row r="2053" spans="1:12" hidden="1" x14ac:dyDescent="0.3">
      <c r="A2053" s="39">
        <v>46063.719456018516</v>
      </c>
      <c r="B2053" s="33" t="s">
        <v>44</v>
      </c>
      <c r="C2053" s="33">
        <v>4430141092</v>
      </c>
      <c r="E2053" s="33">
        <v>5</v>
      </c>
      <c r="F2053" s="33">
        <v>0</v>
      </c>
      <c r="G2053" s="33" t="s">
        <v>47</v>
      </c>
      <c r="H2053" s="33" t="s">
        <v>6045</v>
      </c>
      <c r="I2053" s="33" t="s">
        <v>46</v>
      </c>
      <c r="J2053" s="33" t="s">
        <v>40</v>
      </c>
    </row>
    <row r="2054" spans="1:12" hidden="1" x14ac:dyDescent="0.3">
      <c r="A2054" s="39">
        <v>46063.71671296296</v>
      </c>
      <c r="B2054" s="33" t="s">
        <v>5173</v>
      </c>
      <c r="C2054" s="33">
        <v>44988353508</v>
      </c>
      <c r="E2054" s="33">
        <v>779</v>
      </c>
      <c r="F2054" s="33">
        <v>772</v>
      </c>
      <c r="G2054" s="33" t="s">
        <v>38</v>
      </c>
      <c r="H2054" s="33" t="s">
        <v>6046</v>
      </c>
      <c r="I2054" s="33" t="s">
        <v>46</v>
      </c>
      <c r="J2054" s="33" t="s">
        <v>3629</v>
      </c>
    </row>
    <row r="2055" spans="1:12" hidden="1" x14ac:dyDescent="0.3">
      <c r="A2055" s="39">
        <v>46063.712939814817</v>
      </c>
      <c r="B2055" s="33">
        <v>44997735525</v>
      </c>
      <c r="C2055" s="33" t="s">
        <v>37</v>
      </c>
      <c r="D2055" s="33">
        <v>4430265054</v>
      </c>
      <c r="E2055" s="33">
        <v>952</v>
      </c>
      <c r="F2055" s="33">
        <v>897</v>
      </c>
      <c r="G2055" s="33" t="s">
        <v>38</v>
      </c>
      <c r="H2055" s="33" t="s">
        <v>4546</v>
      </c>
      <c r="I2055" s="33" t="s">
        <v>39</v>
      </c>
      <c r="J2055" s="33" t="s">
        <v>40</v>
      </c>
      <c r="K2055" s="33" t="s">
        <v>41</v>
      </c>
    </row>
    <row r="2056" spans="1:12" hidden="1" x14ac:dyDescent="0.3">
      <c r="A2056" s="39">
        <v>46063.710277777776</v>
      </c>
      <c r="B2056" s="33">
        <v>67996356530</v>
      </c>
      <c r="C2056" s="33" t="s">
        <v>44</v>
      </c>
      <c r="D2056" s="33">
        <v>4430265054</v>
      </c>
      <c r="E2056" s="33">
        <v>689</v>
      </c>
      <c r="F2056" s="33">
        <v>570</v>
      </c>
      <c r="G2056" s="33" t="s">
        <v>38</v>
      </c>
      <c r="H2056" s="33" t="s">
        <v>4547</v>
      </c>
      <c r="I2056" s="33" t="s">
        <v>39</v>
      </c>
      <c r="J2056" s="33" t="s">
        <v>40</v>
      </c>
      <c r="K2056" s="33" t="s">
        <v>41</v>
      </c>
    </row>
    <row r="2057" spans="1:12" hidden="1" x14ac:dyDescent="0.3">
      <c r="A2057" s="39">
        <v>46063.709374999999</v>
      </c>
      <c r="B2057" s="33">
        <v>4436313274</v>
      </c>
      <c r="C2057" s="33" t="s">
        <v>45</v>
      </c>
      <c r="D2057" s="33">
        <v>4430265054</v>
      </c>
      <c r="E2057" s="33">
        <v>876</v>
      </c>
      <c r="F2057" s="33">
        <v>747</v>
      </c>
      <c r="G2057" s="33" t="s">
        <v>38</v>
      </c>
      <c r="H2057" s="33" t="s">
        <v>4548</v>
      </c>
      <c r="I2057" s="33" t="s">
        <v>39</v>
      </c>
      <c r="J2057" s="33" t="s">
        <v>40</v>
      </c>
      <c r="K2057" s="33" t="s">
        <v>41</v>
      </c>
    </row>
    <row r="2058" spans="1:12" hidden="1" x14ac:dyDescent="0.3">
      <c r="A2058" s="39">
        <v>46063.708854166667</v>
      </c>
      <c r="B2058" s="33" t="s">
        <v>43</v>
      </c>
      <c r="C2058" s="33">
        <v>83988398480</v>
      </c>
      <c r="E2058" s="33">
        <v>532</v>
      </c>
      <c r="F2058" s="33">
        <v>512</v>
      </c>
      <c r="G2058" s="33" t="s">
        <v>38</v>
      </c>
      <c r="H2058" s="33" t="s">
        <v>6047</v>
      </c>
      <c r="I2058" s="33" t="s">
        <v>46</v>
      </c>
      <c r="J2058" s="33" t="s">
        <v>40</v>
      </c>
    </row>
    <row r="2059" spans="1:12" hidden="1" x14ac:dyDescent="0.3">
      <c r="A2059" s="39">
        <v>46063.708194444444</v>
      </c>
      <c r="B2059" s="33" t="s">
        <v>43</v>
      </c>
      <c r="C2059" s="33">
        <v>83988398480</v>
      </c>
      <c r="E2059" s="33">
        <v>35</v>
      </c>
      <c r="F2059" s="33">
        <v>0</v>
      </c>
      <c r="G2059" s="33" t="s">
        <v>47</v>
      </c>
      <c r="H2059" s="33" t="s">
        <v>6048</v>
      </c>
      <c r="I2059" s="33" t="s">
        <v>46</v>
      </c>
      <c r="J2059" s="33" t="s">
        <v>40</v>
      </c>
    </row>
    <row r="2060" spans="1:12" hidden="1" x14ac:dyDescent="0.3">
      <c r="A2060" s="39">
        <v>46063.699560185189</v>
      </c>
      <c r="B2060" s="33">
        <v>4432524652</v>
      </c>
      <c r="C2060" s="33" t="s">
        <v>37</v>
      </c>
      <c r="D2060" s="33">
        <v>4430265054</v>
      </c>
      <c r="E2060" s="33">
        <v>1102</v>
      </c>
      <c r="F2060" s="33">
        <v>1020</v>
      </c>
      <c r="G2060" s="33" t="s">
        <v>38</v>
      </c>
      <c r="H2060" s="33" t="s">
        <v>4549</v>
      </c>
      <c r="I2060" s="33" t="s">
        <v>39</v>
      </c>
      <c r="J2060" s="33" t="s">
        <v>40</v>
      </c>
      <c r="K2060" s="33" t="s">
        <v>41</v>
      </c>
      <c r="L2060" s="33">
        <v>5</v>
      </c>
    </row>
    <row r="2061" spans="1:12" hidden="1" x14ac:dyDescent="0.3">
      <c r="A2061" s="39">
        <v>46063.697615740741</v>
      </c>
      <c r="B2061" s="33" t="s">
        <v>43</v>
      </c>
      <c r="C2061" s="33">
        <v>1129630984</v>
      </c>
      <c r="E2061" s="33">
        <v>55</v>
      </c>
      <c r="F2061" s="33">
        <v>0</v>
      </c>
      <c r="G2061" s="33" t="s">
        <v>47</v>
      </c>
      <c r="H2061" s="33" t="s">
        <v>6049</v>
      </c>
      <c r="I2061" s="33" t="s">
        <v>46</v>
      </c>
      <c r="J2061" s="33" t="s">
        <v>40</v>
      </c>
    </row>
    <row r="2062" spans="1:12" hidden="1" x14ac:dyDescent="0.3">
      <c r="A2062" s="39">
        <v>46063.693807870368</v>
      </c>
      <c r="B2062" s="33" t="s">
        <v>48</v>
      </c>
      <c r="C2062" s="33">
        <v>4435252515</v>
      </c>
      <c r="E2062" s="33">
        <v>201</v>
      </c>
      <c r="F2062" s="33">
        <v>193</v>
      </c>
      <c r="G2062" s="33" t="s">
        <v>38</v>
      </c>
      <c r="H2062" s="33" t="s">
        <v>6050</v>
      </c>
      <c r="I2062" s="33" t="s">
        <v>46</v>
      </c>
      <c r="J2062" s="33" t="s">
        <v>40</v>
      </c>
    </row>
    <row r="2063" spans="1:12" hidden="1" x14ac:dyDescent="0.3">
      <c r="A2063" s="39">
        <v>46063.693738425929</v>
      </c>
      <c r="B2063" s="33" t="s">
        <v>48</v>
      </c>
      <c r="C2063" s="33">
        <v>4430175515</v>
      </c>
      <c r="E2063" s="33">
        <v>2</v>
      </c>
      <c r="F2063" s="33">
        <v>0</v>
      </c>
      <c r="G2063" s="33" t="s">
        <v>47</v>
      </c>
      <c r="H2063" s="33" t="s">
        <v>6051</v>
      </c>
      <c r="I2063" s="33" t="s">
        <v>46</v>
      </c>
      <c r="J2063" s="33" t="s">
        <v>40</v>
      </c>
    </row>
    <row r="2064" spans="1:12" hidden="1" x14ac:dyDescent="0.3">
      <c r="A2064" s="39">
        <v>46063.69190972222</v>
      </c>
      <c r="B2064" s="33">
        <v>45999211357</v>
      </c>
      <c r="C2064" s="33" t="s">
        <v>44</v>
      </c>
      <c r="D2064" s="33">
        <v>4431268225</v>
      </c>
      <c r="E2064" s="33">
        <v>1168</v>
      </c>
      <c r="F2064" s="33">
        <v>1132</v>
      </c>
      <c r="G2064" s="33" t="s">
        <v>38</v>
      </c>
      <c r="H2064" s="33" t="s">
        <v>4550</v>
      </c>
      <c r="I2064" s="33" t="s">
        <v>39</v>
      </c>
      <c r="J2064" s="33" t="s">
        <v>40</v>
      </c>
      <c r="K2064" s="33" t="s">
        <v>41</v>
      </c>
    </row>
    <row r="2065" spans="1:12" hidden="1" x14ac:dyDescent="0.3">
      <c r="A2065" s="39">
        <v>46063.685949074075</v>
      </c>
      <c r="B2065" s="33">
        <v>91985176746</v>
      </c>
      <c r="C2065" s="33" t="s">
        <v>43</v>
      </c>
      <c r="D2065" s="33">
        <v>4430265054</v>
      </c>
      <c r="E2065" s="33">
        <v>375</v>
      </c>
      <c r="F2065" s="33">
        <v>356</v>
      </c>
      <c r="G2065" s="33" t="s">
        <v>38</v>
      </c>
      <c r="H2065" s="33" t="s">
        <v>4551</v>
      </c>
      <c r="I2065" s="33" t="s">
        <v>39</v>
      </c>
      <c r="J2065" s="33" t="s">
        <v>40</v>
      </c>
      <c r="K2065" s="33" t="s">
        <v>41</v>
      </c>
      <c r="L2065" s="33">
        <v>5</v>
      </c>
    </row>
    <row r="2066" spans="1:12" hidden="1" x14ac:dyDescent="0.3">
      <c r="A2066" s="39">
        <v>46063.685486111113</v>
      </c>
      <c r="B2066" s="33">
        <v>4430188650</v>
      </c>
      <c r="C2066" s="33" t="s">
        <v>37</v>
      </c>
      <c r="D2066" s="33">
        <v>4430265054</v>
      </c>
      <c r="E2066" s="33">
        <v>1100</v>
      </c>
      <c r="F2066" s="33">
        <v>1083</v>
      </c>
      <c r="G2066" s="33" t="s">
        <v>38</v>
      </c>
      <c r="H2066" s="33" t="s">
        <v>4552</v>
      </c>
      <c r="I2066" s="33" t="s">
        <v>39</v>
      </c>
      <c r="J2066" s="33" t="s">
        <v>40</v>
      </c>
      <c r="K2066" s="33" t="s">
        <v>41</v>
      </c>
    </row>
    <row r="2067" spans="1:12" hidden="1" x14ac:dyDescent="0.3">
      <c r="A2067" s="39">
        <v>46063.67423611111</v>
      </c>
      <c r="B2067" s="33" t="s">
        <v>51</v>
      </c>
      <c r="C2067" s="33" t="s">
        <v>5173</v>
      </c>
      <c r="E2067" s="33">
        <v>283</v>
      </c>
      <c r="F2067" s="33">
        <v>277</v>
      </c>
      <c r="G2067" s="33" t="s">
        <v>38</v>
      </c>
      <c r="H2067" s="33" t="s">
        <v>6052</v>
      </c>
      <c r="I2067" s="33" t="s">
        <v>52</v>
      </c>
      <c r="J2067" s="33" t="s">
        <v>3629</v>
      </c>
    </row>
    <row r="2068" spans="1:12" hidden="1" x14ac:dyDescent="0.3">
      <c r="A2068" s="39">
        <v>46063.6718287037</v>
      </c>
      <c r="B2068" s="33">
        <v>15997113760</v>
      </c>
      <c r="C2068" s="33" t="s">
        <v>48</v>
      </c>
      <c r="D2068" s="33">
        <v>4431268225</v>
      </c>
      <c r="E2068" s="33">
        <v>155</v>
      </c>
      <c r="F2068" s="33">
        <v>134</v>
      </c>
      <c r="G2068" s="33" t="s">
        <v>38</v>
      </c>
      <c r="H2068" s="33" t="s">
        <v>4553</v>
      </c>
      <c r="I2068" s="33" t="s">
        <v>39</v>
      </c>
      <c r="J2068" s="33" t="s">
        <v>40</v>
      </c>
      <c r="K2068" s="33" t="s">
        <v>41</v>
      </c>
    </row>
    <row r="2069" spans="1:12" hidden="1" x14ac:dyDescent="0.3">
      <c r="A2069" s="39">
        <v>46063.669907407406</v>
      </c>
      <c r="B2069" s="33">
        <v>91989096505</v>
      </c>
      <c r="C2069" s="33" t="s">
        <v>43</v>
      </c>
      <c r="D2069" s="33">
        <v>4430265054</v>
      </c>
      <c r="E2069" s="33">
        <v>1044</v>
      </c>
      <c r="F2069" s="33">
        <v>987</v>
      </c>
      <c r="G2069" s="33" t="s">
        <v>38</v>
      </c>
      <c r="H2069" s="33" t="s">
        <v>4554</v>
      </c>
      <c r="I2069" s="33" t="s">
        <v>39</v>
      </c>
      <c r="J2069" s="33" t="s">
        <v>40</v>
      </c>
      <c r="K2069" s="33" t="s">
        <v>41</v>
      </c>
    </row>
    <row r="2070" spans="1:12" hidden="1" x14ac:dyDescent="0.3">
      <c r="A2070" s="39">
        <v>46063.669745370367</v>
      </c>
      <c r="B2070" s="33">
        <v>1143744993</v>
      </c>
      <c r="C2070" s="33" t="s">
        <v>42</v>
      </c>
      <c r="D2070" s="33">
        <v>4431268225</v>
      </c>
      <c r="E2070" s="33">
        <v>2365</v>
      </c>
      <c r="F2070" s="33">
        <v>2280</v>
      </c>
      <c r="G2070" s="33" t="s">
        <v>38</v>
      </c>
      <c r="H2070" s="33" t="s">
        <v>4555</v>
      </c>
      <c r="I2070" s="33" t="s">
        <v>39</v>
      </c>
      <c r="J2070" s="33" t="s">
        <v>40</v>
      </c>
      <c r="K2070" s="33" t="s">
        <v>41</v>
      </c>
    </row>
    <row r="2071" spans="1:12" hidden="1" x14ac:dyDescent="0.3">
      <c r="A2071" s="39">
        <v>46063.662245370368</v>
      </c>
      <c r="B2071" s="33" t="s">
        <v>3627</v>
      </c>
      <c r="C2071" s="33">
        <v>44991484476</v>
      </c>
      <c r="E2071" s="33">
        <v>480</v>
      </c>
      <c r="F2071" s="33">
        <v>476</v>
      </c>
      <c r="G2071" s="33" t="s">
        <v>38</v>
      </c>
      <c r="H2071" s="33" t="s">
        <v>6053</v>
      </c>
      <c r="I2071" s="33" t="s">
        <v>46</v>
      </c>
      <c r="J2071" s="33" t="s">
        <v>3629</v>
      </c>
    </row>
    <row r="2072" spans="1:12" hidden="1" x14ac:dyDescent="0.3">
      <c r="A2072" s="39">
        <v>46063.659560185188</v>
      </c>
      <c r="B2072" s="33">
        <v>44999907936</v>
      </c>
      <c r="C2072" s="33" t="s">
        <v>42</v>
      </c>
      <c r="D2072" s="33">
        <v>4430265054</v>
      </c>
      <c r="E2072" s="33">
        <v>223</v>
      </c>
      <c r="F2072" s="33">
        <v>124</v>
      </c>
      <c r="G2072" s="33" t="s">
        <v>38</v>
      </c>
      <c r="H2072" s="33" t="s">
        <v>4556</v>
      </c>
      <c r="I2072" s="33" t="s">
        <v>39</v>
      </c>
      <c r="J2072" s="33" t="s">
        <v>40</v>
      </c>
      <c r="K2072" s="33" t="s">
        <v>41</v>
      </c>
    </row>
    <row r="2073" spans="1:12" hidden="1" x14ac:dyDescent="0.3">
      <c r="A2073" s="39">
        <v>46063.659236111111</v>
      </c>
      <c r="B2073" s="33">
        <v>4432322192</v>
      </c>
      <c r="C2073" s="33" t="s">
        <v>44</v>
      </c>
      <c r="D2073" s="33">
        <v>4430265054</v>
      </c>
      <c r="E2073" s="33">
        <v>143</v>
      </c>
      <c r="F2073" s="33">
        <v>85</v>
      </c>
      <c r="G2073" s="33" t="s">
        <v>38</v>
      </c>
      <c r="H2073" s="33" t="s">
        <v>4557</v>
      </c>
      <c r="I2073" s="33" t="s">
        <v>39</v>
      </c>
      <c r="J2073" s="33" t="s">
        <v>40</v>
      </c>
      <c r="K2073" s="33" t="s">
        <v>41</v>
      </c>
    </row>
    <row r="2074" spans="1:12" hidden="1" x14ac:dyDescent="0.3">
      <c r="A2074" s="39">
        <v>46063.657858796294</v>
      </c>
      <c r="B2074" s="33" t="s">
        <v>5173</v>
      </c>
      <c r="C2074" s="33">
        <v>4433511543</v>
      </c>
      <c r="E2074" s="33">
        <v>1</v>
      </c>
      <c r="F2074" s="33">
        <v>0</v>
      </c>
      <c r="G2074" s="33" t="s">
        <v>47</v>
      </c>
      <c r="H2074" s="33" t="s">
        <v>6054</v>
      </c>
      <c r="I2074" s="33" t="s">
        <v>46</v>
      </c>
      <c r="J2074" s="33" t="s">
        <v>3629</v>
      </c>
    </row>
    <row r="2075" spans="1:12" hidden="1" x14ac:dyDescent="0.3">
      <c r="A2075" s="39">
        <v>46063.655185185184</v>
      </c>
      <c r="B2075" s="33">
        <v>15997113760</v>
      </c>
      <c r="C2075" s="33" t="s">
        <v>48</v>
      </c>
      <c r="D2075" s="33">
        <v>4431268225</v>
      </c>
      <c r="E2075" s="33">
        <v>174</v>
      </c>
      <c r="F2075" s="33">
        <v>164</v>
      </c>
      <c r="G2075" s="33" t="s">
        <v>38</v>
      </c>
      <c r="H2075" s="33" t="s">
        <v>4558</v>
      </c>
      <c r="I2075" s="33" t="s">
        <v>39</v>
      </c>
      <c r="J2075" s="33" t="s">
        <v>40</v>
      </c>
      <c r="K2075" s="33" t="s">
        <v>41</v>
      </c>
    </row>
    <row r="2076" spans="1:12" hidden="1" x14ac:dyDescent="0.3">
      <c r="A2076" s="39">
        <v>46063.655034722222</v>
      </c>
      <c r="B2076" s="33" t="s">
        <v>42</v>
      </c>
      <c r="C2076" s="33">
        <v>4430279797</v>
      </c>
      <c r="E2076" s="33">
        <v>227</v>
      </c>
      <c r="F2076" s="33">
        <v>226</v>
      </c>
      <c r="G2076" s="33" t="s">
        <v>38</v>
      </c>
      <c r="H2076" s="33" t="s">
        <v>6055</v>
      </c>
      <c r="I2076" s="33" t="s">
        <v>46</v>
      </c>
      <c r="J2076" s="33" t="s">
        <v>40</v>
      </c>
    </row>
    <row r="2077" spans="1:12" hidden="1" x14ac:dyDescent="0.3">
      <c r="A2077" s="39">
        <v>46063.654918981483</v>
      </c>
      <c r="B2077" s="33" t="s">
        <v>42</v>
      </c>
      <c r="C2077" s="33">
        <v>4430279797</v>
      </c>
      <c r="E2077" s="33">
        <v>2</v>
      </c>
      <c r="F2077" s="33">
        <v>0</v>
      </c>
      <c r="G2077" s="33" t="s">
        <v>47</v>
      </c>
      <c r="H2077" s="33" t="s">
        <v>6056</v>
      </c>
      <c r="I2077" s="33" t="s">
        <v>46</v>
      </c>
      <c r="J2077" s="33" t="s">
        <v>40</v>
      </c>
    </row>
    <row r="2078" spans="1:12" hidden="1" x14ac:dyDescent="0.3">
      <c r="A2078" s="39">
        <v>46063.65388888889</v>
      </c>
      <c r="B2078" s="33">
        <v>1144273633</v>
      </c>
      <c r="C2078" s="33" t="s">
        <v>43</v>
      </c>
      <c r="D2078" s="33">
        <v>4430265054</v>
      </c>
      <c r="E2078" s="33">
        <v>611</v>
      </c>
      <c r="F2078" s="33">
        <v>496</v>
      </c>
      <c r="G2078" s="33" t="s">
        <v>38</v>
      </c>
      <c r="H2078" s="33" t="s">
        <v>4559</v>
      </c>
      <c r="I2078" s="33" t="s">
        <v>39</v>
      </c>
      <c r="J2078" s="33" t="s">
        <v>40</v>
      </c>
      <c r="K2078" s="33" t="s">
        <v>41</v>
      </c>
    </row>
    <row r="2079" spans="1:12" hidden="1" x14ac:dyDescent="0.3">
      <c r="A2079" s="39">
        <v>46063.650729166664</v>
      </c>
      <c r="B2079" s="33" t="s">
        <v>43</v>
      </c>
      <c r="C2079" s="33">
        <v>15997113760</v>
      </c>
      <c r="E2079" s="33">
        <v>47</v>
      </c>
      <c r="F2079" s="33">
        <v>32</v>
      </c>
      <c r="G2079" s="33" t="s">
        <v>38</v>
      </c>
      <c r="H2079" s="33" t="s">
        <v>6057</v>
      </c>
      <c r="I2079" s="33" t="s">
        <v>46</v>
      </c>
      <c r="J2079" s="33" t="s">
        <v>40</v>
      </c>
    </row>
    <row r="2080" spans="1:12" hidden="1" x14ac:dyDescent="0.3">
      <c r="A2080" s="39">
        <v>46063.647245370368</v>
      </c>
      <c r="B2080" s="33">
        <v>35998295948</v>
      </c>
      <c r="C2080" s="33" t="s">
        <v>48</v>
      </c>
      <c r="D2080" s="33">
        <v>4430265054</v>
      </c>
      <c r="E2080" s="33">
        <v>413</v>
      </c>
      <c r="F2080" s="33">
        <v>394</v>
      </c>
      <c r="G2080" s="33" t="s">
        <v>38</v>
      </c>
      <c r="H2080" s="33" t="s">
        <v>4560</v>
      </c>
      <c r="I2080" s="33" t="s">
        <v>39</v>
      </c>
      <c r="J2080" s="33" t="s">
        <v>40</v>
      </c>
      <c r="K2080" s="33" t="s">
        <v>41</v>
      </c>
    </row>
    <row r="2081" spans="1:12" hidden="1" x14ac:dyDescent="0.3">
      <c r="A2081" s="39">
        <v>46063.646273148152</v>
      </c>
      <c r="B2081" s="33">
        <v>44997571961</v>
      </c>
      <c r="C2081" s="33" t="s">
        <v>44</v>
      </c>
      <c r="D2081" s="33">
        <v>4430265054</v>
      </c>
      <c r="E2081" s="33">
        <v>955</v>
      </c>
      <c r="F2081" s="33">
        <v>811</v>
      </c>
      <c r="G2081" s="33" t="s">
        <v>38</v>
      </c>
      <c r="H2081" s="33" t="s">
        <v>4561</v>
      </c>
      <c r="I2081" s="33" t="s">
        <v>39</v>
      </c>
      <c r="J2081" s="33" t="s">
        <v>40</v>
      </c>
      <c r="K2081" s="33" t="s">
        <v>41</v>
      </c>
    </row>
    <row r="2082" spans="1:12" hidden="1" x14ac:dyDescent="0.3">
      <c r="A2082" s="39">
        <v>46063.639050925929</v>
      </c>
      <c r="B2082" s="33" t="s">
        <v>44</v>
      </c>
      <c r="C2082" s="33">
        <v>45999211357</v>
      </c>
      <c r="E2082" s="33">
        <v>40</v>
      </c>
      <c r="F2082" s="33">
        <v>25</v>
      </c>
      <c r="G2082" s="33" t="s">
        <v>38</v>
      </c>
      <c r="H2082" s="33" t="s">
        <v>6058</v>
      </c>
      <c r="I2082" s="33" t="s">
        <v>46</v>
      </c>
      <c r="J2082" s="33" t="s">
        <v>40</v>
      </c>
    </row>
    <row r="2083" spans="1:12" hidden="1" x14ac:dyDescent="0.3">
      <c r="A2083" s="39">
        <v>46063.63857638889</v>
      </c>
      <c r="B2083" s="33">
        <v>4436313274</v>
      </c>
      <c r="C2083" s="33" t="s">
        <v>45</v>
      </c>
      <c r="D2083" s="33">
        <v>4430265054</v>
      </c>
      <c r="E2083" s="33">
        <v>2657</v>
      </c>
      <c r="F2083" s="33">
        <v>2594</v>
      </c>
      <c r="G2083" s="33" t="s">
        <v>38</v>
      </c>
      <c r="H2083" s="33" t="s">
        <v>4562</v>
      </c>
      <c r="I2083" s="33" t="s">
        <v>39</v>
      </c>
      <c r="J2083" s="33" t="s">
        <v>40</v>
      </c>
      <c r="K2083" s="33" t="s">
        <v>41</v>
      </c>
    </row>
    <row r="2084" spans="1:12" hidden="1" x14ac:dyDescent="0.3">
      <c r="A2084" s="39">
        <v>46063.636354166665</v>
      </c>
      <c r="B2084" s="33" t="s">
        <v>43</v>
      </c>
      <c r="C2084" s="33">
        <v>15997113760</v>
      </c>
      <c r="E2084" s="33">
        <v>188</v>
      </c>
      <c r="F2084" s="33">
        <v>172</v>
      </c>
      <c r="G2084" s="33" t="s">
        <v>38</v>
      </c>
      <c r="H2084" s="33" t="s">
        <v>6059</v>
      </c>
      <c r="I2084" s="33" t="s">
        <v>46</v>
      </c>
      <c r="J2084" s="33" t="s">
        <v>40</v>
      </c>
    </row>
    <row r="2085" spans="1:12" hidden="1" x14ac:dyDescent="0.3">
      <c r="A2085" s="39">
        <v>46063.633958333332</v>
      </c>
      <c r="B2085" s="33" t="s">
        <v>45</v>
      </c>
      <c r="C2085" s="33">
        <v>4430141533</v>
      </c>
      <c r="E2085" s="33">
        <v>133</v>
      </c>
      <c r="F2085" s="33">
        <v>120</v>
      </c>
      <c r="G2085" s="33" t="s">
        <v>38</v>
      </c>
      <c r="H2085" s="33" t="s">
        <v>6060</v>
      </c>
      <c r="I2085" s="33" t="s">
        <v>46</v>
      </c>
      <c r="J2085" s="33" t="s">
        <v>40</v>
      </c>
      <c r="L2085" s="33">
        <v>5</v>
      </c>
    </row>
    <row r="2086" spans="1:12" hidden="1" x14ac:dyDescent="0.3">
      <c r="A2086" s="39">
        <v>46063.633738425924</v>
      </c>
      <c r="B2086" s="33">
        <v>42999469231</v>
      </c>
      <c r="C2086" s="33" t="s">
        <v>48</v>
      </c>
      <c r="D2086" s="33">
        <v>4430265054</v>
      </c>
      <c r="E2086" s="33">
        <v>225</v>
      </c>
      <c r="F2086" s="33">
        <v>183</v>
      </c>
      <c r="G2086" s="33" t="s">
        <v>38</v>
      </c>
      <c r="H2086" s="33" t="s">
        <v>4563</v>
      </c>
      <c r="I2086" s="33" t="s">
        <v>39</v>
      </c>
      <c r="J2086" s="33" t="s">
        <v>40</v>
      </c>
      <c r="K2086" s="33" t="s">
        <v>41</v>
      </c>
      <c r="L2086" s="33">
        <v>5</v>
      </c>
    </row>
    <row r="2087" spans="1:12" hidden="1" x14ac:dyDescent="0.3">
      <c r="A2087" s="39">
        <v>46063.632881944446</v>
      </c>
      <c r="B2087" s="33">
        <v>44999632141</v>
      </c>
      <c r="C2087" s="33" t="s">
        <v>45</v>
      </c>
      <c r="D2087" s="33">
        <v>4430265054</v>
      </c>
      <c r="E2087" s="33">
        <v>73</v>
      </c>
      <c r="F2087" s="33">
        <v>44</v>
      </c>
      <c r="G2087" s="33" t="s">
        <v>38</v>
      </c>
      <c r="H2087" s="33" t="s">
        <v>4564</v>
      </c>
      <c r="I2087" s="33" t="s">
        <v>39</v>
      </c>
      <c r="J2087" s="33" t="s">
        <v>40</v>
      </c>
      <c r="K2087" s="33" t="s">
        <v>41</v>
      </c>
    </row>
    <row r="2088" spans="1:12" hidden="1" x14ac:dyDescent="0.3">
      <c r="A2088" s="39">
        <v>46063.632731481484</v>
      </c>
      <c r="B2088" s="33">
        <v>4430141092</v>
      </c>
      <c r="C2088" s="33" t="s">
        <v>44</v>
      </c>
      <c r="D2088" s="33">
        <v>4430265054</v>
      </c>
      <c r="E2088" s="33">
        <v>342</v>
      </c>
      <c r="F2088" s="33">
        <v>319</v>
      </c>
      <c r="G2088" s="33" t="s">
        <v>38</v>
      </c>
      <c r="H2088" s="33" t="s">
        <v>4565</v>
      </c>
      <c r="I2088" s="33" t="s">
        <v>39</v>
      </c>
      <c r="J2088" s="33" t="s">
        <v>40</v>
      </c>
      <c r="K2088" s="33" t="s">
        <v>41</v>
      </c>
    </row>
    <row r="2089" spans="1:12" hidden="1" x14ac:dyDescent="0.3">
      <c r="A2089" s="39">
        <v>46063.630115740743</v>
      </c>
      <c r="B2089" s="33">
        <v>4430162384</v>
      </c>
      <c r="C2089" s="33" t="s">
        <v>43</v>
      </c>
      <c r="D2089" s="33">
        <v>4430265054</v>
      </c>
      <c r="E2089" s="33">
        <v>502</v>
      </c>
      <c r="F2089" s="33">
        <v>450</v>
      </c>
      <c r="G2089" s="33" t="s">
        <v>38</v>
      </c>
      <c r="H2089" s="33" t="s">
        <v>4566</v>
      </c>
      <c r="I2089" s="33" t="s">
        <v>39</v>
      </c>
      <c r="J2089" s="33" t="s">
        <v>40</v>
      </c>
      <c r="K2089" s="33" t="s">
        <v>41</v>
      </c>
    </row>
    <row r="2090" spans="1:12" hidden="1" x14ac:dyDescent="0.3">
      <c r="A2090" s="39">
        <v>46063.628599537034</v>
      </c>
      <c r="B2090" s="33">
        <v>4430279797</v>
      </c>
      <c r="C2090" s="33" t="s">
        <v>42</v>
      </c>
      <c r="D2090" s="33">
        <v>4430265054</v>
      </c>
      <c r="E2090" s="33">
        <v>867</v>
      </c>
      <c r="F2090" s="33">
        <v>526</v>
      </c>
      <c r="G2090" s="33" t="s">
        <v>38</v>
      </c>
      <c r="H2090" s="33" t="s">
        <v>4567</v>
      </c>
      <c r="I2090" s="33" t="s">
        <v>39</v>
      </c>
      <c r="J2090" s="33" t="s">
        <v>40</v>
      </c>
      <c r="K2090" s="33" t="s">
        <v>41</v>
      </c>
    </row>
    <row r="2091" spans="1:12" hidden="1" x14ac:dyDescent="0.3">
      <c r="A2091" s="39">
        <v>46063.624745370369</v>
      </c>
      <c r="B2091" s="33" t="s">
        <v>48</v>
      </c>
      <c r="C2091" s="33">
        <v>44991388221</v>
      </c>
      <c r="E2091" s="33">
        <v>763</v>
      </c>
      <c r="F2091" s="33">
        <v>756</v>
      </c>
      <c r="G2091" s="33" t="s">
        <v>38</v>
      </c>
      <c r="H2091" s="33" t="s">
        <v>6061</v>
      </c>
      <c r="I2091" s="33" t="s">
        <v>46</v>
      </c>
      <c r="J2091" s="33" t="s">
        <v>40</v>
      </c>
    </row>
    <row r="2092" spans="1:12" hidden="1" x14ac:dyDescent="0.3">
      <c r="A2092" s="39">
        <v>46063.624710648146</v>
      </c>
      <c r="B2092" s="33">
        <v>44998266194</v>
      </c>
      <c r="C2092" s="33" t="s">
        <v>44</v>
      </c>
      <c r="D2092" s="33">
        <v>4431268225</v>
      </c>
      <c r="E2092" s="33">
        <v>246</v>
      </c>
      <c r="F2092" s="33">
        <v>207</v>
      </c>
      <c r="G2092" s="33" t="s">
        <v>38</v>
      </c>
      <c r="H2092" s="33" t="s">
        <v>4568</v>
      </c>
      <c r="I2092" s="33" t="s">
        <v>39</v>
      </c>
      <c r="J2092" s="33" t="s">
        <v>40</v>
      </c>
      <c r="K2092" s="33" t="s">
        <v>41</v>
      </c>
    </row>
    <row r="2093" spans="1:12" hidden="1" x14ac:dyDescent="0.3">
      <c r="A2093" s="39">
        <v>46063.623287037037</v>
      </c>
      <c r="B2093" s="33" t="s">
        <v>48</v>
      </c>
      <c r="C2093" s="33">
        <v>44991484476</v>
      </c>
      <c r="E2093" s="33">
        <v>55</v>
      </c>
      <c r="F2093" s="33">
        <v>31</v>
      </c>
      <c r="G2093" s="33" t="s">
        <v>38</v>
      </c>
      <c r="H2093" s="33" t="s">
        <v>6062</v>
      </c>
      <c r="I2093" s="33" t="s">
        <v>46</v>
      </c>
      <c r="J2093" s="33" t="s">
        <v>40</v>
      </c>
    </row>
    <row r="2094" spans="1:12" hidden="1" x14ac:dyDescent="0.3">
      <c r="A2094" s="39">
        <v>46063.62295138889</v>
      </c>
      <c r="B2094" s="33" t="s">
        <v>3627</v>
      </c>
      <c r="C2094" s="33">
        <v>67999164082</v>
      </c>
      <c r="E2094" s="33">
        <v>10</v>
      </c>
      <c r="F2094" s="33">
        <v>0</v>
      </c>
      <c r="G2094" s="33" t="s">
        <v>47</v>
      </c>
      <c r="H2094" s="33" t="s">
        <v>6063</v>
      </c>
      <c r="I2094" s="33" t="s">
        <v>46</v>
      </c>
      <c r="J2094" s="33" t="s">
        <v>3629</v>
      </c>
    </row>
    <row r="2095" spans="1:12" hidden="1" x14ac:dyDescent="0.3">
      <c r="A2095" s="39">
        <v>46063.622881944444</v>
      </c>
      <c r="B2095" s="33">
        <v>6234347959</v>
      </c>
      <c r="C2095" s="33" t="s">
        <v>45</v>
      </c>
      <c r="D2095" s="33">
        <v>4430265054</v>
      </c>
      <c r="E2095" s="33">
        <v>897</v>
      </c>
      <c r="F2095" s="33">
        <v>877</v>
      </c>
      <c r="G2095" s="33" t="s">
        <v>38</v>
      </c>
      <c r="H2095" s="33" t="s">
        <v>4569</v>
      </c>
      <c r="I2095" s="33" t="s">
        <v>39</v>
      </c>
      <c r="J2095" s="33" t="s">
        <v>40</v>
      </c>
      <c r="K2095" s="33" t="s">
        <v>41</v>
      </c>
    </row>
    <row r="2096" spans="1:12" hidden="1" x14ac:dyDescent="0.3">
      <c r="A2096" s="39">
        <v>46063.62226851852</v>
      </c>
      <c r="B2096" s="33" t="s">
        <v>48</v>
      </c>
      <c r="C2096" s="33">
        <v>44999184476</v>
      </c>
      <c r="E2096" s="33">
        <v>3</v>
      </c>
      <c r="F2096" s="33">
        <v>0</v>
      </c>
      <c r="G2096" s="33" t="s">
        <v>47</v>
      </c>
      <c r="H2096" s="33" t="s">
        <v>6064</v>
      </c>
      <c r="I2096" s="33" t="s">
        <v>46</v>
      </c>
      <c r="J2096" s="33" t="s">
        <v>40</v>
      </c>
    </row>
    <row r="2097" spans="1:12" hidden="1" x14ac:dyDescent="0.3">
      <c r="A2097" s="39">
        <v>46063.622071759259</v>
      </c>
      <c r="B2097" s="33" t="s">
        <v>48</v>
      </c>
      <c r="C2097" s="33">
        <v>44999184476</v>
      </c>
      <c r="E2097" s="33">
        <v>2</v>
      </c>
      <c r="F2097" s="33">
        <v>0</v>
      </c>
      <c r="G2097" s="33" t="s">
        <v>47</v>
      </c>
      <c r="H2097" s="33" t="s">
        <v>6065</v>
      </c>
      <c r="I2097" s="33" t="s">
        <v>46</v>
      </c>
      <c r="J2097" s="33" t="s">
        <v>40</v>
      </c>
    </row>
    <row r="2098" spans="1:12" hidden="1" x14ac:dyDescent="0.3">
      <c r="A2098" s="39">
        <v>46063.622013888889</v>
      </c>
      <c r="B2098" s="33" t="s">
        <v>48</v>
      </c>
      <c r="C2098" s="33">
        <v>44999184476</v>
      </c>
      <c r="E2098" s="33">
        <v>2</v>
      </c>
      <c r="F2098" s="33">
        <v>0</v>
      </c>
      <c r="G2098" s="33" t="s">
        <v>47</v>
      </c>
      <c r="H2098" s="33" t="s">
        <v>6066</v>
      </c>
      <c r="I2098" s="33" t="s">
        <v>46</v>
      </c>
      <c r="J2098" s="33" t="s">
        <v>40</v>
      </c>
    </row>
    <row r="2099" spans="1:12" hidden="1" x14ac:dyDescent="0.3">
      <c r="A2099" s="39">
        <v>46063.621747685182</v>
      </c>
      <c r="B2099" s="33" t="s">
        <v>3627</v>
      </c>
      <c r="C2099" s="33">
        <v>6330285261</v>
      </c>
      <c r="E2099" s="33">
        <v>4</v>
      </c>
      <c r="F2099" s="33">
        <v>0</v>
      </c>
      <c r="G2099" s="33" t="s">
        <v>47</v>
      </c>
      <c r="H2099" s="33" t="s">
        <v>6067</v>
      </c>
      <c r="I2099" s="33" t="s">
        <v>46</v>
      </c>
      <c r="J2099" s="33" t="s">
        <v>3629</v>
      </c>
    </row>
    <row r="2100" spans="1:12" hidden="1" x14ac:dyDescent="0.3">
      <c r="A2100" s="39">
        <v>46063.62127314815</v>
      </c>
      <c r="B2100" s="33">
        <v>91981481202</v>
      </c>
      <c r="C2100" s="33" t="s">
        <v>42</v>
      </c>
      <c r="D2100" s="33">
        <v>4430265054</v>
      </c>
      <c r="E2100" s="33">
        <v>872</v>
      </c>
      <c r="F2100" s="33">
        <v>802</v>
      </c>
      <c r="G2100" s="33" t="s">
        <v>38</v>
      </c>
      <c r="H2100" s="33" t="s">
        <v>4570</v>
      </c>
      <c r="I2100" s="33" t="s">
        <v>39</v>
      </c>
      <c r="J2100" s="33" t="s">
        <v>40</v>
      </c>
      <c r="K2100" s="33" t="s">
        <v>41</v>
      </c>
    </row>
    <row r="2101" spans="1:12" hidden="1" x14ac:dyDescent="0.3">
      <c r="A2101" s="39">
        <v>46063.616226851853</v>
      </c>
      <c r="B2101" s="33">
        <v>44988255390</v>
      </c>
      <c r="C2101" s="33" t="s">
        <v>48</v>
      </c>
      <c r="D2101" s="33">
        <v>4430265054</v>
      </c>
      <c r="E2101" s="33">
        <v>415</v>
      </c>
      <c r="F2101" s="33">
        <v>414</v>
      </c>
      <c r="G2101" s="33" t="s">
        <v>38</v>
      </c>
      <c r="H2101" s="33" t="s">
        <v>4571</v>
      </c>
      <c r="I2101" s="33" t="s">
        <v>39</v>
      </c>
      <c r="J2101" s="33" t="s">
        <v>40</v>
      </c>
      <c r="K2101" s="33" t="s">
        <v>41</v>
      </c>
    </row>
    <row r="2102" spans="1:12" hidden="1" x14ac:dyDescent="0.3">
      <c r="A2102" s="39">
        <v>46063.612962962965</v>
      </c>
      <c r="B2102" s="33" t="s">
        <v>3627</v>
      </c>
      <c r="C2102" s="33">
        <v>85981838168</v>
      </c>
      <c r="E2102" s="33">
        <v>29</v>
      </c>
      <c r="F2102" s="33">
        <v>5</v>
      </c>
      <c r="G2102" s="33" t="s">
        <v>38</v>
      </c>
      <c r="H2102" s="33" t="s">
        <v>6068</v>
      </c>
      <c r="I2102" s="33" t="s">
        <v>46</v>
      </c>
      <c r="J2102" s="33" t="s">
        <v>3629</v>
      </c>
    </row>
    <row r="2103" spans="1:12" hidden="1" x14ac:dyDescent="0.3">
      <c r="A2103" s="39">
        <v>46063.61204861111</v>
      </c>
      <c r="B2103" s="33">
        <v>15997113760</v>
      </c>
      <c r="C2103" s="33" t="s">
        <v>43</v>
      </c>
      <c r="D2103" s="33">
        <v>4431268225</v>
      </c>
      <c r="E2103" s="33">
        <v>186</v>
      </c>
      <c r="F2103" s="33">
        <v>177</v>
      </c>
      <c r="G2103" s="33" t="s">
        <v>38</v>
      </c>
      <c r="H2103" s="33" t="s">
        <v>4572</v>
      </c>
      <c r="I2103" s="33" t="s">
        <v>39</v>
      </c>
      <c r="J2103" s="33" t="s">
        <v>40</v>
      </c>
      <c r="K2103" s="33" t="s">
        <v>41</v>
      </c>
    </row>
    <row r="2104" spans="1:12" hidden="1" x14ac:dyDescent="0.3">
      <c r="A2104" s="39">
        <v>46063.611770833333</v>
      </c>
      <c r="B2104" s="33" t="s">
        <v>43</v>
      </c>
      <c r="C2104" s="33">
        <v>15997113760</v>
      </c>
      <c r="E2104" s="33">
        <v>8</v>
      </c>
      <c r="F2104" s="33">
        <v>0</v>
      </c>
      <c r="G2104" s="33" t="s">
        <v>47</v>
      </c>
      <c r="H2104" s="33" t="s">
        <v>6069</v>
      </c>
      <c r="I2104" s="33" t="s">
        <v>46</v>
      </c>
      <c r="J2104" s="33" t="s">
        <v>40</v>
      </c>
    </row>
    <row r="2105" spans="1:12" hidden="1" x14ac:dyDescent="0.3">
      <c r="A2105" s="39">
        <v>46063.606793981482</v>
      </c>
      <c r="B2105" s="33">
        <v>4430191401</v>
      </c>
      <c r="C2105" s="33" t="s">
        <v>45</v>
      </c>
      <c r="D2105" s="33">
        <v>4430265054</v>
      </c>
      <c r="E2105" s="33">
        <v>1179</v>
      </c>
      <c r="F2105" s="33">
        <v>1146</v>
      </c>
      <c r="G2105" s="33" t="s">
        <v>38</v>
      </c>
      <c r="H2105" s="33" t="s">
        <v>4573</v>
      </c>
      <c r="I2105" s="33" t="s">
        <v>39</v>
      </c>
      <c r="J2105" s="33" t="s">
        <v>40</v>
      </c>
      <c r="K2105" s="33" t="s">
        <v>41</v>
      </c>
      <c r="L2105" s="33">
        <v>4</v>
      </c>
    </row>
    <row r="2106" spans="1:12" hidden="1" x14ac:dyDescent="0.3">
      <c r="A2106" s="39">
        <v>46063.604259259257</v>
      </c>
      <c r="B2106" s="33" t="s">
        <v>3627</v>
      </c>
      <c r="C2106" s="33">
        <v>81984817100</v>
      </c>
      <c r="E2106" s="33">
        <v>10</v>
      </c>
      <c r="F2106" s="33">
        <v>7</v>
      </c>
      <c r="G2106" s="33" t="s">
        <v>38</v>
      </c>
      <c r="H2106" s="33" t="s">
        <v>6070</v>
      </c>
      <c r="I2106" s="33" t="s">
        <v>46</v>
      </c>
      <c r="J2106" s="33" t="s">
        <v>3629</v>
      </c>
    </row>
    <row r="2107" spans="1:12" hidden="1" x14ac:dyDescent="0.3">
      <c r="A2107" s="39">
        <v>46063.604016203702</v>
      </c>
      <c r="B2107" s="33" t="s">
        <v>3627</v>
      </c>
      <c r="C2107" s="33">
        <v>81984817100</v>
      </c>
      <c r="E2107" s="33">
        <v>13</v>
      </c>
      <c r="F2107" s="33">
        <v>10</v>
      </c>
      <c r="G2107" s="33" t="s">
        <v>38</v>
      </c>
      <c r="H2107" s="33" t="s">
        <v>6071</v>
      </c>
      <c r="I2107" s="33" t="s">
        <v>46</v>
      </c>
      <c r="J2107" s="33" t="s">
        <v>3629</v>
      </c>
    </row>
    <row r="2108" spans="1:12" hidden="1" x14ac:dyDescent="0.3">
      <c r="A2108" s="39">
        <v>46063.603229166663</v>
      </c>
      <c r="B2108" s="33" t="s">
        <v>48</v>
      </c>
      <c r="C2108" s="33">
        <v>91985176746</v>
      </c>
      <c r="E2108" s="33">
        <v>58</v>
      </c>
      <c r="F2108" s="33">
        <v>35</v>
      </c>
      <c r="G2108" s="33" t="s">
        <v>38</v>
      </c>
      <c r="H2108" s="33" t="s">
        <v>6072</v>
      </c>
      <c r="I2108" s="33" t="s">
        <v>46</v>
      </c>
      <c r="J2108" s="33" t="s">
        <v>40</v>
      </c>
    </row>
    <row r="2109" spans="1:12" hidden="1" x14ac:dyDescent="0.3">
      <c r="A2109" s="39">
        <v>46063.603055555555</v>
      </c>
      <c r="B2109" s="33">
        <v>44998044060</v>
      </c>
      <c r="C2109" s="33" t="s">
        <v>48</v>
      </c>
      <c r="D2109" s="33">
        <v>4430265054</v>
      </c>
      <c r="E2109" s="33">
        <v>648</v>
      </c>
      <c r="F2109" s="33">
        <v>647</v>
      </c>
      <c r="G2109" s="33" t="s">
        <v>38</v>
      </c>
      <c r="H2109" s="33" t="s">
        <v>4574</v>
      </c>
      <c r="I2109" s="33" t="s">
        <v>39</v>
      </c>
      <c r="J2109" s="33" t="s">
        <v>40</v>
      </c>
      <c r="K2109" s="33" t="s">
        <v>41</v>
      </c>
      <c r="L2109" s="33">
        <v>5</v>
      </c>
    </row>
    <row r="2110" spans="1:12" hidden="1" x14ac:dyDescent="0.3">
      <c r="A2110" s="39">
        <v>46063.600682870368</v>
      </c>
      <c r="B2110" s="33">
        <v>91985176746</v>
      </c>
      <c r="C2110" s="33" t="s">
        <v>48</v>
      </c>
      <c r="D2110" s="33">
        <v>4430265054</v>
      </c>
      <c r="E2110" s="33">
        <v>202</v>
      </c>
      <c r="F2110" s="33">
        <v>163</v>
      </c>
      <c r="G2110" s="33" t="s">
        <v>38</v>
      </c>
      <c r="H2110" s="33" t="s">
        <v>4575</v>
      </c>
      <c r="I2110" s="33" t="s">
        <v>39</v>
      </c>
      <c r="J2110" s="33" t="s">
        <v>40</v>
      </c>
      <c r="K2110" s="33" t="s">
        <v>41</v>
      </c>
    </row>
    <row r="2111" spans="1:12" hidden="1" x14ac:dyDescent="0.3">
      <c r="A2111" s="39">
        <v>46063.599189814813</v>
      </c>
      <c r="B2111" s="33">
        <v>42998221810</v>
      </c>
      <c r="C2111" s="33" t="s">
        <v>42</v>
      </c>
      <c r="D2111" s="33">
        <v>4430265054</v>
      </c>
      <c r="E2111" s="33">
        <v>1454</v>
      </c>
      <c r="F2111" s="33">
        <v>1368</v>
      </c>
      <c r="G2111" s="33" t="s">
        <v>38</v>
      </c>
      <c r="H2111" s="33" t="s">
        <v>4576</v>
      </c>
      <c r="I2111" s="33" t="s">
        <v>39</v>
      </c>
      <c r="J2111" s="33" t="s">
        <v>40</v>
      </c>
      <c r="K2111" s="33" t="s">
        <v>41</v>
      </c>
    </row>
    <row r="2112" spans="1:12" hidden="1" x14ac:dyDescent="0.3">
      <c r="A2112" s="39">
        <v>46063.596550925926</v>
      </c>
      <c r="B2112" s="33" t="s">
        <v>3627</v>
      </c>
      <c r="C2112" s="33">
        <v>21964682021</v>
      </c>
      <c r="E2112" s="33">
        <v>7</v>
      </c>
      <c r="F2112" s="33">
        <v>0</v>
      </c>
      <c r="G2112" s="33" t="s">
        <v>47</v>
      </c>
      <c r="H2112" s="33" t="s">
        <v>6073</v>
      </c>
      <c r="I2112" s="33" t="s">
        <v>46</v>
      </c>
      <c r="J2112" s="33" t="s">
        <v>3629</v>
      </c>
    </row>
    <row r="2113" spans="1:12" hidden="1" x14ac:dyDescent="0.3">
      <c r="A2113" s="39">
        <v>46063.595868055556</v>
      </c>
      <c r="B2113" s="33">
        <v>6234347959</v>
      </c>
      <c r="C2113" s="33" t="s">
        <v>43</v>
      </c>
      <c r="D2113" s="33">
        <v>4430265054</v>
      </c>
      <c r="E2113" s="33">
        <v>1338</v>
      </c>
      <c r="F2113" s="33">
        <v>1290</v>
      </c>
      <c r="G2113" s="33" t="s">
        <v>38</v>
      </c>
      <c r="H2113" s="33" t="s">
        <v>4577</v>
      </c>
      <c r="I2113" s="33" t="s">
        <v>39</v>
      </c>
      <c r="J2113" s="33" t="s">
        <v>40</v>
      </c>
      <c r="K2113" s="33" t="s">
        <v>41</v>
      </c>
    </row>
    <row r="2114" spans="1:12" hidden="1" x14ac:dyDescent="0.3">
      <c r="A2114" s="39">
        <v>46063.595555555556</v>
      </c>
      <c r="B2114" s="33">
        <v>44999646909</v>
      </c>
      <c r="C2114" s="33" t="s">
        <v>44</v>
      </c>
      <c r="D2114" s="33">
        <v>4430265054</v>
      </c>
      <c r="E2114" s="33">
        <v>638</v>
      </c>
      <c r="F2114" s="33">
        <v>613</v>
      </c>
      <c r="G2114" s="33" t="s">
        <v>38</v>
      </c>
      <c r="H2114" s="33" t="s">
        <v>4578</v>
      </c>
      <c r="I2114" s="33" t="s">
        <v>39</v>
      </c>
      <c r="J2114" s="33" t="s">
        <v>40</v>
      </c>
      <c r="K2114" s="33" t="s">
        <v>41</v>
      </c>
    </row>
    <row r="2115" spans="1:12" hidden="1" x14ac:dyDescent="0.3">
      <c r="A2115" s="39">
        <v>46063.594085648147</v>
      </c>
      <c r="B2115" s="33">
        <v>77999014770</v>
      </c>
      <c r="C2115" s="33" t="s">
        <v>42</v>
      </c>
      <c r="D2115" s="33">
        <v>4430265054</v>
      </c>
      <c r="E2115" s="33">
        <v>388</v>
      </c>
      <c r="F2115" s="33">
        <v>341</v>
      </c>
      <c r="G2115" s="33" t="s">
        <v>38</v>
      </c>
      <c r="H2115" s="33" t="s">
        <v>4579</v>
      </c>
      <c r="I2115" s="33" t="s">
        <v>39</v>
      </c>
      <c r="J2115" s="33" t="s">
        <v>40</v>
      </c>
      <c r="K2115" s="33" t="s">
        <v>41</v>
      </c>
    </row>
    <row r="2116" spans="1:12" hidden="1" x14ac:dyDescent="0.3">
      <c r="A2116" s="39">
        <v>46063.59269675926</v>
      </c>
      <c r="B2116" s="33" t="s">
        <v>3627</v>
      </c>
      <c r="C2116" s="33">
        <v>54996637238</v>
      </c>
      <c r="E2116" s="33">
        <v>1</v>
      </c>
      <c r="F2116" s="33">
        <v>0</v>
      </c>
      <c r="G2116" s="33" t="s">
        <v>47</v>
      </c>
      <c r="H2116" s="33" t="s">
        <v>6074</v>
      </c>
      <c r="I2116" s="33" t="s">
        <v>46</v>
      </c>
      <c r="J2116" s="33" t="s">
        <v>3629</v>
      </c>
    </row>
    <row r="2117" spans="1:12" hidden="1" x14ac:dyDescent="0.3">
      <c r="A2117" s="39">
        <v>46063.592534722222</v>
      </c>
      <c r="B2117" s="33" t="s">
        <v>48</v>
      </c>
      <c r="C2117" s="33">
        <v>4435252515</v>
      </c>
      <c r="E2117" s="33">
        <v>645</v>
      </c>
      <c r="F2117" s="33">
        <v>635</v>
      </c>
      <c r="G2117" s="33" t="s">
        <v>38</v>
      </c>
      <c r="H2117" s="33" t="s">
        <v>6075</v>
      </c>
      <c r="I2117" s="33" t="s">
        <v>46</v>
      </c>
      <c r="J2117" s="33" t="s">
        <v>40</v>
      </c>
      <c r="L2117" s="33">
        <v>5</v>
      </c>
    </row>
    <row r="2118" spans="1:12" hidden="1" x14ac:dyDescent="0.3">
      <c r="A2118" s="39">
        <v>46063.592488425929</v>
      </c>
      <c r="B2118" s="33" t="s">
        <v>48</v>
      </c>
      <c r="C2118" s="33">
        <v>4435252515</v>
      </c>
      <c r="E2118" s="33">
        <v>2</v>
      </c>
      <c r="F2118" s="33">
        <v>0</v>
      </c>
      <c r="G2118" s="33" t="s">
        <v>47</v>
      </c>
      <c r="H2118" s="33" t="s">
        <v>6076</v>
      </c>
      <c r="I2118" s="33" t="s">
        <v>46</v>
      </c>
      <c r="J2118" s="33" t="s">
        <v>40</v>
      </c>
    </row>
    <row r="2119" spans="1:12" hidden="1" x14ac:dyDescent="0.3">
      <c r="A2119" s="39">
        <v>46063.592430555553</v>
      </c>
      <c r="B2119" s="33" t="s">
        <v>48</v>
      </c>
      <c r="C2119" s="33">
        <v>4430175515</v>
      </c>
      <c r="E2119" s="33">
        <v>3</v>
      </c>
      <c r="F2119" s="33">
        <v>0</v>
      </c>
      <c r="G2119" s="33" t="s">
        <v>47</v>
      </c>
      <c r="H2119" s="33" t="s">
        <v>6077</v>
      </c>
      <c r="I2119" s="33" t="s">
        <v>46</v>
      </c>
      <c r="J2119" s="33" t="s">
        <v>40</v>
      </c>
    </row>
    <row r="2120" spans="1:12" hidden="1" x14ac:dyDescent="0.3">
      <c r="A2120" s="39">
        <v>46063.591446759259</v>
      </c>
      <c r="B2120" s="33" t="s">
        <v>48</v>
      </c>
      <c r="C2120" s="33">
        <v>44997343311</v>
      </c>
      <c r="E2120" s="33">
        <v>15</v>
      </c>
      <c r="F2120" s="33">
        <v>0</v>
      </c>
      <c r="G2120" s="33" t="s">
        <v>47</v>
      </c>
      <c r="H2120" s="33" t="s">
        <v>6078</v>
      </c>
      <c r="I2120" s="33" t="s">
        <v>46</v>
      </c>
      <c r="J2120" s="33" t="s">
        <v>40</v>
      </c>
    </row>
    <row r="2121" spans="1:12" hidden="1" x14ac:dyDescent="0.3">
      <c r="A2121" s="39">
        <v>46063.59039351852</v>
      </c>
      <c r="B2121" s="33" t="s">
        <v>48</v>
      </c>
      <c r="C2121" s="33">
        <v>4430175515</v>
      </c>
      <c r="E2121" s="33">
        <v>4</v>
      </c>
      <c r="F2121" s="33">
        <v>0</v>
      </c>
      <c r="G2121" s="33" t="s">
        <v>47</v>
      </c>
      <c r="H2121" s="33" t="s">
        <v>6079</v>
      </c>
      <c r="I2121" s="33" t="s">
        <v>46</v>
      </c>
      <c r="J2121" s="33" t="s">
        <v>40</v>
      </c>
    </row>
    <row r="2122" spans="1:12" hidden="1" x14ac:dyDescent="0.3">
      <c r="A2122" s="39">
        <v>46063.590300925927</v>
      </c>
      <c r="B2122" s="33" t="s">
        <v>48</v>
      </c>
      <c r="C2122" s="33">
        <v>4430175515</v>
      </c>
      <c r="E2122" s="33">
        <v>7</v>
      </c>
      <c r="F2122" s="33">
        <v>0</v>
      </c>
      <c r="G2122" s="33" t="s">
        <v>47</v>
      </c>
      <c r="H2122" s="33" t="s">
        <v>6080</v>
      </c>
      <c r="I2122" s="33" t="s">
        <v>46</v>
      </c>
      <c r="J2122" s="33" t="s">
        <v>40</v>
      </c>
    </row>
    <row r="2123" spans="1:12" hidden="1" x14ac:dyDescent="0.3">
      <c r="A2123" s="39">
        <v>46063.587939814817</v>
      </c>
      <c r="B2123" s="33">
        <v>44999646909</v>
      </c>
      <c r="C2123" s="33" t="s">
        <v>48</v>
      </c>
      <c r="D2123" s="33">
        <v>4430265054</v>
      </c>
      <c r="E2123" s="33">
        <v>184</v>
      </c>
      <c r="F2123" s="33">
        <v>183</v>
      </c>
      <c r="G2123" s="33" t="s">
        <v>38</v>
      </c>
      <c r="H2123" s="33" t="s">
        <v>4580</v>
      </c>
      <c r="I2123" s="33" t="s">
        <v>39</v>
      </c>
      <c r="J2123" s="33" t="s">
        <v>40</v>
      </c>
      <c r="K2123" s="33" t="s">
        <v>41</v>
      </c>
    </row>
    <row r="2124" spans="1:12" hidden="1" x14ac:dyDescent="0.3">
      <c r="A2124" s="39">
        <v>46063.586030092592</v>
      </c>
      <c r="B2124" s="33">
        <v>83988398480</v>
      </c>
      <c r="C2124" s="33" t="s">
        <v>43</v>
      </c>
      <c r="D2124" s="33">
        <v>4430265054</v>
      </c>
      <c r="E2124" s="33">
        <v>723</v>
      </c>
      <c r="F2124" s="33">
        <v>707</v>
      </c>
      <c r="G2124" s="33" t="s">
        <v>38</v>
      </c>
      <c r="H2124" s="33" t="s">
        <v>4581</v>
      </c>
      <c r="I2124" s="33" t="s">
        <v>39</v>
      </c>
      <c r="J2124" s="33" t="s">
        <v>40</v>
      </c>
      <c r="K2124" s="33" t="s">
        <v>41</v>
      </c>
    </row>
    <row r="2125" spans="1:12" hidden="1" x14ac:dyDescent="0.3">
      <c r="A2125" s="39">
        <v>46063.583773148152</v>
      </c>
      <c r="B2125" s="33">
        <v>44999741199</v>
      </c>
      <c r="C2125" s="33" t="s">
        <v>44</v>
      </c>
      <c r="D2125" s="33">
        <v>4430265054</v>
      </c>
      <c r="E2125" s="33">
        <v>784</v>
      </c>
      <c r="F2125" s="33">
        <v>720</v>
      </c>
      <c r="G2125" s="33" t="s">
        <v>38</v>
      </c>
      <c r="H2125" s="33" t="s">
        <v>4582</v>
      </c>
      <c r="I2125" s="33" t="s">
        <v>39</v>
      </c>
      <c r="J2125" s="33" t="s">
        <v>40</v>
      </c>
      <c r="K2125" s="33" t="s">
        <v>41</v>
      </c>
    </row>
    <row r="2126" spans="1:12" hidden="1" x14ac:dyDescent="0.3">
      <c r="A2126" s="39">
        <v>46063.581701388888</v>
      </c>
      <c r="B2126" s="33">
        <v>83988398480</v>
      </c>
      <c r="C2126" s="33" t="s">
        <v>43</v>
      </c>
      <c r="D2126" s="33">
        <v>4430265054</v>
      </c>
      <c r="E2126" s="33">
        <v>358</v>
      </c>
      <c r="F2126" s="33">
        <v>270</v>
      </c>
      <c r="G2126" s="33" t="s">
        <v>38</v>
      </c>
      <c r="H2126" s="33" t="s">
        <v>4583</v>
      </c>
      <c r="I2126" s="33" t="s">
        <v>39</v>
      </c>
      <c r="J2126" s="33" t="s">
        <v>40</v>
      </c>
      <c r="K2126" s="33" t="s">
        <v>41</v>
      </c>
    </row>
    <row r="2127" spans="1:12" hidden="1" x14ac:dyDescent="0.3">
      <c r="A2127" s="39">
        <v>46063.581516203703</v>
      </c>
      <c r="B2127" s="33">
        <v>44999646909</v>
      </c>
      <c r="C2127" s="33" t="s">
        <v>48</v>
      </c>
      <c r="D2127" s="33">
        <v>4430265054</v>
      </c>
      <c r="E2127" s="33">
        <v>240</v>
      </c>
      <c r="F2127" s="33">
        <v>185</v>
      </c>
      <c r="G2127" s="33" t="s">
        <v>38</v>
      </c>
      <c r="H2127" s="33" t="s">
        <v>4584</v>
      </c>
      <c r="I2127" s="33" t="s">
        <v>39</v>
      </c>
      <c r="J2127" s="33" t="s">
        <v>40</v>
      </c>
      <c r="K2127" s="33" t="s">
        <v>41</v>
      </c>
    </row>
    <row r="2128" spans="1:12" hidden="1" x14ac:dyDescent="0.3">
      <c r="A2128" s="39">
        <v>46063.581354166665</v>
      </c>
      <c r="B2128" s="33">
        <v>44988443028</v>
      </c>
      <c r="C2128" s="33" t="s">
        <v>42</v>
      </c>
      <c r="D2128" s="33">
        <v>4430265054</v>
      </c>
      <c r="E2128" s="33">
        <v>201</v>
      </c>
      <c r="F2128" s="33">
        <v>168</v>
      </c>
      <c r="G2128" s="33" t="s">
        <v>38</v>
      </c>
      <c r="H2128" s="33" t="s">
        <v>4585</v>
      </c>
      <c r="I2128" s="33" t="s">
        <v>39</v>
      </c>
      <c r="J2128" s="33" t="s">
        <v>40</v>
      </c>
      <c r="K2128" s="33" t="s">
        <v>41</v>
      </c>
    </row>
    <row r="2129" spans="1:11" hidden="1" x14ac:dyDescent="0.3">
      <c r="A2129" s="39">
        <v>46063.581087962964</v>
      </c>
      <c r="B2129" s="33" t="s">
        <v>45</v>
      </c>
      <c r="C2129" s="33">
        <v>44997616098</v>
      </c>
      <c r="E2129" s="33">
        <v>2132</v>
      </c>
      <c r="F2129" s="33">
        <v>2116</v>
      </c>
      <c r="G2129" s="33" t="s">
        <v>38</v>
      </c>
      <c r="H2129" s="33" t="s">
        <v>6081</v>
      </c>
      <c r="I2129" s="33" t="s">
        <v>46</v>
      </c>
      <c r="J2129" s="33" t="s">
        <v>40</v>
      </c>
    </row>
    <row r="2130" spans="1:11" hidden="1" x14ac:dyDescent="0.3">
      <c r="A2130" s="39">
        <v>46063.578819444447</v>
      </c>
      <c r="B2130" s="33">
        <v>43991519887</v>
      </c>
      <c r="C2130" s="33" t="s">
        <v>44</v>
      </c>
      <c r="D2130" s="33">
        <v>4430265054</v>
      </c>
      <c r="E2130" s="33">
        <v>218</v>
      </c>
      <c r="F2130" s="33">
        <v>169</v>
      </c>
      <c r="G2130" s="33" t="s">
        <v>38</v>
      </c>
      <c r="H2130" s="33" t="s">
        <v>4586</v>
      </c>
      <c r="I2130" s="33" t="s">
        <v>39</v>
      </c>
      <c r="J2130" s="33" t="s">
        <v>40</v>
      </c>
      <c r="K2130" s="33" t="s">
        <v>41</v>
      </c>
    </row>
    <row r="2131" spans="1:11" hidden="1" x14ac:dyDescent="0.3">
      <c r="A2131" s="39">
        <v>46063.578032407408</v>
      </c>
      <c r="B2131" s="33" t="s">
        <v>37</v>
      </c>
      <c r="C2131" s="33">
        <v>19992581194</v>
      </c>
      <c r="E2131" s="33">
        <v>8011</v>
      </c>
      <c r="F2131" s="33">
        <v>7997</v>
      </c>
      <c r="G2131" s="33" t="s">
        <v>38</v>
      </c>
      <c r="H2131" s="33" t="s">
        <v>6082</v>
      </c>
      <c r="I2131" s="33" t="s">
        <v>46</v>
      </c>
      <c r="J2131" s="33" t="s">
        <v>40</v>
      </c>
    </row>
    <row r="2132" spans="1:11" hidden="1" x14ac:dyDescent="0.3">
      <c r="A2132" s="39">
        <v>46063.577685185184</v>
      </c>
      <c r="B2132" s="33">
        <v>4133491428</v>
      </c>
      <c r="C2132" s="33" t="s">
        <v>48</v>
      </c>
      <c r="D2132" s="33">
        <v>4430265054</v>
      </c>
      <c r="E2132" s="33">
        <v>161</v>
      </c>
      <c r="F2132" s="33">
        <v>142</v>
      </c>
      <c r="G2132" s="33" t="s">
        <v>38</v>
      </c>
      <c r="H2132" s="33" t="s">
        <v>4587</v>
      </c>
      <c r="I2132" s="33" t="s">
        <v>39</v>
      </c>
      <c r="J2132" s="33" t="s">
        <v>40</v>
      </c>
      <c r="K2132" s="33" t="s">
        <v>41</v>
      </c>
    </row>
    <row r="2133" spans="1:11" hidden="1" x14ac:dyDescent="0.3">
      <c r="A2133" s="39">
        <v>46063.576782407406</v>
      </c>
      <c r="B2133" s="33">
        <v>4430141533</v>
      </c>
      <c r="C2133" s="33" t="s">
        <v>43</v>
      </c>
      <c r="D2133" s="33">
        <v>4430265054</v>
      </c>
      <c r="E2133" s="33">
        <v>416</v>
      </c>
      <c r="F2133" s="33">
        <v>244</v>
      </c>
      <c r="G2133" s="33" t="s">
        <v>38</v>
      </c>
      <c r="H2133" s="33" t="s">
        <v>4588</v>
      </c>
      <c r="I2133" s="33" t="s">
        <v>39</v>
      </c>
      <c r="J2133" s="33" t="s">
        <v>40</v>
      </c>
      <c r="K2133" s="33" t="s">
        <v>41</v>
      </c>
    </row>
    <row r="2134" spans="1:11" hidden="1" x14ac:dyDescent="0.3">
      <c r="A2134" s="39">
        <v>46063.576354166667</v>
      </c>
      <c r="B2134" s="33" t="s">
        <v>37</v>
      </c>
      <c r="C2134" s="33">
        <v>19998313023</v>
      </c>
      <c r="E2134" s="33">
        <v>4</v>
      </c>
      <c r="F2134" s="33">
        <v>0</v>
      </c>
      <c r="G2134" s="33" t="s">
        <v>47</v>
      </c>
      <c r="H2134" s="33" t="s">
        <v>6083</v>
      </c>
      <c r="I2134" s="33" t="s">
        <v>46</v>
      </c>
      <c r="J2134" s="33" t="s">
        <v>40</v>
      </c>
    </row>
    <row r="2135" spans="1:11" hidden="1" x14ac:dyDescent="0.3">
      <c r="A2135" s="39">
        <v>46063.576180555552</v>
      </c>
      <c r="B2135" s="33" t="s">
        <v>37</v>
      </c>
      <c r="C2135" s="33">
        <v>19998313023</v>
      </c>
      <c r="E2135" s="33">
        <v>4</v>
      </c>
      <c r="F2135" s="33">
        <v>0</v>
      </c>
      <c r="G2135" s="33" t="s">
        <v>47</v>
      </c>
      <c r="H2135" s="33" t="s">
        <v>6084</v>
      </c>
      <c r="I2135" s="33" t="s">
        <v>46</v>
      </c>
      <c r="J2135" s="33" t="s">
        <v>40</v>
      </c>
    </row>
    <row r="2136" spans="1:11" hidden="1" x14ac:dyDescent="0.3">
      <c r="A2136" s="39">
        <v>46063.574965277781</v>
      </c>
      <c r="B2136" s="33" t="s">
        <v>45</v>
      </c>
      <c r="C2136" s="33">
        <v>44997616098</v>
      </c>
      <c r="E2136" s="33">
        <v>516</v>
      </c>
      <c r="F2136" s="33">
        <v>508</v>
      </c>
      <c r="G2136" s="33" t="s">
        <v>38</v>
      </c>
      <c r="H2136" s="33" t="s">
        <v>6085</v>
      </c>
      <c r="I2136" s="33" t="s">
        <v>46</v>
      </c>
      <c r="J2136" s="33" t="s">
        <v>40</v>
      </c>
    </row>
    <row r="2137" spans="1:11" hidden="1" x14ac:dyDescent="0.3">
      <c r="A2137" s="39">
        <v>46063.574675925927</v>
      </c>
      <c r="B2137" s="33" t="s">
        <v>43</v>
      </c>
      <c r="C2137" s="33">
        <v>15997113760</v>
      </c>
      <c r="E2137" s="33">
        <v>88</v>
      </c>
      <c r="F2137" s="33">
        <v>74</v>
      </c>
      <c r="G2137" s="33" t="s">
        <v>38</v>
      </c>
      <c r="H2137" s="33" t="s">
        <v>6086</v>
      </c>
      <c r="I2137" s="33" t="s">
        <v>46</v>
      </c>
      <c r="J2137" s="33" t="s">
        <v>40</v>
      </c>
    </row>
    <row r="2138" spans="1:11" hidden="1" x14ac:dyDescent="0.3">
      <c r="A2138" s="39">
        <v>46063.574583333335</v>
      </c>
      <c r="B2138" s="33">
        <v>15997113760</v>
      </c>
      <c r="C2138" s="33">
        <v>4431268225</v>
      </c>
      <c r="D2138" s="33">
        <v>4431268225</v>
      </c>
      <c r="E2138" s="33">
        <v>22</v>
      </c>
      <c r="F2138" s="33">
        <v>22</v>
      </c>
      <c r="G2138" s="33" t="s">
        <v>3449</v>
      </c>
      <c r="H2138" s="33" t="s">
        <v>4589</v>
      </c>
      <c r="I2138" s="33" t="s">
        <v>39</v>
      </c>
      <c r="J2138" s="33" t="s">
        <v>3451</v>
      </c>
      <c r="K2138" s="33" t="s">
        <v>41</v>
      </c>
    </row>
    <row r="2139" spans="1:11" hidden="1" x14ac:dyDescent="0.3">
      <c r="A2139" s="39">
        <v>46063.574444444443</v>
      </c>
      <c r="B2139" s="33" t="s">
        <v>43</v>
      </c>
      <c r="C2139" s="33">
        <v>15997113760</v>
      </c>
      <c r="E2139" s="33">
        <v>17</v>
      </c>
      <c r="F2139" s="33">
        <v>9</v>
      </c>
      <c r="G2139" s="33" t="s">
        <v>38</v>
      </c>
      <c r="H2139" s="33" t="s">
        <v>6087</v>
      </c>
      <c r="I2139" s="33" t="s">
        <v>46</v>
      </c>
      <c r="J2139" s="33" t="s">
        <v>40</v>
      </c>
    </row>
    <row r="2140" spans="1:11" hidden="1" x14ac:dyDescent="0.3">
      <c r="A2140" s="39">
        <v>46063.574293981481</v>
      </c>
      <c r="B2140" s="33" t="s">
        <v>42</v>
      </c>
      <c r="C2140" s="33">
        <v>4430162376</v>
      </c>
      <c r="E2140" s="33">
        <v>322</v>
      </c>
      <c r="F2140" s="33">
        <v>312</v>
      </c>
      <c r="G2140" s="33" t="s">
        <v>38</v>
      </c>
      <c r="H2140" s="33" t="s">
        <v>6088</v>
      </c>
      <c r="I2140" s="33" t="s">
        <v>46</v>
      </c>
      <c r="J2140" s="33" t="s">
        <v>40</v>
      </c>
    </row>
    <row r="2141" spans="1:11" hidden="1" x14ac:dyDescent="0.3">
      <c r="A2141" s="39">
        <v>46063.57408564815</v>
      </c>
      <c r="B2141" s="33" t="s">
        <v>43</v>
      </c>
      <c r="C2141" s="33">
        <v>15996540668</v>
      </c>
      <c r="E2141" s="33">
        <v>8</v>
      </c>
      <c r="F2141" s="33">
        <v>0</v>
      </c>
      <c r="G2141" s="33" t="s">
        <v>47</v>
      </c>
      <c r="H2141" s="33" t="s">
        <v>6089</v>
      </c>
      <c r="I2141" s="33" t="s">
        <v>46</v>
      </c>
      <c r="J2141" s="33" t="s">
        <v>40</v>
      </c>
    </row>
    <row r="2142" spans="1:11" hidden="1" x14ac:dyDescent="0.3">
      <c r="A2142" s="39">
        <v>46063.573958333334</v>
      </c>
      <c r="B2142" s="33" t="s">
        <v>43</v>
      </c>
      <c r="C2142" s="33">
        <v>1535242286</v>
      </c>
      <c r="E2142" s="33">
        <v>4</v>
      </c>
      <c r="F2142" s="33">
        <v>0</v>
      </c>
      <c r="G2142" s="33" t="s">
        <v>47</v>
      </c>
      <c r="H2142" s="33" t="s">
        <v>6090</v>
      </c>
      <c r="I2142" s="33" t="s">
        <v>46</v>
      </c>
      <c r="J2142" s="33" t="s">
        <v>40</v>
      </c>
    </row>
    <row r="2143" spans="1:11" hidden="1" x14ac:dyDescent="0.3">
      <c r="A2143" s="39">
        <v>46063.57234953704</v>
      </c>
      <c r="B2143" s="33">
        <v>4430162376</v>
      </c>
      <c r="C2143" s="33" t="s">
        <v>42</v>
      </c>
      <c r="D2143" s="33">
        <v>4430265054</v>
      </c>
      <c r="E2143" s="33">
        <v>148</v>
      </c>
      <c r="F2143" s="33">
        <v>68</v>
      </c>
      <c r="G2143" s="33" t="s">
        <v>38</v>
      </c>
      <c r="H2143" s="33" t="s">
        <v>4590</v>
      </c>
      <c r="I2143" s="33" t="s">
        <v>39</v>
      </c>
      <c r="J2143" s="33" t="s">
        <v>40</v>
      </c>
      <c r="K2143" s="33" t="s">
        <v>41</v>
      </c>
    </row>
    <row r="2144" spans="1:11" hidden="1" x14ac:dyDescent="0.3">
      <c r="A2144" s="39">
        <v>46063.571689814817</v>
      </c>
      <c r="B2144" s="33">
        <v>4430162376</v>
      </c>
      <c r="C2144" s="33">
        <v>4430265054</v>
      </c>
      <c r="D2144" s="33">
        <v>4430265054</v>
      </c>
      <c r="E2144" s="33">
        <v>16</v>
      </c>
      <c r="F2144" s="33">
        <v>15</v>
      </c>
      <c r="G2144" s="33" t="s">
        <v>3449</v>
      </c>
      <c r="H2144" s="33" t="s">
        <v>6091</v>
      </c>
      <c r="I2144" s="33" t="s">
        <v>39</v>
      </c>
      <c r="J2144" s="33" t="s">
        <v>3451</v>
      </c>
    </row>
    <row r="2145" spans="1:12" hidden="1" x14ac:dyDescent="0.3">
      <c r="A2145" s="39">
        <v>46063.570023148146</v>
      </c>
      <c r="B2145" s="33">
        <v>4430141533</v>
      </c>
      <c r="C2145" s="33">
        <v>4430265054</v>
      </c>
      <c r="D2145" s="33">
        <v>4430265054</v>
      </c>
      <c r="E2145" s="33">
        <v>32</v>
      </c>
      <c r="F2145" s="33">
        <v>31</v>
      </c>
      <c r="G2145" s="33" t="s">
        <v>3449</v>
      </c>
      <c r="H2145" s="33" t="s">
        <v>4591</v>
      </c>
      <c r="I2145" s="33" t="s">
        <v>39</v>
      </c>
      <c r="J2145" s="33" t="s">
        <v>3451</v>
      </c>
      <c r="K2145" s="33" t="s">
        <v>41</v>
      </c>
    </row>
    <row r="2146" spans="1:12" hidden="1" x14ac:dyDescent="0.3">
      <c r="A2146" s="39">
        <v>46063.562685185185</v>
      </c>
      <c r="B2146" s="33">
        <v>1732146970</v>
      </c>
      <c r="C2146" s="33" t="s">
        <v>45</v>
      </c>
      <c r="D2146" s="33">
        <v>4431268225</v>
      </c>
      <c r="E2146" s="33">
        <v>677</v>
      </c>
      <c r="F2146" s="33">
        <v>592</v>
      </c>
      <c r="G2146" s="33" t="s">
        <v>38</v>
      </c>
      <c r="H2146" s="33" t="s">
        <v>4592</v>
      </c>
      <c r="I2146" s="33" t="s">
        <v>39</v>
      </c>
      <c r="J2146" s="33" t="s">
        <v>40</v>
      </c>
      <c r="K2146" s="33" t="s">
        <v>41</v>
      </c>
    </row>
    <row r="2147" spans="1:12" hidden="1" x14ac:dyDescent="0.3">
      <c r="A2147" s="39">
        <v>46063.559432870374</v>
      </c>
      <c r="B2147" s="33" t="s">
        <v>45</v>
      </c>
      <c r="C2147" s="33">
        <v>4430317020</v>
      </c>
      <c r="E2147" s="33">
        <v>127</v>
      </c>
      <c r="F2147" s="33">
        <v>115</v>
      </c>
      <c r="G2147" s="33" t="s">
        <v>38</v>
      </c>
      <c r="H2147" s="33" t="s">
        <v>6092</v>
      </c>
      <c r="I2147" s="33" t="s">
        <v>46</v>
      </c>
      <c r="J2147" s="33" t="s">
        <v>40</v>
      </c>
    </row>
    <row r="2148" spans="1:12" hidden="1" x14ac:dyDescent="0.3">
      <c r="A2148" s="39">
        <v>46063.555069444446</v>
      </c>
      <c r="B2148" s="33" t="s">
        <v>45</v>
      </c>
      <c r="C2148" s="33">
        <v>4430141533</v>
      </c>
      <c r="E2148" s="33">
        <v>178</v>
      </c>
      <c r="F2148" s="33">
        <v>162</v>
      </c>
      <c r="G2148" s="33" t="s">
        <v>38</v>
      </c>
      <c r="H2148" s="33" t="s">
        <v>6093</v>
      </c>
      <c r="I2148" s="33" t="s">
        <v>46</v>
      </c>
      <c r="J2148" s="33" t="s">
        <v>40</v>
      </c>
      <c r="L2148" s="33">
        <v>5</v>
      </c>
    </row>
    <row r="2149" spans="1:12" hidden="1" x14ac:dyDescent="0.3">
      <c r="A2149" s="39">
        <v>46063.550243055557</v>
      </c>
      <c r="B2149" s="33">
        <v>4430291622</v>
      </c>
      <c r="C2149" s="33">
        <v>4430265054</v>
      </c>
      <c r="D2149" s="33">
        <v>4430265054</v>
      </c>
      <c r="E2149" s="33">
        <v>16</v>
      </c>
      <c r="F2149" s="33">
        <v>15</v>
      </c>
      <c r="G2149" s="33" t="s">
        <v>3449</v>
      </c>
      <c r="H2149" s="33" t="s">
        <v>6094</v>
      </c>
      <c r="I2149" s="33" t="s">
        <v>39</v>
      </c>
      <c r="J2149" s="33" t="s">
        <v>3451</v>
      </c>
    </row>
    <row r="2150" spans="1:12" hidden="1" x14ac:dyDescent="0.3">
      <c r="A2150" s="39">
        <v>46063.494340277779</v>
      </c>
      <c r="B2150" s="33" t="s">
        <v>42</v>
      </c>
      <c r="C2150" s="33">
        <v>44999723261</v>
      </c>
      <c r="E2150" s="33">
        <v>11</v>
      </c>
      <c r="F2150" s="33">
        <v>0</v>
      </c>
      <c r="G2150" s="33" t="s">
        <v>47</v>
      </c>
      <c r="H2150" s="33" t="s">
        <v>6095</v>
      </c>
      <c r="I2150" s="33" t="s">
        <v>46</v>
      </c>
      <c r="J2150" s="33" t="s">
        <v>40</v>
      </c>
    </row>
    <row r="2151" spans="1:12" hidden="1" x14ac:dyDescent="0.3">
      <c r="A2151" s="39">
        <v>46063.494259259256</v>
      </c>
      <c r="B2151" s="33" t="s">
        <v>42</v>
      </c>
      <c r="C2151" s="33">
        <v>4430233291</v>
      </c>
      <c r="E2151" s="33">
        <v>4</v>
      </c>
      <c r="F2151" s="33">
        <v>0</v>
      </c>
      <c r="G2151" s="33" t="s">
        <v>47</v>
      </c>
      <c r="H2151" s="33" t="s">
        <v>6096</v>
      </c>
      <c r="I2151" s="33" t="s">
        <v>46</v>
      </c>
      <c r="J2151" s="33" t="s">
        <v>40</v>
      </c>
    </row>
    <row r="2152" spans="1:12" hidden="1" x14ac:dyDescent="0.3">
      <c r="A2152" s="39">
        <v>46063.494189814817</v>
      </c>
      <c r="B2152" s="33" t="s">
        <v>42</v>
      </c>
      <c r="C2152" s="33">
        <v>4430233291</v>
      </c>
      <c r="E2152" s="33">
        <v>3</v>
      </c>
      <c r="F2152" s="33">
        <v>0</v>
      </c>
      <c r="G2152" s="33" t="s">
        <v>47</v>
      </c>
      <c r="H2152" s="33" t="s">
        <v>6097</v>
      </c>
      <c r="I2152" s="33" t="s">
        <v>46</v>
      </c>
      <c r="J2152" s="33" t="s">
        <v>40</v>
      </c>
    </row>
    <row r="2153" spans="1:12" hidden="1" x14ac:dyDescent="0.3">
      <c r="A2153" s="39">
        <v>46063.494039351855</v>
      </c>
      <c r="B2153" s="33" t="s">
        <v>42</v>
      </c>
      <c r="C2153" s="33">
        <v>4430233291</v>
      </c>
      <c r="E2153" s="33">
        <v>6</v>
      </c>
      <c r="F2153" s="33">
        <v>0</v>
      </c>
      <c r="G2153" s="33" t="s">
        <v>47</v>
      </c>
      <c r="H2153" s="33" t="s">
        <v>6098</v>
      </c>
      <c r="I2153" s="33" t="s">
        <v>46</v>
      </c>
      <c r="J2153" s="33" t="s">
        <v>40</v>
      </c>
    </row>
    <row r="2154" spans="1:12" hidden="1" x14ac:dyDescent="0.3">
      <c r="A2154" s="39">
        <v>46063.493530092594</v>
      </c>
      <c r="B2154" s="33" t="s">
        <v>42</v>
      </c>
      <c r="C2154" s="33">
        <v>44999723261</v>
      </c>
      <c r="E2154" s="33">
        <v>10</v>
      </c>
      <c r="F2154" s="33">
        <v>0</v>
      </c>
      <c r="G2154" s="33" t="s">
        <v>47</v>
      </c>
      <c r="H2154" s="33" t="s">
        <v>6099</v>
      </c>
      <c r="I2154" s="33" t="s">
        <v>46</v>
      </c>
      <c r="J2154" s="33" t="s">
        <v>40</v>
      </c>
    </row>
    <row r="2155" spans="1:12" hidden="1" x14ac:dyDescent="0.3">
      <c r="A2155" s="39">
        <v>46063.493321759262</v>
      </c>
      <c r="B2155" s="33" t="s">
        <v>42</v>
      </c>
      <c r="C2155" s="33">
        <v>44999723261</v>
      </c>
      <c r="E2155" s="33">
        <v>11</v>
      </c>
      <c r="F2155" s="33">
        <v>0</v>
      </c>
      <c r="G2155" s="33" t="s">
        <v>47</v>
      </c>
      <c r="H2155" s="33" t="s">
        <v>6100</v>
      </c>
      <c r="I2155" s="33" t="s">
        <v>46</v>
      </c>
      <c r="J2155" s="33" t="s">
        <v>40</v>
      </c>
    </row>
    <row r="2156" spans="1:12" hidden="1" x14ac:dyDescent="0.3">
      <c r="A2156" s="39">
        <v>46063.485474537039</v>
      </c>
      <c r="B2156" s="33" t="s">
        <v>51</v>
      </c>
      <c r="C2156" s="33" t="s">
        <v>5173</v>
      </c>
      <c r="E2156" s="33">
        <v>447</v>
      </c>
      <c r="F2156" s="33">
        <v>443</v>
      </c>
      <c r="G2156" s="33" t="s">
        <v>38</v>
      </c>
      <c r="H2156" s="33" t="s">
        <v>6101</v>
      </c>
      <c r="I2156" s="33" t="s">
        <v>52</v>
      </c>
      <c r="J2156" s="33" t="s">
        <v>3629</v>
      </c>
    </row>
    <row r="2157" spans="1:12" hidden="1" x14ac:dyDescent="0.3">
      <c r="A2157" s="39">
        <v>46063.480081018519</v>
      </c>
      <c r="B2157" s="33">
        <v>44999723261</v>
      </c>
      <c r="C2157" s="33" t="s">
        <v>42</v>
      </c>
      <c r="D2157" s="33">
        <v>4430265054</v>
      </c>
      <c r="E2157" s="33">
        <v>573</v>
      </c>
      <c r="F2157" s="33">
        <v>545</v>
      </c>
      <c r="G2157" s="33" t="s">
        <v>38</v>
      </c>
      <c r="H2157" s="33" t="s">
        <v>4593</v>
      </c>
      <c r="I2157" s="33" t="s">
        <v>39</v>
      </c>
      <c r="J2157" s="33" t="s">
        <v>40</v>
      </c>
      <c r="K2157" s="33" t="s">
        <v>41</v>
      </c>
    </row>
    <row r="2158" spans="1:12" hidden="1" x14ac:dyDescent="0.3">
      <c r="A2158" s="39">
        <v>46063.478796296295</v>
      </c>
      <c r="B2158" s="33">
        <v>11985836640</v>
      </c>
      <c r="C2158" s="33" t="s">
        <v>45</v>
      </c>
      <c r="D2158" s="33">
        <v>4430265054</v>
      </c>
      <c r="E2158" s="33">
        <v>230</v>
      </c>
      <c r="F2158" s="33">
        <v>203</v>
      </c>
      <c r="G2158" s="33" t="s">
        <v>38</v>
      </c>
      <c r="H2158" s="33" t="s">
        <v>4594</v>
      </c>
      <c r="I2158" s="33" t="s">
        <v>39</v>
      </c>
      <c r="J2158" s="33" t="s">
        <v>40</v>
      </c>
      <c r="K2158" s="33" t="s">
        <v>41</v>
      </c>
      <c r="L2158" s="33">
        <v>5</v>
      </c>
    </row>
    <row r="2159" spans="1:12" hidden="1" x14ac:dyDescent="0.3">
      <c r="A2159" s="39">
        <v>46063.477256944447</v>
      </c>
      <c r="B2159" s="33" t="s">
        <v>45</v>
      </c>
      <c r="C2159" s="33">
        <v>4430141533</v>
      </c>
      <c r="E2159" s="33">
        <v>43</v>
      </c>
      <c r="F2159" s="33">
        <v>25</v>
      </c>
      <c r="G2159" s="33" t="s">
        <v>38</v>
      </c>
      <c r="H2159" s="33" t="s">
        <v>6102</v>
      </c>
      <c r="I2159" s="33" t="s">
        <v>46</v>
      </c>
      <c r="J2159" s="33" t="s">
        <v>40</v>
      </c>
    </row>
    <row r="2160" spans="1:12" hidden="1" x14ac:dyDescent="0.3">
      <c r="A2160" s="39">
        <v>46063.477083333331</v>
      </c>
      <c r="B2160" s="33" t="s">
        <v>45</v>
      </c>
      <c r="C2160" s="33">
        <v>4430141533</v>
      </c>
      <c r="E2160" s="33">
        <v>5</v>
      </c>
      <c r="F2160" s="33">
        <v>0</v>
      </c>
      <c r="G2160" s="33" t="s">
        <v>47</v>
      </c>
      <c r="H2160" s="33" t="s">
        <v>6103</v>
      </c>
      <c r="I2160" s="33" t="s">
        <v>46</v>
      </c>
      <c r="J2160" s="33" t="s">
        <v>40</v>
      </c>
    </row>
    <row r="2161" spans="1:12" hidden="1" x14ac:dyDescent="0.3">
      <c r="A2161" s="39">
        <v>46063.47457175926</v>
      </c>
      <c r="B2161" s="33" t="s">
        <v>42</v>
      </c>
      <c r="C2161" s="33">
        <v>44999723261</v>
      </c>
      <c r="E2161" s="33">
        <v>10</v>
      </c>
      <c r="F2161" s="33">
        <v>0</v>
      </c>
      <c r="G2161" s="33" t="s">
        <v>47</v>
      </c>
      <c r="H2161" s="33" t="s">
        <v>6104</v>
      </c>
      <c r="I2161" s="33" t="s">
        <v>46</v>
      </c>
      <c r="J2161" s="33" t="s">
        <v>40</v>
      </c>
    </row>
    <row r="2162" spans="1:12" hidden="1" x14ac:dyDescent="0.3">
      <c r="A2162" s="39">
        <v>46063.474317129629</v>
      </c>
      <c r="B2162" s="33" t="s">
        <v>42</v>
      </c>
      <c r="C2162" s="33">
        <v>44999723261</v>
      </c>
      <c r="E2162" s="33">
        <v>10</v>
      </c>
      <c r="F2162" s="33">
        <v>0</v>
      </c>
      <c r="G2162" s="33" t="s">
        <v>47</v>
      </c>
      <c r="H2162" s="33" t="s">
        <v>6105</v>
      </c>
      <c r="I2162" s="33" t="s">
        <v>46</v>
      </c>
      <c r="J2162" s="33" t="s">
        <v>40</v>
      </c>
    </row>
    <row r="2163" spans="1:12" hidden="1" x14ac:dyDescent="0.3">
      <c r="A2163" s="39">
        <v>46063.473344907405</v>
      </c>
      <c r="B2163" s="33">
        <v>44998044060</v>
      </c>
      <c r="C2163" s="33" t="s">
        <v>37</v>
      </c>
      <c r="D2163" s="33">
        <v>4430265054</v>
      </c>
      <c r="E2163" s="33">
        <v>833</v>
      </c>
      <c r="F2163" s="33">
        <v>739</v>
      </c>
      <c r="G2163" s="33" t="s">
        <v>38</v>
      </c>
      <c r="H2163" s="33" t="s">
        <v>4595</v>
      </c>
      <c r="I2163" s="33" t="s">
        <v>39</v>
      </c>
      <c r="J2163" s="33" t="s">
        <v>40</v>
      </c>
      <c r="K2163" s="33" t="s">
        <v>41</v>
      </c>
    </row>
    <row r="2164" spans="1:12" hidden="1" x14ac:dyDescent="0.3">
      <c r="A2164" s="39">
        <v>46063.47074074074</v>
      </c>
      <c r="B2164" s="33">
        <v>3432424736</v>
      </c>
      <c r="C2164" s="33" t="s">
        <v>45</v>
      </c>
      <c r="D2164" s="33">
        <v>4430265054</v>
      </c>
      <c r="E2164" s="33">
        <v>365</v>
      </c>
      <c r="F2164" s="33">
        <v>326</v>
      </c>
      <c r="G2164" s="33" t="s">
        <v>38</v>
      </c>
      <c r="H2164" s="33" t="s">
        <v>4596</v>
      </c>
      <c r="I2164" s="33" t="s">
        <v>39</v>
      </c>
      <c r="J2164" s="33" t="s">
        <v>40</v>
      </c>
      <c r="K2164" s="33" t="s">
        <v>41</v>
      </c>
    </row>
    <row r="2165" spans="1:12" hidden="1" x14ac:dyDescent="0.3">
      <c r="A2165" s="39">
        <v>46063.469351851854</v>
      </c>
      <c r="B2165" s="33">
        <v>4430562296</v>
      </c>
      <c r="C2165" s="33" t="s">
        <v>43</v>
      </c>
      <c r="D2165" s="33">
        <v>4430265054</v>
      </c>
      <c r="E2165" s="33">
        <v>794</v>
      </c>
      <c r="F2165" s="33">
        <v>743</v>
      </c>
      <c r="G2165" s="33" t="s">
        <v>38</v>
      </c>
      <c r="H2165" s="33" t="s">
        <v>4597</v>
      </c>
      <c r="I2165" s="33" t="s">
        <v>39</v>
      </c>
      <c r="J2165" s="33" t="s">
        <v>40</v>
      </c>
      <c r="K2165" s="33" t="s">
        <v>41</v>
      </c>
    </row>
    <row r="2166" spans="1:12" hidden="1" x14ac:dyDescent="0.3">
      <c r="A2166" s="39">
        <v>46063.468981481485</v>
      </c>
      <c r="B2166" s="33">
        <v>44999571792</v>
      </c>
      <c r="C2166" s="33">
        <v>4430265054</v>
      </c>
      <c r="D2166" s="33">
        <v>4430265054</v>
      </c>
      <c r="E2166" s="33">
        <v>8</v>
      </c>
      <c r="F2166" s="33">
        <v>7</v>
      </c>
      <c r="G2166" s="33" t="s">
        <v>3449</v>
      </c>
      <c r="H2166" s="33" t="s">
        <v>6106</v>
      </c>
      <c r="I2166" s="33" t="s">
        <v>39</v>
      </c>
      <c r="J2166" s="33" t="s">
        <v>3451</v>
      </c>
    </row>
    <row r="2167" spans="1:12" hidden="1" x14ac:dyDescent="0.3">
      <c r="A2167" s="39">
        <v>46063.468321759261</v>
      </c>
      <c r="B2167" s="33" t="s">
        <v>5173</v>
      </c>
      <c r="C2167" s="33">
        <v>44997561804</v>
      </c>
      <c r="E2167" s="33">
        <v>602</v>
      </c>
      <c r="F2167" s="33">
        <v>600</v>
      </c>
      <c r="G2167" s="33" t="s">
        <v>38</v>
      </c>
      <c r="H2167" s="33" t="s">
        <v>6107</v>
      </c>
      <c r="I2167" s="33" t="s">
        <v>46</v>
      </c>
      <c r="J2167" s="33" t="s">
        <v>3629</v>
      </c>
    </row>
    <row r="2168" spans="1:12" hidden="1" x14ac:dyDescent="0.3">
      <c r="A2168" s="39">
        <v>46063.46802083333</v>
      </c>
      <c r="B2168" s="33" t="s">
        <v>5173</v>
      </c>
      <c r="C2168" s="33">
        <v>44997561804</v>
      </c>
      <c r="E2168" s="33">
        <v>16</v>
      </c>
      <c r="F2168" s="33">
        <v>13</v>
      </c>
      <c r="G2168" s="33" t="s">
        <v>38</v>
      </c>
      <c r="H2168" s="33" t="s">
        <v>6108</v>
      </c>
      <c r="I2168" s="33" t="s">
        <v>46</v>
      </c>
      <c r="J2168" s="33" t="s">
        <v>3629</v>
      </c>
    </row>
    <row r="2169" spans="1:12" hidden="1" x14ac:dyDescent="0.3">
      <c r="A2169" s="39">
        <v>46063.465567129628</v>
      </c>
      <c r="B2169" s="33">
        <v>44999571792</v>
      </c>
      <c r="C2169" s="33" t="s">
        <v>43</v>
      </c>
      <c r="D2169" s="33">
        <v>4430265054</v>
      </c>
      <c r="E2169" s="33">
        <v>73</v>
      </c>
      <c r="F2169" s="33">
        <v>17</v>
      </c>
      <c r="G2169" s="33" t="s">
        <v>38</v>
      </c>
      <c r="H2169" s="33" t="s">
        <v>4598</v>
      </c>
      <c r="I2169" s="33" t="s">
        <v>39</v>
      </c>
      <c r="J2169" s="33" t="s">
        <v>40</v>
      </c>
      <c r="K2169" s="33" t="s">
        <v>41</v>
      </c>
    </row>
    <row r="2170" spans="1:12" hidden="1" x14ac:dyDescent="0.3">
      <c r="A2170" s="39">
        <v>46063.46</v>
      </c>
      <c r="B2170" s="33">
        <v>44991388221</v>
      </c>
      <c r="C2170" s="33" t="s">
        <v>37</v>
      </c>
      <c r="D2170" s="33">
        <v>4430265054</v>
      </c>
      <c r="E2170" s="33">
        <v>120</v>
      </c>
      <c r="F2170" s="33">
        <v>96</v>
      </c>
      <c r="G2170" s="33" t="s">
        <v>38</v>
      </c>
      <c r="H2170" s="33" t="s">
        <v>4599</v>
      </c>
      <c r="I2170" s="33" t="s">
        <v>39</v>
      </c>
      <c r="J2170" s="33" t="s">
        <v>40</v>
      </c>
      <c r="K2170" s="33" t="s">
        <v>41</v>
      </c>
    </row>
    <row r="2171" spans="1:12" hidden="1" x14ac:dyDescent="0.3">
      <c r="A2171" s="39">
        <v>46063.456956018519</v>
      </c>
      <c r="B2171" s="33">
        <v>44999723261</v>
      </c>
      <c r="C2171" s="33" t="s">
        <v>42</v>
      </c>
      <c r="D2171" s="33">
        <v>4430265054</v>
      </c>
      <c r="E2171" s="33">
        <v>1430</v>
      </c>
      <c r="F2171" s="33">
        <v>1401</v>
      </c>
      <c r="G2171" s="33" t="s">
        <v>38</v>
      </c>
      <c r="H2171" s="33" t="s">
        <v>4600</v>
      </c>
      <c r="I2171" s="33" t="s">
        <v>39</v>
      </c>
      <c r="J2171" s="33" t="s">
        <v>40</v>
      </c>
      <c r="K2171" s="33" t="s">
        <v>41</v>
      </c>
    </row>
    <row r="2172" spans="1:12" hidden="1" x14ac:dyDescent="0.3">
      <c r="A2172" s="39">
        <v>46063.455474537041</v>
      </c>
      <c r="B2172" s="33">
        <v>4334234629</v>
      </c>
      <c r="C2172" s="33" t="s">
        <v>44</v>
      </c>
      <c r="D2172" s="33">
        <v>4430265054</v>
      </c>
      <c r="E2172" s="33">
        <v>2347</v>
      </c>
      <c r="F2172" s="33">
        <v>2228</v>
      </c>
      <c r="G2172" s="33" t="s">
        <v>38</v>
      </c>
      <c r="H2172" s="33" t="s">
        <v>4601</v>
      </c>
      <c r="I2172" s="33" t="s">
        <v>39</v>
      </c>
      <c r="J2172" s="33" t="s">
        <v>40</v>
      </c>
      <c r="K2172" s="33" t="s">
        <v>41</v>
      </c>
    </row>
    <row r="2173" spans="1:12" hidden="1" x14ac:dyDescent="0.3">
      <c r="A2173" s="39">
        <v>46063.446342592593</v>
      </c>
      <c r="B2173" s="33" t="s">
        <v>45</v>
      </c>
      <c r="C2173" s="33">
        <v>43991519887</v>
      </c>
      <c r="E2173" s="33">
        <v>12</v>
      </c>
      <c r="F2173" s="33">
        <v>6</v>
      </c>
      <c r="G2173" s="33" t="s">
        <v>38</v>
      </c>
      <c r="H2173" s="33" t="s">
        <v>6109</v>
      </c>
      <c r="I2173" s="33" t="s">
        <v>46</v>
      </c>
      <c r="J2173" s="33" t="s">
        <v>40</v>
      </c>
    </row>
    <row r="2174" spans="1:12" hidden="1" x14ac:dyDescent="0.3">
      <c r="A2174" s="39">
        <v>46063.446018518516</v>
      </c>
      <c r="B2174" s="33">
        <v>43991519887</v>
      </c>
      <c r="C2174" s="33" t="s">
        <v>48</v>
      </c>
      <c r="D2174" s="33">
        <v>4430265054</v>
      </c>
      <c r="E2174" s="33">
        <v>915</v>
      </c>
      <c r="F2174" s="33">
        <v>902</v>
      </c>
      <c r="G2174" s="33" t="s">
        <v>38</v>
      </c>
      <c r="H2174" s="33" t="s">
        <v>4602</v>
      </c>
      <c r="I2174" s="33" t="s">
        <v>39</v>
      </c>
      <c r="J2174" s="33" t="s">
        <v>40</v>
      </c>
      <c r="K2174" s="33" t="s">
        <v>41</v>
      </c>
      <c r="L2174" s="33">
        <v>5</v>
      </c>
    </row>
    <row r="2175" spans="1:12" hidden="1" x14ac:dyDescent="0.3">
      <c r="A2175" s="39">
        <v>46063.445960648147</v>
      </c>
      <c r="B2175" s="33" t="s">
        <v>45</v>
      </c>
      <c r="C2175" s="33">
        <v>43991519887</v>
      </c>
      <c r="E2175" s="33">
        <v>21</v>
      </c>
      <c r="F2175" s="33">
        <v>16</v>
      </c>
      <c r="G2175" s="33" t="s">
        <v>38</v>
      </c>
      <c r="H2175" s="33" t="s">
        <v>6110</v>
      </c>
      <c r="I2175" s="33" t="s">
        <v>46</v>
      </c>
      <c r="J2175" s="33" t="s">
        <v>40</v>
      </c>
    </row>
    <row r="2176" spans="1:12" hidden="1" x14ac:dyDescent="0.3">
      <c r="A2176" s="39">
        <v>46063.44568287037</v>
      </c>
      <c r="B2176" s="33">
        <v>4436731134</v>
      </c>
      <c r="C2176" s="33" t="s">
        <v>45</v>
      </c>
      <c r="D2176" s="33">
        <v>4430265054</v>
      </c>
      <c r="E2176" s="33">
        <v>1257</v>
      </c>
      <c r="F2176" s="33">
        <v>1190</v>
      </c>
      <c r="G2176" s="33" t="s">
        <v>38</v>
      </c>
      <c r="H2176" s="33" t="s">
        <v>4603</v>
      </c>
      <c r="I2176" s="33" t="s">
        <v>39</v>
      </c>
      <c r="J2176" s="33" t="s">
        <v>40</v>
      </c>
      <c r="K2176" s="33" t="s">
        <v>41</v>
      </c>
    </row>
    <row r="2177" spans="1:12" hidden="1" x14ac:dyDescent="0.3">
      <c r="A2177" s="39">
        <v>46063.445150462961</v>
      </c>
      <c r="B2177" s="33">
        <v>4436731134</v>
      </c>
      <c r="C2177" s="33">
        <v>4430265054</v>
      </c>
      <c r="D2177" s="33">
        <v>4430265054</v>
      </c>
      <c r="E2177" s="33">
        <v>25</v>
      </c>
      <c r="F2177" s="33">
        <v>25</v>
      </c>
      <c r="G2177" s="33" t="s">
        <v>3449</v>
      </c>
      <c r="H2177" s="33" t="s">
        <v>6111</v>
      </c>
      <c r="I2177" s="33" t="s">
        <v>39</v>
      </c>
      <c r="J2177" s="33" t="s">
        <v>3451</v>
      </c>
      <c r="K2177" s="33" t="s">
        <v>50</v>
      </c>
    </row>
    <row r="2178" spans="1:12" hidden="1" x14ac:dyDescent="0.3">
      <c r="A2178" s="39">
        <v>46063.444444444445</v>
      </c>
      <c r="B2178" s="33">
        <v>43991519887</v>
      </c>
      <c r="C2178" s="33" t="s">
        <v>45</v>
      </c>
      <c r="D2178" s="33">
        <v>4430265054</v>
      </c>
      <c r="E2178" s="33">
        <v>125</v>
      </c>
      <c r="F2178" s="33">
        <v>56</v>
      </c>
      <c r="G2178" s="33" t="s">
        <v>38</v>
      </c>
      <c r="H2178" s="33" t="s">
        <v>4604</v>
      </c>
      <c r="I2178" s="33" t="s">
        <v>39</v>
      </c>
      <c r="J2178" s="33" t="s">
        <v>40</v>
      </c>
      <c r="K2178" s="33" t="s">
        <v>41</v>
      </c>
    </row>
    <row r="2179" spans="1:12" hidden="1" x14ac:dyDescent="0.3">
      <c r="A2179" s="39">
        <v>46063.443564814814</v>
      </c>
      <c r="B2179" s="33" t="s">
        <v>3627</v>
      </c>
      <c r="C2179" s="33">
        <v>91996156251</v>
      </c>
      <c r="E2179" s="33">
        <v>23</v>
      </c>
      <c r="F2179" s="33">
        <v>0</v>
      </c>
      <c r="G2179" s="33" t="s">
        <v>38</v>
      </c>
      <c r="H2179" s="33" t="s">
        <v>6112</v>
      </c>
      <c r="I2179" s="33" t="s">
        <v>46</v>
      </c>
      <c r="J2179" s="33" t="s">
        <v>3629</v>
      </c>
    </row>
    <row r="2180" spans="1:12" hidden="1" x14ac:dyDescent="0.3">
      <c r="A2180" s="39">
        <v>46063.443472222221</v>
      </c>
      <c r="B2180" s="33">
        <v>4430141533</v>
      </c>
      <c r="C2180" s="33" t="s">
        <v>45</v>
      </c>
      <c r="D2180" s="33">
        <v>4430265054</v>
      </c>
      <c r="E2180" s="33">
        <v>85</v>
      </c>
      <c r="F2180" s="33">
        <v>61</v>
      </c>
      <c r="G2180" s="33" t="s">
        <v>38</v>
      </c>
      <c r="H2180" s="33" t="s">
        <v>4605</v>
      </c>
      <c r="I2180" s="33" t="s">
        <v>39</v>
      </c>
      <c r="J2180" s="33" t="s">
        <v>40</v>
      </c>
      <c r="K2180" s="33" t="s">
        <v>41</v>
      </c>
    </row>
    <row r="2181" spans="1:12" hidden="1" x14ac:dyDescent="0.3">
      <c r="A2181" s="39">
        <v>46063.440868055557</v>
      </c>
      <c r="B2181" s="33">
        <v>4436731134</v>
      </c>
      <c r="C2181" s="33" t="s">
        <v>45</v>
      </c>
      <c r="D2181" s="33">
        <v>4430265054</v>
      </c>
      <c r="E2181" s="33">
        <v>250</v>
      </c>
      <c r="F2181" s="33">
        <v>184</v>
      </c>
      <c r="G2181" s="33" t="s">
        <v>38</v>
      </c>
      <c r="H2181" s="33" t="s">
        <v>4606</v>
      </c>
      <c r="I2181" s="33" t="s">
        <v>39</v>
      </c>
      <c r="J2181" s="33" t="s">
        <v>40</v>
      </c>
      <c r="K2181" s="33" t="s">
        <v>41</v>
      </c>
      <c r="L2181" s="33">
        <v>5</v>
      </c>
    </row>
    <row r="2182" spans="1:12" hidden="1" x14ac:dyDescent="0.3">
      <c r="A2182" s="39">
        <v>46063.440347222226</v>
      </c>
      <c r="B2182" s="33">
        <v>15997113760</v>
      </c>
      <c r="C2182" s="33" t="s">
        <v>37</v>
      </c>
      <c r="D2182" s="33">
        <v>4431268225</v>
      </c>
      <c r="E2182" s="33">
        <v>426</v>
      </c>
      <c r="F2182" s="33">
        <v>404</v>
      </c>
      <c r="G2182" s="33" t="s">
        <v>38</v>
      </c>
      <c r="H2182" s="33" t="s">
        <v>4607</v>
      </c>
      <c r="I2182" s="33" t="s">
        <v>39</v>
      </c>
      <c r="J2182" s="33" t="s">
        <v>40</v>
      </c>
      <c r="K2182" s="33" t="s">
        <v>41</v>
      </c>
    </row>
    <row r="2183" spans="1:12" x14ac:dyDescent="0.3">
      <c r="A2183" s="39">
        <v>46063.44</v>
      </c>
      <c r="B2183" s="33">
        <v>67996356530</v>
      </c>
      <c r="C2183" s="33" t="s">
        <v>44</v>
      </c>
      <c r="D2183" s="33">
        <v>4430265054</v>
      </c>
      <c r="E2183" s="33">
        <v>1104</v>
      </c>
      <c r="F2183" s="33">
        <v>1076</v>
      </c>
      <c r="G2183" s="33" t="s">
        <v>38</v>
      </c>
      <c r="H2183" s="33" t="s">
        <v>4608</v>
      </c>
      <c r="I2183" s="33" t="s">
        <v>39</v>
      </c>
      <c r="J2183" s="33" t="s">
        <v>40</v>
      </c>
      <c r="K2183" s="33" t="s">
        <v>41</v>
      </c>
      <c r="L2183" s="33">
        <v>5</v>
      </c>
    </row>
    <row r="2184" spans="1:12" hidden="1" x14ac:dyDescent="0.3">
      <c r="A2184" s="39">
        <v>46063.437997685185</v>
      </c>
      <c r="B2184" s="33">
        <v>4430141533</v>
      </c>
      <c r="C2184" s="33" t="s">
        <v>45</v>
      </c>
      <c r="D2184" s="33">
        <v>4430265054</v>
      </c>
      <c r="E2184" s="33">
        <v>108</v>
      </c>
      <c r="F2184" s="33">
        <v>83</v>
      </c>
      <c r="G2184" s="33" t="s">
        <v>38</v>
      </c>
      <c r="H2184" s="33" t="s">
        <v>4609</v>
      </c>
      <c r="I2184" s="33" t="s">
        <v>39</v>
      </c>
      <c r="J2184" s="33" t="s">
        <v>40</v>
      </c>
      <c r="K2184" s="33" t="s">
        <v>41</v>
      </c>
    </row>
    <row r="2185" spans="1:12" hidden="1" x14ac:dyDescent="0.3">
      <c r="A2185" s="39">
        <v>46063.436956018515</v>
      </c>
      <c r="B2185" s="33" t="s">
        <v>48</v>
      </c>
      <c r="C2185" s="33">
        <v>4532541802</v>
      </c>
      <c r="E2185" s="33">
        <v>282</v>
      </c>
      <c r="F2185" s="33">
        <v>281</v>
      </c>
      <c r="G2185" s="33" t="s">
        <v>38</v>
      </c>
      <c r="H2185" s="33" t="s">
        <v>6113</v>
      </c>
      <c r="I2185" s="33" t="s">
        <v>46</v>
      </c>
      <c r="J2185" s="33" t="s">
        <v>40</v>
      </c>
    </row>
    <row r="2186" spans="1:12" hidden="1" x14ac:dyDescent="0.3">
      <c r="A2186" s="39">
        <v>46063.435624999998</v>
      </c>
      <c r="B2186" s="33">
        <v>15997113760</v>
      </c>
      <c r="C2186" s="33" t="s">
        <v>37</v>
      </c>
      <c r="D2186" s="33">
        <v>4431268225</v>
      </c>
      <c r="E2186" s="33">
        <v>77</v>
      </c>
      <c r="F2186" s="33">
        <v>61</v>
      </c>
      <c r="G2186" s="33" t="s">
        <v>38</v>
      </c>
      <c r="H2186" s="33" t="s">
        <v>4610</v>
      </c>
      <c r="I2186" s="33" t="s">
        <v>39</v>
      </c>
      <c r="J2186" s="33" t="s">
        <v>40</v>
      </c>
      <c r="K2186" s="33" t="s">
        <v>41</v>
      </c>
    </row>
    <row r="2187" spans="1:12" hidden="1" x14ac:dyDescent="0.3">
      <c r="A2187" s="39">
        <v>46063.434351851851</v>
      </c>
      <c r="B2187" s="33" t="s">
        <v>37</v>
      </c>
      <c r="C2187" s="33">
        <v>15997113760</v>
      </c>
      <c r="E2187" s="33">
        <v>52</v>
      </c>
      <c r="F2187" s="33">
        <v>40</v>
      </c>
      <c r="G2187" s="33" t="s">
        <v>38</v>
      </c>
      <c r="H2187" s="33" t="s">
        <v>6114</v>
      </c>
      <c r="I2187" s="33" t="s">
        <v>46</v>
      </c>
      <c r="J2187" s="33" t="s">
        <v>40</v>
      </c>
    </row>
    <row r="2188" spans="1:12" hidden="1" x14ac:dyDescent="0.3">
      <c r="A2188" s="39">
        <v>46063.43309027778</v>
      </c>
      <c r="B2188" s="33">
        <v>44999497001</v>
      </c>
      <c r="C2188" s="33">
        <v>3000</v>
      </c>
      <c r="D2188" s="33">
        <v>4430265054</v>
      </c>
      <c r="E2188" s="33">
        <v>1465</v>
      </c>
      <c r="F2188" s="33">
        <v>1428</v>
      </c>
      <c r="G2188" s="33" t="s">
        <v>38</v>
      </c>
      <c r="H2188" s="33" t="s">
        <v>4611</v>
      </c>
      <c r="I2188" s="33" t="s">
        <v>39</v>
      </c>
      <c r="J2188" s="33" t="s">
        <v>3451</v>
      </c>
      <c r="K2188" s="33" t="s">
        <v>41</v>
      </c>
    </row>
    <row r="2189" spans="1:12" hidden="1" x14ac:dyDescent="0.3">
      <c r="A2189" s="39">
        <v>46063.429988425924</v>
      </c>
      <c r="B2189" s="33">
        <v>44999497001</v>
      </c>
      <c r="C2189" s="33">
        <v>4430265054</v>
      </c>
      <c r="D2189" s="33">
        <v>4430265054</v>
      </c>
      <c r="E2189" s="33">
        <v>66</v>
      </c>
      <c r="F2189" s="33">
        <v>65</v>
      </c>
      <c r="G2189" s="33" t="s">
        <v>3449</v>
      </c>
      <c r="H2189" s="33" t="s">
        <v>4612</v>
      </c>
      <c r="I2189" s="33" t="s">
        <v>39</v>
      </c>
      <c r="J2189" s="33" t="s">
        <v>3451</v>
      </c>
      <c r="K2189" s="33" t="s">
        <v>41</v>
      </c>
    </row>
    <row r="2190" spans="1:12" hidden="1" x14ac:dyDescent="0.3">
      <c r="A2190" s="39">
        <v>46063.428680555553</v>
      </c>
      <c r="B2190" s="33" t="s">
        <v>37</v>
      </c>
      <c r="C2190" s="33">
        <v>15997113760</v>
      </c>
      <c r="E2190" s="33">
        <v>407</v>
      </c>
      <c r="F2190" s="33">
        <v>392</v>
      </c>
      <c r="G2190" s="33" t="s">
        <v>38</v>
      </c>
      <c r="H2190" s="33" t="s">
        <v>6115</v>
      </c>
      <c r="I2190" s="33" t="s">
        <v>46</v>
      </c>
      <c r="J2190" s="33" t="s">
        <v>40</v>
      </c>
    </row>
    <row r="2191" spans="1:12" hidden="1" x14ac:dyDescent="0.3">
      <c r="A2191" s="39">
        <v>46063.428344907406</v>
      </c>
      <c r="B2191" s="33" t="s">
        <v>37</v>
      </c>
      <c r="C2191" s="33">
        <v>15997113760</v>
      </c>
      <c r="E2191" s="33">
        <v>19</v>
      </c>
      <c r="F2191" s="33">
        <v>0</v>
      </c>
      <c r="G2191" s="33" t="s">
        <v>47</v>
      </c>
      <c r="H2191" s="33" t="s">
        <v>6116</v>
      </c>
      <c r="I2191" s="33" t="s">
        <v>46</v>
      </c>
      <c r="J2191" s="33" t="s">
        <v>40</v>
      </c>
    </row>
    <row r="2192" spans="1:12" x14ac:dyDescent="0.3">
      <c r="A2192" s="39">
        <v>46063.423668981479</v>
      </c>
      <c r="B2192" s="33">
        <v>43991519887</v>
      </c>
      <c r="C2192" s="33" t="s">
        <v>44</v>
      </c>
      <c r="D2192" s="33">
        <v>4430265054</v>
      </c>
      <c r="E2192" s="33">
        <v>514</v>
      </c>
      <c r="F2192" s="33">
        <v>506</v>
      </c>
      <c r="G2192" s="33" t="s">
        <v>38</v>
      </c>
      <c r="H2192" s="33" t="s">
        <v>4613</v>
      </c>
      <c r="I2192" s="33" t="s">
        <v>39</v>
      </c>
      <c r="J2192" s="33" t="s">
        <v>40</v>
      </c>
      <c r="K2192" s="33" t="s">
        <v>41</v>
      </c>
      <c r="L2192" s="33">
        <v>5</v>
      </c>
    </row>
    <row r="2193" spans="1:12" hidden="1" x14ac:dyDescent="0.3">
      <c r="A2193" s="39">
        <v>46063.423645833333</v>
      </c>
      <c r="B2193" s="33">
        <v>4436351835</v>
      </c>
      <c r="C2193" s="33" t="s">
        <v>43</v>
      </c>
      <c r="D2193" s="33">
        <v>4430265054</v>
      </c>
      <c r="E2193" s="33">
        <v>787</v>
      </c>
      <c r="F2193" s="33">
        <v>771</v>
      </c>
      <c r="G2193" s="33" t="s">
        <v>38</v>
      </c>
      <c r="H2193" s="33" t="s">
        <v>4614</v>
      </c>
      <c r="I2193" s="33" t="s">
        <v>39</v>
      </c>
      <c r="J2193" s="33" t="s">
        <v>40</v>
      </c>
      <c r="K2193" s="33" t="s">
        <v>41</v>
      </c>
      <c r="L2193" s="33">
        <v>5</v>
      </c>
    </row>
    <row r="2194" spans="1:12" hidden="1" x14ac:dyDescent="0.3">
      <c r="A2194" s="39">
        <v>46063.422835648147</v>
      </c>
      <c r="B2194" s="33" t="s">
        <v>44</v>
      </c>
      <c r="C2194" s="33">
        <v>43991519887</v>
      </c>
      <c r="E2194" s="33">
        <v>6</v>
      </c>
      <c r="F2194" s="33">
        <v>0</v>
      </c>
      <c r="G2194" s="33" t="s">
        <v>47</v>
      </c>
      <c r="H2194" s="33" t="s">
        <v>6117</v>
      </c>
      <c r="I2194" s="33" t="s">
        <v>46</v>
      </c>
      <c r="J2194" s="33" t="s">
        <v>40</v>
      </c>
    </row>
    <row r="2195" spans="1:12" hidden="1" x14ac:dyDescent="0.3">
      <c r="A2195" s="39">
        <v>46063.422731481478</v>
      </c>
      <c r="B2195" s="33" t="s">
        <v>44</v>
      </c>
      <c r="C2195" s="33">
        <v>43991519887</v>
      </c>
      <c r="E2195" s="33">
        <v>8</v>
      </c>
      <c r="F2195" s="33">
        <v>0</v>
      </c>
      <c r="G2195" s="33" t="s">
        <v>47</v>
      </c>
      <c r="H2195" s="33" t="s">
        <v>6118</v>
      </c>
      <c r="I2195" s="33" t="s">
        <v>46</v>
      </c>
      <c r="J2195" s="33" t="s">
        <v>40</v>
      </c>
    </row>
    <row r="2196" spans="1:12" hidden="1" x14ac:dyDescent="0.3">
      <c r="A2196" s="39">
        <v>46063.422627314816</v>
      </c>
      <c r="B2196" s="33" t="s">
        <v>44</v>
      </c>
      <c r="C2196" s="33">
        <v>43991519887</v>
      </c>
      <c r="E2196" s="33">
        <v>33</v>
      </c>
      <c r="F2196" s="33">
        <v>26</v>
      </c>
      <c r="G2196" s="33" t="s">
        <v>38</v>
      </c>
      <c r="H2196" s="33" t="s">
        <v>6119</v>
      </c>
      <c r="I2196" s="33" t="s">
        <v>46</v>
      </c>
      <c r="J2196" s="33" t="s">
        <v>40</v>
      </c>
    </row>
    <row r="2197" spans="1:12" hidden="1" x14ac:dyDescent="0.3">
      <c r="A2197" s="39">
        <v>46063.421759259261</v>
      </c>
      <c r="B2197" s="33">
        <v>43991519887</v>
      </c>
      <c r="C2197" s="33" t="s">
        <v>44</v>
      </c>
      <c r="D2197" s="33">
        <v>4430265054</v>
      </c>
      <c r="E2197" s="33">
        <v>72</v>
      </c>
      <c r="F2197" s="33">
        <v>51</v>
      </c>
      <c r="G2197" s="33" t="s">
        <v>38</v>
      </c>
      <c r="H2197" s="33" t="s">
        <v>4615</v>
      </c>
      <c r="I2197" s="33" t="s">
        <v>39</v>
      </c>
      <c r="J2197" s="33" t="s">
        <v>40</v>
      </c>
      <c r="K2197" s="33" t="s">
        <v>41</v>
      </c>
    </row>
    <row r="2198" spans="1:12" hidden="1" x14ac:dyDescent="0.3">
      <c r="A2198" s="39">
        <v>46063.420914351853</v>
      </c>
      <c r="B2198" s="33">
        <v>15997113760</v>
      </c>
      <c r="C2198" s="33" t="s">
        <v>42</v>
      </c>
      <c r="D2198" s="33">
        <v>4431268225</v>
      </c>
      <c r="E2198" s="33">
        <v>127</v>
      </c>
      <c r="F2198" s="33">
        <v>109</v>
      </c>
      <c r="G2198" s="33" t="s">
        <v>38</v>
      </c>
      <c r="H2198" s="33" t="s">
        <v>4616</v>
      </c>
      <c r="I2198" s="33" t="s">
        <v>39</v>
      </c>
      <c r="J2198" s="33" t="s">
        <v>40</v>
      </c>
      <c r="K2198" s="33" t="s">
        <v>41</v>
      </c>
    </row>
    <row r="2199" spans="1:12" hidden="1" x14ac:dyDescent="0.3">
      <c r="A2199" s="39">
        <v>46063.415601851855</v>
      </c>
      <c r="B2199" s="33">
        <v>4432256273</v>
      </c>
      <c r="C2199" s="33" t="s">
        <v>37</v>
      </c>
      <c r="D2199" s="33">
        <v>4430265054</v>
      </c>
      <c r="E2199" s="33">
        <v>960</v>
      </c>
      <c r="F2199" s="33">
        <v>918</v>
      </c>
      <c r="G2199" s="33" t="s">
        <v>38</v>
      </c>
      <c r="H2199" s="33" t="s">
        <v>4617</v>
      </c>
      <c r="I2199" s="33" t="s">
        <v>39</v>
      </c>
      <c r="J2199" s="33" t="s">
        <v>40</v>
      </c>
      <c r="K2199" s="33" t="s">
        <v>41</v>
      </c>
      <c r="L2199" s="33">
        <v>5</v>
      </c>
    </row>
    <row r="2200" spans="1:12" hidden="1" x14ac:dyDescent="0.3">
      <c r="A2200" s="39">
        <v>46063.414780092593</v>
      </c>
      <c r="B2200" s="33">
        <v>4430152533</v>
      </c>
      <c r="C2200" s="33" t="s">
        <v>45</v>
      </c>
      <c r="D2200" s="33">
        <v>4430265054</v>
      </c>
      <c r="E2200" s="33">
        <v>1050</v>
      </c>
      <c r="F2200" s="33">
        <v>1025</v>
      </c>
      <c r="G2200" s="33" t="s">
        <v>38</v>
      </c>
      <c r="H2200" s="33" t="s">
        <v>4618</v>
      </c>
      <c r="I2200" s="33" t="s">
        <v>39</v>
      </c>
      <c r="J2200" s="33" t="s">
        <v>40</v>
      </c>
      <c r="K2200" s="33" t="s">
        <v>41</v>
      </c>
    </row>
    <row r="2201" spans="1:12" x14ac:dyDescent="0.3">
      <c r="A2201" s="39">
        <v>46063.411851851852</v>
      </c>
      <c r="B2201" s="33">
        <v>4432325260</v>
      </c>
      <c r="C2201" s="33" t="s">
        <v>44</v>
      </c>
      <c r="D2201" s="33">
        <v>4430265054</v>
      </c>
      <c r="E2201" s="33">
        <v>387</v>
      </c>
      <c r="F2201" s="33">
        <v>366</v>
      </c>
      <c r="G2201" s="33" t="s">
        <v>38</v>
      </c>
      <c r="H2201" s="33" t="s">
        <v>4619</v>
      </c>
      <c r="I2201" s="33" t="s">
        <v>39</v>
      </c>
      <c r="J2201" s="33" t="s">
        <v>40</v>
      </c>
      <c r="K2201" s="33" t="s">
        <v>41</v>
      </c>
      <c r="L2201" s="33">
        <v>5</v>
      </c>
    </row>
    <row r="2202" spans="1:12" hidden="1" x14ac:dyDescent="0.3">
      <c r="A2202" s="39">
        <v>46063.411469907405</v>
      </c>
      <c r="B2202" s="33">
        <v>4432325260</v>
      </c>
      <c r="C2202" s="33">
        <v>4430265054</v>
      </c>
      <c r="D2202" s="33">
        <v>4430265054</v>
      </c>
      <c r="E2202" s="33">
        <v>21</v>
      </c>
      <c r="F2202" s="33">
        <v>21</v>
      </c>
      <c r="G2202" s="33" t="s">
        <v>3449</v>
      </c>
      <c r="H2202" s="33" t="s">
        <v>6120</v>
      </c>
      <c r="I2202" s="33" t="s">
        <v>39</v>
      </c>
      <c r="J2202" s="33" t="s">
        <v>3451</v>
      </c>
      <c r="K2202" s="33" t="s">
        <v>50</v>
      </c>
    </row>
    <row r="2203" spans="1:12" hidden="1" x14ac:dyDescent="0.3">
      <c r="A2203" s="39">
        <v>46063.408125000002</v>
      </c>
      <c r="B2203" s="33">
        <v>44998640313</v>
      </c>
      <c r="C2203" s="33" t="s">
        <v>37</v>
      </c>
      <c r="D2203" s="33">
        <v>4430265054</v>
      </c>
      <c r="E2203" s="33">
        <v>342</v>
      </c>
      <c r="F2203" s="33">
        <v>321</v>
      </c>
      <c r="G2203" s="33" t="s">
        <v>38</v>
      </c>
      <c r="H2203" s="33" t="s">
        <v>4620</v>
      </c>
      <c r="I2203" s="33" t="s">
        <v>39</v>
      </c>
      <c r="J2203" s="33" t="s">
        <v>40</v>
      </c>
      <c r="K2203" s="33" t="s">
        <v>41</v>
      </c>
    </row>
    <row r="2204" spans="1:12" hidden="1" x14ac:dyDescent="0.3">
      <c r="A2204" s="39">
        <v>46063.405057870368</v>
      </c>
      <c r="B2204" s="33">
        <v>6234347959</v>
      </c>
      <c r="C2204" s="33" t="s">
        <v>45</v>
      </c>
      <c r="D2204" s="33">
        <v>4430265054</v>
      </c>
      <c r="E2204" s="33">
        <v>345</v>
      </c>
      <c r="F2204" s="33">
        <v>318</v>
      </c>
      <c r="G2204" s="33" t="s">
        <v>38</v>
      </c>
      <c r="H2204" s="33" t="s">
        <v>4621</v>
      </c>
      <c r="I2204" s="33" t="s">
        <v>39</v>
      </c>
      <c r="J2204" s="33" t="s">
        <v>40</v>
      </c>
      <c r="K2204" s="33" t="s">
        <v>41</v>
      </c>
    </row>
    <row r="2205" spans="1:12" hidden="1" x14ac:dyDescent="0.3">
      <c r="A2205" s="39">
        <v>46063.401747685188</v>
      </c>
      <c r="B2205" s="33">
        <v>44991174709</v>
      </c>
      <c r="C2205" s="33" t="s">
        <v>37</v>
      </c>
      <c r="D2205" s="33">
        <v>4430265054</v>
      </c>
      <c r="E2205" s="33">
        <v>393</v>
      </c>
      <c r="F2205" s="33">
        <v>373</v>
      </c>
      <c r="G2205" s="33" t="s">
        <v>38</v>
      </c>
      <c r="H2205" s="33" t="s">
        <v>4622</v>
      </c>
      <c r="I2205" s="33" t="s">
        <v>39</v>
      </c>
      <c r="J2205" s="33" t="s">
        <v>40</v>
      </c>
      <c r="K2205" s="33" t="s">
        <v>41</v>
      </c>
      <c r="L2205" s="33">
        <v>5</v>
      </c>
    </row>
    <row r="2206" spans="1:12" hidden="1" x14ac:dyDescent="0.3">
      <c r="A2206" s="39">
        <v>46063.396296296298</v>
      </c>
      <c r="B2206" s="33" t="s">
        <v>37</v>
      </c>
      <c r="C2206" s="33">
        <v>4436281154</v>
      </c>
      <c r="E2206" s="33">
        <v>56</v>
      </c>
      <c r="F2206" s="33">
        <v>0</v>
      </c>
      <c r="G2206" s="33" t="s">
        <v>47</v>
      </c>
      <c r="H2206" s="33" t="s">
        <v>6121</v>
      </c>
      <c r="I2206" s="33" t="s">
        <v>46</v>
      </c>
      <c r="J2206" s="33" t="s">
        <v>40</v>
      </c>
    </row>
    <row r="2207" spans="1:12" hidden="1" x14ac:dyDescent="0.3">
      <c r="A2207" s="39">
        <v>46063.394386574073</v>
      </c>
      <c r="B2207" s="33">
        <v>11990144272</v>
      </c>
      <c r="C2207" s="33" t="s">
        <v>42</v>
      </c>
      <c r="D2207" s="33">
        <v>4431268225</v>
      </c>
      <c r="E2207" s="33">
        <v>1265</v>
      </c>
      <c r="F2207" s="33">
        <v>1225</v>
      </c>
      <c r="G2207" s="33" t="s">
        <v>38</v>
      </c>
      <c r="H2207" s="33" t="s">
        <v>4623</v>
      </c>
      <c r="I2207" s="33" t="s">
        <v>39</v>
      </c>
      <c r="J2207" s="33" t="s">
        <v>40</v>
      </c>
      <c r="K2207" s="33" t="s">
        <v>41</v>
      </c>
    </row>
    <row r="2208" spans="1:12" hidden="1" x14ac:dyDescent="0.3">
      <c r="A2208" s="39">
        <v>46063.382951388892</v>
      </c>
      <c r="B2208" s="33">
        <v>4430141533</v>
      </c>
      <c r="C2208" s="33" t="s">
        <v>45</v>
      </c>
      <c r="D2208" s="33">
        <v>4430265054</v>
      </c>
      <c r="E2208" s="33">
        <v>279</v>
      </c>
      <c r="F2208" s="33">
        <v>235</v>
      </c>
      <c r="G2208" s="33" t="s">
        <v>38</v>
      </c>
      <c r="H2208" s="33" t="s">
        <v>4624</v>
      </c>
      <c r="I2208" s="33" t="s">
        <v>39</v>
      </c>
      <c r="J2208" s="33" t="s">
        <v>40</v>
      </c>
      <c r="K2208" s="33" t="s">
        <v>41</v>
      </c>
    </row>
    <row r="2209" spans="1:12" hidden="1" x14ac:dyDescent="0.3">
      <c r="A2209" s="39">
        <v>46063.382708333331</v>
      </c>
      <c r="B2209" s="33">
        <v>6234347959</v>
      </c>
      <c r="C2209" s="33" t="s">
        <v>43</v>
      </c>
      <c r="D2209" s="33">
        <v>4430265054</v>
      </c>
      <c r="E2209" s="33">
        <v>1068</v>
      </c>
      <c r="F2209" s="33">
        <v>1032</v>
      </c>
      <c r="G2209" s="33" t="s">
        <v>38</v>
      </c>
      <c r="H2209" s="33" t="s">
        <v>4625</v>
      </c>
      <c r="I2209" s="33" t="s">
        <v>39</v>
      </c>
      <c r="J2209" s="33" t="s">
        <v>40</v>
      </c>
      <c r="K2209" s="33" t="s">
        <v>41</v>
      </c>
    </row>
    <row r="2210" spans="1:12" hidden="1" x14ac:dyDescent="0.3">
      <c r="A2210" s="39">
        <v>46063.382222222222</v>
      </c>
      <c r="B2210" s="33" t="s">
        <v>45</v>
      </c>
      <c r="C2210" s="33">
        <v>4432275634</v>
      </c>
      <c r="E2210" s="33">
        <v>109</v>
      </c>
      <c r="F2210" s="33">
        <v>97</v>
      </c>
      <c r="G2210" s="33" t="s">
        <v>38</v>
      </c>
      <c r="H2210" s="33" t="s">
        <v>6122</v>
      </c>
      <c r="I2210" s="33" t="s">
        <v>46</v>
      </c>
      <c r="J2210" s="33" t="s">
        <v>40</v>
      </c>
      <c r="L2210" s="33">
        <v>5</v>
      </c>
    </row>
    <row r="2211" spans="1:12" hidden="1" x14ac:dyDescent="0.3">
      <c r="A2211" s="39">
        <v>46063.382094907407</v>
      </c>
      <c r="B2211" s="33" t="s">
        <v>45</v>
      </c>
      <c r="C2211" s="33">
        <v>4432275634</v>
      </c>
      <c r="E2211" s="33">
        <v>8</v>
      </c>
      <c r="F2211" s="33">
        <v>0</v>
      </c>
      <c r="G2211" s="33" t="s">
        <v>47</v>
      </c>
      <c r="H2211" s="33" t="s">
        <v>6123</v>
      </c>
      <c r="I2211" s="33" t="s">
        <v>46</v>
      </c>
      <c r="J2211" s="33" t="s">
        <v>40</v>
      </c>
    </row>
    <row r="2212" spans="1:12" hidden="1" x14ac:dyDescent="0.3">
      <c r="A2212" s="39">
        <v>46063.381979166668</v>
      </c>
      <c r="B2212" s="33" t="s">
        <v>45</v>
      </c>
      <c r="C2212" s="33">
        <v>4432275634</v>
      </c>
      <c r="E2212" s="33">
        <v>8</v>
      </c>
      <c r="F2212" s="33">
        <v>0</v>
      </c>
      <c r="G2212" s="33" t="s">
        <v>47</v>
      </c>
      <c r="H2212" s="33" t="s">
        <v>6124</v>
      </c>
      <c r="I2212" s="33" t="s">
        <v>46</v>
      </c>
      <c r="J2212" s="33" t="s">
        <v>40</v>
      </c>
    </row>
    <row r="2213" spans="1:12" hidden="1" x14ac:dyDescent="0.3">
      <c r="A2213" s="39">
        <v>46063.381840277776</v>
      </c>
      <c r="B2213" s="33" t="s">
        <v>45</v>
      </c>
      <c r="C2213" s="33">
        <v>4432275634</v>
      </c>
      <c r="E2213" s="33">
        <v>9</v>
      </c>
      <c r="F2213" s="33">
        <v>0</v>
      </c>
      <c r="G2213" s="33" t="s">
        <v>47</v>
      </c>
      <c r="H2213" s="33" t="s">
        <v>6125</v>
      </c>
      <c r="I2213" s="33" t="s">
        <v>46</v>
      </c>
      <c r="J2213" s="33" t="s">
        <v>40</v>
      </c>
    </row>
    <row r="2214" spans="1:12" hidden="1" x14ac:dyDescent="0.3">
      <c r="A2214" s="39">
        <v>46063.380636574075</v>
      </c>
      <c r="B2214" s="33" t="s">
        <v>45</v>
      </c>
      <c r="C2214" s="33">
        <v>4430257989</v>
      </c>
      <c r="E2214" s="33">
        <v>86</v>
      </c>
      <c r="F2214" s="33">
        <v>34</v>
      </c>
      <c r="G2214" s="33" t="s">
        <v>38</v>
      </c>
      <c r="H2214" s="33" t="s">
        <v>6126</v>
      </c>
      <c r="I2214" s="33" t="s">
        <v>46</v>
      </c>
      <c r="J2214" s="33" t="s">
        <v>40</v>
      </c>
    </row>
    <row r="2215" spans="1:12" hidden="1" x14ac:dyDescent="0.3">
      <c r="A2215" s="39">
        <v>46063.380567129629</v>
      </c>
      <c r="B2215" s="33">
        <v>4432325260</v>
      </c>
      <c r="C2215" s="33">
        <v>4430265054</v>
      </c>
      <c r="D2215" s="33">
        <v>4430265054</v>
      </c>
      <c r="E2215" s="33">
        <v>105</v>
      </c>
      <c r="F2215" s="33">
        <v>104</v>
      </c>
      <c r="G2215" s="33" t="s">
        <v>3449</v>
      </c>
      <c r="H2215" s="33" t="s">
        <v>4626</v>
      </c>
      <c r="I2215" s="33" t="s">
        <v>39</v>
      </c>
      <c r="J2215" s="33" t="s">
        <v>3451</v>
      </c>
      <c r="K2215" s="33" t="s">
        <v>41</v>
      </c>
    </row>
    <row r="2216" spans="1:12" hidden="1" x14ac:dyDescent="0.3">
      <c r="A2216" s="39">
        <v>46063.377418981479</v>
      </c>
      <c r="B2216" s="33">
        <v>4432322192</v>
      </c>
      <c r="C2216" s="33" t="s">
        <v>43</v>
      </c>
      <c r="D2216" s="33">
        <v>4430265054</v>
      </c>
      <c r="E2216" s="33">
        <v>244</v>
      </c>
      <c r="F2216" s="33">
        <v>209</v>
      </c>
      <c r="G2216" s="33" t="s">
        <v>38</v>
      </c>
      <c r="H2216" s="33" t="s">
        <v>4627</v>
      </c>
      <c r="I2216" s="33" t="s">
        <v>39</v>
      </c>
      <c r="J2216" s="33" t="s">
        <v>40</v>
      </c>
      <c r="K2216" s="33" t="s">
        <v>41</v>
      </c>
    </row>
    <row r="2217" spans="1:12" hidden="1" x14ac:dyDescent="0.3">
      <c r="A2217" s="39">
        <v>46063.370856481481</v>
      </c>
      <c r="B2217" s="33">
        <v>4432275634</v>
      </c>
      <c r="C2217" s="33">
        <v>3000</v>
      </c>
      <c r="D2217" s="33">
        <v>4430265054</v>
      </c>
      <c r="E2217" s="33">
        <v>226</v>
      </c>
      <c r="F2217" s="33">
        <v>164</v>
      </c>
      <c r="G2217" s="33" t="s">
        <v>38</v>
      </c>
      <c r="H2217" s="33" t="s">
        <v>4628</v>
      </c>
      <c r="I2217" s="33" t="s">
        <v>39</v>
      </c>
      <c r="J2217" s="33" t="s">
        <v>3451</v>
      </c>
      <c r="K2217" s="33" t="s">
        <v>41</v>
      </c>
    </row>
    <row r="2218" spans="1:12" hidden="1" x14ac:dyDescent="0.3">
      <c r="A2218" s="39">
        <v>46063.366018518522</v>
      </c>
      <c r="B2218" s="33">
        <v>4430191401</v>
      </c>
      <c r="C2218" s="33" t="s">
        <v>37</v>
      </c>
      <c r="D2218" s="33">
        <v>4430265054</v>
      </c>
      <c r="E2218" s="33">
        <v>1219</v>
      </c>
      <c r="F2218" s="33">
        <v>1168</v>
      </c>
      <c r="G2218" s="33" t="s">
        <v>38</v>
      </c>
      <c r="H2218" s="33" t="s">
        <v>4629</v>
      </c>
      <c r="I2218" s="33" t="s">
        <v>39</v>
      </c>
      <c r="J2218" s="33" t="s">
        <v>40</v>
      </c>
      <c r="K2218" s="33" t="s">
        <v>41</v>
      </c>
      <c r="L2218" s="33">
        <v>5</v>
      </c>
    </row>
    <row r="2219" spans="1:12" hidden="1" x14ac:dyDescent="0.3">
      <c r="A2219" s="39">
        <v>46063.365844907406</v>
      </c>
      <c r="B2219" s="33">
        <v>44998044060</v>
      </c>
      <c r="C2219" s="33" t="s">
        <v>44</v>
      </c>
      <c r="D2219" s="33">
        <v>4430265054</v>
      </c>
      <c r="E2219" s="33">
        <v>385</v>
      </c>
      <c r="F2219" s="33">
        <v>321</v>
      </c>
      <c r="G2219" s="33" t="s">
        <v>38</v>
      </c>
      <c r="H2219" s="33" t="s">
        <v>4630</v>
      </c>
      <c r="I2219" s="33" t="s">
        <v>39</v>
      </c>
      <c r="J2219" s="33" t="s">
        <v>40</v>
      </c>
      <c r="K2219" s="33" t="s">
        <v>41</v>
      </c>
    </row>
    <row r="2220" spans="1:12" hidden="1" x14ac:dyDescent="0.3">
      <c r="A2220" s="39">
        <v>46063.365162037036</v>
      </c>
      <c r="B2220" s="33">
        <v>44991388221</v>
      </c>
      <c r="C2220" s="33" t="s">
        <v>43</v>
      </c>
      <c r="D2220" s="33">
        <v>4430265054</v>
      </c>
      <c r="E2220" s="33">
        <v>527</v>
      </c>
      <c r="F2220" s="33">
        <v>444</v>
      </c>
      <c r="G2220" s="33" t="s">
        <v>38</v>
      </c>
      <c r="H2220" s="33" t="s">
        <v>4631</v>
      </c>
      <c r="I2220" s="33" t="s">
        <v>39</v>
      </c>
      <c r="J2220" s="33" t="s">
        <v>40</v>
      </c>
      <c r="K2220" s="33" t="s">
        <v>41</v>
      </c>
    </row>
    <row r="2221" spans="1:12" hidden="1" x14ac:dyDescent="0.3">
      <c r="A2221" s="39">
        <v>46063.358703703707</v>
      </c>
      <c r="B2221" s="33" t="s">
        <v>3873</v>
      </c>
      <c r="C2221" s="33">
        <v>4432261852</v>
      </c>
      <c r="E2221" s="33">
        <v>54</v>
      </c>
      <c r="F2221" s="33">
        <v>43</v>
      </c>
      <c r="G2221" s="33" t="s">
        <v>38</v>
      </c>
      <c r="H2221" s="33" t="s">
        <v>6127</v>
      </c>
      <c r="I2221" s="33" t="s">
        <v>46</v>
      </c>
      <c r="J2221" s="33" t="s">
        <v>3451</v>
      </c>
    </row>
    <row r="2222" spans="1:12" x14ac:dyDescent="0.3">
      <c r="A2222" s="39">
        <v>46063.354305555556</v>
      </c>
      <c r="B2222" s="33">
        <v>44988303530</v>
      </c>
      <c r="C2222" s="33" t="s">
        <v>44</v>
      </c>
      <c r="D2222" s="33">
        <v>4430265054</v>
      </c>
      <c r="E2222" s="33">
        <v>915</v>
      </c>
      <c r="F2222" s="33">
        <v>856</v>
      </c>
      <c r="G2222" s="33" t="s">
        <v>38</v>
      </c>
      <c r="H2222" s="33" t="s">
        <v>4632</v>
      </c>
      <c r="I2222" s="33" t="s">
        <v>39</v>
      </c>
      <c r="J2222" s="33" t="s">
        <v>40</v>
      </c>
      <c r="K2222" s="33" t="s">
        <v>41</v>
      </c>
      <c r="L2222" s="33">
        <v>5</v>
      </c>
    </row>
    <row r="2223" spans="1:12" hidden="1" x14ac:dyDescent="0.3">
      <c r="A2223" s="39">
        <v>46063.353854166664</v>
      </c>
      <c r="B2223" s="33">
        <v>44988303530</v>
      </c>
      <c r="C2223" s="33">
        <v>4430265054</v>
      </c>
      <c r="D2223" s="33">
        <v>4430265054</v>
      </c>
      <c r="E2223" s="33">
        <v>29</v>
      </c>
      <c r="F2223" s="33">
        <v>28</v>
      </c>
      <c r="G2223" s="33" t="s">
        <v>3449</v>
      </c>
      <c r="H2223" s="33" t="s">
        <v>6128</v>
      </c>
      <c r="I2223" s="33" t="s">
        <v>39</v>
      </c>
      <c r="J2223" s="33" t="s">
        <v>3451</v>
      </c>
    </row>
    <row r="2224" spans="1:12" hidden="1" x14ac:dyDescent="0.3">
      <c r="A2224" s="39">
        <v>46063.353344907409</v>
      </c>
      <c r="B2224" s="33">
        <v>4432524636</v>
      </c>
      <c r="C2224" s="33">
        <v>4430265054</v>
      </c>
      <c r="D2224" s="33">
        <v>4430265054</v>
      </c>
      <c r="E2224" s="33">
        <v>25</v>
      </c>
      <c r="F2224" s="33">
        <v>24</v>
      </c>
      <c r="G2224" s="33" t="s">
        <v>3449</v>
      </c>
      <c r="H2224" s="33" t="s">
        <v>6129</v>
      </c>
      <c r="I2224" s="33" t="s">
        <v>39</v>
      </c>
      <c r="J2224" s="33" t="s">
        <v>3451</v>
      </c>
    </row>
    <row r="2225" spans="1:12" hidden="1" x14ac:dyDescent="0.3">
      <c r="A2225" s="39">
        <v>46063.352210648147</v>
      </c>
      <c r="B2225" s="33" t="s">
        <v>3873</v>
      </c>
      <c r="C2225" s="33">
        <v>4432261852</v>
      </c>
      <c r="E2225" s="33">
        <v>38</v>
      </c>
      <c r="F2225" s="33">
        <v>0</v>
      </c>
      <c r="G2225" s="33" t="s">
        <v>47</v>
      </c>
      <c r="H2225" s="33" t="s">
        <v>6130</v>
      </c>
      <c r="I2225" s="33" t="s">
        <v>46</v>
      </c>
      <c r="J2225" s="33" t="s">
        <v>3451</v>
      </c>
    </row>
    <row r="2226" spans="1:12" hidden="1" x14ac:dyDescent="0.3">
      <c r="A2226" s="39">
        <v>46063.34988425926</v>
      </c>
      <c r="B2226" s="33" t="s">
        <v>43</v>
      </c>
      <c r="C2226" s="33">
        <v>4432268889</v>
      </c>
      <c r="E2226" s="33">
        <v>402</v>
      </c>
      <c r="F2226" s="33">
        <v>373</v>
      </c>
      <c r="G2226" s="33" t="s">
        <v>38</v>
      </c>
      <c r="H2226" s="33" t="s">
        <v>6131</v>
      </c>
      <c r="I2226" s="33" t="s">
        <v>46</v>
      </c>
      <c r="J2226" s="33" t="s">
        <v>40</v>
      </c>
    </row>
    <row r="2227" spans="1:12" hidden="1" x14ac:dyDescent="0.3">
      <c r="A2227" s="39">
        <v>46063.349444444444</v>
      </c>
      <c r="B2227" s="33" t="s">
        <v>43</v>
      </c>
      <c r="C2227" s="33">
        <v>4432268889</v>
      </c>
      <c r="E2227" s="33">
        <v>39</v>
      </c>
      <c r="F2227" s="33">
        <v>14</v>
      </c>
      <c r="G2227" s="33" t="s">
        <v>38</v>
      </c>
      <c r="H2227" s="33" t="s">
        <v>6132</v>
      </c>
      <c r="I2227" s="33" t="s">
        <v>46</v>
      </c>
      <c r="J2227" s="33" t="s">
        <v>40</v>
      </c>
    </row>
    <row r="2228" spans="1:12" hidden="1" x14ac:dyDescent="0.3">
      <c r="A2228" s="39">
        <v>46063.349398148152</v>
      </c>
      <c r="B2228" s="33" t="s">
        <v>43</v>
      </c>
      <c r="C2228" s="33">
        <v>4432268889</v>
      </c>
      <c r="E2228" s="33">
        <v>3</v>
      </c>
      <c r="F2228" s="33">
        <v>0</v>
      </c>
      <c r="G2228" s="33" t="s">
        <v>47</v>
      </c>
      <c r="H2228" s="33" t="s">
        <v>6133</v>
      </c>
      <c r="I2228" s="33" t="s">
        <v>46</v>
      </c>
      <c r="J2228" s="33" t="s">
        <v>40</v>
      </c>
    </row>
    <row r="2229" spans="1:12" hidden="1" x14ac:dyDescent="0.3">
      <c r="A2229" s="39">
        <v>46063.346215277779</v>
      </c>
      <c r="B2229" s="33" t="s">
        <v>45</v>
      </c>
      <c r="C2229" s="33">
        <v>45999211333</v>
      </c>
      <c r="E2229" s="33">
        <v>733</v>
      </c>
      <c r="F2229" s="33">
        <v>719</v>
      </c>
      <c r="G2229" s="33" t="s">
        <v>38</v>
      </c>
      <c r="H2229" s="33" t="s">
        <v>6134</v>
      </c>
      <c r="I2229" s="33" t="s">
        <v>46</v>
      </c>
      <c r="J2229" s="33" t="s">
        <v>40</v>
      </c>
    </row>
    <row r="2230" spans="1:12" hidden="1" x14ac:dyDescent="0.3">
      <c r="A2230" s="39">
        <v>46063.345370370371</v>
      </c>
      <c r="B2230" s="33" t="s">
        <v>3873</v>
      </c>
      <c r="C2230" s="33">
        <v>4432261852</v>
      </c>
      <c r="E2230" s="33">
        <v>68</v>
      </c>
      <c r="F2230" s="33">
        <v>0</v>
      </c>
      <c r="G2230" s="33" t="s">
        <v>47</v>
      </c>
      <c r="H2230" s="33" t="s">
        <v>6135</v>
      </c>
      <c r="I2230" s="33" t="s">
        <v>46</v>
      </c>
      <c r="J2230" s="33" t="s">
        <v>3451</v>
      </c>
    </row>
    <row r="2231" spans="1:12" hidden="1" x14ac:dyDescent="0.3">
      <c r="A2231" s="39">
        <v>46063.343865740739</v>
      </c>
      <c r="B2231" s="33" t="s">
        <v>37</v>
      </c>
      <c r="C2231" s="33">
        <v>4330333542</v>
      </c>
      <c r="E2231" s="33">
        <v>1078</v>
      </c>
      <c r="F2231" s="33">
        <v>1065</v>
      </c>
      <c r="G2231" s="33" t="s">
        <v>38</v>
      </c>
      <c r="H2231" s="33" t="s">
        <v>6136</v>
      </c>
      <c r="I2231" s="33" t="s">
        <v>46</v>
      </c>
      <c r="J2231" s="33" t="s">
        <v>40</v>
      </c>
      <c r="L2231" s="33">
        <v>5</v>
      </c>
    </row>
    <row r="2232" spans="1:12" hidden="1" x14ac:dyDescent="0.3">
      <c r="A2232" s="39">
        <v>46062.738483796296</v>
      </c>
      <c r="B2232" s="33">
        <v>43996893235</v>
      </c>
      <c r="C2232" s="33" t="s">
        <v>37</v>
      </c>
      <c r="D2232" s="33">
        <v>4430265054</v>
      </c>
      <c r="E2232" s="33">
        <v>450</v>
      </c>
      <c r="F2232" s="33">
        <v>351</v>
      </c>
      <c r="G2232" s="33" t="s">
        <v>38</v>
      </c>
      <c r="H2232" s="33" t="s">
        <v>4633</v>
      </c>
      <c r="I2232" s="33" t="s">
        <v>39</v>
      </c>
      <c r="J2232" s="33" t="s">
        <v>40</v>
      </c>
      <c r="K2232" s="33" t="s">
        <v>41</v>
      </c>
      <c r="L2232" s="33">
        <v>5</v>
      </c>
    </row>
    <row r="2233" spans="1:12" hidden="1" x14ac:dyDescent="0.3">
      <c r="A2233" s="39">
        <v>46062.733368055553</v>
      </c>
      <c r="B2233" s="33" t="s">
        <v>3627</v>
      </c>
      <c r="C2233" s="33">
        <v>98999077400</v>
      </c>
      <c r="E2233" s="33">
        <v>29</v>
      </c>
      <c r="F2233" s="33">
        <v>0</v>
      </c>
      <c r="G2233" s="33" t="s">
        <v>47</v>
      </c>
      <c r="H2233" s="33" t="s">
        <v>6137</v>
      </c>
      <c r="I2233" s="33" t="s">
        <v>46</v>
      </c>
      <c r="J2233" s="33" t="s">
        <v>3629</v>
      </c>
    </row>
    <row r="2234" spans="1:12" hidden="1" x14ac:dyDescent="0.3">
      <c r="A2234" s="39">
        <v>46062.715162037035</v>
      </c>
      <c r="B2234" s="33" t="s">
        <v>37</v>
      </c>
      <c r="C2234" s="33">
        <v>1639391799</v>
      </c>
      <c r="E2234" s="33">
        <v>24</v>
      </c>
      <c r="F2234" s="33">
        <v>0</v>
      </c>
      <c r="G2234" s="33" t="s">
        <v>47</v>
      </c>
      <c r="H2234" s="33" t="s">
        <v>6138</v>
      </c>
      <c r="I2234" s="33" t="s">
        <v>46</v>
      </c>
      <c r="J2234" s="33" t="s">
        <v>40</v>
      </c>
    </row>
    <row r="2235" spans="1:12" hidden="1" x14ac:dyDescent="0.3">
      <c r="A2235" s="39">
        <v>46062.714733796296</v>
      </c>
      <c r="B2235" s="33" t="s">
        <v>37</v>
      </c>
      <c r="C2235" s="33">
        <v>1639391799</v>
      </c>
      <c r="E2235" s="33">
        <v>21</v>
      </c>
      <c r="F2235" s="33">
        <v>0</v>
      </c>
      <c r="G2235" s="33" t="s">
        <v>47</v>
      </c>
      <c r="H2235" s="33" t="s">
        <v>6139</v>
      </c>
      <c r="I2235" s="33" t="s">
        <v>46</v>
      </c>
      <c r="J2235" s="33" t="s">
        <v>40</v>
      </c>
    </row>
    <row r="2236" spans="1:12" hidden="1" x14ac:dyDescent="0.3">
      <c r="A2236" s="39">
        <v>46062.713587962964</v>
      </c>
      <c r="B2236" s="33" t="s">
        <v>37</v>
      </c>
      <c r="C2236" s="33">
        <v>1639391799</v>
      </c>
      <c r="E2236" s="33">
        <v>21</v>
      </c>
      <c r="F2236" s="33">
        <v>0</v>
      </c>
      <c r="G2236" s="33" t="s">
        <v>47</v>
      </c>
      <c r="H2236" s="33" t="s">
        <v>6140</v>
      </c>
      <c r="I2236" s="33" t="s">
        <v>46</v>
      </c>
      <c r="J2236" s="33" t="s">
        <v>40</v>
      </c>
    </row>
    <row r="2237" spans="1:12" hidden="1" x14ac:dyDescent="0.3">
      <c r="A2237" s="39">
        <v>46062.711319444446</v>
      </c>
      <c r="B2237" s="33">
        <v>67996356530</v>
      </c>
      <c r="C2237" s="33" t="s">
        <v>45</v>
      </c>
      <c r="D2237" s="33">
        <v>4430265054</v>
      </c>
      <c r="E2237" s="33">
        <v>1372</v>
      </c>
      <c r="F2237" s="33">
        <v>1296</v>
      </c>
      <c r="G2237" s="33" t="s">
        <v>38</v>
      </c>
      <c r="H2237" s="33" t="s">
        <v>4634</v>
      </c>
      <c r="I2237" s="33" t="s">
        <v>39</v>
      </c>
      <c r="J2237" s="33" t="s">
        <v>40</v>
      </c>
      <c r="K2237" s="33" t="s">
        <v>41</v>
      </c>
      <c r="L2237" s="33">
        <v>5</v>
      </c>
    </row>
    <row r="2238" spans="1:12" hidden="1" x14ac:dyDescent="0.3">
      <c r="A2238" s="39">
        <v>46062.71020833333</v>
      </c>
      <c r="B2238" s="33" t="s">
        <v>37</v>
      </c>
      <c r="C2238" s="33">
        <v>1639391799</v>
      </c>
      <c r="E2238" s="33">
        <v>21</v>
      </c>
      <c r="F2238" s="33">
        <v>0</v>
      </c>
      <c r="G2238" s="33" t="s">
        <v>47</v>
      </c>
      <c r="H2238" s="33" t="s">
        <v>6141</v>
      </c>
      <c r="I2238" s="33" t="s">
        <v>46</v>
      </c>
      <c r="J2238" s="33" t="s">
        <v>40</v>
      </c>
    </row>
    <row r="2239" spans="1:12" hidden="1" x14ac:dyDescent="0.3">
      <c r="A2239" s="39">
        <v>46062.709872685184</v>
      </c>
      <c r="B2239" s="33" t="s">
        <v>37</v>
      </c>
      <c r="C2239" s="33">
        <v>1639391799</v>
      </c>
      <c r="E2239" s="33">
        <v>26</v>
      </c>
      <c r="F2239" s="33">
        <v>0</v>
      </c>
      <c r="G2239" s="33" t="s">
        <v>47</v>
      </c>
      <c r="H2239" s="33" t="s">
        <v>6142</v>
      </c>
      <c r="I2239" s="33" t="s">
        <v>46</v>
      </c>
      <c r="J2239" s="33" t="s">
        <v>40</v>
      </c>
    </row>
    <row r="2240" spans="1:12" hidden="1" x14ac:dyDescent="0.3">
      <c r="A2240" s="39">
        <v>46062.705810185187</v>
      </c>
      <c r="B2240" s="33" t="s">
        <v>3627</v>
      </c>
      <c r="C2240" s="33">
        <v>65999777730</v>
      </c>
      <c r="E2240" s="33">
        <v>8</v>
      </c>
      <c r="F2240" s="33">
        <v>1</v>
      </c>
      <c r="G2240" s="33" t="s">
        <v>38</v>
      </c>
      <c r="H2240" s="33" t="s">
        <v>6143</v>
      </c>
      <c r="I2240" s="33" t="s">
        <v>46</v>
      </c>
      <c r="J2240" s="33" t="s">
        <v>3629</v>
      </c>
    </row>
    <row r="2241" spans="1:12" hidden="1" x14ac:dyDescent="0.3">
      <c r="A2241" s="39">
        <v>46062.703946759262</v>
      </c>
      <c r="B2241" s="33">
        <v>1639391799</v>
      </c>
      <c r="C2241" s="33" t="s">
        <v>37</v>
      </c>
      <c r="D2241" s="33">
        <v>4430265054</v>
      </c>
      <c r="E2241" s="33">
        <v>481</v>
      </c>
      <c r="F2241" s="33">
        <v>414</v>
      </c>
      <c r="G2241" s="33" t="s">
        <v>38</v>
      </c>
      <c r="H2241" s="33" t="s">
        <v>4635</v>
      </c>
      <c r="I2241" s="33" t="s">
        <v>39</v>
      </c>
      <c r="J2241" s="33" t="s">
        <v>40</v>
      </c>
      <c r="K2241" s="33" t="s">
        <v>41</v>
      </c>
    </row>
    <row r="2242" spans="1:12" hidden="1" x14ac:dyDescent="0.3">
      <c r="A2242" s="39">
        <v>46062.702060185184</v>
      </c>
      <c r="B2242" s="33" t="s">
        <v>3627</v>
      </c>
      <c r="C2242" s="33">
        <v>45999495960</v>
      </c>
      <c r="E2242" s="33">
        <v>37</v>
      </c>
      <c r="F2242" s="33">
        <v>0</v>
      </c>
      <c r="G2242" s="33" t="s">
        <v>47</v>
      </c>
      <c r="H2242" s="33" t="s">
        <v>6144</v>
      </c>
      <c r="I2242" s="33" t="s">
        <v>46</v>
      </c>
      <c r="J2242" s="33" t="s">
        <v>3629</v>
      </c>
    </row>
    <row r="2243" spans="1:12" hidden="1" x14ac:dyDescent="0.3">
      <c r="A2243" s="39">
        <v>46062.700370370374</v>
      </c>
      <c r="B2243" s="33" t="s">
        <v>3627</v>
      </c>
      <c r="C2243" s="33">
        <v>47991240765</v>
      </c>
      <c r="E2243" s="33">
        <v>6</v>
      </c>
      <c r="F2243" s="33">
        <v>0</v>
      </c>
      <c r="G2243" s="33" t="s">
        <v>47</v>
      </c>
      <c r="H2243" s="33" t="s">
        <v>6145</v>
      </c>
      <c r="I2243" s="33" t="s">
        <v>46</v>
      </c>
      <c r="J2243" s="33" t="s">
        <v>3629</v>
      </c>
    </row>
    <row r="2244" spans="1:12" hidden="1" x14ac:dyDescent="0.3">
      <c r="A2244" s="39">
        <v>46062.698344907411</v>
      </c>
      <c r="B2244" s="33">
        <v>44997735525</v>
      </c>
      <c r="C2244" s="33">
        <v>4430265054</v>
      </c>
      <c r="D2244" s="33">
        <v>4430265054</v>
      </c>
      <c r="E2244" s="33">
        <v>122</v>
      </c>
      <c r="F2244" s="33">
        <v>122</v>
      </c>
      <c r="G2244" s="33" t="s">
        <v>3449</v>
      </c>
      <c r="H2244" s="33" t="s">
        <v>4636</v>
      </c>
      <c r="I2244" s="33" t="s">
        <v>39</v>
      </c>
      <c r="J2244" s="33" t="s">
        <v>3451</v>
      </c>
      <c r="K2244" s="33" t="s">
        <v>41</v>
      </c>
    </row>
    <row r="2245" spans="1:12" hidden="1" x14ac:dyDescent="0.3">
      <c r="A2245" s="39">
        <v>46062.697094907409</v>
      </c>
      <c r="B2245" s="33">
        <v>4330333542</v>
      </c>
      <c r="C2245" s="33" t="s">
        <v>48</v>
      </c>
      <c r="D2245" s="33">
        <v>4430265054</v>
      </c>
      <c r="E2245" s="33">
        <v>1052</v>
      </c>
      <c r="F2245" s="33">
        <v>1051</v>
      </c>
      <c r="G2245" s="33" t="s">
        <v>38</v>
      </c>
      <c r="H2245" s="33" t="s">
        <v>4637</v>
      </c>
      <c r="I2245" s="33" t="s">
        <v>39</v>
      </c>
      <c r="J2245" s="33" t="s">
        <v>40</v>
      </c>
      <c r="K2245" s="33" t="s">
        <v>41</v>
      </c>
    </row>
    <row r="2246" spans="1:12" hidden="1" x14ac:dyDescent="0.3">
      <c r="A2246" s="39">
        <v>46062.696875000001</v>
      </c>
      <c r="B2246" s="33" t="s">
        <v>3627</v>
      </c>
      <c r="C2246" s="33">
        <v>79999719160</v>
      </c>
      <c r="E2246" s="33">
        <v>18</v>
      </c>
      <c r="F2246" s="33">
        <v>5</v>
      </c>
      <c r="G2246" s="33" t="s">
        <v>38</v>
      </c>
      <c r="H2246" s="33" t="s">
        <v>6146</v>
      </c>
      <c r="I2246" s="33" t="s">
        <v>46</v>
      </c>
      <c r="J2246" s="33" t="s">
        <v>3629</v>
      </c>
    </row>
    <row r="2247" spans="1:12" hidden="1" x14ac:dyDescent="0.3">
      <c r="A2247" s="39">
        <v>46062.692060185182</v>
      </c>
      <c r="B2247" s="33" t="s">
        <v>42</v>
      </c>
      <c r="C2247" s="33">
        <v>4330332823</v>
      </c>
      <c r="E2247" s="33">
        <v>772</v>
      </c>
      <c r="F2247" s="33">
        <v>765</v>
      </c>
      <c r="G2247" s="33" t="s">
        <v>38</v>
      </c>
      <c r="H2247" s="33" t="s">
        <v>6147</v>
      </c>
      <c r="I2247" s="33" t="s">
        <v>46</v>
      </c>
      <c r="J2247" s="33" t="s">
        <v>40</v>
      </c>
    </row>
    <row r="2248" spans="1:12" hidden="1" x14ac:dyDescent="0.3">
      <c r="A2248" s="39">
        <v>46062.689965277779</v>
      </c>
      <c r="B2248" s="33">
        <v>44999632141</v>
      </c>
      <c r="C2248" s="33" t="s">
        <v>43</v>
      </c>
      <c r="D2248" s="33">
        <v>4430265054</v>
      </c>
      <c r="E2248" s="33">
        <v>891</v>
      </c>
      <c r="F2248" s="33">
        <v>866</v>
      </c>
      <c r="G2248" s="33" t="s">
        <v>38</v>
      </c>
      <c r="H2248" s="33" t="s">
        <v>4638</v>
      </c>
      <c r="I2248" s="33" t="s">
        <v>39</v>
      </c>
      <c r="J2248" s="33" t="s">
        <v>40</v>
      </c>
      <c r="K2248" s="33" t="s">
        <v>41</v>
      </c>
    </row>
    <row r="2249" spans="1:12" hidden="1" x14ac:dyDescent="0.3">
      <c r="A2249" s="39">
        <v>46062.688194444447</v>
      </c>
      <c r="B2249" s="33" t="s">
        <v>44</v>
      </c>
      <c r="C2249" s="33">
        <v>44999497001</v>
      </c>
      <c r="E2249" s="33">
        <v>1237</v>
      </c>
      <c r="F2249" s="33">
        <v>1224</v>
      </c>
      <c r="G2249" s="33" t="s">
        <v>38</v>
      </c>
      <c r="H2249" s="33" t="s">
        <v>6148</v>
      </c>
      <c r="I2249" s="33" t="s">
        <v>46</v>
      </c>
      <c r="J2249" s="33" t="s">
        <v>40</v>
      </c>
    </row>
    <row r="2250" spans="1:12" hidden="1" x14ac:dyDescent="0.3">
      <c r="A2250" s="39">
        <v>46062.688136574077</v>
      </c>
      <c r="B2250" s="33" t="s">
        <v>44</v>
      </c>
      <c r="C2250" s="33">
        <v>44999497001</v>
      </c>
      <c r="E2250" s="33">
        <v>2</v>
      </c>
      <c r="F2250" s="33">
        <v>0</v>
      </c>
      <c r="G2250" s="33" t="s">
        <v>47</v>
      </c>
      <c r="H2250" s="33" t="s">
        <v>6149</v>
      </c>
      <c r="I2250" s="33" t="s">
        <v>46</v>
      </c>
      <c r="J2250" s="33" t="s">
        <v>40</v>
      </c>
    </row>
    <row r="2251" spans="1:12" hidden="1" x14ac:dyDescent="0.3">
      <c r="A2251" s="39">
        <v>46062.682013888887</v>
      </c>
      <c r="B2251" s="33">
        <v>6234347959</v>
      </c>
      <c r="C2251" s="33" t="s">
        <v>48</v>
      </c>
      <c r="D2251" s="33">
        <v>4430265054</v>
      </c>
      <c r="E2251" s="33">
        <v>233</v>
      </c>
      <c r="F2251" s="33">
        <v>233</v>
      </c>
      <c r="G2251" s="33" t="s">
        <v>38</v>
      </c>
      <c r="H2251" s="33" t="s">
        <v>4639</v>
      </c>
      <c r="I2251" s="33" t="s">
        <v>39</v>
      </c>
      <c r="J2251" s="33" t="s">
        <v>40</v>
      </c>
      <c r="K2251" s="33" t="s">
        <v>41</v>
      </c>
    </row>
    <row r="2252" spans="1:12" hidden="1" x14ac:dyDescent="0.3">
      <c r="A2252" s="39">
        <v>46062.677384259259</v>
      </c>
      <c r="B2252" s="33">
        <v>67996356530</v>
      </c>
      <c r="C2252" s="33" t="s">
        <v>42</v>
      </c>
      <c r="D2252" s="33">
        <v>4430265054</v>
      </c>
      <c r="E2252" s="33">
        <v>458</v>
      </c>
      <c r="F2252" s="33">
        <v>374</v>
      </c>
      <c r="G2252" s="33" t="s">
        <v>38</v>
      </c>
      <c r="H2252" s="33" t="s">
        <v>4640</v>
      </c>
      <c r="I2252" s="33" t="s">
        <v>39</v>
      </c>
      <c r="J2252" s="33" t="s">
        <v>40</v>
      </c>
      <c r="K2252" s="33" t="s">
        <v>41</v>
      </c>
    </row>
    <row r="2253" spans="1:12" hidden="1" x14ac:dyDescent="0.3">
      <c r="A2253" s="39">
        <v>46062.675729166665</v>
      </c>
      <c r="B2253" s="33" t="s">
        <v>43</v>
      </c>
      <c r="C2253" s="33">
        <v>44997426611</v>
      </c>
      <c r="E2253" s="33">
        <v>1103</v>
      </c>
      <c r="F2253" s="33">
        <v>1085</v>
      </c>
      <c r="G2253" s="33" t="s">
        <v>38</v>
      </c>
      <c r="H2253" s="33" t="s">
        <v>6150</v>
      </c>
      <c r="I2253" s="33" t="s">
        <v>46</v>
      </c>
      <c r="J2253" s="33" t="s">
        <v>40</v>
      </c>
      <c r="L2253" s="33">
        <v>5</v>
      </c>
    </row>
    <row r="2254" spans="1:12" hidden="1" x14ac:dyDescent="0.3">
      <c r="A2254" s="39">
        <v>46062.674756944441</v>
      </c>
      <c r="B2254" s="33">
        <v>4436351835</v>
      </c>
      <c r="C2254" s="33" t="s">
        <v>37</v>
      </c>
      <c r="D2254" s="33">
        <v>4430265054</v>
      </c>
      <c r="E2254" s="33">
        <v>423</v>
      </c>
      <c r="F2254" s="33">
        <v>236</v>
      </c>
      <c r="G2254" s="33" t="s">
        <v>38</v>
      </c>
      <c r="H2254" s="33" t="s">
        <v>4641</v>
      </c>
      <c r="I2254" s="33" t="s">
        <v>39</v>
      </c>
      <c r="J2254" s="33" t="s">
        <v>40</v>
      </c>
      <c r="K2254" s="33" t="s">
        <v>41</v>
      </c>
      <c r="L2254" s="33">
        <v>5</v>
      </c>
    </row>
    <row r="2255" spans="1:12" hidden="1" x14ac:dyDescent="0.3">
      <c r="A2255" s="39">
        <v>46062.673692129632</v>
      </c>
      <c r="B2255" s="33" t="s">
        <v>51</v>
      </c>
      <c r="C2255" s="33">
        <v>15997113760</v>
      </c>
      <c r="E2255" s="33">
        <v>753</v>
      </c>
      <c r="F2255" s="33">
        <v>741</v>
      </c>
      <c r="G2255" s="33" t="s">
        <v>38</v>
      </c>
      <c r="H2255" s="33" t="s">
        <v>6151</v>
      </c>
      <c r="I2255" s="33" t="s">
        <v>46</v>
      </c>
      <c r="J2255" s="33" t="s">
        <v>3629</v>
      </c>
    </row>
    <row r="2256" spans="1:12" hidden="1" x14ac:dyDescent="0.3">
      <c r="A2256" s="39">
        <v>46062.671226851853</v>
      </c>
      <c r="B2256" s="33">
        <v>44999689445</v>
      </c>
      <c r="C2256" s="33" t="s">
        <v>37</v>
      </c>
      <c r="D2256" s="33">
        <v>4430265054</v>
      </c>
      <c r="E2256" s="33">
        <v>239</v>
      </c>
      <c r="F2256" s="33">
        <v>218</v>
      </c>
      <c r="G2256" s="33" t="s">
        <v>38</v>
      </c>
      <c r="H2256" s="33" t="s">
        <v>4642</v>
      </c>
      <c r="I2256" s="33" t="s">
        <v>39</v>
      </c>
      <c r="J2256" s="33" t="s">
        <v>40</v>
      </c>
      <c r="K2256" s="33" t="s">
        <v>41</v>
      </c>
    </row>
    <row r="2257" spans="1:12" hidden="1" x14ac:dyDescent="0.3">
      <c r="A2257" s="39">
        <v>46062.663194444445</v>
      </c>
      <c r="B2257" s="33">
        <v>44998039090</v>
      </c>
      <c r="C2257" s="33" t="s">
        <v>37</v>
      </c>
      <c r="D2257" s="33">
        <v>4430265054</v>
      </c>
      <c r="E2257" s="33">
        <v>355</v>
      </c>
      <c r="F2257" s="33">
        <v>277</v>
      </c>
      <c r="G2257" s="33" t="s">
        <v>38</v>
      </c>
      <c r="H2257" s="33" t="s">
        <v>4643</v>
      </c>
      <c r="I2257" s="33" t="s">
        <v>39</v>
      </c>
      <c r="J2257" s="33" t="s">
        <v>40</v>
      </c>
      <c r="K2257" s="33" t="s">
        <v>41</v>
      </c>
      <c r="L2257" s="33">
        <v>4</v>
      </c>
    </row>
    <row r="2258" spans="1:12" hidden="1" x14ac:dyDescent="0.3">
      <c r="A2258" s="39">
        <v>46062.657210648147</v>
      </c>
      <c r="B2258" s="33" t="s">
        <v>51</v>
      </c>
      <c r="C2258" s="33" t="s">
        <v>5173</v>
      </c>
      <c r="E2258" s="33">
        <v>288</v>
      </c>
      <c r="F2258" s="33">
        <v>286</v>
      </c>
      <c r="G2258" s="33" t="s">
        <v>38</v>
      </c>
      <c r="H2258" s="33" t="s">
        <v>6152</v>
      </c>
      <c r="I2258" s="33" t="s">
        <v>52</v>
      </c>
      <c r="J2258" s="33" t="s">
        <v>3629</v>
      </c>
    </row>
    <row r="2259" spans="1:12" hidden="1" x14ac:dyDescent="0.3">
      <c r="A2259" s="39">
        <v>46062.647569444445</v>
      </c>
      <c r="B2259" s="33">
        <v>15997113760</v>
      </c>
      <c r="C2259" s="33" t="s">
        <v>44</v>
      </c>
      <c r="D2259" s="33">
        <v>4431268225</v>
      </c>
      <c r="E2259" s="33">
        <v>296</v>
      </c>
      <c r="F2259" s="33">
        <v>130</v>
      </c>
      <c r="G2259" s="33" t="s">
        <v>38</v>
      </c>
      <c r="H2259" s="33" t="s">
        <v>4644</v>
      </c>
      <c r="I2259" s="33" t="s">
        <v>39</v>
      </c>
      <c r="J2259" s="33" t="s">
        <v>40</v>
      </c>
      <c r="K2259" s="33" t="s">
        <v>41</v>
      </c>
    </row>
    <row r="2260" spans="1:12" hidden="1" x14ac:dyDescent="0.3">
      <c r="A2260" s="39">
        <v>46062.646238425928</v>
      </c>
      <c r="B2260" s="33">
        <v>4432637197</v>
      </c>
      <c r="C2260" s="33" t="s">
        <v>37</v>
      </c>
      <c r="D2260" s="33">
        <v>4430265054</v>
      </c>
      <c r="E2260" s="33">
        <v>1219</v>
      </c>
      <c r="F2260" s="33">
        <v>1194</v>
      </c>
      <c r="G2260" s="33" t="s">
        <v>38</v>
      </c>
      <c r="H2260" s="33" t="s">
        <v>4645</v>
      </c>
      <c r="I2260" s="33" t="s">
        <v>39</v>
      </c>
      <c r="J2260" s="33" t="s">
        <v>40</v>
      </c>
      <c r="K2260" s="33" t="s">
        <v>41</v>
      </c>
    </row>
    <row r="2261" spans="1:12" hidden="1" x14ac:dyDescent="0.3">
      <c r="A2261" s="39">
        <v>46062.645162037035</v>
      </c>
      <c r="B2261" s="33">
        <v>44991213058</v>
      </c>
      <c r="C2261" s="33" t="s">
        <v>43</v>
      </c>
      <c r="D2261" s="33">
        <v>4430265054</v>
      </c>
      <c r="E2261" s="33">
        <v>575</v>
      </c>
      <c r="F2261" s="33">
        <v>532</v>
      </c>
      <c r="G2261" s="33" t="s">
        <v>38</v>
      </c>
      <c r="H2261" s="33" t="s">
        <v>4646</v>
      </c>
      <c r="I2261" s="33" t="s">
        <v>39</v>
      </c>
      <c r="J2261" s="33" t="s">
        <v>40</v>
      </c>
      <c r="K2261" s="33" t="s">
        <v>41</v>
      </c>
      <c r="L2261" s="33">
        <v>5</v>
      </c>
    </row>
    <row r="2262" spans="1:12" hidden="1" x14ac:dyDescent="0.3">
      <c r="A2262" s="39">
        <v>46062.638009259259</v>
      </c>
      <c r="B2262" s="33">
        <v>45999211357</v>
      </c>
      <c r="C2262" s="33" t="s">
        <v>45</v>
      </c>
      <c r="D2262" s="33">
        <v>4431268225</v>
      </c>
      <c r="E2262" s="33">
        <v>96</v>
      </c>
      <c r="F2262" s="33">
        <v>32</v>
      </c>
      <c r="G2262" s="33" t="s">
        <v>38</v>
      </c>
      <c r="H2262" s="33" t="s">
        <v>4647</v>
      </c>
      <c r="I2262" s="33" t="s">
        <v>39</v>
      </c>
      <c r="J2262" s="33" t="s">
        <v>40</v>
      </c>
      <c r="K2262" s="33" t="s">
        <v>41</v>
      </c>
    </row>
    <row r="2263" spans="1:12" hidden="1" x14ac:dyDescent="0.3">
      <c r="A2263" s="39">
        <v>46062.637766203705</v>
      </c>
      <c r="B2263" s="33">
        <v>44999503337</v>
      </c>
      <c r="C2263" s="33" t="s">
        <v>37</v>
      </c>
      <c r="D2263" s="33">
        <v>4430265054</v>
      </c>
      <c r="E2263" s="33">
        <v>315</v>
      </c>
      <c r="F2263" s="33">
        <v>245</v>
      </c>
      <c r="G2263" s="33" t="s">
        <v>38</v>
      </c>
      <c r="H2263" s="33" t="s">
        <v>4648</v>
      </c>
      <c r="I2263" s="33" t="s">
        <v>39</v>
      </c>
      <c r="J2263" s="33" t="s">
        <v>40</v>
      </c>
      <c r="K2263" s="33" t="s">
        <v>41</v>
      </c>
      <c r="L2263" s="33">
        <v>5</v>
      </c>
    </row>
    <row r="2264" spans="1:12" hidden="1" x14ac:dyDescent="0.3">
      <c r="A2264" s="39">
        <v>46062.634988425925</v>
      </c>
      <c r="B2264" s="33">
        <v>4330332823</v>
      </c>
      <c r="C2264" s="33" t="s">
        <v>42</v>
      </c>
      <c r="D2264" s="33">
        <v>4430265054</v>
      </c>
      <c r="E2264" s="33">
        <v>982</v>
      </c>
      <c r="F2264" s="33">
        <v>885</v>
      </c>
      <c r="G2264" s="33" t="s">
        <v>38</v>
      </c>
      <c r="H2264" s="33" t="s">
        <v>4649</v>
      </c>
      <c r="I2264" s="33" t="s">
        <v>39</v>
      </c>
      <c r="J2264" s="33" t="s">
        <v>40</v>
      </c>
      <c r="K2264" s="33" t="s">
        <v>41</v>
      </c>
    </row>
    <row r="2265" spans="1:12" hidden="1" x14ac:dyDescent="0.3">
      <c r="A2265" s="39">
        <v>46062.633981481478</v>
      </c>
      <c r="B2265" s="33">
        <v>4532541802</v>
      </c>
      <c r="C2265" s="33" t="s">
        <v>43</v>
      </c>
      <c r="D2265" s="33">
        <v>4430265054</v>
      </c>
      <c r="E2265" s="33">
        <v>928</v>
      </c>
      <c r="F2265" s="33">
        <v>896</v>
      </c>
      <c r="G2265" s="33" t="s">
        <v>38</v>
      </c>
      <c r="H2265" s="33" t="s">
        <v>4650</v>
      </c>
      <c r="I2265" s="33" t="s">
        <v>39</v>
      </c>
      <c r="J2265" s="33" t="s">
        <v>40</v>
      </c>
      <c r="K2265" s="33" t="s">
        <v>41</v>
      </c>
      <c r="L2265" s="33">
        <v>5</v>
      </c>
    </row>
    <row r="2266" spans="1:12" hidden="1" x14ac:dyDescent="0.3">
      <c r="A2266" s="39">
        <v>46062.631412037037</v>
      </c>
      <c r="B2266" s="33">
        <v>4435228300</v>
      </c>
      <c r="C2266" s="33" t="s">
        <v>45</v>
      </c>
      <c r="D2266" s="33">
        <v>4430265054</v>
      </c>
      <c r="E2266" s="33">
        <v>321</v>
      </c>
      <c r="F2266" s="33">
        <v>262</v>
      </c>
      <c r="G2266" s="33" t="s">
        <v>38</v>
      </c>
      <c r="H2266" s="33" t="s">
        <v>4651</v>
      </c>
      <c r="I2266" s="33" t="s">
        <v>39</v>
      </c>
      <c r="J2266" s="33" t="s">
        <v>40</v>
      </c>
      <c r="K2266" s="33" t="s">
        <v>41</v>
      </c>
    </row>
    <row r="2267" spans="1:12" hidden="1" x14ac:dyDescent="0.3">
      <c r="A2267" s="39">
        <v>46062.627800925926</v>
      </c>
      <c r="B2267" s="33">
        <v>4430562296</v>
      </c>
      <c r="C2267" s="33" t="s">
        <v>37</v>
      </c>
      <c r="D2267" s="33">
        <v>4430265054</v>
      </c>
      <c r="E2267" s="33">
        <v>733</v>
      </c>
      <c r="F2267" s="33">
        <v>673</v>
      </c>
      <c r="G2267" s="33" t="s">
        <v>38</v>
      </c>
      <c r="H2267" s="33" t="s">
        <v>4652</v>
      </c>
      <c r="I2267" s="33" t="s">
        <v>39</v>
      </c>
      <c r="J2267" s="33" t="s">
        <v>40</v>
      </c>
      <c r="K2267" s="33" t="s">
        <v>41</v>
      </c>
    </row>
    <row r="2268" spans="1:12" hidden="1" x14ac:dyDescent="0.3">
      <c r="A2268" s="39">
        <v>46062.621145833335</v>
      </c>
      <c r="B2268" s="33">
        <v>4430318514</v>
      </c>
      <c r="C2268" s="33" t="s">
        <v>48</v>
      </c>
      <c r="D2268" s="33">
        <v>4430265054</v>
      </c>
      <c r="E2268" s="33">
        <v>568</v>
      </c>
      <c r="F2268" s="33">
        <v>526</v>
      </c>
      <c r="G2268" s="33" t="s">
        <v>38</v>
      </c>
      <c r="H2268" s="33" t="s">
        <v>4653</v>
      </c>
      <c r="I2268" s="33" t="s">
        <v>39</v>
      </c>
      <c r="J2268" s="33" t="s">
        <v>40</v>
      </c>
      <c r="K2268" s="33" t="s">
        <v>41</v>
      </c>
    </row>
    <row r="2269" spans="1:12" hidden="1" x14ac:dyDescent="0.3">
      <c r="A2269" s="39">
        <v>46062.621122685188</v>
      </c>
      <c r="B2269" s="33">
        <v>1131043888</v>
      </c>
      <c r="C2269" s="33" t="s">
        <v>45</v>
      </c>
      <c r="D2269" s="33">
        <v>4430265054</v>
      </c>
      <c r="E2269" s="33">
        <v>183</v>
      </c>
      <c r="F2269" s="33">
        <v>142</v>
      </c>
      <c r="G2269" s="33" t="s">
        <v>38</v>
      </c>
      <c r="H2269" s="33" t="s">
        <v>4654</v>
      </c>
      <c r="I2269" s="33" t="s">
        <v>39</v>
      </c>
      <c r="J2269" s="33" t="s">
        <v>40</v>
      </c>
      <c r="K2269" s="33" t="s">
        <v>41</v>
      </c>
    </row>
    <row r="2270" spans="1:12" hidden="1" x14ac:dyDescent="0.3">
      <c r="A2270" s="39">
        <v>46062.619097222225</v>
      </c>
      <c r="B2270" s="33">
        <v>45999211357</v>
      </c>
      <c r="C2270" s="33" t="s">
        <v>45</v>
      </c>
      <c r="D2270" s="33">
        <v>4431268225</v>
      </c>
      <c r="E2270" s="33">
        <v>92</v>
      </c>
      <c r="F2270" s="33">
        <v>68</v>
      </c>
      <c r="G2270" s="33" t="s">
        <v>38</v>
      </c>
      <c r="H2270" s="33" t="s">
        <v>4655</v>
      </c>
      <c r="I2270" s="33" t="s">
        <v>39</v>
      </c>
      <c r="J2270" s="33" t="s">
        <v>40</v>
      </c>
      <c r="K2270" s="33" t="s">
        <v>41</v>
      </c>
    </row>
    <row r="2271" spans="1:12" hidden="1" x14ac:dyDescent="0.3">
      <c r="A2271" s="39">
        <v>46062.618275462963</v>
      </c>
      <c r="B2271" s="33">
        <v>44999497001</v>
      </c>
      <c r="C2271" s="33" t="s">
        <v>44</v>
      </c>
      <c r="D2271" s="33">
        <v>4430265054</v>
      </c>
      <c r="E2271" s="33">
        <v>1630</v>
      </c>
      <c r="F2271" s="33">
        <v>1603</v>
      </c>
      <c r="G2271" s="33" t="s">
        <v>38</v>
      </c>
      <c r="H2271" s="33" t="s">
        <v>4656</v>
      </c>
      <c r="I2271" s="33" t="s">
        <v>39</v>
      </c>
      <c r="J2271" s="33" t="s">
        <v>40</v>
      </c>
      <c r="K2271" s="33" t="s">
        <v>41</v>
      </c>
    </row>
    <row r="2272" spans="1:12" hidden="1" x14ac:dyDescent="0.3">
      <c r="A2272" s="39">
        <v>46062.613692129627</v>
      </c>
      <c r="B2272" s="33">
        <v>4430191401</v>
      </c>
      <c r="C2272" s="33" t="s">
        <v>43</v>
      </c>
      <c r="D2272" s="33">
        <v>4430265054</v>
      </c>
      <c r="E2272" s="33">
        <v>641</v>
      </c>
      <c r="F2272" s="33">
        <v>607</v>
      </c>
      <c r="G2272" s="33" t="s">
        <v>38</v>
      </c>
      <c r="H2272" s="33" t="s">
        <v>4657</v>
      </c>
      <c r="I2272" s="33" t="s">
        <v>39</v>
      </c>
      <c r="J2272" s="33" t="s">
        <v>40</v>
      </c>
      <c r="K2272" s="33" t="s">
        <v>41</v>
      </c>
    </row>
    <row r="2273" spans="1:12" hidden="1" x14ac:dyDescent="0.3">
      <c r="A2273" s="39">
        <v>46062.613495370373</v>
      </c>
      <c r="B2273" s="33">
        <v>4430318516</v>
      </c>
      <c r="C2273" s="33" t="s">
        <v>37</v>
      </c>
      <c r="D2273" s="33">
        <v>4430265054</v>
      </c>
      <c r="E2273" s="33">
        <v>190</v>
      </c>
      <c r="F2273" s="33">
        <v>169</v>
      </c>
      <c r="G2273" s="33" t="s">
        <v>38</v>
      </c>
      <c r="H2273" s="33" t="s">
        <v>4658</v>
      </c>
      <c r="I2273" s="33" t="s">
        <v>39</v>
      </c>
      <c r="J2273" s="33" t="s">
        <v>40</v>
      </c>
      <c r="K2273" s="33" t="s">
        <v>41</v>
      </c>
    </row>
    <row r="2274" spans="1:12" hidden="1" x14ac:dyDescent="0.3">
      <c r="A2274" s="39">
        <v>46062.612523148149</v>
      </c>
      <c r="B2274" s="33">
        <v>4430288517</v>
      </c>
      <c r="C2274" s="33">
        <v>4430265054</v>
      </c>
      <c r="D2274" s="33">
        <v>4430265054</v>
      </c>
      <c r="E2274" s="33">
        <v>69</v>
      </c>
      <c r="F2274" s="33">
        <v>68</v>
      </c>
      <c r="G2274" s="33" t="s">
        <v>3449</v>
      </c>
      <c r="H2274" s="33" t="s">
        <v>4659</v>
      </c>
      <c r="I2274" s="33" t="s">
        <v>39</v>
      </c>
      <c r="J2274" s="33" t="s">
        <v>3451</v>
      </c>
      <c r="K2274" s="33" t="s">
        <v>41</v>
      </c>
    </row>
    <row r="2275" spans="1:12" hidden="1" x14ac:dyDescent="0.3">
      <c r="A2275" s="39">
        <v>46062.61209490741</v>
      </c>
      <c r="B2275" s="33">
        <v>15997113760</v>
      </c>
      <c r="C2275" s="33">
        <v>4431268225</v>
      </c>
      <c r="D2275" s="33">
        <v>4431268225</v>
      </c>
      <c r="E2275" s="33">
        <v>129</v>
      </c>
      <c r="F2275" s="33">
        <v>128</v>
      </c>
      <c r="G2275" s="33" t="s">
        <v>3449</v>
      </c>
      <c r="H2275" s="33" t="s">
        <v>4660</v>
      </c>
      <c r="I2275" s="33" t="s">
        <v>39</v>
      </c>
      <c r="J2275" s="33" t="s">
        <v>3451</v>
      </c>
      <c r="K2275" s="33" t="s">
        <v>41</v>
      </c>
    </row>
    <row r="2276" spans="1:12" hidden="1" x14ac:dyDescent="0.3">
      <c r="A2276" s="39">
        <v>46062.609918981485</v>
      </c>
      <c r="B2276" s="33">
        <v>44991174709</v>
      </c>
      <c r="C2276" s="33" t="s">
        <v>45</v>
      </c>
      <c r="D2276" s="33">
        <v>4430265054</v>
      </c>
      <c r="E2276" s="33">
        <v>363</v>
      </c>
      <c r="F2276" s="33">
        <v>340</v>
      </c>
      <c r="G2276" s="33" t="s">
        <v>38</v>
      </c>
      <c r="H2276" s="33" t="s">
        <v>4661</v>
      </c>
      <c r="I2276" s="33" t="s">
        <v>39</v>
      </c>
      <c r="J2276" s="33" t="s">
        <v>40</v>
      </c>
      <c r="K2276" s="33" t="s">
        <v>41</v>
      </c>
      <c r="L2276" s="33">
        <v>5</v>
      </c>
    </row>
    <row r="2277" spans="1:12" hidden="1" x14ac:dyDescent="0.3">
      <c r="A2277" s="39">
        <v>46062.609131944446</v>
      </c>
      <c r="B2277" s="33">
        <v>4430459032</v>
      </c>
      <c r="C2277" s="33" t="s">
        <v>42</v>
      </c>
      <c r="D2277" s="33">
        <v>4430265054</v>
      </c>
      <c r="E2277" s="33">
        <v>483</v>
      </c>
      <c r="F2277" s="33">
        <v>437</v>
      </c>
      <c r="G2277" s="33" t="s">
        <v>38</v>
      </c>
      <c r="H2277" s="33" t="s">
        <v>4662</v>
      </c>
      <c r="I2277" s="33" t="s">
        <v>39</v>
      </c>
      <c r="J2277" s="33" t="s">
        <v>40</v>
      </c>
      <c r="K2277" s="33" t="s">
        <v>41</v>
      </c>
      <c r="L2277" s="33">
        <v>5</v>
      </c>
    </row>
    <row r="2278" spans="1:12" hidden="1" x14ac:dyDescent="0.3">
      <c r="A2278" s="39">
        <v>46062.607939814814</v>
      </c>
      <c r="B2278" s="33" t="s">
        <v>5173</v>
      </c>
      <c r="C2278" s="33">
        <v>31998393712</v>
      </c>
      <c r="E2278" s="33">
        <v>7</v>
      </c>
      <c r="F2278" s="33">
        <v>0</v>
      </c>
      <c r="G2278" s="33" t="s">
        <v>47</v>
      </c>
      <c r="H2278" s="33" t="s">
        <v>6153</v>
      </c>
      <c r="I2278" s="33" t="s">
        <v>46</v>
      </c>
      <c r="J2278" s="33" t="s">
        <v>3629</v>
      </c>
    </row>
    <row r="2279" spans="1:12" hidden="1" x14ac:dyDescent="0.3">
      <c r="A2279" s="39">
        <v>46062.60596064815</v>
      </c>
      <c r="B2279" s="33">
        <v>4432226677</v>
      </c>
      <c r="C2279" s="33" t="s">
        <v>48</v>
      </c>
      <c r="D2279" s="33">
        <v>4430265054</v>
      </c>
      <c r="E2279" s="33">
        <v>348</v>
      </c>
      <c r="F2279" s="33">
        <v>348</v>
      </c>
      <c r="G2279" s="33" t="s">
        <v>38</v>
      </c>
      <c r="H2279" s="33" t="s">
        <v>4663</v>
      </c>
      <c r="I2279" s="33" t="s">
        <v>39</v>
      </c>
      <c r="J2279" s="33" t="s">
        <v>40</v>
      </c>
      <c r="K2279" s="33" t="s">
        <v>41</v>
      </c>
    </row>
    <row r="2280" spans="1:12" hidden="1" x14ac:dyDescent="0.3">
      <c r="A2280" s="39">
        <v>46062.605949074074</v>
      </c>
      <c r="B2280" s="33" t="s">
        <v>45</v>
      </c>
      <c r="C2280" s="33">
        <v>45999211333</v>
      </c>
      <c r="E2280" s="33">
        <v>176</v>
      </c>
      <c r="F2280" s="33">
        <v>164</v>
      </c>
      <c r="G2280" s="33" t="s">
        <v>38</v>
      </c>
      <c r="H2280" s="33" t="s">
        <v>6154</v>
      </c>
      <c r="I2280" s="33" t="s">
        <v>46</v>
      </c>
      <c r="J2280" s="33" t="s">
        <v>40</v>
      </c>
    </row>
    <row r="2281" spans="1:12" hidden="1" x14ac:dyDescent="0.3">
      <c r="A2281" s="39">
        <v>46062.605706018519</v>
      </c>
      <c r="B2281" s="33">
        <v>43988030048</v>
      </c>
      <c r="C2281" s="33" t="s">
        <v>43</v>
      </c>
      <c r="D2281" s="33">
        <v>4430265054</v>
      </c>
      <c r="E2281" s="33">
        <v>590</v>
      </c>
      <c r="F2281" s="33">
        <v>513</v>
      </c>
      <c r="G2281" s="33" t="s">
        <v>38</v>
      </c>
      <c r="H2281" s="33" t="s">
        <v>4664</v>
      </c>
      <c r="I2281" s="33" t="s">
        <v>39</v>
      </c>
      <c r="J2281" s="33" t="s">
        <v>40</v>
      </c>
      <c r="K2281" s="33" t="s">
        <v>41</v>
      </c>
    </row>
    <row r="2282" spans="1:12" hidden="1" x14ac:dyDescent="0.3">
      <c r="A2282" s="39">
        <v>46062.59884259259</v>
      </c>
      <c r="B2282" s="33">
        <v>6234347959</v>
      </c>
      <c r="C2282" s="33" t="s">
        <v>45</v>
      </c>
      <c r="D2282" s="33">
        <v>4430265054</v>
      </c>
      <c r="E2282" s="33">
        <v>241</v>
      </c>
      <c r="F2282" s="33">
        <v>149</v>
      </c>
      <c r="G2282" s="33" t="s">
        <v>38</v>
      </c>
      <c r="H2282" s="33" t="s">
        <v>4665</v>
      </c>
      <c r="I2282" s="33" t="s">
        <v>39</v>
      </c>
      <c r="J2282" s="33" t="s">
        <v>40</v>
      </c>
      <c r="K2282" s="33" t="s">
        <v>41</v>
      </c>
      <c r="L2282" s="33">
        <v>5</v>
      </c>
    </row>
    <row r="2283" spans="1:12" hidden="1" x14ac:dyDescent="0.3">
      <c r="A2283" s="39">
        <v>46062.597430555557</v>
      </c>
      <c r="B2283" s="33">
        <v>45999211357</v>
      </c>
      <c r="C2283" s="33" t="s">
        <v>44</v>
      </c>
      <c r="D2283" s="33">
        <v>4431268225</v>
      </c>
      <c r="E2283" s="33">
        <v>175</v>
      </c>
      <c r="F2283" s="33">
        <v>118</v>
      </c>
      <c r="G2283" s="33" t="s">
        <v>38</v>
      </c>
      <c r="H2283" s="33" t="s">
        <v>4666</v>
      </c>
      <c r="I2283" s="33" t="s">
        <v>39</v>
      </c>
      <c r="J2283" s="33" t="s">
        <v>40</v>
      </c>
      <c r="K2283" s="33" t="s">
        <v>41</v>
      </c>
    </row>
    <row r="2284" spans="1:12" hidden="1" x14ac:dyDescent="0.3">
      <c r="A2284" s="39">
        <v>46062.595879629633</v>
      </c>
      <c r="B2284" s="33" t="s">
        <v>3627</v>
      </c>
      <c r="C2284" s="33">
        <v>34997633090</v>
      </c>
      <c r="E2284" s="33">
        <v>36</v>
      </c>
      <c r="F2284" s="33">
        <v>16</v>
      </c>
      <c r="G2284" s="33" t="s">
        <v>38</v>
      </c>
      <c r="H2284" s="33" t="s">
        <v>6155</v>
      </c>
      <c r="I2284" s="33" t="s">
        <v>46</v>
      </c>
      <c r="J2284" s="33" t="s">
        <v>3629</v>
      </c>
    </row>
    <row r="2285" spans="1:12" hidden="1" x14ac:dyDescent="0.3">
      <c r="A2285" s="39">
        <v>46062.594513888886</v>
      </c>
      <c r="B2285" s="33">
        <v>4330332823</v>
      </c>
      <c r="C2285" s="33" t="s">
        <v>43</v>
      </c>
      <c r="D2285" s="33">
        <v>4430265054</v>
      </c>
      <c r="E2285" s="33">
        <v>450</v>
      </c>
      <c r="F2285" s="33">
        <v>373</v>
      </c>
      <c r="G2285" s="33" t="s">
        <v>38</v>
      </c>
      <c r="H2285" s="33" t="s">
        <v>4667</v>
      </c>
      <c r="I2285" s="33" t="s">
        <v>39</v>
      </c>
      <c r="J2285" s="33" t="s">
        <v>40</v>
      </c>
      <c r="K2285" s="33" t="s">
        <v>41</v>
      </c>
    </row>
    <row r="2286" spans="1:12" hidden="1" x14ac:dyDescent="0.3">
      <c r="A2286" s="39">
        <v>46062.589814814812</v>
      </c>
      <c r="B2286" s="33" t="s">
        <v>45</v>
      </c>
      <c r="C2286" s="33">
        <v>4430141092</v>
      </c>
      <c r="E2286" s="33">
        <v>78</v>
      </c>
      <c r="F2286" s="33">
        <v>70</v>
      </c>
      <c r="G2286" s="33" t="s">
        <v>38</v>
      </c>
      <c r="H2286" s="33" t="s">
        <v>6156</v>
      </c>
      <c r="I2286" s="33" t="s">
        <v>46</v>
      </c>
      <c r="J2286" s="33" t="s">
        <v>40</v>
      </c>
    </row>
    <row r="2287" spans="1:12" hidden="1" x14ac:dyDescent="0.3">
      <c r="A2287" s="39">
        <v>46062.585277777776</v>
      </c>
      <c r="B2287" s="33" t="s">
        <v>37</v>
      </c>
      <c r="C2287" s="33">
        <v>15997113760</v>
      </c>
      <c r="E2287" s="33">
        <v>1992</v>
      </c>
      <c r="F2287" s="33">
        <v>1982</v>
      </c>
      <c r="G2287" s="33" t="s">
        <v>38</v>
      </c>
      <c r="H2287" s="33" t="s">
        <v>6157</v>
      </c>
      <c r="I2287" s="33" t="s">
        <v>46</v>
      </c>
      <c r="J2287" s="33" t="s">
        <v>40</v>
      </c>
      <c r="L2287" s="33">
        <v>5</v>
      </c>
    </row>
    <row r="2288" spans="1:12" hidden="1" x14ac:dyDescent="0.3">
      <c r="A2288" s="39">
        <v>46062.585196759261</v>
      </c>
      <c r="B2288" s="33">
        <v>15997113760</v>
      </c>
      <c r="C2288" s="33">
        <v>4431268225</v>
      </c>
      <c r="D2288" s="33">
        <v>4431268225</v>
      </c>
      <c r="E2288" s="33">
        <v>17</v>
      </c>
      <c r="F2288" s="33">
        <v>16</v>
      </c>
      <c r="G2288" s="33" t="s">
        <v>3449</v>
      </c>
      <c r="H2288" s="33" t="s">
        <v>6158</v>
      </c>
      <c r="I2288" s="33" t="s">
        <v>39</v>
      </c>
      <c r="J2288" s="33" t="s">
        <v>3451</v>
      </c>
    </row>
    <row r="2289" spans="1:12" hidden="1" x14ac:dyDescent="0.3">
      <c r="A2289" s="39">
        <v>46062.579004629632</v>
      </c>
      <c r="B2289" s="33">
        <v>93991495484</v>
      </c>
      <c r="C2289" s="33" t="s">
        <v>45</v>
      </c>
      <c r="D2289" s="33">
        <v>4430265054</v>
      </c>
      <c r="E2289" s="33">
        <v>944</v>
      </c>
      <c r="F2289" s="33">
        <v>824</v>
      </c>
      <c r="G2289" s="33" t="s">
        <v>38</v>
      </c>
      <c r="H2289" s="33" t="s">
        <v>4668</v>
      </c>
      <c r="I2289" s="33" t="s">
        <v>39</v>
      </c>
      <c r="J2289" s="33" t="s">
        <v>40</v>
      </c>
      <c r="K2289" s="33" t="s">
        <v>41</v>
      </c>
      <c r="L2289" s="33">
        <v>5</v>
      </c>
    </row>
    <row r="2290" spans="1:12" hidden="1" x14ac:dyDescent="0.3">
      <c r="A2290" s="39">
        <v>46062.577233796299</v>
      </c>
      <c r="B2290" s="33">
        <v>4432321428</v>
      </c>
      <c r="C2290" s="33" t="s">
        <v>42</v>
      </c>
      <c r="D2290" s="33">
        <v>4430265054</v>
      </c>
      <c r="E2290" s="33">
        <v>323</v>
      </c>
      <c r="F2290" s="33">
        <v>299</v>
      </c>
      <c r="G2290" s="33" t="s">
        <v>38</v>
      </c>
      <c r="H2290" s="33" t="s">
        <v>4669</v>
      </c>
      <c r="I2290" s="33" t="s">
        <v>39</v>
      </c>
      <c r="J2290" s="33" t="s">
        <v>40</v>
      </c>
      <c r="K2290" s="33" t="s">
        <v>41</v>
      </c>
    </row>
    <row r="2291" spans="1:12" hidden="1" x14ac:dyDescent="0.3">
      <c r="A2291" s="39">
        <v>46062.575925925928</v>
      </c>
      <c r="B2291" s="33">
        <v>4432321232</v>
      </c>
      <c r="C2291" s="33" t="s">
        <v>42</v>
      </c>
      <c r="D2291" s="33">
        <v>4430265054</v>
      </c>
      <c r="E2291" s="33">
        <v>90</v>
      </c>
      <c r="F2291" s="33">
        <v>42</v>
      </c>
      <c r="G2291" s="33" t="s">
        <v>38</v>
      </c>
      <c r="H2291" s="33" t="s">
        <v>4670</v>
      </c>
      <c r="I2291" s="33" t="s">
        <v>39</v>
      </c>
      <c r="J2291" s="33" t="s">
        <v>40</v>
      </c>
      <c r="K2291" s="33" t="s">
        <v>41</v>
      </c>
    </row>
    <row r="2292" spans="1:12" hidden="1" x14ac:dyDescent="0.3">
      <c r="A2292" s="39">
        <v>46062.570763888885</v>
      </c>
      <c r="B2292" s="33">
        <v>1143744993</v>
      </c>
      <c r="C2292" s="33" t="s">
        <v>43</v>
      </c>
      <c r="D2292" s="33">
        <v>4431268225</v>
      </c>
      <c r="E2292" s="33">
        <v>641</v>
      </c>
      <c r="F2292" s="33">
        <v>609</v>
      </c>
      <c r="G2292" s="33" t="s">
        <v>38</v>
      </c>
      <c r="H2292" s="33" t="s">
        <v>4671</v>
      </c>
      <c r="I2292" s="33" t="s">
        <v>39</v>
      </c>
      <c r="J2292" s="33" t="s">
        <v>40</v>
      </c>
      <c r="K2292" s="33" t="s">
        <v>41</v>
      </c>
    </row>
    <row r="2293" spans="1:12" hidden="1" x14ac:dyDescent="0.3">
      <c r="A2293" s="39">
        <v>46062.570138888892</v>
      </c>
      <c r="B2293" s="33">
        <v>44988255390</v>
      </c>
      <c r="C2293" s="33" t="s">
        <v>37</v>
      </c>
      <c r="D2293" s="33">
        <v>4430265054</v>
      </c>
      <c r="E2293" s="33">
        <v>1121</v>
      </c>
      <c r="F2293" s="33">
        <v>1038</v>
      </c>
      <c r="G2293" s="33" t="s">
        <v>38</v>
      </c>
      <c r="H2293" s="33" t="s">
        <v>4672</v>
      </c>
      <c r="I2293" s="33" t="s">
        <v>39</v>
      </c>
      <c r="J2293" s="33" t="s">
        <v>40</v>
      </c>
      <c r="K2293" s="33" t="s">
        <v>41</v>
      </c>
    </row>
    <row r="2294" spans="1:12" hidden="1" x14ac:dyDescent="0.3">
      <c r="A2294" s="39">
        <v>46062.569895833331</v>
      </c>
      <c r="B2294" s="33">
        <v>1128897100</v>
      </c>
      <c r="C2294" s="33" t="s">
        <v>48</v>
      </c>
      <c r="D2294" s="33">
        <v>4430265054</v>
      </c>
      <c r="E2294" s="33">
        <v>128</v>
      </c>
      <c r="F2294" s="33">
        <v>80</v>
      </c>
      <c r="G2294" s="33" t="s">
        <v>38</v>
      </c>
      <c r="H2294" s="33" t="s">
        <v>6159</v>
      </c>
      <c r="I2294" s="33" t="s">
        <v>39</v>
      </c>
      <c r="J2294" s="33" t="s">
        <v>40</v>
      </c>
      <c r="K2294" s="33" t="s">
        <v>50</v>
      </c>
    </row>
    <row r="2295" spans="1:12" hidden="1" x14ac:dyDescent="0.3">
      <c r="A2295" s="39">
        <v>46062.568518518521</v>
      </c>
      <c r="B2295" s="33">
        <v>45999211357</v>
      </c>
      <c r="C2295" s="33" t="s">
        <v>44</v>
      </c>
      <c r="D2295" s="33">
        <v>4431268225</v>
      </c>
      <c r="E2295" s="33">
        <v>1965</v>
      </c>
      <c r="F2295" s="33">
        <v>1919</v>
      </c>
      <c r="G2295" s="33" t="s">
        <v>38</v>
      </c>
      <c r="H2295" s="33" t="s">
        <v>4673</v>
      </c>
      <c r="I2295" s="33" t="s">
        <v>39</v>
      </c>
      <c r="J2295" s="33" t="s">
        <v>40</v>
      </c>
      <c r="K2295" s="33" t="s">
        <v>41</v>
      </c>
    </row>
    <row r="2296" spans="1:12" hidden="1" x14ac:dyDescent="0.3">
      <c r="A2296" s="39">
        <v>46062.568101851852</v>
      </c>
      <c r="B2296" s="33">
        <v>1128787060</v>
      </c>
      <c r="C2296" s="33" t="s">
        <v>5173</v>
      </c>
      <c r="D2296" s="33">
        <v>4430265054</v>
      </c>
      <c r="E2296" s="33">
        <v>133</v>
      </c>
      <c r="F2296" s="33">
        <v>115</v>
      </c>
      <c r="G2296" s="33" t="s">
        <v>38</v>
      </c>
      <c r="H2296" s="33" t="s">
        <v>6160</v>
      </c>
      <c r="I2296" s="33" t="s">
        <v>39</v>
      </c>
      <c r="J2296" s="33" t="s">
        <v>3629</v>
      </c>
      <c r="K2296" s="33" t="s">
        <v>50</v>
      </c>
    </row>
    <row r="2297" spans="1:12" hidden="1" x14ac:dyDescent="0.3">
      <c r="A2297" s="39">
        <v>46062.567673611113</v>
      </c>
      <c r="B2297" s="33">
        <v>1131043888</v>
      </c>
      <c r="C2297" s="33" t="s">
        <v>43</v>
      </c>
      <c r="D2297" s="33">
        <v>4430265054</v>
      </c>
      <c r="E2297" s="33">
        <v>122</v>
      </c>
      <c r="F2297" s="33">
        <v>73</v>
      </c>
      <c r="G2297" s="33" t="s">
        <v>38</v>
      </c>
      <c r="H2297" s="33" t="s">
        <v>4674</v>
      </c>
      <c r="I2297" s="33" t="s">
        <v>39</v>
      </c>
      <c r="J2297" s="33" t="s">
        <v>40</v>
      </c>
      <c r="K2297" s="33" t="s">
        <v>41</v>
      </c>
    </row>
    <row r="2298" spans="1:12" hidden="1" x14ac:dyDescent="0.3">
      <c r="A2298" s="39">
        <v>46062.567060185182</v>
      </c>
      <c r="B2298" s="33">
        <v>44991388221</v>
      </c>
      <c r="C2298" s="33" t="s">
        <v>45</v>
      </c>
      <c r="D2298" s="33">
        <v>4430265054</v>
      </c>
      <c r="E2298" s="33">
        <v>941</v>
      </c>
      <c r="F2298" s="33">
        <v>862</v>
      </c>
      <c r="G2298" s="33" t="s">
        <v>38</v>
      </c>
      <c r="H2298" s="33" t="s">
        <v>4675</v>
      </c>
      <c r="I2298" s="33" t="s">
        <v>39</v>
      </c>
      <c r="J2298" s="33" t="s">
        <v>40</v>
      </c>
      <c r="K2298" s="33" t="s">
        <v>41</v>
      </c>
    </row>
    <row r="2299" spans="1:12" hidden="1" x14ac:dyDescent="0.3">
      <c r="A2299" s="39">
        <v>46062.561898148146</v>
      </c>
      <c r="B2299" s="33">
        <v>1143744993</v>
      </c>
      <c r="C2299" s="33">
        <v>4431268225</v>
      </c>
      <c r="D2299" s="33">
        <v>4431268225</v>
      </c>
      <c r="E2299" s="33">
        <v>28</v>
      </c>
      <c r="F2299" s="33">
        <v>28</v>
      </c>
      <c r="G2299" s="33" t="s">
        <v>3449</v>
      </c>
      <c r="H2299" s="33" t="s">
        <v>6161</v>
      </c>
      <c r="I2299" s="33" t="s">
        <v>39</v>
      </c>
      <c r="J2299" s="33" t="s">
        <v>3451</v>
      </c>
    </row>
    <row r="2300" spans="1:12" hidden="1" x14ac:dyDescent="0.3">
      <c r="A2300" s="39">
        <v>46062.561319444445</v>
      </c>
      <c r="B2300" s="33">
        <v>1143744993</v>
      </c>
      <c r="C2300" s="33">
        <v>4431268225</v>
      </c>
      <c r="D2300" s="33">
        <v>4431268225</v>
      </c>
      <c r="E2300" s="33">
        <v>29</v>
      </c>
      <c r="F2300" s="33">
        <v>28</v>
      </c>
      <c r="G2300" s="33" t="s">
        <v>3449</v>
      </c>
      <c r="H2300" s="33" t="s">
        <v>6162</v>
      </c>
      <c r="I2300" s="33" t="s">
        <v>39</v>
      </c>
      <c r="J2300" s="33" t="s">
        <v>3451</v>
      </c>
    </row>
    <row r="2301" spans="1:12" hidden="1" x14ac:dyDescent="0.3">
      <c r="A2301" s="39">
        <v>46062.555243055554</v>
      </c>
      <c r="B2301" s="33">
        <v>44991388221</v>
      </c>
      <c r="C2301" s="33">
        <v>4430265054</v>
      </c>
      <c r="D2301" s="33">
        <v>4430265054</v>
      </c>
      <c r="E2301" s="33">
        <v>13</v>
      </c>
      <c r="F2301" s="33">
        <v>13</v>
      </c>
      <c r="G2301" s="33" t="s">
        <v>3449</v>
      </c>
      <c r="H2301" s="33" t="s">
        <v>6163</v>
      </c>
      <c r="I2301" s="33" t="s">
        <v>39</v>
      </c>
      <c r="J2301" s="33" t="s">
        <v>3451</v>
      </c>
    </row>
    <row r="2302" spans="1:12" hidden="1" x14ac:dyDescent="0.3">
      <c r="A2302" s="39">
        <v>46062.497013888889</v>
      </c>
      <c r="B2302" s="33" t="s">
        <v>37</v>
      </c>
      <c r="C2302" s="33">
        <v>15997113760</v>
      </c>
      <c r="E2302" s="33">
        <v>593</v>
      </c>
      <c r="F2302" s="33">
        <v>567</v>
      </c>
      <c r="G2302" s="33" t="s">
        <v>38</v>
      </c>
      <c r="H2302" s="33" t="s">
        <v>6164</v>
      </c>
      <c r="I2302" s="33" t="s">
        <v>46</v>
      </c>
      <c r="J2302" s="33" t="s">
        <v>40</v>
      </c>
    </row>
    <row r="2303" spans="1:12" hidden="1" x14ac:dyDescent="0.3">
      <c r="A2303" s="39">
        <v>46062.495879629627</v>
      </c>
      <c r="B2303" s="33" t="s">
        <v>37</v>
      </c>
      <c r="C2303" s="33">
        <v>15997113760</v>
      </c>
      <c r="E2303" s="33">
        <v>67</v>
      </c>
      <c r="F2303" s="33">
        <v>26</v>
      </c>
      <c r="G2303" s="33" t="s">
        <v>38</v>
      </c>
      <c r="H2303" s="33" t="s">
        <v>6165</v>
      </c>
      <c r="I2303" s="33" t="s">
        <v>46</v>
      </c>
      <c r="J2303" s="33" t="s">
        <v>40</v>
      </c>
    </row>
    <row r="2304" spans="1:12" hidden="1" x14ac:dyDescent="0.3">
      <c r="A2304" s="39">
        <v>46062.495393518519</v>
      </c>
      <c r="B2304" s="33" t="s">
        <v>37</v>
      </c>
      <c r="C2304" s="33">
        <v>15997113760</v>
      </c>
      <c r="E2304" s="33">
        <v>39</v>
      </c>
      <c r="F2304" s="33">
        <v>0</v>
      </c>
      <c r="G2304" s="33" t="s">
        <v>47</v>
      </c>
      <c r="H2304" s="33" t="s">
        <v>6166</v>
      </c>
      <c r="I2304" s="33" t="s">
        <v>46</v>
      </c>
      <c r="J2304" s="33" t="s">
        <v>40</v>
      </c>
    </row>
    <row r="2305" spans="1:12" hidden="1" x14ac:dyDescent="0.3">
      <c r="A2305" s="39">
        <v>46062.492407407408</v>
      </c>
      <c r="B2305" s="33" t="s">
        <v>45</v>
      </c>
      <c r="C2305" s="33">
        <v>4430141092</v>
      </c>
      <c r="E2305" s="33">
        <v>42</v>
      </c>
      <c r="F2305" s="33">
        <v>37</v>
      </c>
      <c r="G2305" s="33" t="s">
        <v>38</v>
      </c>
      <c r="H2305" s="33" t="s">
        <v>6167</v>
      </c>
      <c r="I2305" s="33" t="s">
        <v>46</v>
      </c>
      <c r="J2305" s="33" t="s">
        <v>40</v>
      </c>
    </row>
    <row r="2306" spans="1:12" hidden="1" x14ac:dyDescent="0.3">
      <c r="A2306" s="39">
        <v>46062.492337962962</v>
      </c>
      <c r="B2306" s="33" t="s">
        <v>45</v>
      </c>
      <c r="C2306" s="33">
        <v>4430141092</v>
      </c>
      <c r="E2306" s="33">
        <v>1</v>
      </c>
      <c r="F2306" s="33">
        <v>0</v>
      </c>
      <c r="G2306" s="33" t="s">
        <v>47</v>
      </c>
      <c r="H2306" s="33" t="s">
        <v>6168</v>
      </c>
      <c r="I2306" s="33" t="s">
        <v>46</v>
      </c>
      <c r="J2306" s="33" t="s">
        <v>40</v>
      </c>
    </row>
    <row r="2307" spans="1:12" hidden="1" x14ac:dyDescent="0.3">
      <c r="A2307" s="39">
        <v>46062.492245370369</v>
      </c>
      <c r="B2307" s="33" t="s">
        <v>45</v>
      </c>
      <c r="C2307" s="33">
        <v>4430141092</v>
      </c>
      <c r="E2307" s="33">
        <v>4</v>
      </c>
      <c r="F2307" s="33">
        <v>0</v>
      </c>
      <c r="G2307" s="33" t="s">
        <v>47</v>
      </c>
      <c r="H2307" s="33" t="s">
        <v>6169</v>
      </c>
      <c r="I2307" s="33" t="s">
        <v>46</v>
      </c>
      <c r="J2307" s="33" t="s">
        <v>40</v>
      </c>
    </row>
    <row r="2308" spans="1:12" hidden="1" x14ac:dyDescent="0.3">
      <c r="A2308" s="39">
        <v>46062.4921412037</v>
      </c>
      <c r="B2308" s="33">
        <v>4432269849</v>
      </c>
      <c r="C2308" s="33" t="s">
        <v>37</v>
      </c>
      <c r="D2308" s="33">
        <v>4430265054</v>
      </c>
      <c r="E2308" s="33">
        <v>309</v>
      </c>
      <c r="F2308" s="33">
        <v>279</v>
      </c>
      <c r="G2308" s="33" t="s">
        <v>38</v>
      </c>
      <c r="H2308" s="33" t="s">
        <v>4676</v>
      </c>
      <c r="I2308" s="33" t="s">
        <v>39</v>
      </c>
      <c r="J2308" s="33" t="s">
        <v>40</v>
      </c>
      <c r="K2308" s="33" t="s">
        <v>41</v>
      </c>
      <c r="L2308" s="33">
        <v>5</v>
      </c>
    </row>
    <row r="2309" spans="1:12" hidden="1" x14ac:dyDescent="0.3">
      <c r="A2309" s="39">
        <v>46062.491608796299</v>
      </c>
      <c r="B2309" s="33" t="s">
        <v>37</v>
      </c>
      <c r="C2309" s="33">
        <v>4330333542</v>
      </c>
      <c r="E2309" s="33">
        <v>32</v>
      </c>
      <c r="F2309" s="33">
        <v>0</v>
      </c>
      <c r="G2309" s="33" t="s">
        <v>47</v>
      </c>
      <c r="H2309" s="33" t="s">
        <v>6170</v>
      </c>
      <c r="I2309" s="33" t="s">
        <v>46</v>
      </c>
      <c r="J2309" s="33" t="s">
        <v>40</v>
      </c>
    </row>
    <row r="2310" spans="1:12" hidden="1" x14ac:dyDescent="0.3">
      <c r="A2310" s="39">
        <v>46062.483553240738</v>
      </c>
      <c r="B2310" s="33">
        <v>42984113245</v>
      </c>
      <c r="C2310" s="33" t="s">
        <v>45</v>
      </c>
      <c r="D2310" s="33">
        <v>4430265054</v>
      </c>
      <c r="E2310" s="33">
        <v>356</v>
      </c>
      <c r="F2310" s="33">
        <v>295</v>
      </c>
      <c r="G2310" s="33" t="s">
        <v>38</v>
      </c>
      <c r="H2310" s="33" t="s">
        <v>4677</v>
      </c>
      <c r="I2310" s="33" t="s">
        <v>39</v>
      </c>
      <c r="J2310" s="33" t="s">
        <v>40</v>
      </c>
      <c r="K2310" s="33" t="s">
        <v>41</v>
      </c>
    </row>
    <row r="2311" spans="1:12" hidden="1" x14ac:dyDescent="0.3">
      <c r="A2311" s="39">
        <v>46062.480844907404</v>
      </c>
      <c r="B2311" s="33" t="s">
        <v>3627</v>
      </c>
      <c r="C2311" s="33">
        <v>85996897522</v>
      </c>
      <c r="E2311" s="33">
        <v>21</v>
      </c>
      <c r="F2311" s="33">
        <v>14</v>
      </c>
      <c r="G2311" s="33" t="s">
        <v>38</v>
      </c>
      <c r="H2311" s="33" t="s">
        <v>6171</v>
      </c>
      <c r="I2311" s="33" t="s">
        <v>46</v>
      </c>
      <c r="J2311" s="33" t="s">
        <v>3629</v>
      </c>
    </row>
    <row r="2312" spans="1:12" hidden="1" x14ac:dyDescent="0.3">
      <c r="A2312" s="39">
        <v>46062.478773148148</v>
      </c>
      <c r="B2312" s="33" t="s">
        <v>37</v>
      </c>
      <c r="C2312" s="33">
        <v>15997113760</v>
      </c>
      <c r="E2312" s="33">
        <v>375</v>
      </c>
      <c r="F2312" s="33">
        <v>359</v>
      </c>
      <c r="G2312" s="33" t="s">
        <v>38</v>
      </c>
      <c r="H2312" s="33" t="s">
        <v>6172</v>
      </c>
      <c r="I2312" s="33" t="s">
        <v>46</v>
      </c>
      <c r="J2312" s="33" t="s">
        <v>40</v>
      </c>
    </row>
    <row r="2313" spans="1:12" hidden="1" x14ac:dyDescent="0.3">
      <c r="A2313" s="39">
        <v>46062.47284722222</v>
      </c>
      <c r="B2313" s="33">
        <v>44998849102</v>
      </c>
      <c r="C2313" s="33" t="s">
        <v>43</v>
      </c>
      <c r="D2313" s="33">
        <v>4430265054</v>
      </c>
      <c r="E2313" s="33">
        <v>373</v>
      </c>
      <c r="F2313" s="33">
        <v>301</v>
      </c>
      <c r="G2313" s="33" t="s">
        <v>38</v>
      </c>
      <c r="H2313" s="33" t="s">
        <v>4678</v>
      </c>
      <c r="I2313" s="33" t="s">
        <v>39</v>
      </c>
      <c r="J2313" s="33" t="s">
        <v>40</v>
      </c>
      <c r="K2313" s="33" t="s">
        <v>41</v>
      </c>
    </row>
    <row r="2314" spans="1:12" hidden="1" x14ac:dyDescent="0.3">
      <c r="A2314" s="39">
        <v>46062.472268518519</v>
      </c>
      <c r="B2314" s="33">
        <v>4430291622</v>
      </c>
      <c r="C2314" s="33" t="s">
        <v>44</v>
      </c>
      <c r="D2314" s="33">
        <v>4430265054</v>
      </c>
      <c r="E2314" s="33">
        <v>928</v>
      </c>
      <c r="F2314" s="33">
        <v>829</v>
      </c>
      <c r="G2314" s="33" t="s">
        <v>38</v>
      </c>
      <c r="H2314" s="33" t="s">
        <v>4679</v>
      </c>
      <c r="I2314" s="33" t="s">
        <v>39</v>
      </c>
      <c r="J2314" s="33" t="s">
        <v>40</v>
      </c>
      <c r="K2314" s="33" t="s">
        <v>41</v>
      </c>
    </row>
    <row r="2315" spans="1:12" hidden="1" x14ac:dyDescent="0.3">
      <c r="A2315" s="39">
        <v>46062.470138888886</v>
      </c>
      <c r="B2315" s="33" t="s">
        <v>37</v>
      </c>
      <c r="C2315" s="33">
        <v>4430285070</v>
      </c>
      <c r="E2315" s="33">
        <v>421</v>
      </c>
      <c r="F2315" s="33">
        <v>410</v>
      </c>
      <c r="G2315" s="33" t="s">
        <v>38</v>
      </c>
      <c r="H2315" s="33" t="s">
        <v>6173</v>
      </c>
      <c r="I2315" s="33" t="s">
        <v>46</v>
      </c>
      <c r="J2315" s="33" t="s">
        <v>40</v>
      </c>
    </row>
    <row r="2316" spans="1:12" hidden="1" x14ac:dyDescent="0.3">
      <c r="A2316" s="39">
        <v>46062.469930555555</v>
      </c>
      <c r="B2316" s="33" t="s">
        <v>37</v>
      </c>
      <c r="C2316" s="33">
        <v>44988135387</v>
      </c>
      <c r="E2316" s="33">
        <v>6</v>
      </c>
      <c r="F2316" s="33">
        <v>0</v>
      </c>
      <c r="G2316" s="33" t="s">
        <v>47</v>
      </c>
      <c r="H2316" s="33" t="s">
        <v>6174</v>
      </c>
      <c r="I2316" s="33" t="s">
        <v>46</v>
      </c>
      <c r="J2316" s="33" t="s">
        <v>40</v>
      </c>
    </row>
    <row r="2317" spans="1:12" hidden="1" x14ac:dyDescent="0.3">
      <c r="A2317" s="39">
        <v>46062.464594907404</v>
      </c>
      <c r="B2317" s="33">
        <v>1128897100</v>
      </c>
      <c r="C2317" s="33" t="s">
        <v>5173</v>
      </c>
      <c r="D2317" s="33">
        <v>4430265054</v>
      </c>
      <c r="E2317" s="33">
        <v>157</v>
      </c>
      <c r="F2317" s="33">
        <v>126</v>
      </c>
      <c r="G2317" s="33" t="s">
        <v>38</v>
      </c>
      <c r="H2317" s="33" t="s">
        <v>6175</v>
      </c>
      <c r="I2317" s="33" t="s">
        <v>39</v>
      </c>
      <c r="J2317" s="33" t="s">
        <v>3629</v>
      </c>
      <c r="K2317" s="33" t="s">
        <v>50</v>
      </c>
    </row>
    <row r="2318" spans="1:12" hidden="1" x14ac:dyDescent="0.3">
      <c r="A2318" s="39">
        <v>46062.463634259257</v>
      </c>
      <c r="B2318" s="33">
        <v>1128787060</v>
      </c>
      <c r="C2318" s="33">
        <v>4430265054</v>
      </c>
      <c r="D2318" s="33">
        <v>4430265054</v>
      </c>
      <c r="E2318" s="33">
        <v>64</v>
      </c>
      <c r="F2318" s="33">
        <v>63</v>
      </c>
      <c r="G2318" s="33" t="s">
        <v>3449</v>
      </c>
      <c r="H2318" s="33" t="s">
        <v>4680</v>
      </c>
      <c r="I2318" s="33" t="s">
        <v>39</v>
      </c>
      <c r="J2318" s="33" t="s">
        <v>3451</v>
      </c>
      <c r="K2318" s="33" t="s">
        <v>41</v>
      </c>
    </row>
    <row r="2319" spans="1:12" hidden="1" x14ac:dyDescent="0.3">
      <c r="A2319" s="39">
        <v>46062.453773148147</v>
      </c>
      <c r="B2319" s="33">
        <v>44991116911</v>
      </c>
      <c r="C2319" s="33" t="s">
        <v>45</v>
      </c>
      <c r="D2319" s="33">
        <v>4430265054</v>
      </c>
      <c r="E2319" s="33">
        <v>1521</v>
      </c>
      <c r="F2319" s="33">
        <v>1459</v>
      </c>
      <c r="G2319" s="33" t="s">
        <v>38</v>
      </c>
      <c r="H2319" s="33" t="s">
        <v>4681</v>
      </c>
      <c r="I2319" s="33" t="s">
        <v>39</v>
      </c>
      <c r="J2319" s="33" t="s">
        <v>40</v>
      </c>
      <c r="K2319" s="33" t="s">
        <v>41</v>
      </c>
    </row>
    <row r="2320" spans="1:12" hidden="1" x14ac:dyDescent="0.3">
      <c r="A2320" s="39">
        <v>46062.452650462961</v>
      </c>
      <c r="B2320" s="33">
        <v>4430459001</v>
      </c>
      <c r="C2320" s="33" t="s">
        <v>42</v>
      </c>
      <c r="D2320" s="33">
        <v>4430265054</v>
      </c>
      <c r="E2320" s="33">
        <v>1339</v>
      </c>
      <c r="F2320" s="33">
        <v>1138</v>
      </c>
      <c r="G2320" s="33" t="s">
        <v>38</v>
      </c>
      <c r="H2320" s="33" t="s">
        <v>4682</v>
      </c>
      <c r="I2320" s="33" t="s">
        <v>39</v>
      </c>
      <c r="J2320" s="33" t="s">
        <v>40</v>
      </c>
      <c r="K2320" s="33" t="s">
        <v>41</v>
      </c>
    </row>
    <row r="2321" spans="1:12" hidden="1" x14ac:dyDescent="0.3">
      <c r="A2321" s="39">
        <v>46062.452106481483</v>
      </c>
      <c r="B2321" s="33">
        <v>15997113760</v>
      </c>
      <c r="C2321" s="33">
        <v>4431268225</v>
      </c>
      <c r="D2321" s="33">
        <v>4431268225</v>
      </c>
      <c r="E2321" s="33">
        <v>12</v>
      </c>
      <c r="F2321" s="33">
        <v>12</v>
      </c>
      <c r="G2321" s="33" t="s">
        <v>3449</v>
      </c>
      <c r="H2321" s="33" t="s">
        <v>6176</v>
      </c>
      <c r="I2321" s="33" t="s">
        <v>39</v>
      </c>
      <c r="J2321" s="33" t="s">
        <v>3451</v>
      </c>
    </row>
    <row r="2322" spans="1:12" hidden="1" x14ac:dyDescent="0.3">
      <c r="A2322" s="39">
        <v>46062.452094907407</v>
      </c>
      <c r="B2322" s="33" t="s">
        <v>37</v>
      </c>
      <c r="C2322" s="33">
        <v>15997113760</v>
      </c>
      <c r="E2322" s="33">
        <v>1345</v>
      </c>
      <c r="F2322" s="33">
        <v>1332</v>
      </c>
      <c r="G2322" s="33" t="s">
        <v>38</v>
      </c>
      <c r="H2322" s="33" t="s">
        <v>6177</v>
      </c>
      <c r="I2322" s="33" t="s">
        <v>46</v>
      </c>
      <c r="J2322" s="33" t="s">
        <v>40</v>
      </c>
    </row>
    <row r="2323" spans="1:12" hidden="1" x14ac:dyDescent="0.3">
      <c r="A2323" s="39">
        <v>46062.451574074075</v>
      </c>
      <c r="B2323" s="33">
        <v>4430459001</v>
      </c>
      <c r="C2323" s="33">
        <v>4430265054</v>
      </c>
      <c r="D2323" s="33">
        <v>4430265054</v>
      </c>
      <c r="E2323" s="33">
        <v>66</v>
      </c>
      <c r="F2323" s="33">
        <v>65</v>
      </c>
      <c r="G2323" s="33" t="s">
        <v>3449</v>
      </c>
      <c r="H2323" s="33" t="s">
        <v>4683</v>
      </c>
      <c r="I2323" s="33" t="s">
        <v>39</v>
      </c>
      <c r="J2323" s="33" t="s">
        <v>3451</v>
      </c>
      <c r="K2323" s="33" t="s">
        <v>41</v>
      </c>
    </row>
    <row r="2324" spans="1:12" hidden="1" x14ac:dyDescent="0.3">
      <c r="A2324" s="39">
        <v>46062.448310185187</v>
      </c>
      <c r="B2324" s="33">
        <v>44991388221</v>
      </c>
      <c r="C2324" s="33" t="s">
        <v>43</v>
      </c>
      <c r="D2324" s="33">
        <v>4430265054</v>
      </c>
      <c r="E2324" s="33">
        <v>638</v>
      </c>
      <c r="F2324" s="33">
        <v>609</v>
      </c>
      <c r="G2324" s="33" t="s">
        <v>38</v>
      </c>
      <c r="H2324" s="33" t="s">
        <v>4684</v>
      </c>
      <c r="I2324" s="33" t="s">
        <v>39</v>
      </c>
      <c r="J2324" s="33" t="s">
        <v>40</v>
      </c>
      <c r="K2324" s="33" t="s">
        <v>41</v>
      </c>
      <c r="L2324" s="33">
        <v>5</v>
      </c>
    </row>
    <row r="2325" spans="1:12" hidden="1" x14ac:dyDescent="0.3">
      <c r="A2325" s="39">
        <v>46062.445972222224</v>
      </c>
      <c r="B2325" s="33" t="s">
        <v>44</v>
      </c>
      <c r="C2325" s="33">
        <v>43991364602</v>
      </c>
      <c r="E2325" s="33">
        <v>37</v>
      </c>
      <c r="F2325" s="33">
        <v>0</v>
      </c>
      <c r="G2325" s="33" t="s">
        <v>47</v>
      </c>
      <c r="H2325" s="33" t="s">
        <v>6178</v>
      </c>
      <c r="I2325" s="33" t="s">
        <v>46</v>
      </c>
      <c r="J2325" s="33" t="s">
        <v>40</v>
      </c>
    </row>
    <row r="2326" spans="1:12" hidden="1" x14ac:dyDescent="0.3">
      <c r="A2326" s="39">
        <v>46062.445879629631</v>
      </c>
      <c r="B2326" s="33" t="s">
        <v>44</v>
      </c>
      <c r="C2326" s="33">
        <v>43991364602</v>
      </c>
      <c r="E2326" s="33">
        <v>7</v>
      </c>
      <c r="F2326" s="33">
        <v>0</v>
      </c>
      <c r="G2326" s="33" t="s">
        <v>47</v>
      </c>
      <c r="H2326" s="33" t="s">
        <v>6179</v>
      </c>
      <c r="I2326" s="33" t="s">
        <v>46</v>
      </c>
      <c r="J2326" s="33" t="s">
        <v>40</v>
      </c>
    </row>
    <row r="2327" spans="1:12" hidden="1" x14ac:dyDescent="0.3">
      <c r="A2327" s="39">
        <v>46062.445416666669</v>
      </c>
      <c r="B2327" s="33" t="s">
        <v>44</v>
      </c>
      <c r="C2327" s="33">
        <v>43991364602</v>
      </c>
      <c r="E2327" s="33">
        <v>64</v>
      </c>
      <c r="F2327" s="33">
        <v>26</v>
      </c>
      <c r="G2327" s="33" t="s">
        <v>38</v>
      </c>
      <c r="H2327" s="33" t="s">
        <v>6180</v>
      </c>
      <c r="I2327" s="33" t="s">
        <v>46</v>
      </c>
      <c r="J2327" s="33" t="s">
        <v>40</v>
      </c>
    </row>
    <row r="2328" spans="1:12" hidden="1" x14ac:dyDescent="0.3">
      <c r="A2328" s="39">
        <v>46062.444548611114</v>
      </c>
      <c r="B2328" s="33" t="s">
        <v>3627</v>
      </c>
      <c r="C2328" s="33">
        <v>92986065730</v>
      </c>
      <c r="E2328" s="33">
        <v>5</v>
      </c>
      <c r="F2328" s="33">
        <v>0</v>
      </c>
      <c r="G2328" s="33" t="s">
        <v>47</v>
      </c>
      <c r="H2328" s="33" t="s">
        <v>6181</v>
      </c>
      <c r="I2328" s="33" t="s">
        <v>46</v>
      </c>
      <c r="J2328" s="33" t="s">
        <v>3629</v>
      </c>
    </row>
    <row r="2329" spans="1:12" hidden="1" x14ac:dyDescent="0.3">
      <c r="A2329" s="39">
        <v>46062.444293981483</v>
      </c>
      <c r="B2329" s="33" t="s">
        <v>3627</v>
      </c>
      <c r="C2329" s="33">
        <v>92986065730</v>
      </c>
      <c r="E2329" s="33">
        <v>21</v>
      </c>
      <c r="F2329" s="33">
        <v>0</v>
      </c>
      <c r="G2329" s="33" t="s">
        <v>47</v>
      </c>
      <c r="H2329" s="33" t="s">
        <v>6182</v>
      </c>
      <c r="I2329" s="33" t="s">
        <v>46</v>
      </c>
      <c r="J2329" s="33" t="s">
        <v>3629</v>
      </c>
    </row>
    <row r="2330" spans="1:12" hidden="1" x14ac:dyDescent="0.3">
      <c r="A2330" s="39">
        <v>46062.44427083333</v>
      </c>
      <c r="B2330" s="33">
        <v>44991388221</v>
      </c>
      <c r="C2330" s="33">
        <v>4430265054</v>
      </c>
      <c r="D2330" s="33">
        <v>4430265054</v>
      </c>
      <c r="E2330" s="33">
        <v>82</v>
      </c>
      <c r="F2330" s="33">
        <v>81</v>
      </c>
      <c r="G2330" s="33" t="s">
        <v>3449</v>
      </c>
      <c r="H2330" s="33" t="s">
        <v>4685</v>
      </c>
      <c r="I2330" s="33" t="s">
        <v>39</v>
      </c>
      <c r="J2330" s="33" t="s">
        <v>3451</v>
      </c>
      <c r="K2330" s="33" t="s">
        <v>41</v>
      </c>
    </row>
    <row r="2331" spans="1:12" hidden="1" x14ac:dyDescent="0.3">
      <c r="A2331" s="39">
        <v>46062.443055555559</v>
      </c>
      <c r="B2331" s="33">
        <v>15997113760</v>
      </c>
      <c r="C2331" s="33" t="s">
        <v>37</v>
      </c>
      <c r="D2331" s="33">
        <v>4431268225</v>
      </c>
      <c r="E2331" s="33">
        <v>741</v>
      </c>
      <c r="F2331" s="33">
        <v>638</v>
      </c>
      <c r="G2331" s="33" t="s">
        <v>38</v>
      </c>
      <c r="H2331" s="33" t="s">
        <v>4686</v>
      </c>
      <c r="I2331" s="33" t="s">
        <v>39</v>
      </c>
      <c r="J2331" s="33" t="s">
        <v>40</v>
      </c>
      <c r="K2331" s="33" t="s">
        <v>41</v>
      </c>
    </row>
    <row r="2332" spans="1:12" hidden="1" x14ac:dyDescent="0.3">
      <c r="A2332" s="39">
        <v>46062.44222222222</v>
      </c>
      <c r="B2332" s="33">
        <v>45999211357</v>
      </c>
      <c r="C2332" s="33" t="s">
        <v>45</v>
      </c>
      <c r="D2332" s="33">
        <v>4431268225</v>
      </c>
      <c r="E2332" s="33">
        <v>936</v>
      </c>
      <c r="F2332" s="33">
        <v>849</v>
      </c>
      <c r="G2332" s="33" t="s">
        <v>38</v>
      </c>
      <c r="H2332" s="33" t="s">
        <v>4687</v>
      </c>
      <c r="I2332" s="33" t="s">
        <v>39</v>
      </c>
      <c r="J2332" s="33" t="s">
        <v>40</v>
      </c>
      <c r="K2332" s="33" t="s">
        <v>41</v>
      </c>
    </row>
    <row r="2333" spans="1:12" hidden="1" x14ac:dyDescent="0.3">
      <c r="A2333" s="39">
        <v>46062.441574074073</v>
      </c>
      <c r="B2333" s="33" t="s">
        <v>51</v>
      </c>
      <c r="C2333" s="33" t="s">
        <v>5173</v>
      </c>
      <c r="E2333" s="33">
        <v>15</v>
      </c>
      <c r="F2333" s="33">
        <v>0</v>
      </c>
      <c r="G2333" s="33" t="s">
        <v>47</v>
      </c>
      <c r="H2333" s="33" t="s">
        <v>6183</v>
      </c>
      <c r="I2333" s="33" t="s">
        <v>52</v>
      </c>
      <c r="J2333" s="33" t="s">
        <v>3629</v>
      </c>
    </row>
    <row r="2334" spans="1:12" hidden="1" x14ac:dyDescent="0.3">
      <c r="A2334" s="39">
        <v>46062.439583333333</v>
      </c>
      <c r="B2334" s="33" t="s">
        <v>43</v>
      </c>
      <c r="C2334" s="33">
        <v>44998305425</v>
      </c>
      <c r="E2334" s="33">
        <v>30</v>
      </c>
      <c r="F2334" s="33">
        <v>0</v>
      </c>
      <c r="G2334" s="33" t="s">
        <v>47</v>
      </c>
      <c r="H2334" s="33" t="s">
        <v>6184</v>
      </c>
      <c r="I2334" s="33" t="s">
        <v>46</v>
      </c>
      <c r="J2334" s="33" t="s">
        <v>40</v>
      </c>
    </row>
    <row r="2335" spans="1:12" hidden="1" x14ac:dyDescent="0.3">
      <c r="A2335" s="39">
        <v>46062.437384259261</v>
      </c>
      <c r="B2335" s="33" t="s">
        <v>43</v>
      </c>
      <c r="C2335" s="33">
        <v>44998305425</v>
      </c>
      <c r="E2335" s="33">
        <v>32</v>
      </c>
      <c r="F2335" s="33">
        <v>0</v>
      </c>
      <c r="G2335" s="33" t="s">
        <v>47</v>
      </c>
      <c r="H2335" s="33" t="s">
        <v>6185</v>
      </c>
      <c r="I2335" s="33" t="s">
        <v>46</v>
      </c>
      <c r="J2335" s="33" t="s">
        <v>40</v>
      </c>
    </row>
    <row r="2336" spans="1:12" hidden="1" x14ac:dyDescent="0.3">
      <c r="A2336" s="39">
        <v>46062.434814814813</v>
      </c>
      <c r="B2336" s="33" t="s">
        <v>51</v>
      </c>
      <c r="C2336" s="33" t="s">
        <v>5173</v>
      </c>
      <c r="E2336" s="33">
        <v>174</v>
      </c>
      <c r="F2336" s="33">
        <v>170</v>
      </c>
      <c r="G2336" s="33" t="s">
        <v>38</v>
      </c>
      <c r="H2336" s="33" t="s">
        <v>6186</v>
      </c>
      <c r="I2336" s="33" t="s">
        <v>52</v>
      </c>
      <c r="J2336" s="33" t="s">
        <v>3629</v>
      </c>
    </row>
    <row r="2337" spans="1:12" hidden="1" x14ac:dyDescent="0.3">
      <c r="A2337" s="39">
        <v>46062.430127314816</v>
      </c>
      <c r="B2337" s="33">
        <v>4432672194</v>
      </c>
      <c r="C2337" s="33" t="s">
        <v>44</v>
      </c>
      <c r="D2337" s="33">
        <v>4430265054</v>
      </c>
      <c r="E2337" s="33">
        <v>988</v>
      </c>
      <c r="F2337" s="33">
        <v>900</v>
      </c>
      <c r="G2337" s="33" t="s">
        <v>38</v>
      </c>
      <c r="H2337" s="33" t="s">
        <v>4688</v>
      </c>
      <c r="I2337" s="33" t="s">
        <v>39</v>
      </c>
      <c r="J2337" s="33" t="s">
        <v>40</v>
      </c>
      <c r="K2337" s="33" t="s">
        <v>41</v>
      </c>
    </row>
    <row r="2338" spans="1:12" hidden="1" x14ac:dyDescent="0.3">
      <c r="A2338" s="39">
        <v>46062.426944444444</v>
      </c>
      <c r="B2338" s="33">
        <v>4430318515</v>
      </c>
      <c r="C2338" s="33" t="s">
        <v>42</v>
      </c>
      <c r="D2338" s="33">
        <v>4430265054</v>
      </c>
      <c r="E2338" s="33">
        <v>721</v>
      </c>
      <c r="F2338" s="33">
        <v>653</v>
      </c>
      <c r="G2338" s="33" t="s">
        <v>38</v>
      </c>
      <c r="H2338" s="33" t="s">
        <v>4689</v>
      </c>
      <c r="I2338" s="33" t="s">
        <v>39</v>
      </c>
      <c r="J2338" s="33" t="s">
        <v>40</v>
      </c>
      <c r="K2338" s="33" t="s">
        <v>41</v>
      </c>
    </row>
    <row r="2339" spans="1:12" hidden="1" x14ac:dyDescent="0.3">
      <c r="A2339" s="39">
        <v>46062.422199074077</v>
      </c>
      <c r="B2339" s="33">
        <v>4435226025</v>
      </c>
      <c r="C2339" s="33" t="s">
        <v>45</v>
      </c>
      <c r="D2339" s="33">
        <v>4430265054</v>
      </c>
      <c r="E2339" s="33">
        <v>1238</v>
      </c>
      <c r="F2339" s="33">
        <v>1216</v>
      </c>
      <c r="G2339" s="33" t="s">
        <v>38</v>
      </c>
      <c r="H2339" s="33" t="s">
        <v>4690</v>
      </c>
      <c r="I2339" s="33" t="s">
        <v>39</v>
      </c>
      <c r="J2339" s="33" t="s">
        <v>40</v>
      </c>
      <c r="K2339" s="33" t="s">
        <v>41</v>
      </c>
    </row>
    <row r="2340" spans="1:12" hidden="1" x14ac:dyDescent="0.3">
      <c r="A2340" s="39">
        <v>46062.412557870368</v>
      </c>
      <c r="B2340" s="33">
        <v>4430141092</v>
      </c>
      <c r="C2340" s="33" t="s">
        <v>45</v>
      </c>
      <c r="D2340" s="33">
        <v>4430265054</v>
      </c>
      <c r="E2340" s="33">
        <v>417</v>
      </c>
      <c r="F2340" s="33">
        <v>375</v>
      </c>
      <c r="G2340" s="33" t="s">
        <v>38</v>
      </c>
      <c r="H2340" s="33" t="s">
        <v>4691</v>
      </c>
      <c r="I2340" s="33" t="s">
        <v>39</v>
      </c>
      <c r="J2340" s="33" t="s">
        <v>40</v>
      </c>
      <c r="K2340" s="33" t="s">
        <v>41</v>
      </c>
    </row>
    <row r="2341" spans="1:12" hidden="1" x14ac:dyDescent="0.3">
      <c r="A2341" s="39">
        <v>46062.405081018522</v>
      </c>
      <c r="B2341" s="33">
        <v>4330332823</v>
      </c>
      <c r="C2341" s="33" t="s">
        <v>43</v>
      </c>
      <c r="D2341" s="33">
        <v>4430265054</v>
      </c>
      <c r="E2341" s="33">
        <v>447</v>
      </c>
      <c r="F2341" s="33">
        <v>403</v>
      </c>
      <c r="G2341" s="33" t="s">
        <v>38</v>
      </c>
      <c r="H2341" s="33" t="s">
        <v>4692</v>
      </c>
      <c r="I2341" s="33" t="s">
        <v>39</v>
      </c>
      <c r="J2341" s="33" t="s">
        <v>40</v>
      </c>
      <c r="K2341" s="33" t="s">
        <v>41</v>
      </c>
    </row>
    <row r="2342" spans="1:12" hidden="1" x14ac:dyDescent="0.3">
      <c r="A2342" s="39">
        <v>46062.397476851853</v>
      </c>
      <c r="B2342" s="33">
        <v>4430162384</v>
      </c>
      <c r="C2342" s="33" t="s">
        <v>45</v>
      </c>
      <c r="D2342" s="33">
        <v>4430265054</v>
      </c>
      <c r="E2342" s="33">
        <v>221</v>
      </c>
      <c r="F2342" s="33">
        <v>176</v>
      </c>
      <c r="G2342" s="33" t="s">
        <v>38</v>
      </c>
      <c r="H2342" s="33" t="s">
        <v>4693</v>
      </c>
      <c r="I2342" s="33" t="s">
        <v>39</v>
      </c>
      <c r="J2342" s="33" t="s">
        <v>40</v>
      </c>
      <c r="K2342" s="33" t="s">
        <v>41</v>
      </c>
      <c r="L2342" s="33">
        <v>5</v>
      </c>
    </row>
    <row r="2343" spans="1:12" hidden="1" x14ac:dyDescent="0.3">
      <c r="A2343" s="39">
        <v>46062.396874999999</v>
      </c>
      <c r="B2343" s="33" t="s">
        <v>3627</v>
      </c>
      <c r="C2343" s="33">
        <v>54981365718</v>
      </c>
      <c r="E2343" s="33">
        <v>36</v>
      </c>
      <c r="F2343" s="33">
        <v>1</v>
      </c>
      <c r="G2343" s="33" t="s">
        <v>38</v>
      </c>
      <c r="H2343" s="33" t="s">
        <v>6187</v>
      </c>
      <c r="I2343" s="33" t="s">
        <v>46</v>
      </c>
      <c r="J2343" s="33" t="s">
        <v>3629</v>
      </c>
    </row>
    <row r="2344" spans="1:12" hidden="1" x14ac:dyDescent="0.3">
      <c r="A2344" s="39">
        <v>46062.39508101852</v>
      </c>
      <c r="B2344" s="33" t="s">
        <v>48</v>
      </c>
      <c r="C2344" s="33">
        <v>4532541802</v>
      </c>
      <c r="E2344" s="33">
        <v>364</v>
      </c>
      <c r="F2344" s="33">
        <v>362</v>
      </c>
      <c r="G2344" s="33" t="s">
        <v>38</v>
      </c>
      <c r="H2344" s="33" t="s">
        <v>6188</v>
      </c>
      <c r="I2344" s="33" t="s">
        <v>46</v>
      </c>
      <c r="J2344" s="33" t="s">
        <v>40</v>
      </c>
    </row>
    <row r="2345" spans="1:12" hidden="1" x14ac:dyDescent="0.3">
      <c r="A2345" s="39">
        <v>46062.39502314815</v>
      </c>
      <c r="B2345" s="33">
        <v>44991622693</v>
      </c>
      <c r="C2345" s="33" t="s">
        <v>42</v>
      </c>
      <c r="D2345" s="33">
        <v>4430265054</v>
      </c>
      <c r="E2345" s="33">
        <v>1929</v>
      </c>
      <c r="F2345" s="33">
        <v>1767</v>
      </c>
      <c r="G2345" s="33" t="s">
        <v>38</v>
      </c>
      <c r="H2345" s="33" t="s">
        <v>4694</v>
      </c>
      <c r="I2345" s="33" t="s">
        <v>39</v>
      </c>
      <c r="J2345" s="33" t="s">
        <v>40</v>
      </c>
      <c r="K2345" s="33" t="s">
        <v>41</v>
      </c>
      <c r="L2345" s="33">
        <v>5</v>
      </c>
    </row>
    <row r="2346" spans="1:12" hidden="1" x14ac:dyDescent="0.3">
      <c r="A2346" s="39">
        <v>46062.389131944445</v>
      </c>
      <c r="B2346" s="33">
        <v>18997449617</v>
      </c>
      <c r="C2346" s="33" t="s">
        <v>45</v>
      </c>
      <c r="D2346" s="33">
        <v>4430265054</v>
      </c>
      <c r="E2346" s="33">
        <v>701</v>
      </c>
      <c r="F2346" s="33">
        <v>633</v>
      </c>
      <c r="G2346" s="33" t="s">
        <v>38</v>
      </c>
      <c r="H2346" s="33" t="s">
        <v>4695</v>
      </c>
      <c r="I2346" s="33" t="s">
        <v>39</v>
      </c>
      <c r="J2346" s="33" t="s">
        <v>40</v>
      </c>
      <c r="K2346" s="33" t="s">
        <v>41</v>
      </c>
      <c r="L2346" s="33">
        <v>5</v>
      </c>
    </row>
    <row r="2347" spans="1:12" hidden="1" x14ac:dyDescent="0.3">
      <c r="A2347" s="39">
        <v>46062.387789351851</v>
      </c>
      <c r="B2347" s="33">
        <v>4433543396</v>
      </c>
      <c r="C2347" s="33" t="s">
        <v>44</v>
      </c>
      <c r="D2347" s="33">
        <v>4430265054</v>
      </c>
      <c r="E2347" s="33">
        <v>130</v>
      </c>
      <c r="F2347" s="33">
        <v>92</v>
      </c>
      <c r="G2347" s="33" t="s">
        <v>38</v>
      </c>
      <c r="H2347" s="33" t="s">
        <v>4696</v>
      </c>
      <c r="I2347" s="33" t="s">
        <v>39</v>
      </c>
      <c r="J2347" s="33" t="s">
        <v>40</v>
      </c>
      <c r="K2347" s="33" t="s">
        <v>41</v>
      </c>
    </row>
    <row r="2348" spans="1:12" hidden="1" x14ac:dyDescent="0.3">
      <c r="A2348" s="39">
        <v>46062.376481481479</v>
      </c>
      <c r="B2348" s="33" t="s">
        <v>3627</v>
      </c>
      <c r="C2348" s="33">
        <v>8533006523</v>
      </c>
      <c r="E2348" s="33">
        <v>6</v>
      </c>
      <c r="F2348" s="33">
        <v>0</v>
      </c>
      <c r="G2348" s="33" t="s">
        <v>47</v>
      </c>
      <c r="H2348" s="33" t="s">
        <v>6189</v>
      </c>
      <c r="I2348" s="33" t="s">
        <v>46</v>
      </c>
      <c r="J2348" s="33" t="s">
        <v>3629</v>
      </c>
    </row>
    <row r="2349" spans="1:12" hidden="1" x14ac:dyDescent="0.3">
      <c r="A2349" s="39">
        <v>46062.376145833332</v>
      </c>
      <c r="B2349" s="33">
        <v>4430262188</v>
      </c>
      <c r="C2349" s="33" t="s">
        <v>45</v>
      </c>
      <c r="D2349" s="33">
        <v>4430265054</v>
      </c>
      <c r="E2349" s="33">
        <v>199</v>
      </c>
      <c r="F2349" s="33">
        <v>150</v>
      </c>
      <c r="G2349" s="33" t="s">
        <v>38</v>
      </c>
      <c r="H2349" s="33" t="s">
        <v>4697</v>
      </c>
      <c r="I2349" s="33" t="s">
        <v>39</v>
      </c>
      <c r="J2349" s="33" t="s">
        <v>40</v>
      </c>
      <c r="K2349" s="33" t="s">
        <v>41</v>
      </c>
    </row>
    <row r="2350" spans="1:12" hidden="1" x14ac:dyDescent="0.3">
      <c r="A2350" s="39">
        <v>46062.375381944446</v>
      </c>
      <c r="B2350" s="33">
        <v>4430262188</v>
      </c>
      <c r="C2350" s="33">
        <v>4430265054</v>
      </c>
      <c r="D2350" s="33">
        <v>4430265054</v>
      </c>
      <c r="E2350" s="33">
        <v>4</v>
      </c>
      <c r="F2350" s="33">
        <v>4</v>
      </c>
      <c r="G2350" s="33" t="s">
        <v>3449</v>
      </c>
      <c r="H2350" s="33" t="s">
        <v>6190</v>
      </c>
      <c r="I2350" s="33" t="s">
        <v>39</v>
      </c>
      <c r="J2350" s="33" t="s">
        <v>3451</v>
      </c>
    </row>
    <row r="2351" spans="1:12" hidden="1" x14ac:dyDescent="0.3">
      <c r="A2351" s="39">
        <v>46062.374791666669</v>
      </c>
      <c r="B2351" s="33">
        <v>4330333542</v>
      </c>
      <c r="C2351" s="33" t="s">
        <v>45</v>
      </c>
      <c r="D2351" s="33">
        <v>4430265054</v>
      </c>
      <c r="E2351" s="33">
        <v>140</v>
      </c>
      <c r="F2351" s="33">
        <v>42</v>
      </c>
      <c r="G2351" s="33" t="s">
        <v>38</v>
      </c>
      <c r="H2351" s="33" t="s">
        <v>4698</v>
      </c>
      <c r="I2351" s="33" t="s">
        <v>39</v>
      </c>
      <c r="J2351" s="33" t="s">
        <v>40</v>
      </c>
      <c r="K2351" s="33" t="s">
        <v>41</v>
      </c>
    </row>
    <row r="2352" spans="1:12" hidden="1" x14ac:dyDescent="0.3">
      <c r="A2352" s="39">
        <v>46062.374247685184</v>
      </c>
      <c r="B2352" s="33">
        <v>4330332823</v>
      </c>
      <c r="C2352" s="33" t="s">
        <v>42</v>
      </c>
      <c r="D2352" s="33">
        <v>4430265054</v>
      </c>
      <c r="E2352" s="33">
        <v>913</v>
      </c>
      <c r="F2352" s="33">
        <v>795</v>
      </c>
      <c r="G2352" s="33" t="s">
        <v>38</v>
      </c>
      <c r="H2352" s="33" t="s">
        <v>4699</v>
      </c>
      <c r="I2352" s="33" t="s">
        <v>39</v>
      </c>
      <c r="J2352" s="33" t="s">
        <v>40</v>
      </c>
      <c r="K2352" s="33" t="s">
        <v>41</v>
      </c>
      <c r="L2352" s="33">
        <v>5</v>
      </c>
    </row>
    <row r="2353" spans="1:12" hidden="1" x14ac:dyDescent="0.3">
      <c r="A2353" s="39">
        <v>46062.372974537036</v>
      </c>
      <c r="B2353" s="33" t="s">
        <v>37</v>
      </c>
      <c r="C2353" s="33">
        <v>44997123083</v>
      </c>
      <c r="E2353" s="33">
        <v>4993</v>
      </c>
      <c r="F2353" s="33">
        <v>4973</v>
      </c>
      <c r="G2353" s="33" t="s">
        <v>38</v>
      </c>
      <c r="H2353" s="33" t="s">
        <v>6191</v>
      </c>
      <c r="I2353" s="33" t="s">
        <v>46</v>
      </c>
      <c r="J2353" s="33" t="s">
        <v>40</v>
      </c>
      <c r="L2353" s="33">
        <v>5</v>
      </c>
    </row>
    <row r="2354" spans="1:12" hidden="1" x14ac:dyDescent="0.3">
      <c r="A2354" s="39">
        <v>46062.371759259258</v>
      </c>
      <c r="B2354" s="33">
        <v>44999571792</v>
      </c>
      <c r="C2354" s="33">
        <v>3000</v>
      </c>
      <c r="D2354" s="33">
        <v>4430265054</v>
      </c>
      <c r="E2354" s="33">
        <v>210</v>
      </c>
      <c r="F2354" s="33">
        <v>184</v>
      </c>
      <c r="G2354" s="33" t="s">
        <v>38</v>
      </c>
      <c r="H2354" s="33" t="s">
        <v>4700</v>
      </c>
      <c r="I2354" s="33" t="s">
        <v>39</v>
      </c>
      <c r="J2354" s="33" t="s">
        <v>3451</v>
      </c>
      <c r="K2354" s="33" t="s">
        <v>41</v>
      </c>
    </row>
    <row r="2355" spans="1:12" hidden="1" x14ac:dyDescent="0.3">
      <c r="A2355" s="39">
        <v>46062.366435185184</v>
      </c>
      <c r="B2355" s="33">
        <v>6234347959</v>
      </c>
      <c r="C2355" s="33" t="s">
        <v>48</v>
      </c>
      <c r="D2355" s="33">
        <v>4430265054</v>
      </c>
      <c r="E2355" s="33">
        <v>129</v>
      </c>
      <c r="F2355" s="33">
        <v>89</v>
      </c>
      <c r="G2355" s="33" t="s">
        <v>38</v>
      </c>
      <c r="H2355" s="33" t="s">
        <v>4701</v>
      </c>
      <c r="I2355" s="33" t="s">
        <v>39</v>
      </c>
      <c r="J2355" s="33" t="s">
        <v>40</v>
      </c>
      <c r="K2355" s="33" t="s">
        <v>41</v>
      </c>
    </row>
    <row r="2356" spans="1:12" hidden="1" x14ac:dyDescent="0.3">
      <c r="A2356" s="39">
        <v>46062.366030092591</v>
      </c>
      <c r="B2356" s="33">
        <v>44999571792</v>
      </c>
      <c r="C2356" s="33" t="s">
        <v>44</v>
      </c>
      <c r="D2356" s="33">
        <v>4430265054</v>
      </c>
      <c r="E2356" s="33">
        <v>403</v>
      </c>
      <c r="F2356" s="33">
        <v>281</v>
      </c>
      <c r="G2356" s="33" t="s">
        <v>38</v>
      </c>
      <c r="H2356" s="33" t="s">
        <v>4702</v>
      </c>
      <c r="I2356" s="33" t="s">
        <v>39</v>
      </c>
      <c r="J2356" s="33" t="s">
        <v>40</v>
      </c>
      <c r="K2356" s="33" t="s">
        <v>41</v>
      </c>
    </row>
    <row r="2357" spans="1:12" hidden="1" x14ac:dyDescent="0.3">
      <c r="A2357" s="39">
        <v>46062.364803240744</v>
      </c>
      <c r="B2357" s="33" t="s">
        <v>42</v>
      </c>
      <c r="C2357" s="33">
        <v>4436292220</v>
      </c>
      <c r="E2357" s="33">
        <v>500</v>
      </c>
      <c r="F2357" s="33">
        <v>493</v>
      </c>
      <c r="G2357" s="33" t="s">
        <v>38</v>
      </c>
      <c r="H2357" s="33" t="s">
        <v>6192</v>
      </c>
      <c r="I2357" s="33" t="s">
        <v>46</v>
      </c>
      <c r="J2357" s="33" t="s">
        <v>40</v>
      </c>
    </row>
    <row r="2358" spans="1:12" hidden="1" x14ac:dyDescent="0.3">
      <c r="A2358" s="39">
        <v>46062.364664351851</v>
      </c>
      <c r="B2358" s="33" t="s">
        <v>42</v>
      </c>
      <c r="C2358" s="33">
        <v>4436292220</v>
      </c>
      <c r="E2358" s="33">
        <v>5</v>
      </c>
      <c r="F2358" s="33">
        <v>0</v>
      </c>
      <c r="G2358" s="33" t="s">
        <v>47</v>
      </c>
      <c r="H2358" s="33" t="s">
        <v>6193</v>
      </c>
      <c r="I2358" s="33" t="s">
        <v>46</v>
      </c>
      <c r="J2358" s="33" t="s">
        <v>40</v>
      </c>
    </row>
    <row r="2359" spans="1:12" hidden="1" x14ac:dyDescent="0.3">
      <c r="A2359" s="39">
        <v>46062.364629629628</v>
      </c>
      <c r="B2359" s="33">
        <v>4430162384</v>
      </c>
      <c r="C2359" s="33" t="s">
        <v>44</v>
      </c>
      <c r="D2359" s="33">
        <v>4430265054</v>
      </c>
      <c r="E2359" s="33">
        <v>192</v>
      </c>
      <c r="F2359" s="33">
        <v>110</v>
      </c>
      <c r="G2359" s="33" t="s">
        <v>38</v>
      </c>
      <c r="H2359" s="33" t="s">
        <v>4703</v>
      </c>
      <c r="I2359" s="33" t="s">
        <v>39</v>
      </c>
      <c r="J2359" s="33" t="s">
        <v>40</v>
      </c>
      <c r="K2359" s="33" t="s">
        <v>41</v>
      </c>
    </row>
    <row r="2360" spans="1:12" hidden="1" x14ac:dyDescent="0.3">
      <c r="A2360" s="39">
        <v>46062.363935185182</v>
      </c>
      <c r="B2360" s="33">
        <v>44988303530</v>
      </c>
      <c r="C2360" s="33" t="s">
        <v>45</v>
      </c>
      <c r="D2360" s="33">
        <v>4430265054</v>
      </c>
      <c r="E2360" s="33">
        <v>307</v>
      </c>
      <c r="F2360" s="33">
        <v>215</v>
      </c>
      <c r="G2360" s="33" t="s">
        <v>38</v>
      </c>
      <c r="H2360" s="33" t="s">
        <v>4704</v>
      </c>
      <c r="I2360" s="33" t="s">
        <v>39</v>
      </c>
      <c r="J2360" s="33" t="s">
        <v>40</v>
      </c>
      <c r="K2360" s="33" t="s">
        <v>41</v>
      </c>
    </row>
    <row r="2361" spans="1:12" hidden="1" x14ac:dyDescent="0.3">
      <c r="A2361" s="39">
        <v>46062.360949074071</v>
      </c>
      <c r="B2361" s="33" t="s">
        <v>45</v>
      </c>
      <c r="C2361" s="33">
        <v>4430162376</v>
      </c>
      <c r="E2361" s="33">
        <v>195</v>
      </c>
      <c r="F2361" s="33">
        <v>175</v>
      </c>
      <c r="G2361" s="33" t="s">
        <v>38</v>
      </c>
      <c r="H2361" s="33" t="s">
        <v>6194</v>
      </c>
      <c r="I2361" s="33" t="s">
        <v>46</v>
      </c>
      <c r="J2361" s="33" t="s">
        <v>40</v>
      </c>
      <c r="L2361" s="33">
        <v>5</v>
      </c>
    </row>
    <row r="2362" spans="1:12" hidden="1" x14ac:dyDescent="0.3">
      <c r="A2362" s="39">
        <v>46062.3593287037</v>
      </c>
      <c r="B2362" s="33">
        <v>4430162376</v>
      </c>
      <c r="C2362" s="33" t="s">
        <v>45</v>
      </c>
      <c r="D2362" s="33">
        <v>4430265054</v>
      </c>
      <c r="E2362" s="33">
        <v>135</v>
      </c>
      <c r="F2362" s="33">
        <v>109</v>
      </c>
      <c r="G2362" s="33" t="s">
        <v>38</v>
      </c>
      <c r="H2362" s="33" t="s">
        <v>4705</v>
      </c>
      <c r="I2362" s="33" t="s">
        <v>39</v>
      </c>
      <c r="J2362" s="33" t="s">
        <v>40</v>
      </c>
      <c r="K2362" s="33" t="s">
        <v>41</v>
      </c>
    </row>
    <row r="2363" spans="1:12" hidden="1" x14ac:dyDescent="0.3">
      <c r="A2363" s="39">
        <v>46062.357997685183</v>
      </c>
      <c r="B2363" s="33" t="s">
        <v>37</v>
      </c>
      <c r="C2363" s="33">
        <v>4330333542</v>
      </c>
      <c r="E2363" s="33">
        <v>76</v>
      </c>
      <c r="F2363" s="33">
        <v>69</v>
      </c>
      <c r="G2363" s="33" t="s">
        <v>38</v>
      </c>
      <c r="H2363" s="33" t="s">
        <v>6195</v>
      </c>
      <c r="I2363" s="33" t="s">
        <v>46</v>
      </c>
      <c r="J2363" s="33" t="s">
        <v>40</v>
      </c>
    </row>
    <row r="2364" spans="1:12" hidden="1" x14ac:dyDescent="0.3">
      <c r="A2364" s="39">
        <v>46062.357268518521</v>
      </c>
      <c r="B2364" s="33" t="s">
        <v>45</v>
      </c>
      <c r="C2364" s="33">
        <v>4436311970</v>
      </c>
      <c r="E2364" s="33">
        <v>97</v>
      </c>
      <c r="F2364" s="33">
        <v>87</v>
      </c>
      <c r="G2364" s="33" t="s">
        <v>38</v>
      </c>
      <c r="H2364" s="33" t="s">
        <v>6196</v>
      </c>
      <c r="I2364" s="33" t="s">
        <v>46</v>
      </c>
      <c r="J2364" s="33" t="s">
        <v>40</v>
      </c>
    </row>
    <row r="2365" spans="1:12" hidden="1" x14ac:dyDescent="0.3">
      <c r="A2365" s="39">
        <v>46062.357256944444</v>
      </c>
      <c r="B2365" s="33" t="s">
        <v>42</v>
      </c>
      <c r="C2365" s="33">
        <v>44998266194</v>
      </c>
      <c r="E2365" s="33">
        <v>326</v>
      </c>
      <c r="F2365" s="33">
        <v>316</v>
      </c>
      <c r="G2365" s="33" t="s">
        <v>38</v>
      </c>
      <c r="H2365" s="33" t="s">
        <v>6197</v>
      </c>
      <c r="I2365" s="33" t="s">
        <v>46</v>
      </c>
      <c r="J2365" s="33" t="s">
        <v>40</v>
      </c>
    </row>
    <row r="2366" spans="1:12" hidden="1" x14ac:dyDescent="0.3">
      <c r="A2366" s="39">
        <v>46062.357199074075</v>
      </c>
      <c r="B2366" s="33" t="s">
        <v>45</v>
      </c>
      <c r="C2366" s="33">
        <v>4436311970</v>
      </c>
      <c r="E2366" s="33">
        <v>3</v>
      </c>
      <c r="F2366" s="33">
        <v>0</v>
      </c>
      <c r="G2366" s="33" t="s">
        <v>47</v>
      </c>
      <c r="H2366" s="33" t="s">
        <v>6198</v>
      </c>
      <c r="I2366" s="33" t="s">
        <v>46</v>
      </c>
      <c r="J2366" s="33" t="s">
        <v>40</v>
      </c>
    </row>
    <row r="2367" spans="1:12" hidden="1" x14ac:dyDescent="0.3">
      <c r="A2367" s="39">
        <v>46062.356111111112</v>
      </c>
      <c r="B2367" s="33" t="s">
        <v>44</v>
      </c>
      <c r="C2367" s="33">
        <v>4334232912</v>
      </c>
      <c r="E2367" s="33">
        <v>47</v>
      </c>
      <c r="F2367" s="33">
        <v>39</v>
      </c>
      <c r="G2367" s="33" t="s">
        <v>38</v>
      </c>
      <c r="H2367" s="33" t="s">
        <v>6199</v>
      </c>
      <c r="I2367" s="33" t="s">
        <v>46</v>
      </c>
      <c r="J2367" s="33" t="s">
        <v>40</v>
      </c>
    </row>
    <row r="2368" spans="1:12" hidden="1" x14ac:dyDescent="0.3">
      <c r="A2368" s="39">
        <v>46062.354768518519</v>
      </c>
      <c r="B2368" s="33">
        <v>44998266194</v>
      </c>
      <c r="C2368" s="33" t="s">
        <v>42</v>
      </c>
      <c r="D2368" s="33">
        <v>4430265054</v>
      </c>
      <c r="E2368" s="33">
        <v>236</v>
      </c>
      <c r="F2368" s="33">
        <v>29</v>
      </c>
      <c r="G2368" s="33" t="s">
        <v>38</v>
      </c>
      <c r="H2368" s="33" t="s">
        <v>4706</v>
      </c>
      <c r="I2368" s="33" t="s">
        <v>39</v>
      </c>
      <c r="J2368" s="33" t="s">
        <v>40</v>
      </c>
      <c r="K2368" s="33" t="s">
        <v>41</v>
      </c>
    </row>
    <row r="2369" spans="1:12" hidden="1" x14ac:dyDescent="0.3">
      <c r="A2369" s="39">
        <v>46062.35460648148</v>
      </c>
      <c r="B2369" s="33">
        <v>4433016100</v>
      </c>
      <c r="C2369" s="33" t="s">
        <v>45</v>
      </c>
      <c r="D2369" s="33">
        <v>4430265054</v>
      </c>
      <c r="E2369" s="33">
        <v>131</v>
      </c>
      <c r="F2369" s="33">
        <v>73</v>
      </c>
      <c r="G2369" s="33" t="s">
        <v>38</v>
      </c>
      <c r="H2369" s="33" t="s">
        <v>4707</v>
      </c>
      <c r="I2369" s="33" t="s">
        <v>39</v>
      </c>
      <c r="J2369" s="33" t="s">
        <v>40</v>
      </c>
      <c r="K2369" s="33" t="s">
        <v>41</v>
      </c>
    </row>
    <row r="2370" spans="1:12" hidden="1" x14ac:dyDescent="0.3">
      <c r="A2370" s="39">
        <v>46062.342824074076</v>
      </c>
      <c r="B2370" s="33" t="s">
        <v>44</v>
      </c>
      <c r="C2370" s="33">
        <v>4334232912</v>
      </c>
      <c r="E2370" s="33">
        <v>35</v>
      </c>
      <c r="F2370" s="33">
        <v>22</v>
      </c>
      <c r="G2370" s="33" t="s">
        <v>38</v>
      </c>
      <c r="H2370" s="33" t="s">
        <v>6200</v>
      </c>
      <c r="I2370" s="33" t="s">
        <v>46</v>
      </c>
      <c r="J2370" s="33" t="s">
        <v>40</v>
      </c>
    </row>
    <row r="2371" spans="1:12" hidden="1" x14ac:dyDescent="0.3">
      <c r="A2371" s="39">
        <v>46062.341238425928</v>
      </c>
      <c r="B2371" s="33">
        <v>4433016100</v>
      </c>
      <c r="C2371" s="33">
        <v>4430265054</v>
      </c>
      <c r="D2371" s="33">
        <v>4430265054</v>
      </c>
      <c r="E2371" s="33">
        <v>12</v>
      </c>
      <c r="F2371" s="33">
        <v>12</v>
      </c>
      <c r="G2371" s="33" t="s">
        <v>3449</v>
      </c>
      <c r="H2371" s="33" t="s">
        <v>6201</v>
      </c>
      <c r="I2371" s="33" t="s">
        <v>39</v>
      </c>
      <c r="J2371" s="33" t="s">
        <v>3451</v>
      </c>
    </row>
    <row r="2372" spans="1:12" hidden="1" x14ac:dyDescent="0.3">
      <c r="A2372" s="39">
        <v>46059.738819444443</v>
      </c>
      <c r="B2372" s="33">
        <v>4435226025</v>
      </c>
      <c r="C2372" s="33">
        <v>4430265054</v>
      </c>
      <c r="D2372" s="33">
        <v>4430265054</v>
      </c>
      <c r="E2372" s="33">
        <v>47</v>
      </c>
      <c r="F2372" s="33">
        <v>46</v>
      </c>
      <c r="G2372" s="33" t="s">
        <v>3449</v>
      </c>
      <c r="H2372" s="33" t="s">
        <v>4708</v>
      </c>
      <c r="I2372" s="33" t="s">
        <v>39</v>
      </c>
      <c r="J2372" s="33" t="s">
        <v>3451</v>
      </c>
      <c r="K2372" s="33" t="s">
        <v>41</v>
      </c>
    </row>
    <row r="2373" spans="1:12" hidden="1" x14ac:dyDescent="0.3">
      <c r="A2373" s="39">
        <v>46059.734664351854</v>
      </c>
      <c r="B2373" s="33" t="s">
        <v>43</v>
      </c>
      <c r="C2373" s="33">
        <v>4432272377</v>
      </c>
      <c r="E2373" s="33">
        <v>890</v>
      </c>
      <c r="F2373" s="33">
        <v>867</v>
      </c>
      <c r="G2373" s="33" t="s">
        <v>38</v>
      </c>
      <c r="H2373" s="33" t="s">
        <v>6202</v>
      </c>
      <c r="I2373" s="33" t="s">
        <v>46</v>
      </c>
      <c r="J2373" s="33" t="s">
        <v>40</v>
      </c>
    </row>
    <row r="2374" spans="1:12" hidden="1" x14ac:dyDescent="0.3">
      <c r="A2374" s="39">
        <v>46059.734594907408</v>
      </c>
      <c r="B2374" s="33" t="s">
        <v>43</v>
      </c>
      <c r="C2374" s="33">
        <v>4432272377</v>
      </c>
      <c r="E2374" s="33">
        <v>5</v>
      </c>
      <c r="F2374" s="33">
        <v>0</v>
      </c>
      <c r="G2374" s="33" t="s">
        <v>47</v>
      </c>
      <c r="H2374" s="33" t="s">
        <v>6203</v>
      </c>
      <c r="I2374" s="33" t="s">
        <v>46</v>
      </c>
      <c r="J2374" s="33" t="s">
        <v>40</v>
      </c>
    </row>
    <row r="2375" spans="1:12" hidden="1" x14ac:dyDescent="0.3">
      <c r="A2375" s="39">
        <v>46059.733206018522</v>
      </c>
      <c r="B2375" s="33" t="s">
        <v>43</v>
      </c>
      <c r="C2375" s="33">
        <v>44991792339</v>
      </c>
      <c r="E2375" s="33">
        <v>19</v>
      </c>
      <c r="F2375" s="33">
        <v>0</v>
      </c>
      <c r="G2375" s="33" t="s">
        <v>47</v>
      </c>
      <c r="H2375" s="33" t="s">
        <v>6204</v>
      </c>
      <c r="I2375" s="33" t="s">
        <v>46</v>
      </c>
      <c r="J2375" s="33" t="s">
        <v>40</v>
      </c>
    </row>
    <row r="2376" spans="1:12" hidden="1" x14ac:dyDescent="0.3">
      <c r="A2376" s="39">
        <v>46059.73228009259</v>
      </c>
      <c r="B2376" s="33" t="s">
        <v>43</v>
      </c>
      <c r="C2376" s="33">
        <v>44997749003</v>
      </c>
      <c r="E2376" s="33">
        <v>50</v>
      </c>
      <c r="F2376" s="33">
        <v>43</v>
      </c>
      <c r="G2376" s="33" t="s">
        <v>38</v>
      </c>
      <c r="H2376" s="33" t="s">
        <v>6205</v>
      </c>
      <c r="I2376" s="33" t="s">
        <v>46</v>
      </c>
      <c r="J2376" s="33" t="s">
        <v>40</v>
      </c>
    </row>
    <row r="2377" spans="1:12" hidden="1" x14ac:dyDescent="0.3">
      <c r="A2377" s="39">
        <v>46059.731446759259</v>
      </c>
      <c r="B2377" s="33" t="s">
        <v>3627</v>
      </c>
      <c r="C2377" s="33">
        <v>14981112409</v>
      </c>
      <c r="E2377" s="33">
        <v>48</v>
      </c>
      <c r="F2377" s="33">
        <v>33</v>
      </c>
      <c r="G2377" s="33" t="s">
        <v>38</v>
      </c>
      <c r="H2377" s="33" t="s">
        <v>6206</v>
      </c>
      <c r="I2377" s="33" t="s">
        <v>46</v>
      </c>
      <c r="J2377" s="33" t="s">
        <v>3629</v>
      </c>
    </row>
    <row r="2378" spans="1:12" hidden="1" x14ac:dyDescent="0.3">
      <c r="A2378" s="39">
        <v>46059.729594907411</v>
      </c>
      <c r="B2378" s="33" t="s">
        <v>3627</v>
      </c>
      <c r="C2378" s="33">
        <v>85988913281</v>
      </c>
      <c r="E2378" s="33">
        <v>21</v>
      </c>
      <c r="F2378" s="33">
        <v>0</v>
      </c>
      <c r="G2378" s="33" t="s">
        <v>47</v>
      </c>
      <c r="H2378" s="33" t="s">
        <v>6207</v>
      </c>
      <c r="I2378" s="33" t="s">
        <v>46</v>
      </c>
      <c r="J2378" s="33" t="s">
        <v>3629</v>
      </c>
    </row>
    <row r="2379" spans="1:12" hidden="1" x14ac:dyDescent="0.3">
      <c r="A2379" s="39">
        <v>46059.724965277775</v>
      </c>
      <c r="B2379" s="33">
        <v>4435226025</v>
      </c>
      <c r="C2379" s="33" t="s">
        <v>44</v>
      </c>
      <c r="D2379" s="33">
        <v>4430265054</v>
      </c>
      <c r="E2379" s="33">
        <v>616</v>
      </c>
      <c r="F2379" s="33">
        <v>556</v>
      </c>
      <c r="G2379" s="33" t="s">
        <v>38</v>
      </c>
      <c r="H2379" s="33" t="s">
        <v>4709</v>
      </c>
      <c r="I2379" s="33" t="s">
        <v>39</v>
      </c>
      <c r="J2379" s="33" t="s">
        <v>40</v>
      </c>
      <c r="K2379" s="33" t="s">
        <v>41</v>
      </c>
    </row>
    <row r="2380" spans="1:12" hidden="1" x14ac:dyDescent="0.3">
      <c r="A2380" s="39">
        <v>46059.723449074074</v>
      </c>
      <c r="B2380" s="33">
        <v>4430291622</v>
      </c>
      <c r="C2380" s="33" t="s">
        <v>42</v>
      </c>
      <c r="D2380" s="33">
        <v>4430265054</v>
      </c>
      <c r="E2380" s="33">
        <v>856</v>
      </c>
      <c r="F2380" s="33">
        <v>835</v>
      </c>
      <c r="G2380" s="33" t="s">
        <v>38</v>
      </c>
      <c r="H2380" s="33" t="s">
        <v>4710</v>
      </c>
      <c r="I2380" s="33" t="s">
        <v>39</v>
      </c>
      <c r="J2380" s="33" t="s">
        <v>40</v>
      </c>
      <c r="K2380" s="33" t="s">
        <v>41</v>
      </c>
    </row>
    <row r="2381" spans="1:12" hidden="1" x14ac:dyDescent="0.3">
      <c r="A2381" s="39">
        <v>46059.721631944441</v>
      </c>
      <c r="B2381" s="33">
        <v>41996631918</v>
      </c>
      <c r="C2381" s="33" t="s">
        <v>45</v>
      </c>
      <c r="D2381" s="33">
        <v>4430265054</v>
      </c>
      <c r="E2381" s="33">
        <v>1770</v>
      </c>
      <c r="F2381" s="33">
        <v>1730</v>
      </c>
      <c r="G2381" s="33" t="s">
        <v>38</v>
      </c>
      <c r="H2381" s="33" t="s">
        <v>4711</v>
      </c>
      <c r="I2381" s="33" t="s">
        <v>39</v>
      </c>
      <c r="J2381" s="33" t="s">
        <v>40</v>
      </c>
      <c r="K2381" s="33" t="s">
        <v>41</v>
      </c>
      <c r="L2381" s="33">
        <v>5</v>
      </c>
    </row>
    <row r="2382" spans="1:12" hidden="1" x14ac:dyDescent="0.3">
      <c r="A2382" s="39">
        <v>46059.718425925923</v>
      </c>
      <c r="B2382" s="33" t="s">
        <v>42</v>
      </c>
      <c r="C2382" s="33">
        <v>4334232912</v>
      </c>
      <c r="E2382" s="33">
        <v>55</v>
      </c>
      <c r="F2382" s="33">
        <v>43</v>
      </c>
      <c r="G2382" s="33" t="s">
        <v>38</v>
      </c>
      <c r="H2382" s="33" t="s">
        <v>6208</v>
      </c>
      <c r="I2382" s="33" t="s">
        <v>46</v>
      </c>
      <c r="J2382" s="33" t="s">
        <v>40</v>
      </c>
    </row>
    <row r="2383" spans="1:12" hidden="1" x14ac:dyDescent="0.3">
      <c r="A2383" s="39">
        <v>46059.714942129627</v>
      </c>
      <c r="B2383" s="33" t="s">
        <v>37</v>
      </c>
      <c r="C2383" s="33">
        <v>89994229714</v>
      </c>
      <c r="E2383" s="33">
        <v>3239</v>
      </c>
      <c r="F2383" s="33">
        <v>3226</v>
      </c>
      <c r="G2383" s="33" t="s">
        <v>38</v>
      </c>
      <c r="H2383" s="33" t="s">
        <v>6209</v>
      </c>
      <c r="I2383" s="33" t="s">
        <v>46</v>
      </c>
      <c r="J2383" s="33" t="s">
        <v>40</v>
      </c>
    </row>
    <row r="2384" spans="1:12" hidden="1" x14ac:dyDescent="0.3">
      <c r="A2384" s="39">
        <v>46059.70621527778</v>
      </c>
      <c r="B2384" s="33" t="s">
        <v>3627</v>
      </c>
      <c r="C2384" s="33">
        <v>81992017064</v>
      </c>
      <c r="E2384" s="33">
        <v>11</v>
      </c>
      <c r="F2384" s="33">
        <v>1</v>
      </c>
      <c r="G2384" s="33" t="s">
        <v>38</v>
      </c>
      <c r="H2384" s="33" t="s">
        <v>6210</v>
      </c>
      <c r="I2384" s="33" t="s">
        <v>46</v>
      </c>
      <c r="J2384" s="33" t="s">
        <v>3629</v>
      </c>
    </row>
    <row r="2385" spans="1:12" hidden="1" x14ac:dyDescent="0.3">
      <c r="A2385" s="39">
        <v>46059.706145833334</v>
      </c>
      <c r="B2385" s="33" t="s">
        <v>3873</v>
      </c>
      <c r="C2385" s="33">
        <v>4432261852</v>
      </c>
      <c r="E2385" s="33">
        <v>101</v>
      </c>
      <c r="F2385" s="33">
        <v>78</v>
      </c>
      <c r="G2385" s="33" t="s">
        <v>38</v>
      </c>
      <c r="H2385" s="33" t="s">
        <v>6211</v>
      </c>
      <c r="I2385" s="33" t="s">
        <v>46</v>
      </c>
      <c r="J2385" s="33" t="s">
        <v>3451</v>
      </c>
    </row>
    <row r="2386" spans="1:12" hidden="1" x14ac:dyDescent="0.3">
      <c r="A2386" s="39">
        <v>46059.704710648148</v>
      </c>
      <c r="B2386" s="33">
        <v>1732146970</v>
      </c>
      <c r="C2386" s="33" t="s">
        <v>43</v>
      </c>
      <c r="D2386" s="33">
        <v>4431268225</v>
      </c>
      <c r="E2386" s="33">
        <v>145</v>
      </c>
      <c r="F2386" s="33">
        <v>94</v>
      </c>
      <c r="G2386" s="33" t="s">
        <v>38</v>
      </c>
      <c r="H2386" s="33" t="s">
        <v>4712</v>
      </c>
      <c r="I2386" s="33" t="s">
        <v>39</v>
      </c>
      <c r="J2386" s="33" t="s">
        <v>40</v>
      </c>
      <c r="K2386" s="33" t="s">
        <v>41</v>
      </c>
    </row>
    <row r="2387" spans="1:12" hidden="1" x14ac:dyDescent="0.3">
      <c r="A2387" s="39">
        <v>46059.700601851851</v>
      </c>
      <c r="B2387" s="33">
        <v>4334232912</v>
      </c>
      <c r="C2387" s="33" t="s">
        <v>44</v>
      </c>
      <c r="D2387" s="33">
        <v>4430265054</v>
      </c>
      <c r="E2387" s="33">
        <v>678</v>
      </c>
      <c r="F2387" s="33">
        <v>643</v>
      </c>
      <c r="G2387" s="33" t="s">
        <v>38</v>
      </c>
      <c r="H2387" s="33" t="s">
        <v>4713</v>
      </c>
      <c r="I2387" s="33" t="s">
        <v>39</v>
      </c>
      <c r="J2387" s="33" t="s">
        <v>40</v>
      </c>
      <c r="K2387" s="33" t="s">
        <v>41</v>
      </c>
    </row>
    <row r="2388" spans="1:12" hidden="1" x14ac:dyDescent="0.3">
      <c r="A2388" s="39">
        <v>46059.697118055556</v>
      </c>
      <c r="B2388" s="33" t="s">
        <v>44</v>
      </c>
      <c r="C2388" s="33">
        <v>44991333591</v>
      </c>
      <c r="E2388" s="33">
        <v>230</v>
      </c>
      <c r="F2388" s="33">
        <v>217</v>
      </c>
      <c r="G2388" s="33" t="s">
        <v>38</v>
      </c>
      <c r="H2388" s="33" t="s">
        <v>6212</v>
      </c>
      <c r="I2388" s="33" t="s">
        <v>46</v>
      </c>
      <c r="J2388" s="33" t="s">
        <v>40</v>
      </c>
    </row>
    <row r="2389" spans="1:12" hidden="1" x14ac:dyDescent="0.3">
      <c r="A2389" s="39">
        <v>46059.69327546296</v>
      </c>
      <c r="B2389" s="33">
        <v>44988255390</v>
      </c>
      <c r="C2389" s="33" t="s">
        <v>48</v>
      </c>
      <c r="D2389" s="33">
        <v>4430265054</v>
      </c>
      <c r="E2389" s="33">
        <v>942</v>
      </c>
      <c r="F2389" s="33">
        <v>906</v>
      </c>
      <c r="G2389" s="33" t="s">
        <v>38</v>
      </c>
      <c r="H2389" s="33" t="s">
        <v>4714</v>
      </c>
      <c r="I2389" s="33" t="s">
        <v>39</v>
      </c>
      <c r="J2389" s="33" t="s">
        <v>40</v>
      </c>
      <c r="K2389" s="33" t="s">
        <v>41</v>
      </c>
    </row>
    <row r="2390" spans="1:12" hidden="1" x14ac:dyDescent="0.3">
      <c r="A2390" s="39">
        <v>46059.692546296297</v>
      </c>
      <c r="B2390" s="33">
        <v>4133491428</v>
      </c>
      <c r="C2390" s="33" t="s">
        <v>44</v>
      </c>
      <c r="D2390" s="33">
        <v>4430265054</v>
      </c>
      <c r="E2390" s="33">
        <v>306</v>
      </c>
      <c r="F2390" s="33">
        <v>208</v>
      </c>
      <c r="G2390" s="33" t="s">
        <v>38</v>
      </c>
      <c r="H2390" s="33" t="s">
        <v>4715</v>
      </c>
      <c r="I2390" s="33" t="s">
        <v>39</v>
      </c>
      <c r="J2390" s="33" t="s">
        <v>40</v>
      </c>
      <c r="K2390" s="33" t="s">
        <v>41</v>
      </c>
    </row>
    <row r="2391" spans="1:12" hidden="1" x14ac:dyDescent="0.3">
      <c r="A2391" s="39">
        <v>46059.690972222219</v>
      </c>
      <c r="B2391" s="33" t="s">
        <v>3627</v>
      </c>
      <c r="C2391" s="33">
        <v>63984835013</v>
      </c>
      <c r="E2391" s="33">
        <v>7</v>
      </c>
      <c r="F2391" s="33">
        <v>5</v>
      </c>
      <c r="G2391" s="33" t="s">
        <v>38</v>
      </c>
      <c r="H2391" s="33" t="s">
        <v>6213</v>
      </c>
      <c r="I2391" s="33" t="s">
        <v>46</v>
      </c>
      <c r="J2391" s="33" t="s">
        <v>3629</v>
      </c>
    </row>
    <row r="2392" spans="1:12" hidden="1" x14ac:dyDescent="0.3">
      <c r="A2392" s="39">
        <v>46059.689467592594</v>
      </c>
      <c r="B2392" s="33">
        <v>44997749003</v>
      </c>
      <c r="C2392" s="33" t="s">
        <v>43</v>
      </c>
      <c r="D2392" s="33">
        <v>4430265054</v>
      </c>
      <c r="E2392" s="33">
        <v>371</v>
      </c>
      <c r="F2392" s="33">
        <v>351</v>
      </c>
      <c r="G2392" s="33" t="s">
        <v>38</v>
      </c>
      <c r="H2392" s="33" t="s">
        <v>4716</v>
      </c>
      <c r="I2392" s="33" t="s">
        <v>39</v>
      </c>
      <c r="J2392" s="33" t="s">
        <v>40</v>
      </c>
      <c r="K2392" s="33" t="s">
        <v>41</v>
      </c>
      <c r="L2392" s="33">
        <v>5</v>
      </c>
    </row>
    <row r="2393" spans="1:12" hidden="1" x14ac:dyDescent="0.3">
      <c r="A2393" s="39">
        <v>46059.684745370374</v>
      </c>
      <c r="B2393" s="33">
        <v>4430459032</v>
      </c>
      <c r="C2393" s="33" t="s">
        <v>42</v>
      </c>
      <c r="D2393" s="33">
        <v>4430265054</v>
      </c>
      <c r="E2393" s="33">
        <v>459</v>
      </c>
      <c r="F2393" s="33">
        <v>399</v>
      </c>
      <c r="G2393" s="33" t="s">
        <v>38</v>
      </c>
      <c r="H2393" s="33" t="s">
        <v>4717</v>
      </c>
      <c r="I2393" s="33" t="s">
        <v>39</v>
      </c>
      <c r="J2393" s="33" t="s">
        <v>40</v>
      </c>
      <c r="K2393" s="33" t="s">
        <v>41</v>
      </c>
    </row>
    <row r="2394" spans="1:12" hidden="1" x14ac:dyDescent="0.3">
      <c r="A2394" s="39">
        <v>46059.684525462966</v>
      </c>
      <c r="B2394" s="33">
        <v>11998030658</v>
      </c>
      <c r="C2394" s="33" t="s">
        <v>44</v>
      </c>
      <c r="D2394" s="33">
        <v>4430265054</v>
      </c>
      <c r="E2394" s="33">
        <v>562</v>
      </c>
      <c r="F2394" s="33">
        <v>519</v>
      </c>
      <c r="G2394" s="33" t="s">
        <v>38</v>
      </c>
      <c r="H2394" s="33" t="s">
        <v>4718</v>
      </c>
      <c r="I2394" s="33" t="s">
        <v>39</v>
      </c>
      <c r="J2394" s="33" t="s">
        <v>40</v>
      </c>
      <c r="K2394" s="33" t="s">
        <v>41</v>
      </c>
    </row>
    <row r="2395" spans="1:12" hidden="1" x14ac:dyDescent="0.3">
      <c r="A2395" s="39">
        <v>46059.680231481485</v>
      </c>
      <c r="B2395" s="33" t="s">
        <v>37</v>
      </c>
      <c r="C2395" s="33">
        <v>89994229714</v>
      </c>
      <c r="E2395" s="33">
        <v>2666</v>
      </c>
      <c r="F2395" s="33">
        <v>2658</v>
      </c>
      <c r="G2395" s="33" t="s">
        <v>38</v>
      </c>
      <c r="H2395" s="33" t="s">
        <v>6214</v>
      </c>
      <c r="I2395" s="33" t="s">
        <v>46</v>
      </c>
      <c r="J2395" s="33" t="s">
        <v>40</v>
      </c>
    </row>
    <row r="2396" spans="1:12" hidden="1" x14ac:dyDescent="0.3">
      <c r="A2396" s="39">
        <v>46059.67863425926</v>
      </c>
      <c r="B2396" s="33" t="s">
        <v>37</v>
      </c>
      <c r="C2396" s="33">
        <v>89994229714</v>
      </c>
      <c r="E2396" s="33">
        <v>18</v>
      </c>
      <c r="F2396" s="33">
        <v>13</v>
      </c>
      <c r="G2396" s="33" t="s">
        <v>38</v>
      </c>
      <c r="H2396" s="33" t="s">
        <v>6215</v>
      </c>
      <c r="I2396" s="33" t="s">
        <v>46</v>
      </c>
      <c r="J2396" s="33" t="s">
        <v>40</v>
      </c>
    </row>
    <row r="2397" spans="1:12" hidden="1" x14ac:dyDescent="0.3">
      <c r="A2397" s="39">
        <v>46059.67701388889</v>
      </c>
      <c r="B2397" s="33">
        <v>44991792339</v>
      </c>
      <c r="C2397" s="33" t="s">
        <v>43</v>
      </c>
      <c r="D2397" s="33">
        <v>4430265054</v>
      </c>
      <c r="E2397" s="33">
        <v>856</v>
      </c>
      <c r="F2397" s="33">
        <v>697</v>
      </c>
      <c r="G2397" s="33" t="s">
        <v>38</v>
      </c>
      <c r="H2397" s="33" t="s">
        <v>4719</v>
      </c>
      <c r="I2397" s="33" t="s">
        <v>39</v>
      </c>
      <c r="J2397" s="33" t="s">
        <v>40</v>
      </c>
      <c r="K2397" s="33" t="s">
        <v>41</v>
      </c>
    </row>
    <row r="2398" spans="1:12" hidden="1" x14ac:dyDescent="0.3">
      <c r="A2398" s="39">
        <v>46059.675474537034</v>
      </c>
      <c r="B2398" s="33">
        <v>4430459032</v>
      </c>
      <c r="C2398" s="33">
        <v>4430265054</v>
      </c>
      <c r="D2398" s="33">
        <v>4430265054</v>
      </c>
      <c r="E2398" s="33">
        <v>62</v>
      </c>
      <c r="F2398" s="33">
        <v>62</v>
      </c>
      <c r="G2398" s="33" t="s">
        <v>3449</v>
      </c>
      <c r="H2398" s="33" t="s">
        <v>4720</v>
      </c>
      <c r="I2398" s="33" t="s">
        <v>39</v>
      </c>
      <c r="J2398" s="33" t="s">
        <v>3451</v>
      </c>
      <c r="K2398" s="33" t="s">
        <v>41</v>
      </c>
    </row>
    <row r="2399" spans="1:12" hidden="1" x14ac:dyDescent="0.3">
      <c r="A2399" s="39">
        <v>46059.674143518518</v>
      </c>
      <c r="B2399" s="33">
        <v>4430346845</v>
      </c>
      <c r="C2399" s="33" t="s">
        <v>44</v>
      </c>
      <c r="D2399" s="33">
        <v>4430265054</v>
      </c>
      <c r="E2399" s="33">
        <v>415</v>
      </c>
      <c r="F2399" s="33">
        <v>295</v>
      </c>
      <c r="G2399" s="33" t="s">
        <v>38</v>
      </c>
      <c r="H2399" s="33" t="s">
        <v>4721</v>
      </c>
      <c r="I2399" s="33" t="s">
        <v>39</v>
      </c>
      <c r="J2399" s="33" t="s">
        <v>40</v>
      </c>
      <c r="K2399" s="33" t="s">
        <v>41</v>
      </c>
    </row>
    <row r="2400" spans="1:12" hidden="1" x14ac:dyDescent="0.3">
      <c r="A2400" s="39">
        <v>46059.662638888891</v>
      </c>
      <c r="B2400" s="33" t="s">
        <v>43</v>
      </c>
      <c r="C2400" s="33">
        <v>45999211357</v>
      </c>
      <c r="E2400" s="33">
        <v>1050</v>
      </c>
      <c r="F2400" s="33">
        <v>1039</v>
      </c>
      <c r="G2400" s="33" t="s">
        <v>38</v>
      </c>
      <c r="H2400" s="33" t="s">
        <v>6216</v>
      </c>
      <c r="I2400" s="33" t="s">
        <v>46</v>
      </c>
      <c r="J2400" s="33" t="s">
        <v>40</v>
      </c>
    </row>
    <row r="2401" spans="1:12" hidden="1" x14ac:dyDescent="0.3">
      <c r="A2401" s="39">
        <v>46059.661759259259</v>
      </c>
      <c r="B2401" s="33">
        <v>45999211357</v>
      </c>
      <c r="C2401" s="33" t="s">
        <v>43</v>
      </c>
      <c r="D2401" s="33">
        <v>4431268225</v>
      </c>
      <c r="E2401" s="33">
        <v>75</v>
      </c>
      <c r="F2401" s="33">
        <v>37</v>
      </c>
      <c r="G2401" s="33" t="s">
        <v>38</v>
      </c>
      <c r="H2401" s="33" t="s">
        <v>4722</v>
      </c>
      <c r="I2401" s="33" t="s">
        <v>39</v>
      </c>
      <c r="J2401" s="33" t="s">
        <v>40</v>
      </c>
      <c r="K2401" s="33" t="s">
        <v>41</v>
      </c>
    </row>
    <row r="2402" spans="1:12" hidden="1" x14ac:dyDescent="0.3">
      <c r="A2402" s="39">
        <v>46059.657870370371</v>
      </c>
      <c r="B2402" s="33">
        <v>44991116911</v>
      </c>
      <c r="C2402" s="33" t="s">
        <v>45</v>
      </c>
      <c r="D2402" s="33">
        <v>4430265054</v>
      </c>
      <c r="E2402" s="33">
        <v>1671</v>
      </c>
      <c r="F2402" s="33">
        <v>1612</v>
      </c>
      <c r="G2402" s="33" t="s">
        <v>38</v>
      </c>
      <c r="H2402" s="33" t="s">
        <v>4723</v>
      </c>
      <c r="I2402" s="33" t="s">
        <v>39</v>
      </c>
      <c r="J2402" s="33" t="s">
        <v>40</v>
      </c>
      <c r="K2402" s="33" t="s">
        <v>41</v>
      </c>
      <c r="L2402" s="33">
        <v>5</v>
      </c>
    </row>
    <row r="2403" spans="1:12" hidden="1" x14ac:dyDescent="0.3">
      <c r="A2403" s="39">
        <v>46059.652916666666</v>
      </c>
      <c r="B2403" s="33">
        <v>44999009971</v>
      </c>
      <c r="C2403" s="33" t="s">
        <v>44</v>
      </c>
      <c r="D2403" s="33">
        <v>4430265054</v>
      </c>
      <c r="E2403" s="33">
        <v>600</v>
      </c>
      <c r="F2403" s="33">
        <v>572</v>
      </c>
      <c r="G2403" s="33" t="s">
        <v>38</v>
      </c>
      <c r="H2403" s="33" t="s">
        <v>4724</v>
      </c>
      <c r="I2403" s="33" t="s">
        <v>39</v>
      </c>
      <c r="J2403" s="33" t="s">
        <v>40</v>
      </c>
      <c r="K2403" s="33" t="s">
        <v>41</v>
      </c>
    </row>
    <row r="2404" spans="1:12" hidden="1" x14ac:dyDescent="0.3">
      <c r="A2404" s="39">
        <v>46059.651516203703</v>
      </c>
      <c r="B2404" s="33">
        <v>44999009971</v>
      </c>
      <c r="C2404" s="33">
        <v>4430265054</v>
      </c>
      <c r="D2404" s="33">
        <v>4430265054</v>
      </c>
      <c r="E2404" s="33">
        <v>5</v>
      </c>
      <c r="F2404" s="33">
        <v>5</v>
      </c>
      <c r="G2404" s="33" t="s">
        <v>3449</v>
      </c>
      <c r="H2404" s="33" t="s">
        <v>6217</v>
      </c>
      <c r="I2404" s="33" t="s">
        <v>39</v>
      </c>
      <c r="J2404" s="33" t="s">
        <v>3451</v>
      </c>
    </row>
    <row r="2405" spans="1:12" hidden="1" x14ac:dyDescent="0.3">
      <c r="A2405" s="39">
        <v>46059.650277777779</v>
      </c>
      <c r="B2405" s="33">
        <v>4430562296</v>
      </c>
      <c r="C2405" s="33" t="s">
        <v>37</v>
      </c>
      <c r="D2405" s="33">
        <v>4430265054</v>
      </c>
      <c r="E2405" s="33">
        <v>331</v>
      </c>
      <c r="F2405" s="33">
        <v>276</v>
      </c>
      <c r="G2405" s="33" t="s">
        <v>38</v>
      </c>
      <c r="H2405" s="33" t="s">
        <v>4725</v>
      </c>
      <c r="I2405" s="33" t="s">
        <v>39</v>
      </c>
      <c r="J2405" s="33" t="s">
        <v>40</v>
      </c>
      <c r="K2405" s="33" t="s">
        <v>41</v>
      </c>
    </row>
    <row r="2406" spans="1:12" hidden="1" x14ac:dyDescent="0.3">
      <c r="A2406" s="39">
        <v>46059.649178240739</v>
      </c>
      <c r="B2406" s="33" t="s">
        <v>45</v>
      </c>
      <c r="C2406" s="33">
        <v>44999550050</v>
      </c>
      <c r="E2406" s="33">
        <v>79</v>
      </c>
      <c r="F2406" s="33">
        <v>72</v>
      </c>
      <c r="G2406" s="33" t="s">
        <v>38</v>
      </c>
      <c r="H2406" s="33" t="s">
        <v>6218</v>
      </c>
      <c r="I2406" s="33" t="s">
        <v>46</v>
      </c>
      <c r="J2406" s="33" t="s">
        <v>40</v>
      </c>
    </row>
    <row r="2407" spans="1:12" hidden="1" x14ac:dyDescent="0.3">
      <c r="A2407" s="39">
        <v>46059.6483912037</v>
      </c>
      <c r="B2407" s="33" t="s">
        <v>5173</v>
      </c>
      <c r="C2407" s="33" t="s">
        <v>51</v>
      </c>
      <c r="E2407" s="33">
        <v>792</v>
      </c>
      <c r="F2407" s="33">
        <v>790</v>
      </c>
      <c r="G2407" s="33" t="s">
        <v>38</v>
      </c>
      <c r="H2407" s="33" t="s">
        <v>6219</v>
      </c>
      <c r="I2407" s="33" t="s">
        <v>52</v>
      </c>
      <c r="J2407" s="33" t="s">
        <v>3629</v>
      </c>
    </row>
    <row r="2408" spans="1:12" hidden="1" x14ac:dyDescent="0.3">
      <c r="A2408" s="39">
        <v>46059.647766203707</v>
      </c>
      <c r="B2408" s="33" t="s">
        <v>48</v>
      </c>
      <c r="C2408" s="33">
        <v>1639391799</v>
      </c>
      <c r="E2408" s="33">
        <v>1579</v>
      </c>
      <c r="F2408" s="33">
        <v>1562</v>
      </c>
      <c r="G2408" s="33" t="s">
        <v>38</v>
      </c>
      <c r="H2408" s="33" t="s">
        <v>6220</v>
      </c>
      <c r="I2408" s="33" t="s">
        <v>46</v>
      </c>
      <c r="J2408" s="33" t="s">
        <v>40</v>
      </c>
    </row>
    <row r="2409" spans="1:12" hidden="1" x14ac:dyDescent="0.3">
      <c r="A2409" s="39">
        <v>46059.646550925929</v>
      </c>
      <c r="B2409" s="33" t="s">
        <v>48</v>
      </c>
      <c r="C2409" s="33">
        <v>1639391799</v>
      </c>
      <c r="E2409" s="33">
        <v>1</v>
      </c>
      <c r="F2409" s="33">
        <v>0</v>
      </c>
      <c r="G2409" s="33" t="s">
        <v>47</v>
      </c>
      <c r="H2409" s="33" t="s">
        <v>6221</v>
      </c>
      <c r="I2409" s="33" t="s">
        <v>46</v>
      </c>
      <c r="J2409" s="33" t="s">
        <v>40</v>
      </c>
    </row>
    <row r="2410" spans="1:12" hidden="1" x14ac:dyDescent="0.3">
      <c r="A2410" s="39">
        <v>46059.646319444444</v>
      </c>
      <c r="B2410" s="33" t="s">
        <v>48</v>
      </c>
      <c r="C2410" s="33">
        <v>1639391799</v>
      </c>
      <c r="E2410" s="33">
        <v>1</v>
      </c>
      <c r="F2410" s="33">
        <v>0</v>
      </c>
      <c r="G2410" s="33" t="s">
        <v>47</v>
      </c>
      <c r="H2410" s="33" t="s">
        <v>6222</v>
      </c>
      <c r="I2410" s="33" t="s">
        <v>46</v>
      </c>
      <c r="J2410" s="33" t="s">
        <v>40</v>
      </c>
    </row>
    <row r="2411" spans="1:12" hidden="1" x14ac:dyDescent="0.3">
      <c r="A2411" s="39">
        <v>46059.637766203705</v>
      </c>
      <c r="B2411" s="33" t="s">
        <v>5173</v>
      </c>
      <c r="C2411" s="33">
        <v>44944039953</v>
      </c>
      <c r="E2411" s="33">
        <v>0</v>
      </c>
      <c r="F2411" s="33">
        <v>0</v>
      </c>
      <c r="G2411" s="33" t="s">
        <v>47</v>
      </c>
      <c r="H2411" s="33" t="s">
        <v>6223</v>
      </c>
      <c r="I2411" s="33" t="s">
        <v>46</v>
      </c>
      <c r="J2411" s="33" t="s">
        <v>3629</v>
      </c>
    </row>
    <row r="2412" spans="1:12" hidden="1" x14ac:dyDescent="0.3">
      <c r="A2412" s="39">
        <v>46059.637349537035</v>
      </c>
      <c r="B2412" s="33" t="s">
        <v>5173</v>
      </c>
      <c r="C2412" s="33">
        <v>94994039953</v>
      </c>
      <c r="E2412" s="33">
        <v>7</v>
      </c>
      <c r="F2412" s="33">
        <v>0</v>
      </c>
      <c r="G2412" s="33" t="s">
        <v>47</v>
      </c>
      <c r="H2412" s="33" t="s">
        <v>6224</v>
      </c>
      <c r="I2412" s="33" t="s">
        <v>46</v>
      </c>
      <c r="J2412" s="33" t="s">
        <v>3629</v>
      </c>
    </row>
    <row r="2413" spans="1:12" hidden="1" x14ac:dyDescent="0.3">
      <c r="A2413" s="39">
        <v>46059.637083333335</v>
      </c>
      <c r="B2413" s="33" t="s">
        <v>5173</v>
      </c>
      <c r="C2413" s="33">
        <v>44997134514</v>
      </c>
      <c r="E2413" s="33">
        <v>5</v>
      </c>
      <c r="F2413" s="33">
        <v>0</v>
      </c>
      <c r="G2413" s="33" t="s">
        <v>47</v>
      </c>
      <c r="H2413" s="33" t="s">
        <v>6225</v>
      </c>
      <c r="I2413" s="33" t="s">
        <v>46</v>
      </c>
      <c r="J2413" s="33" t="s">
        <v>3629</v>
      </c>
    </row>
    <row r="2414" spans="1:12" hidden="1" x14ac:dyDescent="0.3">
      <c r="A2414" s="39">
        <v>46059.634884259256</v>
      </c>
      <c r="B2414" s="33">
        <v>44999654761</v>
      </c>
      <c r="C2414" s="33" t="s">
        <v>37</v>
      </c>
      <c r="D2414" s="33">
        <v>4430265054</v>
      </c>
      <c r="E2414" s="33">
        <v>727</v>
      </c>
      <c r="F2414" s="33">
        <v>673</v>
      </c>
      <c r="G2414" s="33" t="s">
        <v>38</v>
      </c>
      <c r="H2414" s="33" t="s">
        <v>4726</v>
      </c>
      <c r="I2414" s="33" t="s">
        <v>39</v>
      </c>
      <c r="J2414" s="33" t="s">
        <v>40</v>
      </c>
      <c r="K2414" s="33" t="s">
        <v>41</v>
      </c>
    </row>
    <row r="2415" spans="1:12" hidden="1" x14ac:dyDescent="0.3">
      <c r="A2415" s="39">
        <v>46059.63417824074</v>
      </c>
      <c r="B2415" s="33">
        <v>4430145172</v>
      </c>
      <c r="C2415" s="33" t="s">
        <v>45</v>
      </c>
      <c r="D2415" s="33">
        <v>4430265054</v>
      </c>
      <c r="E2415" s="33">
        <v>904</v>
      </c>
      <c r="F2415" s="33">
        <v>842</v>
      </c>
      <c r="G2415" s="33" t="s">
        <v>38</v>
      </c>
      <c r="H2415" s="33" t="s">
        <v>4727</v>
      </c>
      <c r="I2415" s="33" t="s">
        <v>39</v>
      </c>
      <c r="J2415" s="33" t="s">
        <v>40</v>
      </c>
      <c r="K2415" s="33" t="s">
        <v>41</v>
      </c>
    </row>
    <row r="2416" spans="1:12" hidden="1" x14ac:dyDescent="0.3">
      <c r="A2416" s="39">
        <v>46059.632939814815</v>
      </c>
      <c r="B2416" s="33">
        <v>41999195082</v>
      </c>
      <c r="C2416" s="33" t="s">
        <v>37</v>
      </c>
      <c r="D2416" s="33">
        <v>4430265054</v>
      </c>
      <c r="E2416" s="33">
        <v>163</v>
      </c>
      <c r="F2416" s="33">
        <v>148</v>
      </c>
      <c r="G2416" s="33" t="s">
        <v>38</v>
      </c>
      <c r="H2416" s="33" t="s">
        <v>4728</v>
      </c>
      <c r="I2416" s="33" t="s">
        <v>39</v>
      </c>
      <c r="J2416" s="33" t="s">
        <v>40</v>
      </c>
      <c r="K2416" s="33" t="s">
        <v>41</v>
      </c>
      <c r="L2416" s="33">
        <v>5</v>
      </c>
    </row>
    <row r="2417" spans="1:12" hidden="1" x14ac:dyDescent="0.3">
      <c r="A2417" s="39">
        <v>46059.6325462963</v>
      </c>
      <c r="B2417" s="33">
        <v>4430145172</v>
      </c>
      <c r="C2417" s="33">
        <v>4430265054</v>
      </c>
      <c r="D2417" s="33">
        <v>4430265054</v>
      </c>
      <c r="E2417" s="33">
        <v>26</v>
      </c>
      <c r="F2417" s="33">
        <v>25</v>
      </c>
      <c r="G2417" s="33" t="s">
        <v>3449</v>
      </c>
      <c r="H2417" s="33" t="s">
        <v>6226</v>
      </c>
      <c r="I2417" s="33" t="s">
        <v>39</v>
      </c>
      <c r="J2417" s="33" t="s">
        <v>3451</v>
      </c>
    </row>
    <row r="2418" spans="1:12" hidden="1" x14ac:dyDescent="0.3">
      <c r="A2418" s="39">
        <v>46059.630347222221</v>
      </c>
      <c r="B2418" s="33" t="s">
        <v>3627</v>
      </c>
      <c r="C2418" s="33">
        <v>81997085709</v>
      </c>
      <c r="E2418" s="33">
        <v>52</v>
      </c>
      <c r="F2418" s="33">
        <v>3</v>
      </c>
      <c r="G2418" s="33" t="s">
        <v>38</v>
      </c>
      <c r="H2418" s="33" t="s">
        <v>6227</v>
      </c>
      <c r="I2418" s="33" t="s">
        <v>46</v>
      </c>
      <c r="J2418" s="33" t="s">
        <v>3629</v>
      </c>
    </row>
    <row r="2419" spans="1:12" hidden="1" x14ac:dyDescent="0.3">
      <c r="A2419" s="39">
        <v>46059.62877314815</v>
      </c>
      <c r="B2419" s="33" t="s">
        <v>37</v>
      </c>
      <c r="C2419" s="33">
        <v>4334234629</v>
      </c>
      <c r="E2419" s="33">
        <v>276</v>
      </c>
      <c r="F2419" s="33">
        <v>265</v>
      </c>
      <c r="G2419" s="33" t="s">
        <v>38</v>
      </c>
      <c r="H2419" s="33" t="s">
        <v>6228</v>
      </c>
      <c r="I2419" s="33" t="s">
        <v>46</v>
      </c>
      <c r="J2419" s="33" t="s">
        <v>40</v>
      </c>
    </row>
    <row r="2420" spans="1:12" hidden="1" x14ac:dyDescent="0.3">
      <c r="A2420" s="39">
        <v>46059.627847222226</v>
      </c>
      <c r="B2420" s="33">
        <v>4532541802</v>
      </c>
      <c r="C2420" s="33" t="s">
        <v>48</v>
      </c>
      <c r="D2420" s="33">
        <v>4430265054</v>
      </c>
      <c r="E2420" s="33">
        <v>297</v>
      </c>
      <c r="F2420" s="33">
        <v>247</v>
      </c>
      <c r="G2420" s="33" t="s">
        <v>38</v>
      </c>
      <c r="H2420" s="33" t="s">
        <v>4729</v>
      </c>
      <c r="I2420" s="33" t="s">
        <v>39</v>
      </c>
      <c r="J2420" s="33" t="s">
        <v>40</v>
      </c>
      <c r="K2420" s="33" t="s">
        <v>41</v>
      </c>
    </row>
    <row r="2421" spans="1:12" hidden="1" x14ac:dyDescent="0.3">
      <c r="A2421" s="39">
        <v>46059.627743055556</v>
      </c>
      <c r="B2421" s="33">
        <v>44999550050</v>
      </c>
      <c r="C2421" s="33" t="s">
        <v>45</v>
      </c>
      <c r="D2421" s="33">
        <v>4430265054</v>
      </c>
      <c r="E2421" s="33">
        <v>305</v>
      </c>
      <c r="F2421" s="33">
        <v>252</v>
      </c>
      <c r="G2421" s="33" t="s">
        <v>38</v>
      </c>
      <c r="H2421" s="33" t="s">
        <v>4730</v>
      </c>
      <c r="I2421" s="33" t="s">
        <v>39</v>
      </c>
      <c r="J2421" s="33" t="s">
        <v>40</v>
      </c>
      <c r="K2421" s="33" t="s">
        <v>41</v>
      </c>
    </row>
    <row r="2422" spans="1:12" hidden="1" x14ac:dyDescent="0.3">
      <c r="A2422" s="39">
        <v>46059.626585648148</v>
      </c>
      <c r="B2422" s="33" t="s">
        <v>3627</v>
      </c>
      <c r="C2422" s="33">
        <v>1332022100</v>
      </c>
      <c r="E2422" s="33">
        <v>49</v>
      </c>
      <c r="F2422" s="33">
        <v>47</v>
      </c>
      <c r="G2422" s="33" t="s">
        <v>38</v>
      </c>
      <c r="H2422" s="33" t="s">
        <v>6229</v>
      </c>
      <c r="I2422" s="33" t="s">
        <v>46</v>
      </c>
      <c r="J2422" s="33" t="s">
        <v>3629</v>
      </c>
    </row>
    <row r="2423" spans="1:12" hidden="1" x14ac:dyDescent="0.3">
      <c r="A2423" s="39">
        <v>46059.6247337963</v>
      </c>
      <c r="B2423" s="33" t="s">
        <v>3627</v>
      </c>
      <c r="C2423" s="33">
        <v>1130789803</v>
      </c>
      <c r="E2423" s="33">
        <v>44</v>
      </c>
      <c r="F2423" s="33">
        <v>33</v>
      </c>
      <c r="G2423" s="33" t="s">
        <v>38</v>
      </c>
      <c r="H2423" s="33" t="s">
        <v>6230</v>
      </c>
      <c r="I2423" s="33" t="s">
        <v>46</v>
      </c>
      <c r="J2423" s="33" t="s">
        <v>3629</v>
      </c>
    </row>
    <row r="2424" spans="1:12" hidden="1" x14ac:dyDescent="0.3">
      <c r="A2424" s="39">
        <v>46059.622881944444</v>
      </c>
      <c r="B2424" s="33">
        <v>4436297742</v>
      </c>
      <c r="C2424" s="33" t="s">
        <v>42</v>
      </c>
      <c r="D2424" s="33">
        <v>4430265054</v>
      </c>
      <c r="E2424" s="33">
        <v>439</v>
      </c>
      <c r="F2424" s="33">
        <v>262</v>
      </c>
      <c r="G2424" s="33" t="s">
        <v>38</v>
      </c>
      <c r="H2424" s="33" t="s">
        <v>4731</v>
      </c>
      <c r="I2424" s="33" t="s">
        <v>39</v>
      </c>
      <c r="J2424" s="33" t="s">
        <v>40</v>
      </c>
      <c r="K2424" s="33" t="s">
        <v>41</v>
      </c>
    </row>
    <row r="2425" spans="1:12" hidden="1" x14ac:dyDescent="0.3">
      <c r="A2425" s="39">
        <v>46059.621655092589</v>
      </c>
      <c r="B2425" s="33">
        <v>16996426634</v>
      </c>
      <c r="C2425" s="33" t="s">
        <v>42</v>
      </c>
      <c r="D2425" s="33">
        <v>4430265054</v>
      </c>
      <c r="E2425" s="33">
        <v>275</v>
      </c>
      <c r="F2425" s="33">
        <v>45</v>
      </c>
      <c r="G2425" s="33" t="s">
        <v>38</v>
      </c>
      <c r="H2425" s="33" t="s">
        <v>4732</v>
      </c>
      <c r="I2425" s="33" t="s">
        <v>39</v>
      </c>
      <c r="J2425" s="33" t="s">
        <v>40</v>
      </c>
      <c r="K2425" s="33" t="s">
        <v>41</v>
      </c>
    </row>
    <row r="2426" spans="1:12" hidden="1" x14ac:dyDescent="0.3">
      <c r="A2426" s="39">
        <v>46059.621076388888</v>
      </c>
      <c r="B2426" s="33">
        <v>4430317020</v>
      </c>
      <c r="C2426" s="33" t="s">
        <v>45</v>
      </c>
      <c r="D2426" s="33">
        <v>4430265054</v>
      </c>
      <c r="E2426" s="33">
        <v>644</v>
      </c>
      <c r="F2426" s="33">
        <v>616</v>
      </c>
      <c r="G2426" s="33" t="s">
        <v>38</v>
      </c>
      <c r="H2426" s="33" t="s">
        <v>4733</v>
      </c>
      <c r="I2426" s="33" t="s">
        <v>39</v>
      </c>
      <c r="J2426" s="33" t="s">
        <v>40</v>
      </c>
      <c r="K2426" s="33" t="s">
        <v>41</v>
      </c>
      <c r="L2426" s="33">
        <v>5</v>
      </c>
    </row>
    <row r="2427" spans="1:12" hidden="1" x14ac:dyDescent="0.3">
      <c r="A2427" s="39">
        <v>46059.619317129633</v>
      </c>
      <c r="B2427" s="33">
        <v>1639391799</v>
      </c>
      <c r="C2427" s="33" t="s">
        <v>44</v>
      </c>
      <c r="D2427" s="33">
        <v>4430265054</v>
      </c>
      <c r="E2427" s="33">
        <v>2432</v>
      </c>
      <c r="F2427" s="33">
        <v>2396</v>
      </c>
      <c r="G2427" s="33" t="s">
        <v>38</v>
      </c>
      <c r="H2427" s="33" t="s">
        <v>4734</v>
      </c>
      <c r="I2427" s="33" t="s">
        <v>39</v>
      </c>
      <c r="J2427" s="33" t="s">
        <v>40</v>
      </c>
      <c r="K2427" s="33" t="s">
        <v>41</v>
      </c>
    </row>
    <row r="2428" spans="1:12" hidden="1" x14ac:dyDescent="0.3">
      <c r="A2428" s="39">
        <v>46059.619016203702</v>
      </c>
      <c r="B2428" s="33">
        <v>1143744993</v>
      </c>
      <c r="C2428" s="33" t="s">
        <v>43</v>
      </c>
      <c r="D2428" s="33">
        <v>4431268225</v>
      </c>
      <c r="E2428" s="33">
        <v>1369</v>
      </c>
      <c r="F2428" s="33">
        <v>1340</v>
      </c>
      <c r="G2428" s="33" t="s">
        <v>38</v>
      </c>
      <c r="H2428" s="33" t="s">
        <v>4735</v>
      </c>
      <c r="I2428" s="33" t="s">
        <v>39</v>
      </c>
      <c r="J2428" s="33" t="s">
        <v>40</v>
      </c>
      <c r="K2428" s="33" t="s">
        <v>41</v>
      </c>
    </row>
    <row r="2429" spans="1:12" hidden="1" x14ac:dyDescent="0.3">
      <c r="A2429" s="39">
        <v>46059.618750000001</v>
      </c>
      <c r="B2429" s="33" t="s">
        <v>44</v>
      </c>
      <c r="C2429" s="33">
        <v>16997190170</v>
      </c>
      <c r="E2429" s="33">
        <v>21</v>
      </c>
      <c r="F2429" s="33">
        <v>0</v>
      </c>
      <c r="G2429" s="33" t="s">
        <v>47</v>
      </c>
      <c r="H2429" s="33" t="s">
        <v>6231</v>
      </c>
      <c r="I2429" s="33" t="s">
        <v>46</v>
      </c>
      <c r="J2429" s="33" t="s">
        <v>40</v>
      </c>
    </row>
    <row r="2430" spans="1:12" hidden="1" x14ac:dyDescent="0.3">
      <c r="A2430" s="39">
        <v>46059.618495370371</v>
      </c>
      <c r="B2430" s="33" t="s">
        <v>44</v>
      </c>
      <c r="C2430" s="33">
        <v>16997190170</v>
      </c>
      <c r="E2430" s="33">
        <v>10</v>
      </c>
      <c r="F2430" s="33">
        <v>0</v>
      </c>
      <c r="G2430" s="33" t="s">
        <v>47</v>
      </c>
      <c r="H2430" s="33" t="s">
        <v>6232</v>
      </c>
      <c r="I2430" s="33" t="s">
        <v>46</v>
      </c>
      <c r="J2430" s="33" t="s">
        <v>40</v>
      </c>
    </row>
    <row r="2431" spans="1:12" hidden="1" x14ac:dyDescent="0.3">
      <c r="A2431" s="39">
        <v>46059.61478009259</v>
      </c>
      <c r="B2431" s="33" t="s">
        <v>45</v>
      </c>
      <c r="C2431" s="33">
        <v>44997616098</v>
      </c>
      <c r="E2431" s="33">
        <v>61</v>
      </c>
      <c r="F2431" s="33">
        <v>41</v>
      </c>
      <c r="G2431" s="33" t="s">
        <v>38</v>
      </c>
      <c r="H2431" s="33" t="s">
        <v>6233</v>
      </c>
      <c r="I2431" s="33" t="s">
        <v>46</v>
      </c>
      <c r="J2431" s="33" t="s">
        <v>40</v>
      </c>
    </row>
    <row r="2432" spans="1:12" hidden="1" x14ac:dyDescent="0.3">
      <c r="A2432" s="39">
        <v>46059.613217592596</v>
      </c>
      <c r="B2432" s="33">
        <v>4334234629</v>
      </c>
      <c r="C2432" s="33" t="s">
        <v>37</v>
      </c>
      <c r="D2432" s="33">
        <v>4430265054</v>
      </c>
      <c r="E2432" s="33">
        <v>448</v>
      </c>
      <c r="F2432" s="33">
        <v>382</v>
      </c>
      <c r="G2432" s="33" t="s">
        <v>38</v>
      </c>
      <c r="H2432" s="33" t="s">
        <v>4736</v>
      </c>
      <c r="I2432" s="33" t="s">
        <v>39</v>
      </c>
      <c r="J2432" s="33" t="s">
        <v>40</v>
      </c>
      <c r="K2432" s="33" t="s">
        <v>41</v>
      </c>
    </row>
    <row r="2433" spans="1:12" hidden="1" x14ac:dyDescent="0.3">
      <c r="A2433" s="39">
        <v>46059.612928240742</v>
      </c>
      <c r="B2433" s="33" t="s">
        <v>3627</v>
      </c>
      <c r="C2433" s="33">
        <v>81999117673</v>
      </c>
      <c r="E2433" s="33">
        <v>34</v>
      </c>
      <c r="F2433" s="33">
        <v>0</v>
      </c>
      <c r="G2433" s="33" t="s">
        <v>47</v>
      </c>
      <c r="H2433" s="33" t="s">
        <v>6234</v>
      </c>
      <c r="I2433" s="33" t="s">
        <v>46</v>
      </c>
      <c r="J2433" s="33" t="s">
        <v>3629</v>
      </c>
    </row>
    <row r="2434" spans="1:12" hidden="1" x14ac:dyDescent="0.3">
      <c r="A2434" s="39">
        <v>46059.611967592595</v>
      </c>
      <c r="B2434" s="33">
        <v>43984996095</v>
      </c>
      <c r="C2434" s="33" t="s">
        <v>42</v>
      </c>
      <c r="D2434" s="33">
        <v>4430265054</v>
      </c>
      <c r="E2434" s="33">
        <v>700</v>
      </c>
      <c r="F2434" s="33">
        <v>665</v>
      </c>
      <c r="G2434" s="33" t="s">
        <v>38</v>
      </c>
      <c r="H2434" s="33" t="s">
        <v>4737</v>
      </c>
      <c r="I2434" s="33" t="s">
        <v>39</v>
      </c>
      <c r="J2434" s="33" t="s">
        <v>40</v>
      </c>
      <c r="K2434" s="33" t="s">
        <v>41</v>
      </c>
    </row>
    <row r="2435" spans="1:12" hidden="1" x14ac:dyDescent="0.3">
      <c r="A2435" s="39">
        <v>46059.60974537037</v>
      </c>
      <c r="B2435" s="33" t="s">
        <v>43</v>
      </c>
      <c r="C2435" s="33">
        <v>4430289492</v>
      </c>
      <c r="E2435" s="33">
        <v>232</v>
      </c>
      <c r="F2435" s="33">
        <v>227</v>
      </c>
      <c r="G2435" s="33" t="s">
        <v>38</v>
      </c>
      <c r="H2435" s="33" t="s">
        <v>6235</v>
      </c>
      <c r="I2435" s="33" t="s">
        <v>46</v>
      </c>
      <c r="J2435" s="33" t="s">
        <v>40</v>
      </c>
    </row>
    <row r="2436" spans="1:12" hidden="1" x14ac:dyDescent="0.3">
      <c r="A2436" s="39">
        <v>46059.609317129631</v>
      </c>
      <c r="B2436" s="33" t="s">
        <v>43</v>
      </c>
      <c r="C2436" s="33">
        <v>4430289492</v>
      </c>
      <c r="E2436" s="33">
        <v>1</v>
      </c>
      <c r="F2436" s="33">
        <v>0</v>
      </c>
      <c r="G2436" s="33" t="s">
        <v>47</v>
      </c>
      <c r="H2436" s="33" t="s">
        <v>6236</v>
      </c>
      <c r="I2436" s="33" t="s">
        <v>46</v>
      </c>
      <c r="J2436" s="33" t="s">
        <v>40</v>
      </c>
    </row>
    <row r="2437" spans="1:12" hidden="1" x14ac:dyDescent="0.3">
      <c r="A2437" s="39">
        <v>46059.609201388892</v>
      </c>
      <c r="B2437" s="33" t="s">
        <v>43</v>
      </c>
      <c r="C2437" s="33">
        <v>4430289492</v>
      </c>
      <c r="E2437" s="33">
        <v>1</v>
      </c>
      <c r="F2437" s="33">
        <v>0</v>
      </c>
      <c r="G2437" s="33" t="s">
        <v>47</v>
      </c>
      <c r="H2437" s="33" t="s">
        <v>6237</v>
      </c>
      <c r="I2437" s="33" t="s">
        <v>46</v>
      </c>
      <c r="J2437" s="33" t="s">
        <v>40</v>
      </c>
    </row>
    <row r="2438" spans="1:12" hidden="1" x14ac:dyDescent="0.3">
      <c r="A2438" s="39">
        <v>46059.609155092592</v>
      </c>
      <c r="B2438" s="33" t="s">
        <v>43</v>
      </c>
      <c r="C2438" s="33">
        <v>4430289492</v>
      </c>
      <c r="E2438" s="33">
        <v>1</v>
      </c>
      <c r="F2438" s="33">
        <v>0</v>
      </c>
      <c r="G2438" s="33" t="s">
        <v>47</v>
      </c>
      <c r="H2438" s="33" t="s">
        <v>6238</v>
      </c>
      <c r="I2438" s="33" t="s">
        <v>46</v>
      </c>
      <c r="J2438" s="33" t="s">
        <v>40</v>
      </c>
    </row>
    <row r="2439" spans="1:12" hidden="1" x14ac:dyDescent="0.3">
      <c r="A2439" s="39">
        <v>46059.608842592592</v>
      </c>
      <c r="B2439" s="33" t="s">
        <v>43</v>
      </c>
      <c r="C2439" s="33">
        <v>4430289492</v>
      </c>
      <c r="E2439" s="33">
        <v>45</v>
      </c>
      <c r="F2439" s="33">
        <v>40</v>
      </c>
      <c r="G2439" s="33" t="s">
        <v>38</v>
      </c>
      <c r="H2439" s="33" t="s">
        <v>6239</v>
      </c>
      <c r="I2439" s="33" t="s">
        <v>46</v>
      </c>
      <c r="J2439" s="33" t="s">
        <v>40</v>
      </c>
    </row>
    <row r="2440" spans="1:12" hidden="1" x14ac:dyDescent="0.3">
      <c r="A2440" s="39">
        <v>46059.603750000002</v>
      </c>
      <c r="B2440" s="33" t="s">
        <v>43</v>
      </c>
      <c r="C2440" s="33">
        <v>4430289492</v>
      </c>
      <c r="E2440" s="33">
        <v>257</v>
      </c>
      <c r="F2440" s="33">
        <v>251</v>
      </c>
      <c r="G2440" s="33" t="s">
        <v>38</v>
      </c>
      <c r="H2440" s="33" t="s">
        <v>6240</v>
      </c>
      <c r="I2440" s="33" t="s">
        <v>46</v>
      </c>
      <c r="J2440" s="33" t="s">
        <v>40</v>
      </c>
    </row>
    <row r="2441" spans="1:12" hidden="1" x14ac:dyDescent="0.3">
      <c r="A2441" s="39">
        <v>46059.603437500002</v>
      </c>
      <c r="B2441" s="33">
        <v>44991792339</v>
      </c>
      <c r="C2441" s="33" t="s">
        <v>45</v>
      </c>
      <c r="D2441" s="33">
        <v>4430265054</v>
      </c>
      <c r="E2441" s="33">
        <v>821</v>
      </c>
      <c r="F2441" s="33">
        <v>780</v>
      </c>
      <c r="G2441" s="33" t="s">
        <v>38</v>
      </c>
      <c r="H2441" s="33" t="s">
        <v>4738</v>
      </c>
      <c r="I2441" s="33" t="s">
        <v>39</v>
      </c>
      <c r="J2441" s="33" t="s">
        <v>40</v>
      </c>
      <c r="K2441" s="33" t="s">
        <v>41</v>
      </c>
    </row>
    <row r="2442" spans="1:12" hidden="1" x14ac:dyDescent="0.3">
      <c r="A2442" s="39">
        <v>46059.600081018521</v>
      </c>
      <c r="B2442" s="33" t="s">
        <v>45</v>
      </c>
      <c r="C2442" s="33">
        <v>4532541802</v>
      </c>
      <c r="E2442" s="33">
        <v>250</v>
      </c>
      <c r="F2442" s="33">
        <v>250</v>
      </c>
      <c r="G2442" s="33" t="s">
        <v>38</v>
      </c>
      <c r="H2442" s="33" t="s">
        <v>6241</v>
      </c>
      <c r="I2442" s="33" t="s">
        <v>46</v>
      </c>
      <c r="J2442" s="33" t="s">
        <v>40</v>
      </c>
    </row>
    <row r="2443" spans="1:12" hidden="1" x14ac:dyDescent="0.3">
      <c r="A2443" s="39">
        <v>46059.598229166666</v>
      </c>
      <c r="B2443" s="33">
        <v>43999555292</v>
      </c>
      <c r="C2443" s="33" t="s">
        <v>37</v>
      </c>
      <c r="D2443" s="33">
        <v>4430265054</v>
      </c>
      <c r="E2443" s="33">
        <v>1074</v>
      </c>
      <c r="F2443" s="33">
        <v>999</v>
      </c>
      <c r="G2443" s="33" t="s">
        <v>38</v>
      </c>
      <c r="H2443" s="33" t="s">
        <v>4739</v>
      </c>
      <c r="I2443" s="33" t="s">
        <v>39</v>
      </c>
      <c r="J2443" s="33" t="s">
        <v>40</v>
      </c>
      <c r="K2443" s="33" t="s">
        <v>41</v>
      </c>
      <c r="L2443" s="33">
        <v>5</v>
      </c>
    </row>
    <row r="2444" spans="1:12" hidden="1" x14ac:dyDescent="0.3">
      <c r="A2444" s="39">
        <v>46059.594861111109</v>
      </c>
      <c r="B2444" s="33">
        <v>4130775695</v>
      </c>
      <c r="C2444" s="33" t="s">
        <v>42</v>
      </c>
      <c r="D2444" s="33">
        <v>4430265054</v>
      </c>
      <c r="E2444" s="33">
        <v>131</v>
      </c>
      <c r="F2444" s="33">
        <v>59</v>
      </c>
      <c r="G2444" s="33" t="s">
        <v>38</v>
      </c>
      <c r="H2444" s="33" t="s">
        <v>4740</v>
      </c>
      <c r="I2444" s="33" t="s">
        <v>39</v>
      </c>
      <c r="J2444" s="33" t="s">
        <v>40</v>
      </c>
      <c r="K2444" s="33" t="s">
        <v>41</v>
      </c>
    </row>
    <row r="2445" spans="1:12" hidden="1" x14ac:dyDescent="0.3">
      <c r="A2445" s="39">
        <v>46059.59097222222</v>
      </c>
      <c r="B2445" s="33" t="s">
        <v>48</v>
      </c>
      <c r="C2445" s="33">
        <v>1143744993</v>
      </c>
      <c r="E2445" s="33">
        <v>637</v>
      </c>
      <c r="F2445" s="33">
        <v>627</v>
      </c>
      <c r="G2445" s="33" t="s">
        <v>38</v>
      </c>
      <c r="H2445" s="33" t="s">
        <v>6242</v>
      </c>
      <c r="I2445" s="33" t="s">
        <v>46</v>
      </c>
      <c r="J2445" s="33" t="s">
        <v>40</v>
      </c>
    </row>
    <row r="2446" spans="1:12" hidden="1" x14ac:dyDescent="0.3">
      <c r="A2446" s="39">
        <v>46059.590902777774</v>
      </c>
      <c r="B2446" s="33">
        <v>4432269849</v>
      </c>
      <c r="C2446" s="33" t="s">
        <v>45</v>
      </c>
      <c r="D2446" s="33">
        <v>4430265054</v>
      </c>
      <c r="E2446" s="33">
        <v>292</v>
      </c>
      <c r="F2446" s="33">
        <v>270</v>
      </c>
      <c r="G2446" s="33" t="s">
        <v>38</v>
      </c>
      <c r="H2446" s="33" t="s">
        <v>4741</v>
      </c>
      <c r="I2446" s="33" t="s">
        <v>39</v>
      </c>
      <c r="J2446" s="33" t="s">
        <v>40</v>
      </c>
      <c r="K2446" s="33" t="s">
        <v>41</v>
      </c>
    </row>
    <row r="2447" spans="1:12" hidden="1" x14ac:dyDescent="0.3">
      <c r="A2447" s="39">
        <v>46059.589988425927</v>
      </c>
      <c r="B2447" s="33">
        <v>44988303530</v>
      </c>
      <c r="C2447" s="33" t="s">
        <v>43</v>
      </c>
      <c r="D2447" s="33">
        <v>4430265054</v>
      </c>
      <c r="E2447" s="33">
        <v>442</v>
      </c>
      <c r="F2447" s="33">
        <v>358</v>
      </c>
      <c r="G2447" s="33" t="s">
        <v>38</v>
      </c>
      <c r="H2447" s="33" t="s">
        <v>4742</v>
      </c>
      <c r="I2447" s="33" t="s">
        <v>39</v>
      </c>
      <c r="J2447" s="33" t="s">
        <v>40</v>
      </c>
      <c r="K2447" s="33" t="s">
        <v>41</v>
      </c>
      <c r="L2447" s="33">
        <v>5</v>
      </c>
    </row>
    <row r="2448" spans="1:12" hidden="1" x14ac:dyDescent="0.3">
      <c r="A2448" s="39">
        <v>46059.5862037037</v>
      </c>
      <c r="B2448" s="33">
        <v>1131515685</v>
      </c>
      <c r="C2448" s="33" t="s">
        <v>44</v>
      </c>
      <c r="D2448" s="33">
        <v>4430265054</v>
      </c>
      <c r="E2448" s="33">
        <v>2627</v>
      </c>
      <c r="F2448" s="33">
        <v>2602</v>
      </c>
      <c r="G2448" s="33" t="s">
        <v>38</v>
      </c>
      <c r="H2448" s="33" t="s">
        <v>4743</v>
      </c>
      <c r="I2448" s="33" t="s">
        <v>39</v>
      </c>
      <c r="J2448" s="33" t="s">
        <v>40</v>
      </c>
      <c r="K2448" s="33" t="s">
        <v>41</v>
      </c>
    </row>
    <row r="2449" spans="1:12" hidden="1" x14ac:dyDescent="0.3">
      <c r="A2449" s="39">
        <v>46059.583344907405</v>
      </c>
      <c r="B2449" s="33" t="s">
        <v>44</v>
      </c>
      <c r="C2449" s="33">
        <v>16997190170</v>
      </c>
      <c r="E2449" s="33">
        <v>15</v>
      </c>
      <c r="F2449" s="33">
        <v>0</v>
      </c>
      <c r="G2449" s="33" t="s">
        <v>47</v>
      </c>
      <c r="H2449" s="33" t="s">
        <v>6243</v>
      </c>
      <c r="I2449" s="33" t="s">
        <v>46</v>
      </c>
      <c r="J2449" s="33" t="s">
        <v>40</v>
      </c>
    </row>
    <row r="2450" spans="1:12" hidden="1" x14ac:dyDescent="0.3">
      <c r="A2450" s="39">
        <v>46059.583101851851</v>
      </c>
      <c r="B2450" s="33" t="s">
        <v>44</v>
      </c>
      <c r="C2450" s="33">
        <v>16997190170</v>
      </c>
      <c r="E2450" s="33">
        <v>19</v>
      </c>
      <c r="F2450" s="33">
        <v>0</v>
      </c>
      <c r="G2450" s="33" t="s">
        <v>47</v>
      </c>
      <c r="H2450" s="33" t="s">
        <v>6244</v>
      </c>
      <c r="I2450" s="33" t="s">
        <v>46</v>
      </c>
      <c r="J2450" s="33" t="s">
        <v>40</v>
      </c>
    </row>
    <row r="2451" spans="1:12" hidden="1" x14ac:dyDescent="0.3">
      <c r="A2451" s="39">
        <v>46059.582905092589</v>
      </c>
      <c r="B2451" s="33" t="s">
        <v>44</v>
      </c>
      <c r="C2451" s="33">
        <v>16997190170</v>
      </c>
      <c r="E2451" s="33">
        <v>12</v>
      </c>
      <c r="F2451" s="33">
        <v>0</v>
      </c>
      <c r="G2451" s="33" t="s">
        <v>47</v>
      </c>
      <c r="H2451" s="33" t="s">
        <v>6245</v>
      </c>
      <c r="I2451" s="33" t="s">
        <v>46</v>
      </c>
      <c r="J2451" s="33" t="s">
        <v>40</v>
      </c>
    </row>
    <row r="2452" spans="1:12" hidden="1" x14ac:dyDescent="0.3">
      <c r="A2452" s="39">
        <v>46059.58258101852</v>
      </c>
      <c r="B2452" s="33" t="s">
        <v>44</v>
      </c>
      <c r="C2452" s="33">
        <v>16997190170</v>
      </c>
      <c r="E2452" s="33">
        <v>12</v>
      </c>
      <c r="F2452" s="33">
        <v>0</v>
      </c>
      <c r="G2452" s="33" t="s">
        <v>47</v>
      </c>
      <c r="H2452" s="33" t="s">
        <v>6246</v>
      </c>
      <c r="I2452" s="33" t="s">
        <v>46</v>
      </c>
      <c r="J2452" s="33" t="s">
        <v>40</v>
      </c>
    </row>
    <row r="2453" spans="1:12" hidden="1" x14ac:dyDescent="0.3">
      <c r="A2453" s="39">
        <v>46059.581365740742</v>
      </c>
      <c r="B2453" s="33">
        <v>1129630984</v>
      </c>
      <c r="C2453" s="33" t="s">
        <v>43</v>
      </c>
      <c r="D2453" s="33">
        <v>4430265054</v>
      </c>
      <c r="E2453" s="33">
        <v>438</v>
      </c>
      <c r="F2453" s="33">
        <v>417</v>
      </c>
      <c r="G2453" s="33" t="s">
        <v>38</v>
      </c>
      <c r="H2453" s="33" t="s">
        <v>4744</v>
      </c>
      <c r="I2453" s="33" t="s">
        <v>39</v>
      </c>
      <c r="J2453" s="33" t="s">
        <v>40</v>
      </c>
      <c r="K2453" s="33" t="s">
        <v>41</v>
      </c>
    </row>
    <row r="2454" spans="1:12" hidden="1" x14ac:dyDescent="0.3">
      <c r="A2454" s="39">
        <v>46059.58090277778</v>
      </c>
      <c r="B2454" s="33">
        <v>83988398480</v>
      </c>
      <c r="C2454" s="33" t="s">
        <v>42</v>
      </c>
      <c r="D2454" s="33">
        <v>4430265054</v>
      </c>
      <c r="E2454" s="33">
        <v>589</v>
      </c>
      <c r="F2454" s="33">
        <v>559</v>
      </c>
      <c r="G2454" s="33" t="s">
        <v>38</v>
      </c>
      <c r="H2454" s="33" t="s">
        <v>4745</v>
      </c>
      <c r="I2454" s="33" t="s">
        <v>39</v>
      </c>
      <c r="J2454" s="33" t="s">
        <v>40</v>
      </c>
      <c r="K2454" s="33" t="s">
        <v>41</v>
      </c>
      <c r="L2454" s="33">
        <v>5</v>
      </c>
    </row>
    <row r="2455" spans="1:12" hidden="1" x14ac:dyDescent="0.3">
      <c r="A2455" s="39">
        <v>46059.577175925922</v>
      </c>
      <c r="B2455" s="33">
        <v>4430459032</v>
      </c>
      <c r="C2455" s="33" t="s">
        <v>43</v>
      </c>
      <c r="D2455" s="33">
        <v>4430265054</v>
      </c>
      <c r="E2455" s="33">
        <v>194</v>
      </c>
      <c r="F2455" s="33">
        <v>115</v>
      </c>
      <c r="G2455" s="33" t="s">
        <v>38</v>
      </c>
      <c r="H2455" s="33" t="s">
        <v>4746</v>
      </c>
      <c r="I2455" s="33" t="s">
        <v>39</v>
      </c>
      <c r="J2455" s="33" t="s">
        <v>40</v>
      </c>
      <c r="K2455" s="33" t="s">
        <v>41</v>
      </c>
    </row>
    <row r="2456" spans="1:12" hidden="1" x14ac:dyDescent="0.3">
      <c r="A2456" s="39">
        <v>46059.576898148145</v>
      </c>
      <c r="B2456" s="33">
        <v>4334232912</v>
      </c>
      <c r="C2456" s="33" t="s">
        <v>45</v>
      </c>
      <c r="D2456" s="33">
        <v>4430265054</v>
      </c>
      <c r="E2456" s="33">
        <v>364</v>
      </c>
      <c r="F2456" s="33">
        <v>261</v>
      </c>
      <c r="G2456" s="33" t="s">
        <v>38</v>
      </c>
      <c r="H2456" s="33" t="s">
        <v>4747</v>
      </c>
      <c r="I2456" s="33" t="s">
        <v>39</v>
      </c>
      <c r="J2456" s="33" t="s">
        <v>40</v>
      </c>
      <c r="K2456" s="33" t="s">
        <v>41</v>
      </c>
    </row>
    <row r="2457" spans="1:12" hidden="1" x14ac:dyDescent="0.3">
      <c r="A2457" s="39">
        <v>46059.568518518521</v>
      </c>
      <c r="B2457" s="33">
        <v>44998266194</v>
      </c>
      <c r="C2457" s="33" t="s">
        <v>37</v>
      </c>
      <c r="D2457" s="33">
        <v>4430265054</v>
      </c>
      <c r="E2457" s="33">
        <v>1678</v>
      </c>
      <c r="F2457" s="33">
        <v>1620</v>
      </c>
      <c r="G2457" s="33" t="s">
        <v>38</v>
      </c>
      <c r="H2457" s="33" t="s">
        <v>4748</v>
      </c>
      <c r="I2457" s="33" t="s">
        <v>39</v>
      </c>
      <c r="J2457" s="33" t="s">
        <v>40</v>
      </c>
      <c r="K2457" s="33" t="s">
        <v>41</v>
      </c>
      <c r="L2457" s="33">
        <v>5</v>
      </c>
    </row>
    <row r="2458" spans="1:12" hidden="1" x14ac:dyDescent="0.3">
      <c r="A2458" s="39">
        <v>46059.567175925928</v>
      </c>
      <c r="B2458" s="33">
        <v>6234347959</v>
      </c>
      <c r="C2458" s="33" t="s">
        <v>43</v>
      </c>
      <c r="D2458" s="33">
        <v>4430265054</v>
      </c>
      <c r="E2458" s="33">
        <v>249</v>
      </c>
      <c r="F2458" s="33">
        <v>176</v>
      </c>
      <c r="G2458" s="33" t="s">
        <v>38</v>
      </c>
      <c r="H2458" s="33" t="s">
        <v>4749</v>
      </c>
      <c r="I2458" s="33" t="s">
        <v>39</v>
      </c>
      <c r="J2458" s="33" t="s">
        <v>40</v>
      </c>
      <c r="K2458" s="33" t="s">
        <v>41</v>
      </c>
    </row>
    <row r="2459" spans="1:12" hidden="1" x14ac:dyDescent="0.3">
      <c r="A2459" s="39">
        <v>46059.565706018519</v>
      </c>
      <c r="B2459" s="33" t="s">
        <v>3873</v>
      </c>
      <c r="C2459" s="33">
        <v>4430284942</v>
      </c>
      <c r="E2459" s="33">
        <v>28</v>
      </c>
      <c r="F2459" s="33">
        <v>21</v>
      </c>
      <c r="G2459" s="33" t="s">
        <v>38</v>
      </c>
      <c r="H2459" s="33" t="s">
        <v>6247</v>
      </c>
      <c r="I2459" s="33" t="s">
        <v>46</v>
      </c>
      <c r="J2459" s="33" t="s">
        <v>3451</v>
      </c>
    </row>
    <row r="2460" spans="1:12" hidden="1" x14ac:dyDescent="0.3">
      <c r="A2460" s="39">
        <v>46059.498622685183</v>
      </c>
      <c r="B2460" s="33">
        <v>1143744993</v>
      </c>
      <c r="C2460" s="33" t="s">
        <v>48</v>
      </c>
      <c r="D2460" s="33">
        <v>4431268225</v>
      </c>
      <c r="E2460" s="33">
        <v>201</v>
      </c>
      <c r="F2460" s="33">
        <v>200</v>
      </c>
      <c r="G2460" s="33" t="s">
        <v>38</v>
      </c>
      <c r="H2460" s="33" t="s">
        <v>4750</v>
      </c>
      <c r="I2460" s="33" t="s">
        <v>39</v>
      </c>
      <c r="J2460" s="33" t="s">
        <v>40</v>
      </c>
      <c r="K2460" s="33" t="s">
        <v>41</v>
      </c>
    </row>
    <row r="2461" spans="1:12" hidden="1" x14ac:dyDescent="0.3">
      <c r="A2461" s="39">
        <v>46059.492581018516</v>
      </c>
      <c r="B2461" s="33">
        <v>44988255390</v>
      </c>
      <c r="C2461" s="33" t="s">
        <v>45</v>
      </c>
      <c r="D2461" s="33">
        <v>4430265054</v>
      </c>
      <c r="E2461" s="33">
        <v>505</v>
      </c>
      <c r="F2461" s="33">
        <v>451</v>
      </c>
      <c r="G2461" s="33" t="s">
        <v>38</v>
      </c>
      <c r="H2461" s="33" t="s">
        <v>4751</v>
      </c>
      <c r="I2461" s="33" t="s">
        <v>39</v>
      </c>
      <c r="J2461" s="33" t="s">
        <v>40</v>
      </c>
      <c r="K2461" s="33" t="s">
        <v>41</v>
      </c>
    </row>
    <row r="2462" spans="1:12" hidden="1" x14ac:dyDescent="0.3">
      <c r="A2462" s="39">
        <v>46059.491111111114</v>
      </c>
      <c r="B2462" s="33">
        <v>4430459032</v>
      </c>
      <c r="C2462" s="33">
        <v>4430265054</v>
      </c>
      <c r="D2462" s="33">
        <v>4430265054</v>
      </c>
      <c r="E2462" s="33">
        <v>94</v>
      </c>
      <c r="F2462" s="33">
        <v>94</v>
      </c>
      <c r="G2462" s="33" t="s">
        <v>3449</v>
      </c>
      <c r="H2462" s="33" t="s">
        <v>4752</v>
      </c>
      <c r="I2462" s="33" t="s">
        <v>39</v>
      </c>
      <c r="J2462" s="33" t="s">
        <v>3451</v>
      </c>
      <c r="K2462" s="33" t="s">
        <v>41</v>
      </c>
    </row>
    <row r="2463" spans="1:12" hidden="1" x14ac:dyDescent="0.3">
      <c r="A2463" s="39">
        <v>46059.490428240744</v>
      </c>
      <c r="B2463" s="33">
        <v>1131515685</v>
      </c>
      <c r="C2463" s="33" t="s">
        <v>44</v>
      </c>
      <c r="D2463" s="33">
        <v>4430265054</v>
      </c>
      <c r="E2463" s="33">
        <v>720</v>
      </c>
      <c r="F2463" s="33">
        <v>615</v>
      </c>
      <c r="G2463" s="33" t="s">
        <v>38</v>
      </c>
      <c r="H2463" s="33" t="s">
        <v>4753</v>
      </c>
      <c r="I2463" s="33" t="s">
        <v>39</v>
      </c>
      <c r="J2463" s="33" t="s">
        <v>40</v>
      </c>
      <c r="K2463" s="33" t="s">
        <v>41</v>
      </c>
    </row>
    <row r="2464" spans="1:12" hidden="1" x14ac:dyDescent="0.3">
      <c r="A2464" s="39">
        <v>46059.487500000003</v>
      </c>
      <c r="B2464" s="33">
        <v>4432272377</v>
      </c>
      <c r="C2464" s="33" t="s">
        <v>43</v>
      </c>
      <c r="D2464" s="33">
        <v>4430265054</v>
      </c>
      <c r="E2464" s="33">
        <v>754</v>
      </c>
      <c r="F2464" s="33">
        <v>590</v>
      </c>
      <c r="G2464" s="33" t="s">
        <v>38</v>
      </c>
      <c r="H2464" s="33" t="s">
        <v>4754</v>
      </c>
      <c r="I2464" s="33" t="s">
        <v>39</v>
      </c>
      <c r="J2464" s="33" t="s">
        <v>40</v>
      </c>
      <c r="K2464" s="33" t="s">
        <v>41</v>
      </c>
      <c r="L2464" s="33">
        <v>5</v>
      </c>
    </row>
    <row r="2465" spans="1:12" hidden="1" x14ac:dyDescent="0.3">
      <c r="A2465" s="39">
        <v>46059.487337962964</v>
      </c>
      <c r="B2465" s="33" t="s">
        <v>5173</v>
      </c>
      <c r="C2465" s="33">
        <v>44997134514</v>
      </c>
      <c r="E2465" s="33">
        <v>243</v>
      </c>
      <c r="F2465" s="33">
        <v>218</v>
      </c>
      <c r="G2465" s="33" t="s">
        <v>38</v>
      </c>
      <c r="H2465" s="33" t="s">
        <v>6248</v>
      </c>
      <c r="I2465" s="33" t="s">
        <v>46</v>
      </c>
      <c r="J2465" s="33" t="s">
        <v>3629</v>
      </c>
    </row>
    <row r="2466" spans="1:12" hidden="1" x14ac:dyDescent="0.3">
      <c r="A2466" s="39">
        <v>46059.485590277778</v>
      </c>
      <c r="B2466" s="33" t="s">
        <v>51</v>
      </c>
      <c r="C2466" s="33">
        <v>43988064123</v>
      </c>
      <c r="E2466" s="33">
        <v>41</v>
      </c>
      <c r="F2466" s="33">
        <v>0</v>
      </c>
      <c r="G2466" s="33" t="s">
        <v>47</v>
      </c>
      <c r="H2466" s="33" t="s">
        <v>6249</v>
      </c>
      <c r="I2466" s="33" t="s">
        <v>46</v>
      </c>
      <c r="J2466" s="33" t="s">
        <v>3629</v>
      </c>
    </row>
    <row r="2467" spans="1:12" hidden="1" x14ac:dyDescent="0.3">
      <c r="A2467" s="39">
        <v>46059.484710648147</v>
      </c>
      <c r="B2467" s="33" t="s">
        <v>51</v>
      </c>
      <c r="C2467" s="33">
        <v>4334721811</v>
      </c>
      <c r="E2467" s="33">
        <v>49</v>
      </c>
      <c r="F2467" s="33">
        <v>0</v>
      </c>
      <c r="G2467" s="33" t="s">
        <v>47</v>
      </c>
      <c r="H2467" s="33" t="s">
        <v>6250</v>
      </c>
      <c r="I2467" s="33" t="s">
        <v>46</v>
      </c>
      <c r="J2467" s="33" t="s">
        <v>3629</v>
      </c>
    </row>
    <row r="2468" spans="1:12" hidden="1" x14ac:dyDescent="0.3">
      <c r="A2468" s="39">
        <v>46059.484664351854</v>
      </c>
      <c r="B2468" s="33" t="s">
        <v>51</v>
      </c>
      <c r="C2468" s="33">
        <v>43999158616</v>
      </c>
      <c r="E2468" s="33">
        <v>2</v>
      </c>
      <c r="F2468" s="33">
        <v>0</v>
      </c>
      <c r="G2468" s="33" t="s">
        <v>47</v>
      </c>
      <c r="H2468" s="33" t="s">
        <v>6251</v>
      </c>
      <c r="I2468" s="33" t="s">
        <v>46</v>
      </c>
      <c r="J2468" s="33" t="s">
        <v>3629</v>
      </c>
    </row>
    <row r="2469" spans="1:12" hidden="1" x14ac:dyDescent="0.3">
      <c r="A2469" s="39">
        <v>46059.484386574077</v>
      </c>
      <c r="B2469" s="33">
        <v>43999158616</v>
      </c>
      <c r="C2469" s="33">
        <v>4431268225</v>
      </c>
      <c r="D2469" s="33">
        <v>4431268225</v>
      </c>
      <c r="E2469" s="33">
        <v>5</v>
      </c>
      <c r="F2469" s="33">
        <v>4</v>
      </c>
      <c r="G2469" s="33" t="s">
        <v>3449</v>
      </c>
      <c r="H2469" s="33" t="s">
        <v>6252</v>
      </c>
      <c r="I2469" s="33" t="s">
        <v>39</v>
      </c>
      <c r="J2469" s="33" t="s">
        <v>3451</v>
      </c>
    </row>
    <row r="2470" spans="1:12" hidden="1" x14ac:dyDescent="0.3">
      <c r="A2470" s="39">
        <v>46059.484085648146</v>
      </c>
      <c r="B2470" s="33" t="s">
        <v>51</v>
      </c>
      <c r="C2470" s="33">
        <v>43999158616</v>
      </c>
      <c r="E2470" s="33">
        <v>14</v>
      </c>
      <c r="F2470" s="33">
        <v>1</v>
      </c>
      <c r="G2470" s="33" t="s">
        <v>38</v>
      </c>
      <c r="H2470" s="33" t="s">
        <v>6253</v>
      </c>
      <c r="I2470" s="33" t="s">
        <v>46</v>
      </c>
      <c r="J2470" s="33" t="s">
        <v>3629</v>
      </c>
    </row>
    <row r="2471" spans="1:12" hidden="1" x14ac:dyDescent="0.3">
      <c r="A2471" s="39">
        <v>46059.483935185184</v>
      </c>
      <c r="B2471" s="33">
        <v>43999555292</v>
      </c>
      <c r="C2471" s="33" t="s">
        <v>43</v>
      </c>
      <c r="D2471" s="33">
        <v>4430265054</v>
      </c>
      <c r="E2471" s="33">
        <v>443</v>
      </c>
      <c r="F2471" s="33">
        <v>408</v>
      </c>
      <c r="G2471" s="33" t="s">
        <v>38</v>
      </c>
      <c r="H2471" s="33" t="s">
        <v>4755</v>
      </c>
      <c r="I2471" s="33" t="s">
        <v>39</v>
      </c>
      <c r="J2471" s="33" t="s">
        <v>40</v>
      </c>
      <c r="K2471" s="33" t="s">
        <v>41</v>
      </c>
    </row>
    <row r="2472" spans="1:12" hidden="1" x14ac:dyDescent="0.3">
      <c r="A2472" s="39">
        <v>46059.483599537038</v>
      </c>
      <c r="B2472" s="33" t="s">
        <v>51</v>
      </c>
      <c r="C2472" s="33">
        <v>4334721811</v>
      </c>
      <c r="E2472" s="33">
        <v>39</v>
      </c>
      <c r="F2472" s="33">
        <v>0</v>
      </c>
      <c r="G2472" s="33" t="s">
        <v>47</v>
      </c>
      <c r="H2472" s="33" t="s">
        <v>6254</v>
      </c>
      <c r="I2472" s="33" t="s">
        <v>46</v>
      </c>
      <c r="J2472" s="33" t="s">
        <v>3629</v>
      </c>
    </row>
    <row r="2473" spans="1:12" hidden="1" x14ac:dyDescent="0.3">
      <c r="A2473" s="39">
        <v>46059.481493055559</v>
      </c>
      <c r="B2473" s="33">
        <v>44997426611</v>
      </c>
      <c r="C2473" s="33" t="s">
        <v>37</v>
      </c>
      <c r="D2473" s="33">
        <v>4430265054</v>
      </c>
      <c r="E2473" s="33">
        <v>1359</v>
      </c>
      <c r="F2473" s="33">
        <v>1334</v>
      </c>
      <c r="G2473" s="33" t="s">
        <v>38</v>
      </c>
      <c r="H2473" s="33" t="s">
        <v>4756</v>
      </c>
      <c r="I2473" s="33" t="s">
        <v>39</v>
      </c>
      <c r="J2473" s="33" t="s">
        <v>40</v>
      </c>
      <c r="K2473" s="33" t="s">
        <v>41</v>
      </c>
      <c r="L2473" s="33">
        <v>5</v>
      </c>
    </row>
    <row r="2474" spans="1:12" hidden="1" x14ac:dyDescent="0.3">
      <c r="A2474" s="39">
        <v>46059.478043981479</v>
      </c>
      <c r="B2474" s="33">
        <v>16997190170</v>
      </c>
      <c r="C2474" s="33" t="s">
        <v>44</v>
      </c>
      <c r="D2474" s="33">
        <v>4430265054</v>
      </c>
      <c r="E2474" s="33">
        <v>524</v>
      </c>
      <c r="F2474" s="33">
        <v>489</v>
      </c>
      <c r="G2474" s="33" t="s">
        <v>38</v>
      </c>
      <c r="H2474" s="33" t="s">
        <v>4757</v>
      </c>
      <c r="I2474" s="33" t="s">
        <v>39</v>
      </c>
      <c r="J2474" s="33" t="s">
        <v>40</v>
      </c>
      <c r="K2474" s="33" t="s">
        <v>41</v>
      </c>
    </row>
    <row r="2475" spans="1:12" hidden="1" x14ac:dyDescent="0.3">
      <c r="A2475" s="39">
        <v>46059.47384259259</v>
      </c>
      <c r="B2475" s="33">
        <v>4334226481</v>
      </c>
      <c r="C2475" s="33" t="s">
        <v>45</v>
      </c>
      <c r="D2475" s="33">
        <v>4430265054</v>
      </c>
      <c r="E2475" s="33">
        <v>969</v>
      </c>
      <c r="F2475" s="33">
        <v>866</v>
      </c>
      <c r="G2475" s="33" t="s">
        <v>38</v>
      </c>
      <c r="H2475" s="33" t="s">
        <v>4758</v>
      </c>
      <c r="I2475" s="33" t="s">
        <v>39</v>
      </c>
      <c r="J2475" s="33" t="s">
        <v>40</v>
      </c>
      <c r="K2475" s="33" t="s">
        <v>41</v>
      </c>
    </row>
    <row r="2476" spans="1:12" hidden="1" x14ac:dyDescent="0.3">
      <c r="A2476" s="39">
        <v>46059.472662037035</v>
      </c>
      <c r="B2476" s="33">
        <v>1131515685</v>
      </c>
      <c r="C2476" s="33" t="s">
        <v>43</v>
      </c>
      <c r="D2476" s="33">
        <v>4430265054</v>
      </c>
      <c r="E2476" s="33">
        <v>569</v>
      </c>
      <c r="F2476" s="33">
        <v>555</v>
      </c>
      <c r="G2476" s="33" t="s">
        <v>38</v>
      </c>
      <c r="H2476" s="33" t="s">
        <v>4759</v>
      </c>
      <c r="I2476" s="33" t="s">
        <v>39</v>
      </c>
      <c r="J2476" s="33" t="s">
        <v>40</v>
      </c>
      <c r="K2476" s="33" t="s">
        <v>41</v>
      </c>
    </row>
    <row r="2477" spans="1:12" hidden="1" x14ac:dyDescent="0.3">
      <c r="A2477" s="39">
        <v>46059.472662037035</v>
      </c>
      <c r="B2477" s="33">
        <v>44997134514</v>
      </c>
      <c r="C2477" s="33" t="s">
        <v>5173</v>
      </c>
      <c r="D2477" s="33">
        <v>4430265054</v>
      </c>
      <c r="E2477" s="33">
        <v>380</v>
      </c>
      <c r="F2477" s="33">
        <v>350</v>
      </c>
      <c r="G2477" s="33" t="s">
        <v>38</v>
      </c>
      <c r="H2477" s="33" t="s">
        <v>6255</v>
      </c>
      <c r="I2477" s="33" t="s">
        <v>39</v>
      </c>
      <c r="J2477" s="33" t="s">
        <v>3629</v>
      </c>
      <c r="K2477" s="33" t="s">
        <v>50</v>
      </c>
    </row>
    <row r="2478" spans="1:12" hidden="1" x14ac:dyDescent="0.3">
      <c r="A2478" s="39">
        <v>46059.472303240742</v>
      </c>
      <c r="B2478" s="33" t="s">
        <v>5173</v>
      </c>
      <c r="C2478" s="33">
        <v>21987411430</v>
      </c>
      <c r="E2478" s="33">
        <v>673</v>
      </c>
      <c r="F2478" s="33">
        <v>665</v>
      </c>
      <c r="G2478" s="33" t="s">
        <v>38</v>
      </c>
      <c r="H2478" s="33" t="s">
        <v>6256</v>
      </c>
      <c r="I2478" s="33" t="s">
        <v>46</v>
      </c>
      <c r="J2478" s="33" t="s">
        <v>3629</v>
      </c>
    </row>
    <row r="2479" spans="1:12" hidden="1" x14ac:dyDescent="0.3">
      <c r="A2479" s="39">
        <v>46059.471851851849</v>
      </c>
      <c r="B2479" s="33">
        <v>83988398480</v>
      </c>
      <c r="C2479" s="33" t="s">
        <v>37</v>
      </c>
      <c r="D2479" s="33">
        <v>4430265054</v>
      </c>
      <c r="E2479" s="33">
        <v>386</v>
      </c>
      <c r="F2479" s="33">
        <v>356</v>
      </c>
      <c r="G2479" s="33" t="s">
        <v>38</v>
      </c>
      <c r="H2479" s="33" t="s">
        <v>4760</v>
      </c>
      <c r="I2479" s="33" t="s">
        <v>39</v>
      </c>
      <c r="J2479" s="33" t="s">
        <v>40</v>
      </c>
      <c r="K2479" s="33" t="s">
        <v>41</v>
      </c>
      <c r="L2479" s="33">
        <v>5</v>
      </c>
    </row>
    <row r="2480" spans="1:12" hidden="1" x14ac:dyDescent="0.3">
      <c r="A2480" s="39">
        <v>46059.467245370368</v>
      </c>
      <c r="B2480" s="33">
        <v>1131515685</v>
      </c>
      <c r="C2480" s="33" t="s">
        <v>44</v>
      </c>
      <c r="D2480" s="33">
        <v>4430265054</v>
      </c>
      <c r="E2480" s="33">
        <v>396</v>
      </c>
      <c r="F2480" s="33">
        <v>374</v>
      </c>
      <c r="G2480" s="33" t="s">
        <v>38</v>
      </c>
      <c r="H2480" s="33" t="s">
        <v>4761</v>
      </c>
      <c r="I2480" s="33" t="s">
        <v>39</v>
      </c>
      <c r="J2480" s="33" t="s">
        <v>40</v>
      </c>
      <c r="K2480" s="33" t="s">
        <v>41</v>
      </c>
    </row>
    <row r="2481" spans="1:12" hidden="1" x14ac:dyDescent="0.3">
      <c r="A2481" s="39">
        <v>46059.465266203704</v>
      </c>
      <c r="B2481" s="33" t="s">
        <v>44</v>
      </c>
      <c r="C2481" s="33">
        <v>44997190170</v>
      </c>
      <c r="E2481" s="33">
        <v>1</v>
      </c>
      <c r="F2481" s="33">
        <v>0</v>
      </c>
      <c r="G2481" s="33" t="s">
        <v>47</v>
      </c>
      <c r="H2481" s="33" t="s">
        <v>6257</v>
      </c>
      <c r="I2481" s="33" t="s">
        <v>46</v>
      </c>
      <c r="J2481" s="33" t="s">
        <v>40</v>
      </c>
    </row>
    <row r="2482" spans="1:12" hidden="1" x14ac:dyDescent="0.3">
      <c r="A2482" s="39">
        <v>46059.465173611112</v>
      </c>
      <c r="B2482" s="33" t="s">
        <v>44</v>
      </c>
      <c r="C2482" s="33">
        <v>16997190170</v>
      </c>
      <c r="E2482" s="33">
        <v>7</v>
      </c>
      <c r="F2482" s="33">
        <v>0</v>
      </c>
      <c r="G2482" s="33" t="s">
        <v>47</v>
      </c>
      <c r="H2482" s="33" t="s">
        <v>6258</v>
      </c>
      <c r="I2482" s="33" t="s">
        <v>46</v>
      </c>
      <c r="J2482" s="33" t="s">
        <v>40</v>
      </c>
    </row>
    <row r="2483" spans="1:12" hidden="1" x14ac:dyDescent="0.3">
      <c r="A2483" s="39">
        <v>46059.464722222219</v>
      </c>
      <c r="B2483" s="33" t="s">
        <v>44</v>
      </c>
      <c r="C2483" s="33">
        <v>16997190170</v>
      </c>
      <c r="E2483" s="33">
        <v>38</v>
      </c>
      <c r="F2483" s="33">
        <v>0</v>
      </c>
      <c r="G2483" s="33" t="s">
        <v>47</v>
      </c>
      <c r="H2483" s="33" t="s">
        <v>6259</v>
      </c>
      <c r="I2483" s="33" t="s">
        <v>46</v>
      </c>
      <c r="J2483" s="33" t="s">
        <v>40</v>
      </c>
    </row>
    <row r="2484" spans="1:12" hidden="1" x14ac:dyDescent="0.3">
      <c r="A2484" s="39">
        <v>46059.463958333334</v>
      </c>
      <c r="B2484" s="33">
        <v>16997190170</v>
      </c>
      <c r="C2484" s="33" t="s">
        <v>44</v>
      </c>
      <c r="D2484" s="33">
        <v>4430265054</v>
      </c>
      <c r="E2484" s="33">
        <v>94</v>
      </c>
      <c r="F2484" s="33">
        <v>54</v>
      </c>
      <c r="G2484" s="33" t="s">
        <v>38</v>
      </c>
      <c r="H2484" s="33" t="s">
        <v>4762</v>
      </c>
      <c r="I2484" s="33" t="s">
        <v>39</v>
      </c>
      <c r="J2484" s="33" t="s">
        <v>40</v>
      </c>
      <c r="K2484" s="33" t="s">
        <v>41</v>
      </c>
    </row>
    <row r="2485" spans="1:12" hidden="1" x14ac:dyDescent="0.3">
      <c r="A2485" s="39">
        <v>46059.462569444448</v>
      </c>
      <c r="B2485" s="33">
        <v>4430284942</v>
      </c>
      <c r="C2485" s="33">
        <v>4430265054</v>
      </c>
      <c r="D2485" s="33">
        <v>4430265054</v>
      </c>
      <c r="E2485" s="33">
        <v>104</v>
      </c>
      <c r="F2485" s="33">
        <v>103</v>
      </c>
      <c r="G2485" s="33" t="s">
        <v>3449</v>
      </c>
      <c r="H2485" s="33" t="s">
        <v>4763</v>
      </c>
      <c r="I2485" s="33" t="s">
        <v>39</v>
      </c>
      <c r="J2485" s="33" t="s">
        <v>3451</v>
      </c>
      <c r="K2485" s="33" t="s">
        <v>41</v>
      </c>
    </row>
    <row r="2486" spans="1:12" hidden="1" x14ac:dyDescent="0.3">
      <c r="A2486" s="39">
        <v>46059.455312500002</v>
      </c>
      <c r="B2486" s="33">
        <v>44997343311</v>
      </c>
      <c r="C2486" s="33" t="s">
        <v>44</v>
      </c>
      <c r="D2486" s="33">
        <v>4430265054</v>
      </c>
      <c r="E2486" s="33">
        <v>626</v>
      </c>
      <c r="F2486" s="33">
        <v>602</v>
      </c>
      <c r="G2486" s="33" t="s">
        <v>38</v>
      </c>
      <c r="H2486" s="33" t="s">
        <v>4764</v>
      </c>
      <c r="I2486" s="33" t="s">
        <v>39</v>
      </c>
      <c r="J2486" s="33" t="s">
        <v>40</v>
      </c>
      <c r="K2486" s="33" t="s">
        <v>41</v>
      </c>
    </row>
    <row r="2487" spans="1:12" hidden="1" x14ac:dyDescent="0.3">
      <c r="A2487" s="39">
        <v>46059.453599537039</v>
      </c>
      <c r="B2487" s="33">
        <v>43999555292</v>
      </c>
      <c r="C2487" s="33" t="s">
        <v>37</v>
      </c>
      <c r="D2487" s="33">
        <v>4430265054</v>
      </c>
      <c r="E2487" s="33">
        <v>422</v>
      </c>
      <c r="F2487" s="33">
        <v>397</v>
      </c>
      <c r="G2487" s="33" t="s">
        <v>38</v>
      </c>
      <c r="H2487" s="33" t="s">
        <v>4765</v>
      </c>
      <c r="I2487" s="33" t="s">
        <v>39</v>
      </c>
      <c r="J2487" s="33" t="s">
        <v>40</v>
      </c>
      <c r="K2487" s="33" t="s">
        <v>41</v>
      </c>
      <c r="L2487" s="33">
        <v>5</v>
      </c>
    </row>
    <row r="2488" spans="1:12" hidden="1" x14ac:dyDescent="0.3">
      <c r="A2488" s="39">
        <v>46059.452627314815</v>
      </c>
      <c r="B2488" s="33">
        <v>44998717172</v>
      </c>
      <c r="C2488" s="33" t="s">
        <v>43</v>
      </c>
      <c r="D2488" s="33">
        <v>4430265054</v>
      </c>
      <c r="E2488" s="33">
        <v>422</v>
      </c>
      <c r="F2488" s="33">
        <v>393</v>
      </c>
      <c r="G2488" s="33" t="s">
        <v>38</v>
      </c>
      <c r="H2488" s="33" t="s">
        <v>4766</v>
      </c>
      <c r="I2488" s="33" t="s">
        <v>39</v>
      </c>
      <c r="J2488" s="33" t="s">
        <v>40</v>
      </c>
      <c r="K2488" s="33" t="s">
        <v>41</v>
      </c>
    </row>
    <row r="2489" spans="1:12" hidden="1" x14ac:dyDescent="0.3">
      <c r="A2489" s="39">
        <v>46059.442025462966</v>
      </c>
      <c r="B2489" s="33" t="s">
        <v>44</v>
      </c>
      <c r="C2489" s="33">
        <v>44991333591</v>
      </c>
      <c r="E2489" s="33">
        <v>59</v>
      </c>
      <c r="F2489" s="33">
        <v>53</v>
      </c>
      <c r="G2489" s="33" t="s">
        <v>38</v>
      </c>
      <c r="H2489" s="33" t="s">
        <v>6260</v>
      </c>
      <c r="I2489" s="33" t="s">
        <v>46</v>
      </c>
      <c r="J2489" s="33" t="s">
        <v>40</v>
      </c>
    </row>
    <row r="2490" spans="1:12" hidden="1" x14ac:dyDescent="0.3">
      <c r="A2490" s="39">
        <v>46059.438368055555</v>
      </c>
      <c r="B2490" s="33" t="s">
        <v>48</v>
      </c>
      <c r="C2490" s="33">
        <v>1639391799</v>
      </c>
      <c r="E2490" s="33">
        <v>51</v>
      </c>
      <c r="F2490" s="33">
        <v>23</v>
      </c>
      <c r="G2490" s="33" t="s">
        <v>38</v>
      </c>
      <c r="H2490" s="33" t="s">
        <v>6261</v>
      </c>
      <c r="I2490" s="33" t="s">
        <v>46</v>
      </c>
      <c r="J2490" s="33" t="s">
        <v>40</v>
      </c>
    </row>
    <row r="2491" spans="1:12" hidden="1" x14ac:dyDescent="0.3">
      <c r="A2491" s="39">
        <v>46059.43372685185</v>
      </c>
      <c r="B2491" s="33">
        <v>4331724400</v>
      </c>
      <c r="C2491" s="33" t="s">
        <v>37</v>
      </c>
      <c r="D2491" s="33">
        <v>4430265054</v>
      </c>
      <c r="E2491" s="33">
        <v>696</v>
      </c>
      <c r="F2491" s="33">
        <v>664</v>
      </c>
      <c r="G2491" s="33" t="s">
        <v>38</v>
      </c>
      <c r="H2491" s="33" t="s">
        <v>4767</v>
      </c>
      <c r="I2491" s="33" t="s">
        <v>39</v>
      </c>
      <c r="J2491" s="33" t="s">
        <v>40</v>
      </c>
      <c r="K2491" s="33" t="s">
        <v>41</v>
      </c>
    </row>
    <row r="2492" spans="1:12" hidden="1" x14ac:dyDescent="0.3">
      <c r="A2492" s="39">
        <v>46059.432916666665</v>
      </c>
      <c r="B2492" s="33">
        <v>44991333591</v>
      </c>
      <c r="C2492" s="33" t="s">
        <v>44</v>
      </c>
      <c r="D2492" s="33">
        <v>4430265054</v>
      </c>
      <c r="E2492" s="33">
        <v>639</v>
      </c>
      <c r="F2492" s="33">
        <v>611</v>
      </c>
      <c r="G2492" s="33" t="s">
        <v>38</v>
      </c>
      <c r="H2492" s="33" t="s">
        <v>4768</v>
      </c>
      <c r="I2492" s="33" t="s">
        <v>39</v>
      </c>
      <c r="J2492" s="33" t="s">
        <v>40</v>
      </c>
      <c r="K2492" s="33" t="s">
        <v>41</v>
      </c>
    </row>
    <row r="2493" spans="1:12" hidden="1" x14ac:dyDescent="0.3">
      <c r="A2493" s="39">
        <v>46059.430902777778</v>
      </c>
      <c r="B2493" s="33">
        <v>12997346335</v>
      </c>
      <c r="C2493" s="33" t="s">
        <v>42</v>
      </c>
      <c r="D2493" s="33">
        <v>4430265054</v>
      </c>
      <c r="E2493" s="33">
        <v>495</v>
      </c>
      <c r="F2493" s="33">
        <v>466</v>
      </c>
      <c r="G2493" s="33" t="s">
        <v>38</v>
      </c>
      <c r="H2493" s="33" t="s">
        <v>4769</v>
      </c>
      <c r="I2493" s="33" t="s">
        <v>39</v>
      </c>
      <c r="J2493" s="33" t="s">
        <v>40</v>
      </c>
      <c r="K2493" s="33" t="s">
        <v>41</v>
      </c>
    </row>
    <row r="2494" spans="1:12" hidden="1" x14ac:dyDescent="0.3">
      <c r="A2494" s="39">
        <v>46059.426481481481</v>
      </c>
      <c r="B2494" s="33">
        <v>81983567163</v>
      </c>
      <c r="C2494" s="33" t="s">
        <v>43</v>
      </c>
      <c r="D2494" s="33">
        <v>4431268225</v>
      </c>
      <c r="E2494" s="33">
        <v>656</v>
      </c>
      <c r="F2494" s="33">
        <v>602</v>
      </c>
      <c r="G2494" s="33" t="s">
        <v>38</v>
      </c>
      <c r="H2494" s="33" t="s">
        <v>4770</v>
      </c>
      <c r="I2494" s="33" t="s">
        <v>39</v>
      </c>
      <c r="J2494" s="33" t="s">
        <v>40</v>
      </c>
      <c r="K2494" s="33" t="s">
        <v>41</v>
      </c>
      <c r="L2494" s="33">
        <v>5</v>
      </c>
    </row>
    <row r="2495" spans="1:12" hidden="1" x14ac:dyDescent="0.3">
      <c r="A2495" s="39">
        <v>46059.424490740741</v>
      </c>
      <c r="B2495" s="33">
        <v>44998717172</v>
      </c>
      <c r="C2495" s="33" t="s">
        <v>43</v>
      </c>
      <c r="D2495" s="33">
        <v>4430265054</v>
      </c>
      <c r="E2495" s="33">
        <v>189</v>
      </c>
      <c r="F2495" s="33">
        <v>167</v>
      </c>
      <c r="G2495" s="33" t="s">
        <v>38</v>
      </c>
      <c r="H2495" s="33" t="s">
        <v>4771</v>
      </c>
      <c r="I2495" s="33" t="s">
        <v>39</v>
      </c>
      <c r="J2495" s="33" t="s">
        <v>40</v>
      </c>
      <c r="K2495" s="33" t="s">
        <v>41</v>
      </c>
    </row>
    <row r="2496" spans="1:12" hidden="1" x14ac:dyDescent="0.3">
      <c r="A2496" s="39">
        <v>46059.422974537039</v>
      </c>
      <c r="B2496" s="33" t="s">
        <v>5173</v>
      </c>
      <c r="C2496" s="33">
        <v>81999117673</v>
      </c>
      <c r="E2496" s="33">
        <v>22</v>
      </c>
      <c r="F2496" s="33">
        <v>4</v>
      </c>
      <c r="G2496" s="33" t="s">
        <v>38</v>
      </c>
      <c r="H2496" s="33" t="s">
        <v>6262</v>
      </c>
      <c r="I2496" s="33" t="s">
        <v>46</v>
      </c>
      <c r="J2496" s="33" t="s">
        <v>3629</v>
      </c>
    </row>
    <row r="2497" spans="1:12" hidden="1" x14ac:dyDescent="0.3">
      <c r="A2497" s="39">
        <v>46059.420069444444</v>
      </c>
      <c r="B2497" s="33">
        <v>4430191401</v>
      </c>
      <c r="C2497" s="33" t="s">
        <v>42</v>
      </c>
      <c r="D2497" s="33">
        <v>4430265054</v>
      </c>
      <c r="E2497" s="33">
        <v>635</v>
      </c>
      <c r="F2497" s="33">
        <v>596</v>
      </c>
      <c r="G2497" s="33" t="s">
        <v>38</v>
      </c>
      <c r="H2497" s="33" t="s">
        <v>4772</v>
      </c>
      <c r="I2497" s="33" t="s">
        <v>39</v>
      </c>
      <c r="J2497" s="33" t="s">
        <v>40</v>
      </c>
      <c r="K2497" s="33" t="s">
        <v>41</v>
      </c>
      <c r="L2497" s="33">
        <v>5</v>
      </c>
    </row>
    <row r="2498" spans="1:12" hidden="1" x14ac:dyDescent="0.3">
      <c r="A2498" s="39">
        <v>46059.41946759259</v>
      </c>
      <c r="B2498" s="33">
        <v>44991484476</v>
      </c>
      <c r="C2498" s="33" t="s">
        <v>37</v>
      </c>
      <c r="D2498" s="33">
        <v>4430265054</v>
      </c>
      <c r="E2498" s="33">
        <v>186</v>
      </c>
      <c r="F2498" s="33">
        <v>128</v>
      </c>
      <c r="G2498" s="33" t="s">
        <v>38</v>
      </c>
      <c r="H2498" s="33" t="s">
        <v>4773</v>
      </c>
      <c r="I2498" s="33" t="s">
        <v>39</v>
      </c>
      <c r="J2498" s="33" t="s">
        <v>40</v>
      </c>
      <c r="K2498" s="33" t="s">
        <v>41</v>
      </c>
    </row>
    <row r="2499" spans="1:12" hidden="1" x14ac:dyDescent="0.3">
      <c r="A2499" s="39">
        <v>46059.417916666665</v>
      </c>
      <c r="B2499" s="33">
        <v>81986261961</v>
      </c>
      <c r="C2499" s="33" t="s">
        <v>45</v>
      </c>
      <c r="D2499" s="33">
        <v>4430265054</v>
      </c>
      <c r="E2499" s="33">
        <v>1463</v>
      </c>
      <c r="F2499" s="33">
        <v>1409</v>
      </c>
      <c r="G2499" s="33" t="s">
        <v>38</v>
      </c>
      <c r="H2499" s="33" t="s">
        <v>4774</v>
      </c>
      <c r="I2499" s="33" t="s">
        <v>39</v>
      </c>
      <c r="J2499" s="33" t="s">
        <v>40</v>
      </c>
      <c r="K2499" s="33" t="s">
        <v>41</v>
      </c>
      <c r="L2499" s="33">
        <v>5</v>
      </c>
    </row>
    <row r="2500" spans="1:12" hidden="1" x14ac:dyDescent="0.3">
      <c r="A2500" s="39">
        <v>46059.417407407411</v>
      </c>
      <c r="B2500" s="33" t="s">
        <v>37</v>
      </c>
      <c r="C2500" s="33">
        <v>4433543396</v>
      </c>
      <c r="E2500" s="33">
        <v>42</v>
      </c>
      <c r="F2500" s="33">
        <v>0</v>
      </c>
      <c r="G2500" s="33" t="s">
        <v>47</v>
      </c>
      <c r="H2500" s="33" t="s">
        <v>6263</v>
      </c>
      <c r="I2500" s="33" t="s">
        <v>46</v>
      </c>
      <c r="J2500" s="33" t="s">
        <v>40</v>
      </c>
    </row>
    <row r="2501" spans="1:12" hidden="1" x14ac:dyDescent="0.3">
      <c r="A2501" s="39">
        <v>46059.417326388888</v>
      </c>
      <c r="B2501" s="33" t="s">
        <v>37</v>
      </c>
      <c r="C2501" s="33">
        <v>4433543396</v>
      </c>
      <c r="E2501" s="33">
        <v>6</v>
      </c>
      <c r="F2501" s="33">
        <v>0</v>
      </c>
      <c r="G2501" s="33" t="s">
        <v>47</v>
      </c>
      <c r="H2501" s="33" t="s">
        <v>6264</v>
      </c>
      <c r="I2501" s="33" t="s">
        <v>46</v>
      </c>
      <c r="J2501" s="33" t="s">
        <v>40</v>
      </c>
    </row>
    <row r="2502" spans="1:12" hidden="1" x14ac:dyDescent="0.3">
      <c r="A2502" s="39">
        <v>46059.40252314815</v>
      </c>
      <c r="B2502" s="33">
        <v>62994086124</v>
      </c>
      <c r="C2502" s="33" t="s">
        <v>48</v>
      </c>
      <c r="D2502" s="33">
        <v>4430265054</v>
      </c>
      <c r="E2502" s="33">
        <v>272</v>
      </c>
      <c r="F2502" s="33">
        <v>271</v>
      </c>
      <c r="G2502" s="33" t="s">
        <v>38</v>
      </c>
      <c r="H2502" s="33" t="s">
        <v>4775</v>
      </c>
      <c r="I2502" s="33" t="s">
        <v>39</v>
      </c>
      <c r="J2502" s="33" t="s">
        <v>40</v>
      </c>
      <c r="K2502" s="33" t="s">
        <v>41</v>
      </c>
    </row>
    <row r="2503" spans="1:12" hidden="1" x14ac:dyDescent="0.3">
      <c r="A2503" s="39">
        <v>46059.400277777779</v>
      </c>
      <c r="B2503" s="33">
        <v>44997426611</v>
      </c>
      <c r="C2503" s="33" t="s">
        <v>37</v>
      </c>
      <c r="D2503" s="33">
        <v>4430265054</v>
      </c>
      <c r="E2503" s="33">
        <v>1279</v>
      </c>
      <c r="F2503" s="33">
        <v>1069</v>
      </c>
      <c r="G2503" s="33" t="s">
        <v>38</v>
      </c>
      <c r="H2503" s="33" t="s">
        <v>4776</v>
      </c>
      <c r="I2503" s="33" t="s">
        <v>39</v>
      </c>
      <c r="J2503" s="33" t="s">
        <v>40</v>
      </c>
      <c r="K2503" s="33" t="s">
        <v>41</v>
      </c>
      <c r="L2503" s="33">
        <v>5</v>
      </c>
    </row>
    <row r="2504" spans="1:12" hidden="1" x14ac:dyDescent="0.3">
      <c r="A2504" s="39">
        <v>46059.398310185185</v>
      </c>
      <c r="B2504" s="33">
        <v>44991333591</v>
      </c>
      <c r="C2504" s="33" t="s">
        <v>48</v>
      </c>
      <c r="D2504" s="33">
        <v>4430265054</v>
      </c>
      <c r="E2504" s="33">
        <v>396</v>
      </c>
      <c r="F2504" s="33">
        <v>369</v>
      </c>
      <c r="G2504" s="33" t="s">
        <v>38</v>
      </c>
      <c r="H2504" s="33" t="s">
        <v>4777</v>
      </c>
      <c r="I2504" s="33" t="s">
        <v>39</v>
      </c>
      <c r="J2504" s="33" t="s">
        <v>40</v>
      </c>
      <c r="K2504" s="33" t="s">
        <v>41</v>
      </c>
    </row>
    <row r="2505" spans="1:12" hidden="1" x14ac:dyDescent="0.3">
      <c r="A2505" s="39">
        <v>46059.397893518515</v>
      </c>
      <c r="B2505" s="33">
        <v>4433543396</v>
      </c>
      <c r="C2505" s="33" t="s">
        <v>37</v>
      </c>
      <c r="D2505" s="33">
        <v>4430265054</v>
      </c>
      <c r="E2505" s="33">
        <v>328</v>
      </c>
      <c r="F2505" s="33">
        <v>275</v>
      </c>
      <c r="G2505" s="33" t="s">
        <v>38</v>
      </c>
      <c r="H2505" s="33" t="s">
        <v>4778</v>
      </c>
      <c r="I2505" s="33" t="s">
        <v>39</v>
      </c>
      <c r="J2505" s="33" t="s">
        <v>40</v>
      </c>
      <c r="K2505" s="33" t="s">
        <v>41</v>
      </c>
      <c r="L2505" s="33">
        <v>5</v>
      </c>
    </row>
    <row r="2506" spans="1:12" hidden="1" x14ac:dyDescent="0.3">
      <c r="A2506" s="39">
        <v>46059.397199074076</v>
      </c>
      <c r="B2506" s="33">
        <v>4430145172</v>
      </c>
      <c r="C2506" s="33">
        <v>4430265054</v>
      </c>
      <c r="D2506" s="33">
        <v>4430265054</v>
      </c>
      <c r="E2506" s="33">
        <v>25</v>
      </c>
      <c r="F2506" s="33">
        <v>24</v>
      </c>
      <c r="G2506" s="33" t="s">
        <v>3449</v>
      </c>
      <c r="H2506" s="33" t="s">
        <v>6265</v>
      </c>
      <c r="I2506" s="33" t="s">
        <v>39</v>
      </c>
      <c r="J2506" s="33" t="s">
        <v>3451</v>
      </c>
    </row>
    <row r="2507" spans="1:12" hidden="1" x14ac:dyDescent="0.3">
      <c r="A2507" s="39">
        <v>46059.397187499999</v>
      </c>
      <c r="B2507" s="33">
        <v>4532541802</v>
      </c>
      <c r="C2507" s="33" t="s">
        <v>45</v>
      </c>
      <c r="D2507" s="33">
        <v>4430265054</v>
      </c>
      <c r="E2507" s="33">
        <v>728</v>
      </c>
      <c r="F2507" s="33">
        <v>669</v>
      </c>
      <c r="G2507" s="33" t="s">
        <v>38</v>
      </c>
      <c r="H2507" s="33" t="s">
        <v>4779</v>
      </c>
      <c r="I2507" s="33" t="s">
        <v>39</v>
      </c>
      <c r="J2507" s="33" t="s">
        <v>40</v>
      </c>
      <c r="K2507" s="33" t="s">
        <v>41</v>
      </c>
    </row>
    <row r="2508" spans="1:12" hidden="1" x14ac:dyDescent="0.3">
      <c r="A2508" s="39">
        <v>46059.396006944444</v>
      </c>
      <c r="B2508" s="33" t="s">
        <v>42</v>
      </c>
      <c r="C2508" s="33">
        <v>4334234629</v>
      </c>
      <c r="E2508" s="33">
        <v>1439</v>
      </c>
      <c r="F2508" s="33">
        <v>1427</v>
      </c>
      <c r="G2508" s="33" t="s">
        <v>38</v>
      </c>
      <c r="H2508" s="33" t="s">
        <v>6266</v>
      </c>
      <c r="I2508" s="33" t="s">
        <v>46</v>
      </c>
      <c r="J2508" s="33" t="s">
        <v>40</v>
      </c>
    </row>
    <row r="2509" spans="1:12" hidden="1" x14ac:dyDescent="0.3">
      <c r="A2509" s="39">
        <v>46059.38853009259</v>
      </c>
      <c r="B2509" s="33">
        <v>44988067937</v>
      </c>
      <c r="C2509" s="33" t="s">
        <v>42</v>
      </c>
      <c r="D2509" s="33">
        <v>4430265054</v>
      </c>
      <c r="E2509" s="33">
        <v>370</v>
      </c>
      <c r="F2509" s="33">
        <v>308</v>
      </c>
      <c r="G2509" s="33" t="s">
        <v>38</v>
      </c>
      <c r="H2509" s="33" t="s">
        <v>4780</v>
      </c>
      <c r="I2509" s="33" t="s">
        <v>39</v>
      </c>
      <c r="J2509" s="33" t="s">
        <v>40</v>
      </c>
      <c r="K2509" s="33" t="s">
        <v>41</v>
      </c>
    </row>
    <row r="2510" spans="1:12" hidden="1" x14ac:dyDescent="0.3">
      <c r="A2510" s="39">
        <v>46059.385729166665</v>
      </c>
      <c r="B2510" s="33">
        <v>4334234629</v>
      </c>
      <c r="C2510" s="33" t="s">
        <v>42</v>
      </c>
      <c r="D2510" s="33">
        <v>4430265054</v>
      </c>
      <c r="E2510" s="33">
        <v>148</v>
      </c>
      <c r="F2510" s="33">
        <v>67</v>
      </c>
      <c r="G2510" s="33" t="s">
        <v>38</v>
      </c>
      <c r="H2510" s="33" t="s">
        <v>4781</v>
      </c>
      <c r="I2510" s="33" t="s">
        <v>39</v>
      </c>
      <c r="J2510" s="33" t="s">
        <v>40</v>
      </c>
      <c r="K2510" s="33" t="s">
        <v>41</v>
      </c>
    </row>
    <row r="2511" spans="1:12" hidden="1" x14ac:dyDescent="0.3">
      <c r="A2511" s="39">
        <v>46059.385277777779</v>
      </c>
      <c r="B2511" s="33">
        <v>44998717172</v>
      </c>
      <c r="C2511" s="33" t="s">
        <v>43</v>
      </c>
      <c r="D2511" s="33">
        <v>4430265054</v>
      </c>
      <c r="E2511" s="33">
        <v>1602</v>
      </c>
      <c r="F2511" s="33">
        <v>1568</v>
      </c>
      <c r="G2511" s="33" t="s">
        <v>38</v>
      </c>
      <c r="H2511" s="33" t="s">
        <v>4782</v>
      </c>
      <c r="I2511" s="33" t="s">
        <v>39</v>
      </c>
      <c r="J2511" s="33" t="s">
        <v>40</v>
      </c>
      <c r="K2511" s="33" t="s">
        <v>41</v>
      </c>
    </row>
    <row r="2512" spans="1:12" hidden="1" x14ac:dyDescent="0.3">
      <c r="A2512" s="39">
        <v>46059.382164351853</v>
      </c>
      <c r="B2512" s="33">
        <v>44998717172</v>
      </c>
      <c r="C2512" s="33" t="s">
        <v>43</v>
      </c>
      <c r="D2512" s="33">
        <v>4430265054</v>
      </c>
      <c r="E2512" s="33">
        <v>222</v>
      </c>
      <c r="F2512" s="33">
        <v>202</v>
      </c>
      <c r="G2512" s="33" t="s">
        <v>38</v>
      </c>
      <c r="H2512" s="33" t="s">
        <v>4783</v>
      </c>
      <c r="I2512" s="33" t="s">
        <v>39</v>
      </c>
      <c r="J2512" s="33" t="s">
        <v>40</v>
      </c>
      <c r="K2512" s="33" t="s">
        <v>41</v>
      </c>
    </row>
    <row r="2513" spans="1:12" hidden="1" x14ac:dyDescent="0.3">
      <c r="A2513" s="39">
        <v>46059.376516203702</v>
      </c>
      <c r="B2513" s="33">
        <v>1639391799</v>
      </c>
      <c r="C2513" s="33" t="s">
        <v>43</v>
      </c>
      <c r="D2513" s="33">
        <v>4430265054</v>
      </c>
      <c r="E2513" s="33">
        <v>164</v>
      </c>
      <c r="F2513" s="33">
        <v>107</v>
      </c>
      <c r="G2513" s="33" t="s">
        <v>38</v>
      </c>
      <c r="H2513" s="33" t="s">
        <v>4784</v>
      </c>
      <c r="I2513" s="33" t="s">
        <v>39</v>
      </c>
      <c r="J2513" s="33" t="s">
        <v>40</v>
      </c>
      <c r="K2513" s="33" t="s">
        <v>41</v>
      </c>
    </row>
    <row r="2514" spans="1:12" hidden="1" x14ac:dyDescent="0.3">
      <c r="A2514" s="39">
        <v>46059.372974537036</v>
      </c>
      <c r="B2514" s="33">
        <v>44997343311</v>
      </c>
      <c r="C2514" s="33" t="s">
        <v>42</v>
      </c>
      <c r="D2514" s="33">
        <v>4430265054</v>
      </c>
      <c r="E2514" s="33">
        <v>867</v>
      </c>
      <c r="F2514" s="33">
        <v>782</v>
      </c>
      <c r="G2514" s="33" t="s">
        <v>38</v>
      </c>
      <c r="H2514" s="33" t="s">
        <v>4785</v>
      </c>
      <c r="I2514" s="33" t="s">
        <v>39</v>
      </c>
      <c r="J2514" s="33" t="s">
        <v>40</v>
      </c>
      <c r="K2514" s="33" t="s">
        <v>41</v>
      </c>
      <c r="L2514" s="33">
        <v>5</v>
      </c>
    </row>
    <row r="2515" spans="1:12" hidden="1" x14ac:dyDescent="0.3">
      <c r="A2515" s="39">
        <v>46059.369189814817</v>
      </c>
      <c r="B2515" s="33">
        <v>18996991511</v>
      </c>
      <c r="C2515" s="33" t="s">
        <v>37</v>
      </c>
      <c r="D2515" s="33">
        <v>4430265054</v>
      </c>
      <c r="E2515" s="33">
        <v>2211</v>
      </c>
      <c r="F2515" s="33">
        <v>2172</v>
      </c>
      <c r="G2515" s="33" t="s">
        <v>38</v>
      </c>
      <c r="H2515" s="33" t="s">
        <v>4786</v>
      </c>
      <c r="I2515" s="33" t="s">
        <v>39</v>
      </c>
      <c r="J2515" s="33" t="s">
        <v>40</v>
      </c>
      <c r="K2515" s="33" t="s">
        <v>41</v>
      </c>
    </row>
    <row r="2516" spans="1:12" hidden="1" x14ac:dyDescent="0.3">
      <c r="A2516" s="39">
        <v>46059.365833333337</v>
      </c>
      <c r="B2516" s="33">
        <v>44991213058</v>
      </c>
      <c r="C2516" s="33" t="s">
        <v>43</v>
      </c>
      <c r="D2516" s="33">
        <v>4430265054</v>
      </c>
      <c r="E2516" s="33">
        <v>310</v>
      </c>
      <c r="F2516" s="33">
        <v>286</v>
      </c>
      <c r="G2516" s="33" t="s">
        <v>38</v>
      </c>
      <c r="H2516" s="33" t="s">
        <v>4787</v>
      </c>
      <c r="I2516" s="33" t="s">
        <v>39</v>
      </c>
      <c r="J2516" s="33" t="s">
        <v>40</v>
      </c>
      <c r="K2516" s="33" t="s">
        <v>41</v>
      </c>
      <c r="L2516" s="33">
        <v>5</v>
      </c>
    </row>
    <row r="2517" spans="1:12" hidden="1" x14ac:dyDescent="0.3">
      <c r="A2517" s="39">
        <v>46059.365474537037</v>
      </c>
      <c r="B2517" s="33">
        <v>44984225332</v>
      </c>
      <c r="C2517" s="33" t="s">
        <v>37</v>
      </c>
      <c r="D2517" s="33">
        <v>4430265054</v>
      </c>
      <c r="E2517" s="33">
        <v>564</v>
      </c>
      <c r="F2517" s="33">
        <v>550</v>
      </c>
      <c r="G2517" s="33" t="s">
        <v>38</v>
      </c>
      <c r="H2517" s="33" t="s">
        <v>4788</v>
      </c>
      <c r="I2517" s="33" t="s">
        <v>39</v>
      </c>
      <c r="J2517" s="33" t="s">
        <v>40</v>
      </c>
      <c r="K2517" s="33" t="s">
        <v>41</v>
      </c>
      <c r="L2517" s="33">
        <v>5</v>
      </c>
    </row>
    <row r="2518" spans="1:12" hidden="1" x14ac:dyDescent="0.3">
      <c r="A2518" s="39">
        <v>46059.360613425924</v>
      </c>
      <c r="B2518" s="33">
        <v>4430315826</v>
      </c>
      <c r="C2518" s="33" t="s">
        <v>45</v>
      </c>
      <c r="D2518" s="33">
        <v>4430265054</v>
      </c>
      <c r="E2518" s="33">
        <v>2700</v>
      </c>
      <c r="F2518" s="33">
        <v>2672</v>
      </c>
      <c r="G2518" s="33" t="s">
        <v>38</v>
      </c>
      <c r="H2518" s="33" t="s">
        <v>4789</v>
      </c>
      <c r="I2518" s="33" t="s">
        <v>39</v>
      </c>
      <c r="J2518" s="33" t="s">
        <v>40</v>
      </c>
      <c r="K2518" s="33" t="s">
        <v>41</v>
      </c>
    </row>
    <row r="2519" spans="1:12" hidden="1" x14ac:dyDescent="0.3">
      <c r="A2519" s="39">
        <v>46059.35601851852</v>
      </c>
      <c r="B2519" s="33">
        <v>4436292373</v>
      </c>
      <c r="C2519" s="33" t="s">
        <v>45</v>
      </c>
      <c r="D2519" s="33">
        <v>4430265054</v>
      </c>
      <c r="E2519" s="33">
        <v>252</v>
      </c>
      <c r="F2519" s="33">
        <v>178</v>
      </c>
      <c r="G2519" s="33" t="s">
        <v>38</v>
      </c>
      <c r="H2519" s="33" t="s">
        <v>4790</v>
      </c>
      <c r="I2519" s="33" t="s">
        <v>39</v>
      </c>
      <c r="J2519" s="33" t="s">
        <v>40</v>
      </c>
      <c r="K2519" s="33" t="s">
        <v>41</v>
      </c>
    </row>
    <row r="2520" spans="1:12" hidden="1" x14ac:dyDescent="0.3">
      <c r="A2520" s="39">
        <v>46059.351203703707</v>
      </c>
      <c r="B2520" s="33">
        <v>4436292220</v>
      </c>
      <c r="C2520" s="33">
        <v>4430265054</v>
      </c>
      <c r="D2520" s="33">
        <v>4430265054</v>
      </c>
      <c r="E2520" s="33">
        <v>29</v>
      </c>
      <c r="F2520" s="33">
        <v>28</v>
      </c>
      <c r="G2520" s="33" t="s">
        <v>3449</v>
      </c>
      <c r="H2520" s="33" t="s">
        <v>6267</v>
      </c>
      <c r="I2520" s="33" t="s">
        <v>39</v>
      </c>
      <c r="J2520" s="33" t="s">
        <v>3451</v>
      </c>
    </row>
    <row r="2521" spans="1:12" hidden="1" x14ac:dyDescent="0.3">
      <c r="A2521" s="39">
        <v>46058.743877314817</v>
      </c>
      <c r="B2521" s="33">
        <v>44988255390</v>
      </c>
      <c r="C2521" s="33">
        <v>4430265054</v>
      </c>
      <c r="D2521" s="33">
        <v>4430265054</v>
      </c>
      <c r="E2521" s="33">
        <v>18</v>
      </c>
      <c r="F2521" s="33">
        <v>18</v>
      </c>
      <c r="G2521" s="33" t="s">
        <v>3449</v>
      </c>
      <c r="H2521" s="33" t="s">
        <v>6268</v>
      </c>
      <c r="I2521" s="33" t="s">
        <v>39</v>
      </c>
      <c r="J2521" s="33" t="s">
        <v>3451</v>
      </c>
    </row>
    <row r="2522" spans="1:12" hidden="1" x14ac:dyDescent="0.3">
      <c r="A2522" s="39">
        <v>46058.733206018522</v>
      </c>
      <c r="B2522" s="33">
        <v>4436761185</v>
      </c>
      <c r="C2522" s="33" t="s">
        <v>43</v>
      </c>
      <c r="D2522" s="33">
        <v>4430265054</v>
      </c>
      <c r="E2522" s="33">
        <v>210</v>
      </c>
      <c r="F2522" s="33">
        <v>139</v>
      </c>
      <c r="G2522" s="33" t="s">
        <v>38</v>
      </c>
      <c r="H2522" s="33" t="s">
        <v>4791</v>
      </c>
      <c r="I2522" s="33" t="s">
        <v>39</v>
      </c>
      <c r="J2522" s="33" t="s">
        <v>40</v>
      </c>
      <c r="K2522" s="33" t="s">
        <v>41</v>
      </c>
    </row>
    <row r="2523" spans="1:12" hidden="1" x14ac:dyDescent="0.3">
      <c r="A2523" s="39">
        <v>46058.723368055558</v>
      </c>
      <c r="B2523" s="33" t="s">
        <v>37</v>
      </c>
      <c r="C2523" s="33">
        <v>41997840159</v>
      </c>
      <c r="E2523" s="33">
        <v>968</v>
      </c>
      <c r="F2523" s="33">
        <v>950</v>
      </c>
      <c r="G2523" s="33" t="s">
        <v>38</v>
      </c>
      <c r="H2523" s="33" t="s">
        <v>6269</v>
      </c>
      <c r="I2523" s="33" t="s">
        <v>46</v>
      </c>
      <c r="J2523" s="33" t="s">
        <v>40</v>
      </c>
      <c r="L2523" s="33">
        <v>5</v>
      </c>
    </row>
    <row r="2524" spans="1:12" hidden="1" x14ac:dyDescent="0.3">
      <c r="A2524" s="39">
        <v>46058.721851851849</v>
      </c>
      <c r="B2524" s="33" t="s">
        <v>48</v>
      </c>
      <c r="C2524" s="33">
        <v>1639391799</v>
      </c>
      <c r="E2524" s="33">
        <v>1256</v>
      </c>
      <c r="F2524" s="33">
        <v>1234</v>
      </c>
      <c r="G2524" s="33" t="s">
        <v>38</v>
      </c>
      <c r="H2524" s="33" t="s">
        <v>6270</v>
      </c>
      <c r="I2524" s="33" t="s">
        <v>46</v>
      </c>
      <c r="J2524" s="33" t="s">
        <v>40</v>
      </c>
    </row>
    <row r="2525" spans="1:12" hidden="1" x14ac:dyDescent="0.3">
      <c r="A2525" s="39">
        <v>46058.721631944441</v>
      </c>
      <c r="B2525" s="33">
        <v>4436281154</v>
      </c>
      <c r="C2525" s="33">
        <v>4430265054</v>
      </c>
      <c r="D2525" s="33">
        <v>4430265054</v>
      </c>
      <c r="E2525" s="33">
        <v>1</v>
      </c>
      <c r="F2525" s="33">
        <v>0</v>
      </c>
      <c r="G2525" s="33" t="s">
        <v>3449</v>
      </c>
      <c r="H2525" s="33" t="s">
        <v>6271</v>
      </c>
      <c r="I2525" s="33" t="s">
        <v>39</v>
      </c>
      <c r="J2525" s="33" t="s">
        <v>3451</v>
      </c>
    </row>
    <row r="2526" spans="1:12" hidden="1" x14ac:dyDescent="0.3">
      <c r="A2526" s="39">
        <v>46058.721574074072</v>
      </c>
      <c r="B2526" s="33">
        <v>44999670264</v>
      </c>
      <c r="C2526" s="33" t="s">
        <v>42</v>
      </c>
      <c r="D2526" s="33">
        <v>4430265054</v>
      </c>
      <c r="E2526" s="33">
        <v>363</v>
      </c>
      <c r="F2526" s="33">
        <v>336</v>
      </c>
      <c r="G2526" s="33" t="s">
        <v>38</v>
      </c>
      <c r="H2526" s="33" t="s">
        <v>4792</v>
      </c>
      <c r="I2526" s="33" t="s">
        <v>39</v>
      </c>
      <c r="J2526" s="33" t="s">
        <v>40</v>
      </c>
      <c r="K2526" s="33" t="s">
        <v>41</v>
      </c>
      <c r="L2526" s="33">
        <v>5</v>
      </c>
    </row>
    <row r="2527" spans="1:12" hidden="1" x14ac:dyDescent="0.3">
      <c r="A2527" s="39">
        <v>46058.720995370371</v>
      </c>
      <c r="B2527" s="33">
        <v>4436281154</v>
      </c>
      <c r="C2527" s="33">
        <v>4430265054</v>
      </c>
      <c r="D2527" s="33">
        <v>4430265054</v>
      </c>
      <c r="E2527" s="33">
        <v>7</v>
      </c>
      <c r="F2527" s="33">
        <v>7</v>
      </c>
      <c r="G2527" s="33" t="s">
        <v>3449</v>
      </c>
      <c r="H2527" s="33" t="s">
        <v>6272</v>
      </c>
      <c r="I2527" s="33" t="s">
        <v>39</v>
      </c>
      <c r="J2527" s="33" t="s">
        <v>3451</v>
      </c>
    </row>
    <row r="2528" spans="1:12" hidden="1" x14ac:dyDescent="0.3">
      <c r="A2528" s="39">
        <v>46058.719606481478</v>
      </c>
      <c r="B2528" s="33">
        <v>4436281154</v>
      </c>
      <c r="C2528" s="33">
        <v>4430265054</v>
      </c>
      <c r="D2528" s="33">
        <v>4430265054</v>
      </c>
      <c r="E2528" s="33">
        <v>18</v>
      </c>
      <c r="F2528" s="33">
        <v>17</v>
      </c>
      <c r="G2528" s="33" t="s">
        <v>3449</v>
      </c>
      <c r="H2528" s="33" t="s">
        <v>6273</v>
      </c>
      <c r="I2528" s="33" t="s">
        <v>39</v>
      </c>
      <c r="J2528" s="33" t="s">
        <v>3451</v>
      </c>
    </row>
    <row r="2529" spans="1:12" hidden="1" x14ac:dyDescent="0.3">
      <c r="A2529" s="39">
        <v>46058.718182870369</v>
      </c>
      <c r="B2529" s="33">
        <v>4432520077</v>
      </c>
      <c r="C2529" s="33" t="s">
        <v>37</v>
      </c>
      <c r="D2529" s="33">
        <v>4430265054</v>
      </c>
      <c r="E2529" s="33">
        <v>190</v>
      </c>
      <c r="F2529" s="33">
        <v>133</v>
      </c>
      <c r="G2529" s="33" t="s">
        <v>38</v>
      </c>
      <c r="H2529" s="33" t="s">
        <v>4793</v>
      </c>
      <c r="I2529" s="33" t="s">
        <v>39</v>
      </c>
      <c r="J2529" s="33" t="s">
        <v>40</v>
      </c>
      <c r="K2529" s="33" t="s">
        <v>41</v>
      </c>
      <c r="L2529" s="33">
        <v>5</v>
      </c>
    </row>
    <row r="2530" spans="1:12" hidden="1" x14ac:dyDescent="0.3">
      <c r="A2530" s="39">
        <v>46058.710023148145</v>
      </c>
      <c r="B2530" s="33" t="s">
        <v>45</v>
      </c>
      <c r="C2530" s="33">
        <v>45999211333</v>
      </c>
      <c r="E2530" s="33">
        <v>645</v>
      </c>
      <c r="F2530" s="33">
        <v>630</v>
      </c>
      <c r="G2530" s="33" t="s">
        <v>38</v>
      </c>
      <c r="H2530" s="33" t="s">
        <v>6274</v>
      </c>
      <c r="I2530" s="33" t="s">
        <v>46</v>
      </c>
      <c r="J2530" s="33" t="s">
        <v>40</v>
      </c>
    </row>
    <row r="2531" spans="1:12" hidden="1" x14ac:dyDescent="0.3">
      <c r="A2531" s="39">
        <v>46058.707094907404</v>
      </c>
      <c r="B2531" s="33">
        <v>91985176746</v>
      </c>
      <c r="C2531" s="33" t="s">
        <v>42</v>
      </c>
      <c r="D2531" s="33">
        <v>4430265054</v>
      </c>
      <c r="E2531" s="33">
        <v>62</v>
      </c>
      <c r="F2531" s="33">
        <v>12</v>
      </c>
      <c r="G2531" s="33" t="s">
        <v>38</v>
      </c>
      <c r="H2531" s="33" t="s">
        <v>4794</v>
      </c>
      <c r="I2531" s="33" t="s">
        <v>39</v>
      </c>
      <c r="J2531" s="33" t="s">
        <v>40</v>
      </c>
      <c r="K2531" s="33" t="s">
        <v>41</v>
      </c>
    </row>
    <row r="2532" spans="1:12" hidden="1" x14ac:dyDescent="0.3">
      <c r="A2532" s="39">
        <v>46058.704988425925</v>
      </c>
      <c r="B2532" s="33">
        <v>4436281154</v>
      </c>
      <c r="C2532" s="33" t="s">
        <v>37</v>
      </c>
      <c r="D2532" s="33">
        <v>4430265054</v>
      </c>
      <c r="E2532" s="33">
        <v>238</v>
      </c>
      <c r="F2532" s="33">
        <v>166</v>
      </c>
      <c r="G2532" s="33" t="s">
        <v>38</v>
      </c>
      <c r="H2532" s="33" t="s">
        <v>4795</v>
      </c>
      <c r="I2532" s="33" t="s">
        <v>39</v>
      </c>
      <c r="J2532" s="33" t="s">
        <v>40</v>
      </c>
      <c r="K2532" s="33" t="s">
        <v>41</v>
      </c>
    </row>
    <row r="2533" spans="1:12" hidden="1" x14ac:dyDescent="0.3">
      <c r="A2533" s="39">
        <v>46058.700787037036</v>
      </c>
      <c r="B2533" s="33">
        <v>1639391799</v>
      </c>
      <c r="C2533" s="33" t="s">
        <v>48</v>
      </c>
      <c r="D2533" s="33">
        <v>4430265054</v>
      </c>
      <c r="E2533" s="33">
        <v>1039</v>
      </c>
      <c r="F2533" s="33">
        <v>969</v>
      </c>
      <c r="G2533" s="33" t="s">
        <v>38</v>
      </c>
      <c r="H2533" s="33" t="s">
        <v>4796</v>
      </c>
      <c r="I2533" s="33" t="s">
        <v>39</v>
      </c>
      <c r="J2533" s="33" t="s">
        <v>40</v>
      </c>
      <c r="K2533" s="33" t="s">
        <v>41</v>
      </c>
    </row>
    <row r="2534" spans="1:12" hidden="1" x14ac:dyDescent="0.3">
      <c r="A2534" s="39">
        <v>46058.688298611109</v>
      </c>
      <c r="B2534" s="33">
        <v>41995061279</v>
      </c>
      <c r="C2534" s="33" t="s">
        <v>44</v>
      </c>
      <c r="D2534" s="33">
        <v>4430265054</v>
      </c>
      <c r="E2534" s="33">
        <v>337</v>
      </c>
      <c r="F2534" s="33">
        <v>310</v>
      </c>
      <c r="G2534" s="33" t="s">
        <v>38</v>
      </c>
      <c r="H2534" s="33" t="s">
        <v>4797</v>
      </c>
      <c r="I2534" s="33" t="s">
        <v>39</v>
      </c>
      <c r="J2534" s="33" t="s">
        <v>40</v>
      </c>
      <c r="K2534" s="33" t="s">
        <v>41</v>
      </c>
    </row>
    <row r="2535" spans="1:12" hidden="1" x14ac:dyDescent="0.3">
      <c r="A2535" s="39">
        <v>46058.687256944446</v>
      </c>
      <c r="B2535" s="33">
        <v>44997343311</v>
      </c>
      <c r="C2535" s="33" t="s">
        <v>42</v>
      </c>
      <c r="D2535" s="33">
        <v>4430265054</v>
      </c>
      <c r="E2535" s="33">
        <v>1501</v>
      </c>
      <c r="F2535" s="33">
        <v>1474</v>
      </c>
      <c r="G2535" s="33" t="s">
        <v>38</v>
      </c>
      <c r="H2535" s="33" t="s">
        <v>4798</v>
      </c>
      <c r="I2535" s="33" t="s">
        <v>39</v>
      </c>
      <c r="J2535" s="33" t="s">
        <v>40</v>
      </c>
      <c r="K2535" s="33" t="s">
        <v>41</v>
      </c>
    </row>
    <row r="2536" spans="1:12" hidden="1" x14ac:dyDescent="0.3">
      <c r="A2536" s="39">
        <v>46058.685925925929</v>
      </c>
      <c r="B2536" s="33">
        <v>4133491428</v>
      </c>
      <c r="C2536" s="33" t="s">
        <v>37</v>
      </c>
      <c r="D2536" s="33">
        <v>4430265054</v>
      </c>
      <c r="E2536" s="33">
        <v>533</v>
      </c>
      <c r="F2536" s="33">
        <v>460</v>
      </c>
      <c r="G2536" s="33" t="s">
        <v>38</v>
      </c>
      <c r="H2536" s="33" t="s">
        <v>4799</v>
      </c>
      <c r="I2536" s="33" t="s">
        <v>39</v>
      </c>
      <c r="J2536" s="33" t="s">
        <v>40</v>
      </c>
      <c r="K2536" s="33" t="s">
        <v>41</v>
      </c>
      <c r="L2536" s="33">
        <v>5</v>
      </c>
    </row>
    <row r="2537" spans="1:12" hidden="1" x14ac:dyDescent="0.3">
      <c r="A2537" s="39">
        <v>46058.676388888889</v>
      </c>
      <c r="B2537" s="33">
        <v>91989096505</v>
      </c>
      <c r="C2537" s="33" t="s">
        <v>37</v>
      </c>
      <c r="D2537" s="33">
        <v>4430265054</v>
      </c>
      <c r="E2537" s="33">
        <v>678</v>
      </c>
      <c r="F2537" s="33">
        <v>647</v>
      </c>
      <c r="G2537" s="33" t="s">
        <v>38</v>
      </c>
      <c r="H2537" s="33" t="s">
        <v>4800</v>
      </c>
      <c r="I2537" s="33" t="s">
        <v>39</v>
      </c>
      <c r="J2537" s="33" t="s">
        <v>40</v>
      </c>
      <c r="K2537" s="33" t="s">
        <v>41</v>
      </c>
      <c r="L2537" s="33">
        <v>5</v>
      </c>
    </row>
    <row r="2538" spans="1:12" x14ac:dyDescent="0.3">
      <c r="A2538" s="39">
        <v>46058.662847222222</v>
      </c>
      <c r="B2538" s="33">
        <v>4432524636</v>
      </c>
      <c r="C2538" s="33" t="s">
        <v>44</v>
      </c>
      <c r="D2538" s="33">
        <v>4430265054</v>
      </c>
      <c r="E2538" s="33">
        <v>1299</v>
      </c>
      <c r="F2538" s="33">
        <v>1214</v>
      </c>
      <c r="G2538" s="33" t="s">
        <v>38</v>
      </c>
      <c r="H2538" s="33" t="s">
        <v>4801</v>
      </c>
      <c r="I2538" s="33" t="s">
        <v>39</v>
      </c>
      <c r="J2538" s="33" t="s">
        <v>40</v>
      </c>
      <c r="K2538" s="33" t="s">
        <v>41</v>
      </c>
      <c r="L2538" s="33">
        <v>5</v>
      </c>
    </row>
    <row r="2539" spans="1:12" hidden="1" x14ac:dyDescent="0.3">
      <c r="A2539" s="39">
        <v>46058.648043981484</v>
      </c>
      <c r="B2539" s="33" t="s">
        <v>51</v>
      </c>
      <c r="C2539" s="33" t="s">
        <v>5173</v>
      </c>
      <c r="E2539" s="33">
        <v>219</v>
      </c>
      <c r="F2539" s="33">
        <v>215</v>
      </c>
      <c r="G2539" s="33" t="s">
        <v>38</v>
      </c>
      <c r="H2539" s="33" t="s">
        <v>6275</v>
      </c>
      <c r="I2539" s="33" t="s">
        <v>52</v>
      </c>
      <c r="J2539" s="33" t="s">
        <v>3629</v>
      </c>
    </row>
    <row r="2540" spans="1:12" hidden="1" x14ac:dyDescent="0.3">
      <c r="A2540" s="39">
        <v>46058.64539351852</v>
      </c>
      <c r="B2540" s="33">
        <v>4432524652</v>
      </c>
      <c r="C2540" s="33" t="s">
        <v>42</v>
      </c>
      <c r="D2540" s="33">
        <v>4430265054</v>
      </c>
      <c r="E2540" s="33">
        <v>967</v>
      </c>
      <c r="F2540" s="33">
        <v>950</v>
      </c>
      <c r="G2540" s="33" t="s">
        <v>38</v>
      </c>
      <c r="H2540" s="33" t="s">
        <v>4802</v>
      </c>
      <c r="I2540" s="33" t="s">
        <v>39</v>
      </c>
      <c r="J2540" s="33" t="s">
        <v>40</v>
      </c>
      <c r="K2540" s="33" t="s">
        <v>41</v>
      </c>
    </row>
    <row r="2541" spans="1:12" hidden="1" x14ac:dyDescent="0.3">
      <c r="A2541" s="39">
        <v>46058.639479166668</v>
      </c>
      <c r="B2541" s="33">
        <v>6234347959</v>
      </c>
      <c r="C2541" s="33" t="s">
        <v>43</v>
      </c>
      <c r="D2541" s="33">
        <v>4430265054</v>
      </c>
      <c r="E2541" s="33">
        <v>1329</v>
      </c>
      <c r="F2541" s="33">
        <v>1283</v>
      </c>
      <c r="G2541" s="33" t="s">
        <v>38</v>
      </c>
      <c r="H2541" s="33" t="s">
        <v>4803</v>
      </c>
      <c r="I2541" s="33" t="s">
        <v>39</v>
      </c>
      <c r="J2541" s="33" t="s">
        <v>40</v>
      </c>
      <c r="K2541" s="33" t="s">
        <v>41</v>
      </c>
    </row>
    <row r="2542" spans="1:12" hidden="1" x14ac:dyDescent="0.3">
      <c r="A2542" s="39">
        <v>46058.63422453704</v>
      </c>
      <c r="B2542" s="33">
        <v>35998295948</v>
      </c>
      <c r="C2542" s="33" t="s">
        <v>48</v>
      </c>
      <c r="D2542" s="33">
        <v>4430265054</v>
      </c>
      <c r="E2542" s="33">
        <v>1326</v>
      </c>
      <c r="F2542" s="33">
        <v>1326</v>
      </c>
      <c r="G2542" s="33" t="s">
        <v>38</v>
      </c>
      <c r="H2542" s="33" t="s">
        <v>4804</v>
      </c>
      <c r="I2542" s="33" t="s">
        <v>39</v>
      </c>
      <c r="J2542" s="33" t="s">
        <v>40</v>
      </c>
      <c r="K2542" s="33" t="s">
        <v>41</v>
      </c>
      <c r="L2542" s="33">
        <v>5</v>
      </c>
    </row>
    <row r="2543" spans="1:12" hidden="1" x14ac:dyDescent="0.3">
      <c r="A2543" s="39">
        <v>46058.632881944446</v>
      </c>
      <c r="B2543" s="33" t="s">
        <v>5173</v>
      </c>
      <c r="C2543" s="33">
        <v>44991552855</v>
      </c>
      <c r="E2543" s="33">
        <v>601</v>
      </c>
      <c r="F2543" s="33">
        <v>585</v>
      </c>
      <c r="G2543" s="33" t="s">
        <v>38</v>
      </c>
      <c r="H2543" s="33" t="s">
        <v>6276</v>
      </c>
      <c r="I2543" s="33" t="s">
        <v>46</v>
      </c>
      <c r="J2543" s="33" t="s">
        <v>3629</v>
      </c>
    </row>
    <row r="2544" spans="1:12" hidden="1" x14ac:dyDescent="0.3">
      <c r="A2544" s="39">
        <v>46058.632384259261</v>
      </c>
      <c r="B2544" s="33">
        <v>4432226677</v>
      </c>
      <c r="C2544" s="33" t="s">
        <v>48</v>
      </c>
      <c r="D2544" s="33">
        <v>4430265054</v>
      </c>
      <c r="E2544" s="33">
        <v>201</v>
      </c>
      <c r="F2544" s="33">
        <v>178</v>
      </c>
      <c r="G2544" s="33" t="s">
        <v>38</v>
      </c>
      <c r="H2544" s="33" t="s">
        <v>4805</v>
      </c>
      <c r="I2544" s="33" t="s">
        <v>39</v>
      </c>
      <c r="J2544" s="33" t="s">
        <v>40</v>
      </c>
      <c r="K2544" s="33" t="s">
        <v>41</v>
      </c>
    </row>
    <row r="2545" spans="1:12" hidden="1" x14ac:dyDescent="0.3">
      <c r="A2545" s="39">
        <v>46058.631898148145</v>
      </c>
      <c r="B2545" s="33">
        <v>4436281154</v>
      </c>
      <c r="C2545" s="33" t="s">
        <v>44</v>
      </c>
      <c r="D2545" s="33">
        <v>4430265054</v>
      </c>
      <c r="E2545" s="33">
        <v>781</v>
      </c>
      <c r="F2545" s="33">
        <v>721</v>
      </c>
      <c r="G2545" s="33" t="s">
        <v>38</v>
      </c>
      <c r="H2545" s="33" t="s">
        <v>4806</v>
      </c>
      <c r="I2545" s="33" t="s">
        <v>39</v>
      </c>
      <c r="J2545" s="33" t="s">
        <v>40</v>
      </c>
      <c r="K2545" s="33" t="s">
        <v>41</v>
      </c>
    </row>
    <row r="2546" spans="1:12" hidden="1" x14ac:dyDescent="0.3">
      <c r="A2546" s="39">
        <v>46058.629942129628</v>
      </c>
      <c r="B2546" s="33">
        <v>44997164698</v>
      </c>
      <c r="C2546" s="33" t="s">
        <v>43</v>
      </c>
      <c r="D2546" s="33">
        <v>4430265054</v>
      </c>
      <c r="E2546" s="33">
        <v>808</v>
      </c>
      <c r="F2546" s="33">
        <v>739</v>
      </c>
      <c r="G2546" s="33" t="s">
        <v>38</v>
      </c>
      <c r="H2546" s="33" t="s">
        <v>4807</v>
      </c>
      <c r="I2546" s="33" t="s">
        <v>39</v>
      </c>
      <c r="J2546" s="33" t="s">
        <v>40</v>
      </c>
      <c r="K2546" s="33" t="s">
        <v>41</v>
      </c>
    </row>
    <row r="2547" spans="1:12" hidden="1" x14ac:dyDescent="0.3">
      <c r="A2547" s="39">
        <v>46058.629606481481</v>
      </c>
      <c r="B2547" s="33">
        <v>4430289496</v>
      </c>
      <c r="C2547" s="33" t="s">
        <v>42</v>
      </c>
      <c r="D2547" s="33">
        <v>4430265054</v>
      </c>
      <c r="E2547" s="33">
        <v>433</v>
      </c>
      <c r="F2547" s="33">
        <v>374</v>
      </c>
      <c r="G2547" s="33" t="s">
        <v>38</v>
      </c>
      <c r="H2547" s="33" t="s">
        <v>4808</v>
      </c>
      <c r="I2547" s="33" t="s">
        <v>39</v>
      </c>
      <c r="J2547" s="33" t="s">
        <v>40</v>
      </c>
      <c r="K2547" s="33" t="s">
        <v>41</v>
      </c>
    </row>
    <row r="2548" spans="1:12" hidden="1" x14ac:dyDescent="0.3">
      <c r="A2548" s="39">
        <v>46058.628171296295</v>
      </c>
      <c r="B2548" s="33">
        <v>44998059689</v>
      </c>
      <c r="C2548" s="33" t="s">
        <v>45</v>
      </c>
      <c r="D2548" s="33">
        <v>4430265054</v>
      </c>
      <c r="E2548" s="33">
        <v>940</v>
      </c>
      <c r="F2548" s="33">
        <v>917</v>
      </c>
      <c r="G2548" s="33" t="s">
        <v>38</v>
      </c>
      <c r="H2548" s="33" t="s">
        <v>4809</v>
      </c>
      <c r="I2548" s="33" t="s">
        <v>39</v>
      </c>
      <c r="J2548" s="33" t="s">
        <v>40</v>
      </c>
      <c r="K2548" s="33" t="s">
        <v>41</v>
      </c>
      <c r="L2548" s="33">
        <v>5</v>
      </c>
    </row>
    <row r="2549" spans="1:12" hidden="1" x14ac:dyDescent="0.3">
      <c r="A2549" s="39">
        <v>46058.624756944446</v>
      </c>
      <c r="B2549" s="33">
        <v>4432268889</v>
      </c>
      <c r="C2549" s="33" t="s">
        <v>45</v>
      </c>
      <c r="D2549" s="33">
        <v>4430265054</v>
      </c>
      <c r="E2549" s="33">
        <v>124</v>
      </c>
      <c r="F2549" s="33">
        <v>94</v>
      </c>
      <c r="G2549" s="33" t="s">
        <v>38</v>
      </c>
      <c r="H2549" s="33" t="s">
        <v>4810</v>
      </c>
      <c r="I2549" s="33" t="s">
        <v>39</v>
      </c>
      <c r="J2549" s="33" t="s">
        <v>40</v>
      </c>
      <c r="K2549" s="33" t="s">
        <v>41</v>
      </c>
      <c r="L2549" s="33">
        <v>5</v>
      </c>
    </row>
    <row r="2550" spans="1:12" hidden="1" x14ac:dyDescent="0.3">
      <c r="A2550" s="39">
        <v>46058.622476851851</v>
      </c>
      <c r="B2550" s="33">
        <v>4430141533</v>
      </c>
      <c r="C2550" s="33" t="s">
        <v>42</v>
      </c>
      <c r="D2550" s="33">
        <v>4430265054</v>
      </c>
      <c r="E2550" s="33">
        <v>244</v>
      </c>
      <c r="F2550" s="33">
        <v>219</v>
      </c>
      <c r="G2550" s="33" t="s">
        <v>38</v>
      </c>
      <c r="H2550" s="33" t="s">
        <v>4811</v>
      </c>
      <c r="I2550" s="33" t="s">
        <v>39</v>
      </c>
      <c r="J2550" s="33" t="s">
        <v>40</v>
      </c>
      <c r="K2550" s="33" t="s">
        <v>41</v>
      </c>
    </row>
    <row r="2551" spans="1:12" hidden="1" x14ac:dyDescent="0.3">
      <c r="A2551" s="39">
        <v>46058.620567129627</v>
      </c>
      <c r="B2551" s="33">
        <v>62994086124</v>
      </c>
      <c r="C2551" s="33" t="s">
        <v>37</v>
      </c>
      <c r="D2551" s="33">
        <v>4430265054</v>
      </c>
      <c r="E2551" s="33">
        <v>2259</v>
      </c>
      <c r="F2551" s="33">
        <v>2241</v>
      </c>
      <c r="G2551" s="33" t="s">
        <v>38</v>
      </c>
      <c r="H2551" s="33" t="s">
        <v>4812</v>
      </c>
      <c r="I2551" s="33" t="s">
        <v>39</v>
      </c>
      <c r="J2551" s="33" t="s">
        <v>40</v>
      </c>
      <c r="K2551" s="33" t="s">
        <v>41</v>
      </c>
      <c r="L2551" s="33">
        <v>5</v>
      </c>
    </row>
    <row r="2552" spans="1:12" hidden="1" x14ac:dyDescent="0.3">
      <c r="A2552" s="39">
        <v>46058.618287037039</v>
      </c>
      <c r="B2552" s="33">
        <v>4133491428</v>
      </c>
      <c r="C2552" s="33" t="s">
        <v>45</v>
      </c>
      <c r="D2552" s="33">
        <v>4430265054</v>
      </c>
      <c r="E2552" s="33">
        <v>501</v>
      </c>
      <c r="F2552" s="33">
        <v>448</v>
      </c>
      <c r="G2552" s="33" t="s">
        <v>38</v>
      </c>
      <c r="H2552" s="33" t="s">
        <v>4813</v>
      </c>
      <c r="I2552" s="33" t="s">
        <v>39</v>
      </c>
      <c r="J2552" s="33" t="s">
        <v>40</v>
      </c>
      <c r="K2552" s="33" t="s">
        <v>41</v>
      </c>
    </row>
    <row r="2553" spans="1:12" hidden="1" x14ac:dyDescent="0.3">
      <c r="A2553" s="39">
        <v>46058.609293981484</v>
      </c>
      <c r="B2553" s="33">
        <v>44997735525</v>
      </c>
      <c r="C2553" s="33" t="s">
        <v>45</v>
      </c>
      <c r="D2553" s="33">
        <v>4430265054</v>
      </c>
      <c r="E2553" s="33">
        <v>480</v>
      </c>
      <c r="F2553" s="33">
        <v>377</v>
      </c>
      <c r="G2553" s="33" t="s">
        <v>38</v>
      </c>
      <c r="H2553" s="33" t="s">
        <v>4814</v>
      </c>
      <c r="I2553" s="33" t="s">
        <v>39</v>
      </c>
      <c r="J2553" s="33" t="s">
        <v>40</v>
      </c>
      <c r="K2553" s="33" t="s">
        <v>41</v>
      </c>
      <c r="L2553" s="33">
        <v>5</v>
      </c>
    </row>
    <row r="2554" spans="1:12" hidden="1" x14ac:dyDescent="0.3">
      <c r="A2554" s="39">
        <v>46058.605416666665</v>
      </c>
      <c r="B2554" s="33">
        <v>1128897100</v>
      </c>
      <c r="C2554" s="33" t="s">
        <v>42</v>
      </c>
      <c r="D2554" s="33">
        <v>4430265054</v>
      </c>
      <c r="E2554" s="33">
        <v>260</v>
      </c>
      <c r="F2554" s="33">
        <v>233</v>
      </c>
      <c r="G2554" s="33" t="s">
        <v>38</v>
      </c>
      <c r="H2554" s="33" t="s">
        <v>4815</v>
      </c>
      <c r="I2554" s="33" t="s">
        <v>39</v>
      </c>
      <c r="J2554" s="33" t="s">
        <v>40</v>
      </c>
      <c r="K2554" s="33" t="s">
        <v>41</v>
      </c>
    </row>
    <row r="2555" spans="1:12" hidden="1" x14ac:dyDescent="0.3">
      <c r="A2555" s="39">
        <v>46058.599687499998</v>
      </c>
      <c r="B2555" s="33" t="s">
        <v>48</v>
      </c>
      <c r="C2555" s="33">
        <v>4430153305</v>
      </c>
      <c r="E2555" s="33">
        <v>629</v>
      </c>
      <c r="F2555" s="33">
        <v>614</v>
      </c>
      <c r="G2555" s="33" t="s">
        <v>38</v>
      </c>
      <c r="H2555" s="33" t="s">
        <v>6277</v>
      </c>
      <c r="I2555" s="33" t="s">
        <v>46</v>
      </c>
      <c r="J2555" s="33" t="s">
        <v>40</v>
      </c>
    </row>
    <row r="2556" spans="1:12" hidden="1" x14ac:dyDescent="0.3">
      <c r="A2556" s="39">
        <v>46058.594652777778</v>
      </c>
      <c r="B2556" s="33">
        <v>45999211357</v>
      </c>
      <c r="C2556" s="33" t="s">
        <v>42</v>
      </c>
      <c r="D2556" s="33">
        <v>4431268225</v>
      </c>
      <c r="E2556" s="33">
        <v>913</v>
      </c>
      <c r="F2556" s="33">
        <v>888</v>
      </c>
      <c r="G2556" s="33" t="s">
        <v>38</v>
      </c>
      <c r="H2556" s="33" t="s">
        <v>4816</v>
      </c>
      <c r="I2556" s="33" t="s">
        <v>39</v>
      </c>
      <c r="J2556" s="33" t="s">
        <v>40</v>
      </c>
      <c r="K2556" s="33" t="s">
        <v>41</v>
      </c>
      <c r="L2556" s="33">
        <v>5</v>
      </c>
    </row>
    <row r="2557" spans="1:12" hidden="1" x14ac:dyDescent="0.3">
      <c r="A2557" s="39">
        <v>46058.594502314816</v>
      </c>
      <c r="B2557" s="33">
        <v>1131043888</v>
      </c>
      <c r="C2557" s="33" t="s">
        <v>43</v>
      </c>
      <c r="D2557" s="33">
        <v>4430265054</v>
      </c>
      <c r="E2557" s="33">
        <v>930</v>
      </c>
      <c r="F2557" s="33">
        <v>909</v>
      </c>
      <c r="G2557" s="33" t="s">
        <v>38</v>
      </c>
      <c r="H2557" s="33" t="s">
        <v>4817</v>
      </c>
      <c r="I2557" s="33" t="s">
        <v>39</v>
      </c>
      <c r="J2557" s="33" t="s">
        <v>40</v>
      </c>
      <c r="K2557" s="33" t="s">
        <v>41</v>
      </c>
    </row>
    <row r="2558" spans="1:12" hidden="1" x14ac:dyDescent="0.3">
      <c r="A2558" s="39">
        <v>46058.593599537038</v>
      </c>
      <c r="B2558" s="33">
        <v>4432672194</v>
      </c>
      <c r="C2558" s="33" t="s">
        <v>44</v>
      </c>
      <c r="D2558" s="33">
        <v>4430265054</v>
      </c>
      <c r="E2558" s="33">
        <v>615</v>
      </c>
      <c r="F2558" s="33">
        <v>580</v>
      </c>
      <c r="G2558" s="33" t="s">
        <v>38</v>
      </c>
      <c r="H2558" s="33" t="s">
        <v>4818</v>
      </c>
      <c r="I2558" s="33" t="s">
        <v>39</v>
      </c>
      <c r="J2558" s="33" t="s">
        <v>40</v>
      </c>
      <c r="K2558" s="33" t="s">
        <v>41</v>
      </c>
    </row>
    <row r="2559" spans="1:12" hidden="1" x14ac:dyDescent="0.3">
      <c r="A2559" s="39">
        <v>46058.585694444446</v>
      </c>
      <c r="B2559" s="33">
        <v>4430289492</v>
      </c>
      <c r="C2559" s="33" t="s">
        <v>43</v>
      </c>
      <c r="D2559" s="33">
        <v>4430265054</v>
      </c>
      <c r="E2559" s="33">
        <v>546</v>
      </c>
      <c r="F2559" s="33">
        <v>522</v>
      </c>
      <c r="G2559" s="33" t="s">
        <v>38</v>
      </c>
      <c r="H2559" s="33" t="s">
        <v>4819</v>
      </c>
      <c r="I2559" s="33" t="s">
        <v>39</v>
      </c>
      <c r="J2559" s="33" t="s">
        <v>40</v>
      </c>
      <c r="K2559" s="33" t="s">
        <v>41</v>
      </c>
    </row>
    <row r="2560" spans="1:12" hidden="1" x14ac:dyDescent="0.3">
      <c r="A2560" s="39">
        <v>46058.584687499999</v>
      </c>
      <c r="B2560" s="33">
        <v>4432525112</v>
      </c>
      <c r="C2560" s="33" t="s">
        <v>37</v>
      </c>
      <c r="D2560" s="33">
        <v>4430265054</v>
      </c>
      <c r="E2560" s="33">
        <v>2087</v>
      </c>
      <c r="F2560" s="33">
        <v>2045</v>
      </c>
      <c r="G2560" s="33" t="s">
        <v>38</v>
      </c>
      <c r="H2560" s="33" t="s">
        <v>4820</v>
      </c>
      <c r="I2560" s="33" t="s">
        <v>39</v>
      </c>
      <c r="J2560" s="33" t="s">
        <v>40</v>
      </c>
      <c r="K2560" s="33" t="s">
        <v>41</v>
      </c>
      <c r="L2560" s="33">
        <v>5</v>
      </c>
    </row>
    <row r="2561" spans="1:12" hidden="1" x14ac:dyDescent="0.3">
      <c r="A2561" s="39">
        <v>46058.580335648148</v>
      </c>
      <c r="B2561" s="33">
        <v>44988255390</v>
      </c>
      <c r="C2561" s="33" t="s">
        <v>45</v>
      </c>
      <c r="D2561" s="33">
        <v>4430265054</v>
      </c>
      <c r="E2561" s="33">
        <v>748</v>
      </c>
      <c r="F2561" s="33">
        <v>691</v>
      </c>
      <c r="G2561" s="33" t="s">
        <v>38</v>
      </c>
      <c r="H2561" s="33" t="s">
        <v>4821</v>
      </c>
      <c r="I2561" s="33" t="s">
        <v>39</v>
      </c>
      <c r="J2561" s="33" t="s">
        <v>40</v>
      </c>
      <c r="K2561" s="33" t="s">
        <v>41</v>
      </c>
    </row>
    <row r="2562" spans="1:12" hidden="1" x14ac:dyDescent="0.3">
      <c r="A2562" s="39">
        <v>46058.578541666669</v>
      </c>
      <c r="B2562" s="33">
        <v>4430153305</v>
      </c>
      <c r="C2562" s="33" t="s">
        <v>42</v>
      </c>
      <c r="D2562" s="33">
        <v>4430265054</v>
      </c>
      <c r="E2562" s="33">
        <v>159</v>
      </c>
      <c r="F2562" s="33">
        <v>99</v>
      </c>
      <c r="G2562" s="33" t="s">
        <v>38</v>
      </c>
      <c r="H2562" s="33" t="s">
        <v>4822</v>
      </c>
      <c r="I2562" s="33" t="s">
        <v>39</v>
      </c>
      <c r="J2562" s="33" t="s">
        <v>40</v>
      </c>
      <c r="K2562" s="33" t="s">
        <v>41</v>
      </c>
    </row>
    <row r="2563" spans="1:12" hidden="1" x14ac:dyDescent="0.3">
      <c r="A2563" s="39">
        <v>46058.577488425923</v>
      </c>
      <c r="B2563" s="33" t="s">
        <v>42</v>
      </c>
      <c r="C2563" s="33">
        <v>11971245198</v>
      </c>
      <c r="E2563" s="33">
        <v>63</v>
      </c>
      <c r="F2563" s="33">
        <v>26</v>
      </c>
      <c r="G2563" s="33" t="s">
        <v>38</v>
      </c>
      <c r="H2563" s="33" t="s">
        <v>6278</v>
      </c>
      <c r="I2563" s="33" t="s">
        <v>46</v>
      </c>
      <c r="J2563" s="33" t="s">
        <v>40</v>
      </c>
    </row>
    <row r="2564" spans="1:12" hidden="1" x14ac:dyDescent="0.3">
      <c r="A2564" s="39">
        <v>46058.571516203701</v>
      </c>
      <c r="B2564" s="33">
        <v>4432541200</v>
      </c>
      <c r="C2564" s="33" t="s">
        <v>37</v>
      </c>
      <c r="D2564" s="33">
        <v>4430265054</v>
      </c>
      <c r="E2564" s="33">
        <v>291</v>
      </c>
      <c r="F2564" s="33">
        <v>231</v>
      </c>
      <c r="G2564" s="33" t="s">
        <v>38</v>
      </c>
      <c r="H2564" s="33" t="s">
        <v>4823</v>
      </c>
      <c r="I2564" s="33" t="s">
        <v>39</v>
      </c>
      <c r="J2564" s="33" t="s">
        <v>40</v>
      </c>
      <c r="K2564" s="33" t="s">
        <v>41</v>
      </c>
      <c r="L2564" s="33">
        <v>5</v>
      </c>
    </row>
    <row r="2565" spans="1:12" hidden="1" x14ac:dyDescent="0.3">
      <c r="A2565" s="39">
        <v>46058.568194444444</v>
      </c>
      <c r="B2565" s="33">
        <v>44997164698</v>
      </c>
      <c r="C2565" s="33" t="s">
        <v>45</v>
      </c>
      <c r="D2565" s="33">
        <v>4430265054</v>
      </c>
      <c r="E2565" s="33">
        <v>718</v>
      </c>
      <c r="F2565" s="33">
        <v>654</v>
      </c>
      <c r="G2565" s="33" t="s">
        <v>38</v>
      </c>
      <c r="H2565" s="33" t="s">
        <v>4824</v>
      </c>
      <c r="I2565" s="33" t="s">
        <v>39</v>
      </c>
      <c r="J2565" s="33" t="s">
        <v>40</v>
      </c>
      <c r="K2565" s="33" t="s">
        <v>41</v>
      </c>
    </row>
    <row r="2566" spans="1:12" hidden="1" x14ac:dyDescent="0.3">
      <c r="A2566" s="39">
        <v>46058.562581018516</v>
      </c>
      <c r="B2566" s="33">
        <v>44999389014</v>
      </c>
      <c r="C2566" s="33" t="s">
        <v>45</v>
      </c>
      <c r="D2566" s="33">
        <v>4430265054</v>
      </c>
      <c r="E2566" s="33">
        <v>361</v>
      </c>
      <c r="F2566" s="33">
        <v>280</v>
      </c>
      <c r="G2566" s="33" t="s">
        <v>38</v>
      </c>
      <c r="H2566" s="33" t="s">
        <v>4825</v>
      </c>
      <c r="I2566" s="33" t="s">
        <v>39</v>
      </c>
      <c r="J2566" s="33" t="s">
        <v>40</v>
      </c>
      <c r="K2566" s="33" t="s">
        <v>41</v>
      </c>
    </row>
    <row r="2567" spans="1:12" hidden="1" x14ac:dyDescent="0.3">
      <c r="A2567" s="39">
        <v>46058.559664351851</v>
      </c>
      <c r="B2567" s="33">
        <v>44997164698</v>
      </c>
      <c r="C2567" s="33">
        <v>4430265054</v>
      </c>
      <c r="D2567" s="33">
        <v>4430265054</v>
      </c>
      <c r="E2567" s="33">
        <v>15</v>
      </c>
      <c r="F2567" s="33">
        <v>14</v>
      </c>
      <c r="G2567" s="33" t="s">
        <v>3449</v>
      </c>
      <c r="H2567" s="33" t="s">
        <v>6279</v>
      </c>
      <c r="I2567" s="33" t="s">
        <v>39</v>
      </c>
      <c r="J2567" s="33" t="s">
        <v>3451</v>
      </c>
    </row>
    <row r="2568" spans="1:12" hidden="1" x14ac:dyDescent="0.3">
      <c r="A2568" s="39">
        <v>46058.550983796296</v>
      </c>
      <c r="B2568" s="33">
        <v>44999389014</v>
      </c>
      <c r="C2568" s="33">
        <v>4430265054</v>
      </c>
      <c r="D2568" s="33">
        <v>4430265054</v>
      </c>
      <c r="E2568" s="33">
        <v>14</v>
      </c>
      <c r="F2568" s="33">
        <v>14</v>
      </c>
      <c r="G2568" s="33" t="s">
        <v>3449</v>
      </c>
      <c r="H2568" s="33" t="s">
        <v>6280</v>
      </c>
      <c r="I2568" s="33" t="s">
        <v>39</v>
      </c>
      <c r="J2568" s="33" t="s">
        <v>3451</v>
      </c>
    </row>
    <row r="2569" spans="1:12" hidden="1" x14ac:dyDescent="0.3">
      <c r="A2569" s="39">
        <v>46058.496203703704</v>
      </c>
      <c r="B2569" s="33" t="s">
        <v>3627</v>
      </c>
      <c r="C2569" s="33">
        <v>4430451715</v>
      </c>
      <c r="E2569" s="33">
        <v>31</v>
      </c>
      <c r="F2569" s="33">
        <v>0</v>
      </c>
      <c r="G2569" s="33" t="s">
        <v>47</v>
      </c>
      <c r="H2569" s="33" t="s">
        <v>6281</v>
      </c>
      <c r="I2569" s="33" t="s">
        <v>46</v>
      </c>
      <c r="J2569" s="33" t="s">
        <v>3629</v>
      </c>
    </row>
    <row r="2570" spans="1:12" hidden="1" x14ac:dyDescent="0.3">
      <c r="A2570" s="39">
        <v>46058.472754629627</v>
      </c>
      <c r="B2570" s="33">
        <v>1128787060</v>
      </c>
      <c r="C2570" s="33" t="s">
        <v>42</v>
      </c>
      <c r="D2570" s="33">
        <v>4430265054</v>
      </c>
      <c r="E2570" s="33">
        <v>193</v>
      </c>
      <c r="F2570" s="33">
        <v>159</v>
      </c>
      <c r="G2570" s="33" t="s">
        <v>38</v>
      </c>
      <c r="H2570" s="33" t="s">
        <v>4826</v>
      </c>
      <c r="I2570" s="33" t="s">
        <v>39</v>
      </c>
      <c r="J2570" s="33" t="s">
        <v>40</v>
      </c>
      <c r="K2570" s="33" t="s">
        <v>41</v>
      </c>
    </row>
    <row r="2571" spans="1:12" hidden="1" x14ac:dyDescent="0.3">
      <c r="A2571" s="39">
        <v>46058.468738425923</v>
      </c>
      <c r="B2571" s="33" t="s">
        <v>37</v>
      </c>
      <c r="C2571" s="33">
        <v>11990144272</v>
      </c>
      <c r="E2571" s="33">
        <v>425</v>
      </c>
      <c r="F2571" s="33">
        <v>415</v>
      </c>
      <c r="G2571" s="33" t="s">
        <v>38</v>
      </c>
      <c r="H2571" s="33" t="s">
        <v>6282</v>
      </c>
      <c r="I2571" s="33" t="s">
        <v>46</v>
      </c>
      <c r="J2571" s="33" t="s">
        <v>40</v>
      </c>
      <c r="L2571" s="33">
        <v>5</v>
      </c>
    </row>
    <row r="2572" spans="1:12" hidden="1" x14ac:dyDescent="0.3">
      <c r="A2572" s="39">
        <v>46058.468726851854</v>
      </c>
      <c r="B2572" s="33">
        <v>67996356530</v>
      </c>
      <c r="C2572" s="33" t="s">
        <v>48</v>
      </c>
      <c r="D2572" s="33">
        <v>4430265054</v>
      </c>
      <c r="E2572" s="33">
        <v>118</v>
      </c>
      <c r="F2572" s="33">
        <v>84</v>
      </c>
      <c r="G2572" s="33" t="s">
        <v>38</v>
      </c>
      <c r="H2572" s="33" t="s">
        <v>4827</v>
      </c>
      <c r="I2572" s="33" t="s">
        <v>39</v>
      </c>
      <c r="J2572" s="33" t="s">
        <v>40</v>
      </c>
      <c r="K2572" s="33" t="s">
        <v>41</v>
      </c>
    </row>
    <row r="2573" spans="1:12" hidden="1" x14ac:dyDescent="0.3">
      <c r="A2573" s="39">
        <v>46058.466354166667</v>
      </c>
      <c r="B2573" s="33">
        <v>6234347959</v>
      </c>
      <c r="C2573" s="33" t="s">
        <v>44</v>
      </c>
      <c r="D2573" s="33">
        <v>4430265054</v>
      </c>
      <c r="E2573" s="33">
        <v>601</v>
      </c>
      <c r="F2573" s="33">
        <v>542</v>
      </c>
      <c r="G2573" s="33" t="s">
        <v>38</v>
      </c>
      <c r="H2573" s="33" t="s">
        <v>4828</v>
      </c>
      <c r="I2573" s="33" t="s">
        <v>39</v>
      </c>
      <c r="J2573" s="33" t="s">
        <v>40</v>
      </c>
      <c r="K2573" s="33" t="s">
        <v>41</v>
      </c>
    </row>
    <row r="2574" spans="1:12" hidden="1" x14ac:dyDescent="0.3">
      <c r="A2574" s="39">
        <v>46058.464745370373</v>
      </c>
      <c r="B2574" s="33">
        <v>41996631918</v>
      </c>
      <c r="C2574" s="33" t="s">
        <v>42</v>
      </c>
      <c r="D2574" s="33">
        <v>4430265054</v>
      </c>
      <c r="E2574" s="33">
        <v>577</v>
      </c>
      <c r="F2574" s="33">
        <v>543</v>
      </c>
      <c r="G2574" s="33" t="s">
        <v>38</v>
      </c>
      <c r="H2574" s="33" t="s">
        <v>4829</v>
      </c>
      <c r="I2574" s="33" t="s">
        <v>39</v>
      </c>
      <c r="J2574" s="33" t="s">
        <v>40</v>
      </c>
      <c r="K2574" s="33" t="s">
        <v>41</v>
      </c>
      <c r="L2574" s="33">
        <v>5</v>
      </c>
    </row>
    <row r="2575" spans="1:12" hidden="1" x14ac:dyDescent="0.3">
      <c r="A2575" s="39">
        <v>46058.459166666667</v>
      </c>
      <c r="B2575" s="33">
        <v>1131043888</v>
      </c>
      <c r="C2575" s="33" t="s">
        <v>43</v>
      </c>
      <c r="D2575" s="33">
        <v>4430265054</v>
      </c>
      <c r="E2575" s="33">
        <v>1802</v>
      </c>
      <c r="F2575" s="33">
        <v>1783</v>
      </c>
      <c r="G2575" s="33" t="s">
        <v>38</v>
      </c>
      <c r="H2575" s="33" t="s">
        <v>4830</v>
      </c>
      <c r="I2575" s="33" t="s">
        <v>39</v>
      </c>
      <c r="J2575" s="33" t="s">
        <v>40</v>
      </c>
      <c r="K2575" s="33" t="s">
        <v>41</v>
      </c>
    </row>
    <row r="2576" spans="1:12" hidden="1" x14ac:dyDescent="0.3">
      <c r="A2576" s="39">
        <v>46058.459108796298</v>
      </c>
      <c r="B2576" s="33">
        <v>1131043888</v>
      </c>
      <c r="C2576" s="33">
        <v>4430265054</v>
      </c>
      <c r="D2576" s="33">
        <v>4430265054</v>
      </c>
      <c r="E2576" s="33">
        <v>1</v>
      </c>
      <c r="F2576" s="33">
        <v>0</v>
      </c>
      <c r="G2576" s="33" t="s">
        <v>3449</v>
      </c>
      <c r="H2576" s="33" t="s">
        <v>6283</v>
      </c>
      <c r="I2576" s="33" t="s">
        <v>39</v>
      </c>
      <c r="J2576" s="33" t="s">
        <v>3451</v>
      </c>
    </row>
    <row r="2577" spans="1:12" hidden="1" x14ac:dyDescent="0.3">
      <c r="A2577" s="39">
        <v>46058.458645833336</v>
      </c>
      <c r="B2577" s="33">
        <v>11990144272</v>
      </c>
      <c r="C2577" s="33" t="s">
        <v>37</v>
      </c>
      <c r="D2577" s="33">
        <v>4431268225</v>
      </c>
      <c r="E2577" s="33">
        <v>540</v>
      </c>
      <c r="F2577" s="33">
        <v>520</v>
      </c>
      <c r="G2577" s="33" t="s">
        <v>38</v>
      </c>
      <c r="H2577" s="33" t="s">
        <v>4831</v>
      </c>
      <c r="I2577" s="33" t="s">
        <v>39</v>
      </c>
      <c r="J2577" s="33" t="s">
        <v>40</v>
      </c>
      <c r="K2577" s="33" t="s">
        <v>41</v>
      </c>
    </row>
    <row r="2578" spans="1:12" hidden="1" x14ac:dyDescent="0.3">
      <c r="A2578" s="39">
        <v>46058.453020833331</v>
      </c>
      <c r="B2578" s="33">
        <v>4430317020</v>
      </c>
      <c r="C2578" s="33" t="s">
        <v>43</v>
      </c>
      <c r="D2578" s="33">
        <v>4430265054</v>
      </c>
      <c r="E2578" s="33">
        <v>96</v>
      </c>
      <c r="F2578" s="33">
        <v>69</v>
      </c>
      <c r="G2578" s="33" t="s">
        <v>38</v>
      </c>
      <c r="H2578" s="33" t="s">
        <v>4832</v>
      </c>
      <c r="I2578" s="33" t="s">
        <v>39</v>
      </c>
      <c r="J2578" s="33" t="s">
        <v>40</v>
      </c>
      <c r="K2578" s="33" t="s">
        <v>41</v>
      </c>
    </row>
    <row r="2579" spans="1:12" hidden="1" x14ac:dyDescent="0.3">
      <c r="A2579" s="39">
        <v>46058.439652777779</v>
      </c>
      <c r="B2579" s="33">
        <v>62994086124</v>
      </c>
      <c r="C2579" s="33" t="s">
        <v>45</v>
      </c>
      <c r="D2579" s="33">
        <v>4430265054</v>
      </c>
      <c r="E2579" s="33">
        <v>3382</v>
      </c>
      <c r="F2579" s="33">
        <v>3349</v>
      </c>
      <c r="G2579" s="33" t="s">
        <v>38</v>
      </c>
      <c r="H2579" s="33" t="s">
        <v>4833</v>
      </c>
      <c r="I2579" s="33" t="s">
        <v>39</v>
      </c>
      <c r="J2579" s="33" t="s">
        <v>40</v>
      </c>
      <c r="K2579" s="33" t="s">
        <v>41</v>
      </c>
      <c r="L2579" s="33">
        <v>5</v>
      </c>
    </row>
    <row r="2580" spans="1:12" hidden="1" x14ac:dyDescent="0.3">
      <c r="A2580" s="39">
        <v>46058.437476851854</v>
      </c>
      <c r="B2580" s="33">
        <v>4532541802</v>
      </c>
      <c r="C2580" s="33" t="s">
        <v>42</v>
      </c>
      <c r="D2580" s="33">
        <v>4430265054</v>
      </c>
      <c r="E2580" s="33">
        <v>1349</v>
      </c>
      <c r="F2580" s="33">
        <v>1331</v>
      </c>
      <c r="G2580" s="33" t="s">
        <v>38</v>
      </c>
      <c r="H2580" s="33" t="s">
        <v>4834</v>
      </c>
      <c r="I2580" s="33" t="s">
        <v>39</v>
      </c>
      <c r="J2580" s="33" t="s">
        <v>40</v>
      </c>
      <c r="K2580" s="33" t="s">
        <v>41</v>
      </c>
      <c r="L2580" s="33">
        <v>5</v>
      </c>
    </row>
    <row r="2581" spans="1:12" hidden="1" x14ac:dyDescent="0.3">
      <c r="A2581" s="39">
        <v>46058.436331018522</v>
      </c>
      <c r="B2581" s="33">
        <v>1144273633</v>
      </c>
      <c r="C2581" s="33" t="s">
        <v>45</v>
      </c>
      <c r="D2581" s="33">
        <v>4430265054</v>
      </c>
      <c r="E2581" s="33">
        <v>192</v>
      </c>
      <c r="F2581" s="33">
        <v>151</v>
      </c>
      <c r="G2581" s="33" t="s">
        <v>38</v>
      </c>
      <c r="H2581" s="33" t="s">
        <v>4835</v>
      </c>
      <c r="I2581" s="33" t="s">
        <v>39</v>
      </c>
      <c r="J2581" s="33" t="s">
        <v>40</v>
      </c>
      <c r="K2581" s="33" t="s">
        <v>41</v>
      </c>
      <c r="L2581" s="33">
        <v>5</v>
      </c>
    </row>
    <row r="2582" spans="1:12" hidden="1" x14ac:dyDescent="0.3">
      <c r="A2582" s="39">
        <v>46058.431620370371</v>
      </c>
      <c r="B2582" s="33">
        <v>67996356530</v>
      </c>
      <c r="C2582" s="33" t="s">
        <v>44</v>
      </c>
      <c r="D2582" s="33">
        <v>4430265054</v>
      </c>
      <c r="E2582" s="33">
        <v>568</v>
      </c>
      <c r="F2582" s="33">
        <v>530</v>
      </c>
      <c r="G2582" s="33" t="s">
        <v>38</v>
      </c>
      <c r="H2582" s="33" t="s">
        <v>4836</v>
      </c>
      <c r="I2582" s="33" t="s">
        <v>39</v>
      </c>
      <c r="J2582" s="33" t="s">
        <v>40</v>
      </c>
      <c r="K2582" s="33" t="s">
        <v>41</v>
      </c>
    </row>
    <row r="2583" spans="1:12" hidden="1" x14ac:dyDescent="0.3">
      <c r="A2583" s="39">
        <v>46058.431307870371</v>
      </c>
      <c r="B2583" s="33">
        <v>4330261969</v>
      </c>
      <c r="C2583" s="33" t="s">
        <v>43</v>
      </c>
      <c r="D2583" s="33">
        <v>4430265054</v>
      </c>
      <c r="E2583" s="33">
        <v>504</v>
      </c>
      <c r="F2583" s="33">
        <v>448</v>
      </c>
      <c r="G2583" s="33" t="s">
        <v>38</v>
      </c>
      <c r="H2583" s="33" t="s">
        <v>4837</v>
      </c>
      <c r="I2583" s="33" t="s">
        <v>39</v>
      </c>
      <c r="J2583" s="33" t="s">
        <v>40</v>
      </c>
      <c r="K2583" s="33" t="s">
        <v>41</v>
      </c>
    </row>
    <row r="2584" spans="1:12" hidden="1" x14ac:dyDescent="0.3">
      <c r="A2584" s="39">
        <v>46058.427604166667</v>
      </c>
      <c r="B2584" s="33">
        <v>3432424736</v>
      </c>
      <c r="C2584" s="33" t="s">
        <v>45</v>
      </c>
      <c r="D2584" s="33">
        <v>4430265054</v>
      </c>
      <c r="E2584" s="33">
        <v>489</v>
      </c>
      <c r="F2584" s="33">
        <v>437</v>
      </c>
      <c r="G2584" s="33" t="s">
        <v>38</v>
      </c>
      <c r="H2584" s="33" t="s">
        <v>4838</v>
      </c>
      <c r="I2584" s="33" t="s">
        <v>39</v>
      </c>
      <c r="J2584" s="33" t="s">
        <v>40</v>
      </c>
      <c r="K2584" s="33" t="s">
        <v>41</v>
      </c>
    </row>
    <row r="2585" spans="1:12" hidden="1" x14ac:dyDescent="0.3">
      <c r="A2585" s="39">
        <v>46058.427187499998</v>
      </c>
      <c r="B2585" s="33" t="s">
        <v>3627</v>
      </c>
      <c r="C2585" s="33">
        <v>17997624342</v>
      </c>
      <c r="E2585" s="33">
        <v>41</v>
      </c>
      <c r="F2585" s="33">
        <v>0</v>
      </c>
      <c r="G2585" s="33" t="s">
        <v>47</v>
      </c>
      <c r="H2585" s="33" t="s">
        <v>6284</v>
      </c>
      <c r="I2585" s="33" t="s">
        <v>46</v>
      </c>
      <c r="J2585" s="33" t="s">
        <v>3629</v>
      </c>
    </row>
    <row r="2586" spans="1:12" hidden="1" x14ac:dyDescent="0.3">
      <c r="A2586" s="39">
        <v>46058.426759259259</v>
      </c>
      <c r="B2586" s="33" t="s">
        <v>48</v>
      </c>
      <c r="C2586" s="33">
        <v>4430333851</v>
      </c>
      <c r="E2586" s="33">
        <v>165</v>
      </c>
      <c r="F2586" s="33">
        <v>155</v>
      </c>
      <c r="G2586" s="33" t="s">
        <v>38</v>
      </c>
      <c r="H2586" s="33" t="s">
        <v>6285</v>
      </c>
      <c r="I2586" s="33" t="s">
        <v>46</v>
      </c>
      <c r="J2586" s="33" t="s">
        <v>40</v>
      </c>
    </row>
    <row r="2587" spans="1:12" hidden="1" x14ac:dyDescent="0.3">
      <c r="A2587" s="39">
        <v>46058.426712962966</v>
      </c>
      <c r="B2587" s="33" t="s">
        <v>48</v>
      </c>
      <c r="C2587" s="33">
        <v>4430333851</v>
      </c>
      <c r="E2587" s="33">
        <v>3</v>
      </c>
      <c r="F2587" s="33">
        <v>0</v>
      </c>
      <c r="G2587" s="33" t="s">
        <v>47</v>
      </c>
      <c r="H2587" s="33" t="s">
        <v>6286</v>
      </c>
      <c r="I2587" s="33" t="s">
        <v>46</v>
      </c>
      <c r="J2587" s="33" t="s">
        <v>40</v>
      </c>
    </row>
    <row r="2588" spans="1:12" hidden="1" x14ac:dyDescent="0.3">
      <c r="A2588" s="39">
        <v>46058.425451388888</v>
      </c>
      <c r="B2588" s="33">
        <v>4432256273</v>
      </c>
      <c r="C2588" s="33" t="s">
        <v>37</v>
      </c>
      <c r="D2588" s="33">
        <v>4430265054</v>
      </c>
      <c r="E2588" s="33">
        <v>293</v>
      </c>
      <c r="F2588" s="33">
        <v>252</v>
      </c>
      <c r="G2588" s="33" t="s">
        <v>38</v>
      </c>
      <c r="H2588" s="33" t="s">
        <v>4839</v>
      </c>
      <c r="I2588" s="33" t="s">
        <v>39</v>
      </c>
      <c r="J2588" s="33" t="s">
        <v>40</v>
      </c>
      <c r="K2588" s="33" t="s">
        <v>41</v>
      </c>
      <c r="L2588" s="33">
        <v>5</v>
      </c>
    </row>
    <row r="2589" spans="1:12" hidden="1" x14ac:dyDescent="0.3">
      <c r="A2589" s="39">
        <v>46058.423425925925</v>
      </c>
      <c r="B2589" s="33">
        <v>44997650834</v>
      </c>
      <c r="C2589" s="33" t="s">
        <v>43</v>
      </c>
      <c r="D2589" s="33">
        <v>4430265054</v>
      </c>
      <c r="E2589" s="33">
        <v>710</v>
      </c>
      <c r="F2589" s="33">
        <v>685</v>
      </c>
      <c r="G2589" s="33" t="s">
        <v>38</v>
      </c>
      <c r="H2589" s="33" t="s">
        <v>4840</v>
      </c>
      <c r="I2589" s="33" t="s">
        <v>39</v>
      </c>
      <c r="J2589" s="33" t="s">
        <v>40</v>
      </c>
      <c r="K2589" s="33" t="s">
        <v>41</v>
      </c>
      <c r="L2589" s="33">
        <v>5</v>
      </c>
    </row>
    <row r="2590" spans="1:12" hidden="1" x14ac:dyDescent="0.3">
      <c r="A2590" s="39">
        <v>46058.422974537039</v>
      </c>
      <c r="B2590" s="33" t="s">
        <v>5173</v>
      </c>
      <c r="C2590" s="33">
        <v>8137236199</v>
      </c>
      <c r="E2590" s="33">
        <v>7</v>
      </c>
      <c r="F2590" s="33">
        <v>0</v>
      </c>
      <c r="G2590" s="33" t="s">
        <v>47</v>
      </c>
      <c r="H2590" s="33" t="s">
        <v>6287</v>
      </c>
      <c r="I2590" s="33" t="s">
        <v>46</v>
      </c>
      <c r="J2590" s="33" t="s">
        <v>3629</v>
      </c>
    </row>
    <row r="2591" spans="1:12" hidden="1" x14ac:dyDescent="0.3">
      <c r="A2591" s="39">
        <v>46058.421909722223</v>
      </c>
      <c r="B2591" s="33" t="s">
        <v>5173</v>
      </c>
      <c r="C2591" s="33">
        <v>49973553333</v>
      </c>
      <c r="E2591" s="33">
        <v>6</v>
      </c>
      <c r="F2591" s="33">
        <v>0</v>
      </c>
      <c r="G2591" s="33" t="s">
        <v>47</v>
      </c>
      <c r="H2591" s="33" t="s">
        <v>6288</v>
      </c>
      <c r="I2591" s="33" t="s">
        <v>46</v>
      </c>
      <c r="J2591" s="33" t="s">
        <v>3629</v>
      </c>
    </row>
    <row r="2592" spans="1:12" hidden="1" x14ac:dyDescent="0.3">
      <c r="A2592" s="39">
        <v>46058.421689814815</v>
      </c>
      <c r="B2592" s="33" t="s">
        <v>5173</v>
      </c>
      <c r="C2592" s="33">
        <v>65991954487</v>
      </c>
      <c r="E2592" s="33">
        <v>7</v>
      </c>
      <c r="F2592" s="33">
        <v>0</v>
      </c>
      <c r="G2592" s="33" t="s">
        <v>47</v>
      </c>
      <c r="H2592" s="33" t="s">
        <v>6289</v>
      </c>
      <c r="I2592" s="33" t="s">
        <v>46</v>
      </c>
      <c r="J2592" s="33" t="s">
        <v>3629</v>
      </c>
    </row>
    <row r="2593" spans="1:12" hidden="1" x14ac:dyDescent="0.3">
      <c r="A2593" s="39">
        <v>46058.421539351853</v>
      </c>
      <c r="B2593" s="33" t="s">
        <v>5173</v>
      </c>
      <c r="C2593" s="33">
        <v>98989858585</v>
      </c>
      <c r="E2593" s="33">
        <v>8</v>
      </c>
      <c r="F2593" s="33">
        <v>0</v>
      </c>
      <c r="G2593" s="33" t="s">
        <v>47</v>
      </c>
      <c r="H2593" s="33" t="s">
        <v>6290</v>
      </c>
      <c r="I2593" s="33" t="s">
        <v>46</v>
      </c>
      <c r="J2593" s="33" t="s">
        <v>3629</v>
      </c>
    </row>
    <row r="2594" spans="1:12" hidden="1" x14ac:dyDescent="0.3">
      <c r="A2594" s="39">
        <v>46058.421342592592</v>
      </c>
      <c r="B2594" s="33" t="s">
        <v>5173</v>
      </c>
      <c r="C2594" s="33">
        <v>98989858585</v>
      </c>
      <c r="E2594" s="33">
        <v>8</v>
      </c>
      <c r="F2594" s="33">
        <v>0</v>
      </c>
      <c r="G2594" s="33" t="s">
        <v>47</v>
      </c>
      <c r="H2594" s="33" t="s">
        <v>6291</v>
      </c>
      <c r="I2594" s="33" t="s">
        <v>46</v>
      </c>
      <c r="J2594" s="33" t="s">
        <v>3629</v>
      </c>
    </row>
    <row r="2595" spans="1:12" hidden="1" x14ac:dyDescent="0.3">
      <c r="A2595" s="39">
        <v>46058.419849537036</v>
      </c>
      <c r="B2595" s="33">
        <v>3432424736</v>
      </c>
      <c r="C2595" s="33" t="s">
        <v>37</v>
      </c>
      <c r="D2595" s="33">
        <v>4430265054</v>
      </c>
      <c r="E2595" s="33">
        <v>257</v>
      </c>
      <c r="F2595" s="33">
        <v>223</v>
      </c>
      <c r="G2595" s="33" t="s">
        <v>38</v>
      </c>
      <c r="H2595" s="33" t="s">
        <v>4841</v>
      </c>
      <c r="I2595" s="33" t="s">
        <v>39</v>
      </c>
      <c r="J2595" s="33" t="s">
        <v>40</v>
      </c>
      <c r="K2595" s="33" t="s">
        <v>41</v>
      </c>
    </row>
    <row r="2596" spans="1:12" hidden="1" x14ac:dyDescent="0.3">
      <c r="A2596" s="39">
        <v>46058.41747685185</v>
      </c>
      <c r="B2596" s="33" t="s">
        <v>5173</v>
      </c>
      <c r="C2596" s="33">
        <v>11998752939</v>
      </c>
      <c r="E2596" s="33">
        <v>18</v>
      </c>
      <c r="F2596" s="33">
        <v>10</v>
      </c>
      <c r="G2596" s="33" t="s">
        <v>38</v>
      </c>
      <c r="H2596" s="33" t="s">
        <v>6292</v>
      </c>
      <c r="I2596" s="33" t="s">
        <v>46</v>
      </c>
      <c r="J2596" s="33" t="s">
        <v>3629</v>
      </c>
    </row>
    <row r="2597" spans="1:12" hidden="1" x14ac:dyDescent="0.3">
      <c r="A2597" s="39">
        <v>46058.407997685186</v>
      </c>
      <c r="B2597" s="33" t="s">
        <v>44</v>
      </c>
      <c r="C2597" s="33">
        <v>4334234629</v>
      </c>
      <c r="E2597" s="33">
        <v>73</v>
      </c>
      <c r="F2597" s="33">
        <v>61</v>
      </c>
      <c r="G2597" s="33" t="s">
        <v>38</v>
      </c>
      <c r="H2597" s="33" t="s">
        <v>6293</v>
      </c>
      <c r="I2597" s="33" t="s">
        <v>46</v>
      </c>
      <c r="J2597" s="33" t="s">
        <v>40</v>
      </c>
    </row>
    <row r="2598" spans="1:12" hidden="1" x14ac:dyDescent="0.3">
      <c r="A2598" s="39">
        <v>46058.402060185188</v>
      </c>
      <c r="B2598" s="33">
        <v>83988398480</v>
      </c>
      <c r="C2598" s="33" t="s">
        <v>45</v>
      </c>
      <c r="D2598" s="33">
        <v>4430265054</v>
      </c>
      <c r="E2598" s="33">
        <v>44</v>
      </c>
      <c r="F2598" s="33">
        <v>31</v>
      </c>
      <c r="G2598" s="33" t="s">
        <v>38</v>
      </c>
      <c r="H2598" s="33" t="s">
        <v>4842</v>
      </c>
      <c r="I2598" s="33" t="s">
        <v>39</v>
      </c>
      <c r="J2598" s="33" t="s">
        <v>40</v>
      </c>
      <c r="K2598" s="33" t="s">
        <v>41</v>
      </c>
    </row>
    <row r="2599" spans="1:12" hidden="1" x14ac:dyDescent="0.3">
      <c r="A2599" s="39">
        <v>46058.398368055554</v>
      </c>
      <c r="B2599" s="33">
        <v>44999309740</v>
      </c>
      <c r="C2599" s="33" t="s">
        <v>42</v>
      </c>
      <c r="D2599" s="33">
        <v>4431268225</v>
      </c>
      <c r="E2599" s="33">
        <v>654</v>
      </c>
      <c r="F2599" s="33">
        <v>643</v>
      </c>
      <c r="G2599" s="33" t="s">
        <v>38</v>
      </c>
      <c r="H2599" s="33" t="s">
        <v>4843</v>
      </c>
      <c r="I2599" s="33" t="s">
        <v>39</v>
      </c>
      <c r="J2599" s="33" t="s">
        <v>40</v>
      </c>
      <c r="K2599" s="33" t="s">
        <v>41</v>
      </c>
    </row>
    <row r="2600" spans="1:12" hidden="1" x14ac:dyDescent="0.3">
      <c r="A2600" s="39">
        <v>46058.396805555552</v>
      </c>
      <c r="B2600" s="33">
        <v>4432462382</v>
      </c>
      <c r="C2600" s="33" t="s">
        <v>43</v>
      </c>
      <c r="D2600" s="33">
        <v>4430265054</v>
      </c>
      <c r="E2600" s="33">
        <v>226</v>
      </c>
      <c r="F2600" s="33">
        <v>178</v>
      </c>
      <c r="G2600" s="33" t="s">
        <v>38</v>
      </c>
      <c r="H2600" s="33" t="s">
        <v>4844</v>
      </c>
      <c r="I2600" s="33" t="s">
        <v>39</v>
      </c>
      <c r="J2600" s="33" t="s">
        <v>40</v>
      </c>
      <c r="K2600" s="33" t="s">
        <v>41</v>
      </c>
    </row>
    <row r="2601" spans="1:12" hidden="1" x14ac:dyDescent="0.3">
      <c r="A2601" s="39">
        <v>46058.394201388888</v>
      </c>
      <c r="B2601" s="33">
        <v>4334234629</v>
      </c>
      <c r="C2601" s="33" t="s">
        <v>44</v>
      </c>
      <c r="D2601" s="33">
        <v>4430265054</v>
      </c>
      <c r="E2601" s="33">
        <v>676</v>
      </c>
      <c r="F2601" s="33">
        <v>616</v>
      </c>
      <c r="G2601" s="33" t="s">
        <v>38</v>
      </c>
      <c r="H2601" s="33" t="s">
        <v>4845</v>
      </c>
      <c r="I2601" s="33" t="s">
        <v>39</v>
      </c>
      <c r="J2601" s="33" t="s">
        <v>40</v>
      </c>
      <c r="K2601" s="33" t="s">
        <v>41</v>
      </c>
    </row>
    <row r="2602" spans="1:12" hidden="1" x14ac:dyDescent="0.3">
      <c r="A2602" s="39">
        <v>46058.388356481482</v>
      </c>
      <c r="B2602" s="33">
        <v>4432256273</v>
      </c>
      <c r="C2602" s="33" t="s">
        <v>37</v>
      </c>
      <c r="D2602" s="33">
        <v>4430265054</v>
      </c>
      <c r="E2602" s="33">
        <v>858</v>
      </c>
      <c r="F2602" s="33">
        <v>825</v>
      </c>
      <c r="G2602" s="33" t="s">
        <v>38</v>
      </c>
      <c r="H2602" s="33" t="s">
        <v>4846</v>
      </c>
      <c r="I2602" s="33" t="s">
        <v>39</v>
      </c>
      <c r="J2602" s="33" t="s">
        <v>40</v>
      </c>
      <c r="K2602" s="33" t="s">
        <v>41</v>
      </c>
      <c r="L2602" s="33">
        <v>5</v>
      </c>
    </row>
    <row r="2603" spans="1:12" hidden="1" x14ac:dyDescent="0.3">
      <c r="A2603" s="39">
        <v>46058.387291666666</v>
      </c>
      <c r="B2603" s="33">
        <v>4432325260</v>
      </c>
      <c r="C2603" s="33" t="s">
        <v>42</v>
      </c>
      <c r="D2603" s="33">
        <v>4430265054</v>
      </c>
      <c r="E2603" s="33">
        <v>731</v>
      </c>
      <c r="F2603" s="33">
        <v>705</v>
      </c>
      <c r="G2603" s="33" t="s">
        <v>38</v>
      </c>
      <c r="H2603" s="33" t="s">
        <v>4847</v>
      </c>
      <c r="I2603" s="33" t="s">
        <v>39</v>
      </c>
      <c r="J2603" s="33" t="s">
        <v>40</v>
      </c>
      <c r="K2603" s="33" t="s">
        <v>41</v>
      </c>
      <c r="L2603" s="33">
        <v>5</v>
      </c>
    </row>
    <row r="2604" spans="1:12" hidden="1" x14ac:dyDescent="0.3">
      <c r="A2604" s="39">
        <v>46058.383923611109</v>
      </c>
      <c r="B2604" s="33" t="s">
        <v>44</v>
      </c>
      <c r="C2604" s="33">
        <v>4430146402</v>
      </c>
      <c r="E2604" s="33">
        <v>118</v>
      </c>
      <c r="F2604" s="33">
        <v>108</v>
      </c>
      <c r="G2604" s="33" t="s">
        <v>38</v>
      </c>
      <c r="H2604" s="33" t="s">
        <v>6294</v>
      </c>
      <c r="I2604" s="33" t="s">
        <v>46</v>
      </c>
      <c r="J2604" s="33" t="s">
        <v>40</v>
      </c>
      <c r="L2604" s="33">
        <v>5</v>
      </c>
    </row>
    <row r="2605" spans="1:12" hidden="1" x14ac:dyDescent="0.3">
      <c r="A2605" s="39">
        <v>46058.38386574074</v>
      </c>
      <c r="B2605" s="33" t="s">
        <v>44</v>
      </c>
      <c r="C2605" s="33">
        <v>4430146402</v>
      </c>
      <c r="E2605" s="33">
        <v>5</v>
      </c>
      <c r="F2605" s="33">
        <v>0</v>
      </c>
      <c r="G2605" s="33" t="s">
        <v>47</v>
      </c>
      <c r="H2605" s="33" t="s">
        <v>6295</v>
      </c>
      <c r="I2605" s="33" t="s">
        <v>46</v>
      </c>
      <c r="J2605" s="33" t="s">
        <v>40</v>
      </c>
    </row>
    <row r="2606" spans="1:12" hidden="1" x14ac:dyDescent="0.3">
      <c r="A2606" s="39">
        <v>46058.383067129631</v>
      </c>
      <c r="B2606" s="33">
        <v>44999309740</v>
      </c>
      <c r="C2606" s="33" t="s">
        <v>43</v>
      </c>
      <c r="D2606" s="33">
        <v>4431268225</v>
      </c>
      <c r="E2606" s="33">
        <v>806</v>
      </c>
      <c r="F2606" s="33">
        <v>743</v>
      </c>
      <c r="G2606" s="33" t="s">
        <v>38</v>
      </c>
      <c r="H2606" s="33" t="s">
        <v>4848</v>
      </c>
      <c r="I2606" s="33" t="s">
        <v>39</v>
      </c>
      <c r="J2606" s="33" t="s">
        <v>40</v>
      </c>
      <c r="K2606" s="33" t="s">
        <v>41</v>
      </c>
    </row>
    <row r="2607" spans="1:12" hidden="1" x14ac:dyDescent="0.3">
      <c r="A2607" s="39">
        <v>46058.377476851849</v>
      </c>
      <c r="B2607" s="33">
        <v>44998562645</v>
      </c>
      <c r="C2607" s="33" t="s">
        <v>45</v>
      </c>
      <c r="D2607" s="33">
        <v>4430265054</v>
      </c>
      <c r="E2607" s="33">
        <v>1638</v>
      </c>
      <c r="F2607" s="33">
        <v>1602</v>
      </c>
      <c r="G2607" s="33" t="s">
        <v>38</v>
      </c>
      <c r="H2607" s="33" t="s">
        <v>4849</v>
      </c>
      <c r="I2607" s="33" t="s">
        <v>39</v>
      </c>
      <c r="J2607" s="33" t="s">
        <v>40</v>
      </c>
      <c r="K2607" s="33" t="s">
        <v>41</v>
      </c>
      <c r="L2607" s="33">
        <v>4</v>
      </c>
    </row>
    <row r="2608" spans="1:12" hidden="1" x14ac:dyDescent="0.3">
      <c r="A2608" s="39">
        <v>46058.374502314815</v>
      </c>
      <c r="B2608" s="33">
        <v>44998562645</v>
      </c>
      <c r="C2608" s="33">
        <v>4430265054</v>
      </c>
      <c r="D2608" s="33">
        <v>4430265054</v>
      </c>
      <c r="E2608" s="33">
        <v>87</v>
      </c>
      <c r="F2608" s="33">
        <v>86</v>
      </c>
      <c r="G2608" s="33" t="s">
        <v>3449</v>
      </c>
      <c r="H2608" s="33" t="s">
        <v>4850</v>
      </c>
      <c r="I2608" s="33" t="s">
        <v>39</v>
      </c>
      <c r="J2608" s="33" t="s">
        <v>3451</v>
      </c>
      <c r="K2608" s="33" t="s">
        <v>41</v>
      </c>
    </row>
    <row r="2609" spans="1:12" hidden="1" x14ac:dyDescent="0.3">
      <c r="A2609" s="39">
        <v>46058.370069444441</v>
      </c>
      <c r="B2609" s="33" t="s">
        <v>45</v>
      </c>
      <c r="C2609" s="33">
        <v>44999309740</v>
      </c>
      <c r="E2609" s="33">
        <v>238</v>
      </c>
      <c r="F2609" s="33">
        <v>228</v>
      </c>
      <c r="G2609" s="33" t="s">
        <v>38</v>
      </c>
      <c r="H2609" s="33" t="s">
        <v>6296</v>
      </c>
      <c r="I2609" s="33" t="s">
        <v>46</v>
      </c>
      <c r="J2609" s="33" t="s">
        <v>40</v>
      </c>
    </row>
    <row r="2610" spans="1:12" hidden="1" x14ac:dyDescent="0.3">
      <c r="A2610" s="39">
        <v>46058.365995370368</v>
      </c>
      <c r="B2610" s="33" t="s">
        <v>48</v>
      </c>
      <c r="C2610" s="33">
        <v>4434231198</v>
      </c>
      <c r="E2610" s="33">
        <v>429</v>
      </c>
      <c r="F2610" s="33">
        <v>423</v>
      </c>
      <c r="G2610" s="33" t="s">
        <v>38</v>
      </c>
      <c r="H2610" s="33" t="s">
        <v>6297</v>
      </c>
      <c r="I2610" s="33" t="s">
        <v>46</v>
      </c>
      <c r="J2610" s="33" t="s">
        <v>40</v>
      </c>
    </row>
    <row r="2611" spans="1:12" hidden="1" x14ac:dyDescent="0.3">
      <c r="A2611" s="39">
        <v>46058.364120370374</v>
      </c>
      <c r="B2611" s="33">
        <v>44999550006</v>
      </c>
      <c r="C2611" s="33" t="s">
        <v>42</v>
      </c>
      <c r="D2611" s="33">
        <v>4430265054</v>
      </c>
      <c r="E2611" s="33">
        <v>253</v>
      </c>
      <c r="F2611" s="33">
        <v>218</v>
      </c>
      <c r="G2611" s="33" t="s">
        <v>38</v>
      </c>
      <c r="H2611" s="33" t="s">
        <v>4851</v>
      </c>
      <c r="I2611" s="33" t="s">
        <v>39</v>
      </c>
      <c r="J2611" s="33" t="s">
        <v>40</v>
      </c>
      <c r="K2611" s="33" t="s">
        <v>41</v>
      </c>
    </row>
    <row r="2612" spans="1:12" hidden="1" x14ac:dyDescent="0.3">
      <c r="A2612" s="39">
        <v>46058.362361111111</v>
      </c>
      <c r="B2612" s="33">
        <v>6234347959</v>
      </c>
      <c r="C2612" s="33" t="s">
        <v>45</v>
      </c>
      <c r="D2612" s="33">
        <v>4430265054</v>
      </c>
      <c r="E2612" s="33">
        <v>365</v>
      </c>
      <c r="F2612" s="33">
        <v>302</v>
      </c>
      <c r="G2612" s="33" t="s">
        <v>38</v>
      </c>
      <c r="H2612" s="33" t="s">
        <v>4852</v>
      </c>
      <c r="I2612" s="33" t="s">
        <v>39</v>
      </c>
      <c r="J2612" s="33" t="s">
        <v>40</v>
      </c>
      <c r="K2612" s="33" t="s">
        <v>41</v>
      </c>
    </row>
    <row r="2613" spans="1:12" hidden="1" x14ac:dyDescent="0.3">
      <c r="A2613" s="39">
        <v>46058.360868055555</v>
      </c>
      <c r="B2613" s="33">
        <v>41996175686</v>
      </c>
      <c r="C2613" s="33" t="s">
        <v>43</v>
      </c>
      <c r="D2613" s="33">
        <v>4430265054</v>
      </c>
      <c r="E2613" s="33">
        <v>1632</v>
      </c>
      <c r="F2613" s="33">
        <v>1569</v>
      </c>
      <c r="G2613" s="33" t="s">
        <v>38</v>
      </c>
      <c r="H2613" s="33" t="s">
        <v>4853</v>
      </c>
      <c r="I2613" s="33" t="s">
        <v>39</v>
      </c>
      <c r="J2613" s="33" t="s">
        <v>40</v>
      </c>
      <c r="K2613" s="33" t="s">
        <v>41</v>
      </c>
      <c r="L2613" s="33">
        <v>5</v>
      </c>
    </row>
    <row r="2614" spans="1:12" hidden="1" x14ac:dyDescent="0.3">
      <c r="A2614" s="39">
        <v>46058.360486111109</v>
      </c>
      <c r="B2614" s="33">
        <v>4430146402</v>
      </c>
      <c r="C2614" s="33" t="s">
        <v>44</v>
      </c>
      <c r="D2614" s="33">
        <v>4430265054</v>
      </c>
      <c r="E2614" s="33">
        <v>509</v>
      </c>
      <c r="F2614" s="33">
        <v>426</v>
      </c>
      <c r="G2614" s="33" t="s">
        <v>38</v>
      </c>
      <c r="H2614" s="33" t="s">
        <v>4854</v>
      </c>
      <c r="I2614" s="33" t="s">
        <v>39</v>
      </c>
      <c r="J2614" s="33" t="s">
        <v>40</v>
      </c>
      <c r="K2614" s="33" t="s">
        <v>41</v>
      </c>
    </row>
    <row r="2615" spans="1:12" hidden="1" x14ac:dyDescent="0.3">
      <c r="A2615" s="39">
        <v>46058.359155092592</v>
      </c>
      <c r="B2615" s="33">
        <v>44991069557</v>
      </c>
      <c r="C2615" s="33" t="s">
        <v>44</v>
      </c>
      <c r="D2615" s="33">
        <v>4430265054</v>
      </c>
      <c r="E2615" s="33">
        <v>150</v>
      </c>
      <c r="F2615" s="33">
        <v>129</v>
      </c>
      <c r="G2615" s="33" t="s">
        <v>38</v>
      </c>
      <c r="H2615" s="33" t="s">
        <v>4855</v>
      </c>
      <c r="I2615" s="33" t="s">
        <v>39</v>
      </c>
      <c r="J2615" s="33" t="s">
        <v>40</v>
      </c>
      <c r="K2615" s="33" t="s">
        <v>41</v>
      </c>
    </row>
    <row r="2616" spans="1:12" hidden="1" x14ac:dyDescent="0.3">
      <c r="A2616" s="39">
        <v>46058.358483796299</v>
      </c>
      <c r="B2616" s="33">
        <v>44988067937</v>
      </c>
      <c r="C2616" s="33" t="s">
        <v>37</v>
      </c>
      <c r="D2616" s="33">
        <v>4430265054</v>
      </c>
      <c r="E2616" s="33">
        <v>615</v>
      </c>
      <c r="F2616" s="33">
        <v>574</v>
      </c>
      <c r="G2616" s="33" t="s">
        <v>38</v>
      </c>
      <c r="H2616" s="33" t="s">
        <v>4856</v>
      </c>
      <c r="I2616" s="33" t="s">
        <v>39</v>
      </c>
      <c r="J2616" s="33" t="s">
        <v>40</v>
      </c>
      <c r="K2616" s="33" t="s">
        <v>41</v>
      </c>
    </row>
    <row r="2617" spans="1:12" hidden="1" x14ac:dyDescent="0.3">
      <c r="A2617" s="39">
        <v>46058.357743055552</v>
      </c>
      <c r="B2617" s="33" t="s">
        <v>45</v>
      </c>
      <c r="C2617" s="33">
        <v>44999309740</v>
      </c>
      <c r="E2617" s="33">
        <v>219</v>
      </c>
      <c r="F2617" s="33">
        <v>214</v>
      </c>
      <c r="G2617" s="33" t="s">
        <v>38</v>
      </c>
      <c r="H2617" s="33" t="s">
        <v>6298</v>
      </c>
      <c r="I2617" s="33" t="s">
        <v>46</v>
      </c>
      <c r="J2617" s="33" t="s">
        <v>40</v>
      </c>
    </row>
    <row r="2618" spans="1:12" hidden="1" x14ac:dyDescent="0.3">
      <c r="A2618" s="39">
        <v>46058.357662037037</v>
      </c>
      <c r="B2618" s="33">
        <v>44999309740</v>
      </c>
      <c r="C2618" s="33">
        <v>4430265054</v>
      </c>
      <c r="D2618" s="33">
        <v>4430265054</v>
      </c>
      <c r="E2618" s="33">
        <v>12</v>
      </c>
      <c r="F2618" s="33">
        <v>11</v>
      </c>
      <c r="G2618" s="33" t="s">
        <v>3449</v>
      </c>
      <c r="H2618" s="33" t="s">
        <v>6299</v>
      </c>
      <c r="I2618" s="33" t="s">
        <v>39</v>
      </c>
      <c r="J2618" s="33" t="s">
        <v>3451</v>
      </c>
    </row>
    <row r="2619" spans="1:12" hidden="1" x14ac:dyDescent="0.3">
      <c r="A2619" s="39">
        <v>46058.357662037037</v>
      </c>
      <c r="B2619" s="33" t="s">
        <v>45</v>
      </c>
      <c r="C2619" s="33">
        <v>44999309740</v>
      </c>
      <c r="E2619" s="33">
        <v>32</v>
      </c>
      <c r="F2619" s="33">
        <v>28</v>
      </c>
      <c r="G2619" s="33" t="s">
        <v>38</v>
      </c>
      <c r="H2619" s="33" t="s">
        <v>6300</v>
      </c>
      <c r="I2619" s="33" t="s">
        <v>46</v>
      </c>
      <c r="J2619" s="33" t="s">
        <v>40</v>
      </c>
    </row>
    <row r="2620" spans="1:12" hidden="1" x14ac:dyDescent="0.3">
      <c r="A2620" s="39">
        <v>46058.357395833336</v>
      </c>
      <c r="B2620" s="33">
        <v>41987771666</v>
      </c>
      <c r="C2620" s="33" t="s">
        <v>44</v>
      </c>
      <c r="D2620" s="33">
        <v>4430265054</v>
      </c>
      <c r="E2620" s="33">
        <v>27</v>
      </c>
      <c r="F2620" s="33">
        <v>8</v>
      </c>
      <c r="G2620" s="33" t="s">
        <v>38</v>
      </c>
      <c r="H2620" s="33" t="s">
        <v>4857</v>
      </c>
      <c r="I2620" s="33" t="s">
        <v>39</v>
      </c>
      <c r="J2620" s="33" t="s">
        <v>40</v>
      </c>
      <c r="K2620" s="33" t="s">
        <v>41</v>
      </c>
    </row>
    <row r="2621" spans="1:12" hidden="1" x14ac:dyDescent="0.3">
      <c r="A2621" s="39">
        <v>46058.35732638889</v>
      </c>
      <c r="B2621" s="33" t="s">
        <v>48</v>
      </c>
      <c r="C2621" s="33">
        <v>4434231198</v>
      </c>
      <c r="E2621" s="33">
        <v>2</v>
      </c>
      <c r="F2621" s="33">
        <v>0</v>
      </c>
      <c r="G2621" s="33" t="s">
        <v>47</v>
      </c>
      <c r="H2621" s="33" t="s">
        <v>6301</v>
      </c>
      <c r="I2621" s="33" t="s">
        <v>46</v>
      </c>
      <c r="J2621" s="33" t="s">
        <v>40</v>
      </c>
    </row>
    <row r="2622" spans="1:12" hidden="1" x14ac:dyDescent="0.3">
      <c r="A2622" s="39">
        <v>46058.35728009259</v>
      </c>
      <c r="B2622" s="33" t="s">
        <v>48</v>
      </c>
      <c r="C2622" s="33">
        <v>4434231198</v>
      </c>
      <c r="E2622" s="33">
        <v>2</v>
      </c>
      <c r="F2622" s="33">
        <v>0</v>
      </c>
      <c r="G2622" s="33" t="s">
        <v>47</v>
      </c>
      <c r="H2622" s="33" t="s">
        <v>6302</v>
      </c>
      <c r="I2622" s="33" t="s">
        <v>46</v>
      </c>
      <c r="J2622" s="33" t="s">
        <v>40</v>
      </c>
    </row>
    <row r="2623" spans="1:12" hidden="1" x14ac:dyDescent="0.3">
      <c r="A2623" s="39">
        <v>46058.357199074075</v>
      </c>
      <c r="B2623" s="33" t="s">
        <v>45</v>
      </c>
      <c r="C2623" s="33">
        <v>44999309740</v>
      </c>
      <c r="E2623" s="33">
        <v>23</v>
      </c>
      <c r="F2623" s="33">
        <v>19</v>
      </c>
      <c r="G2623" s="33" t="s">
        <v>38</v>
      </c>
      <c r="H2623" s="33" t="s">
        <v>6303</v>
      </c>
      <c r="I2623" s="33" t="s">
        <v>46</v>
      </c>
      <c r="J2623" s="33" t="s">
        <v>40</v>
      </c>
    </row>
    <row r="2624" spans="1:12" hidden="1" x14ac:dyDescent="0.3">
      <c r="A2624" s="39">
        <v>46058.356122685182</v>
      </c>
      <c r="B2624" s="33">
        <v>6234347959</v>
      </c>
      <c r="C2624" s="33" t="s">
        <v>42</v>
      </c>
      <c r="D2624" s="33">
        <v>4430265054</v>
      </c>
      <c r="E2624" s="33">
        <v>385</v>
      </c>
      <c r="F2624" s="33">
        <v>362</v>
      </c>
      <c r="G2624" s="33" t="s">
        <v>38</v>
      </c>
      <c r="H2624" s="33" t="s">
        <v>4858</v>
      </c>
      <c r="I2624" s="33" t="s">
        <v>39</v>
      </c>
      <c r="J2624" s="33" t="s">
        <v>40</v>
      </c>
      <c r="K2624" s="33" t="s">
        <v>41</v>
      </c>
      <c r="L2624" s="33">
        <v>5</v>
      </c>
    </row>
    <row r="2625" spans="1:12" hidden="1" x14ac:dyDescent="0.3">
      <c r="A2625" s="39">
        <v>46058.355798611112</v>
      </c>
      <c r="B2625" s="33">
        <v>41996175686</v>
      </c>
      <c r="C2625" s="33" t="s">
        <v>37</v>
      </c>
      <c r="D2625" s="33">
        <v>4430265054</v>
      </c>
      <c r="E2625" s="33">
        <v>50</v>
      </c>
      <c r="F2625" s="33">
        <v>26</v>
      </c>
      <c r="G2625" s="33" t="s">
        <v>38</v>
      </c>
      <c r="H2625" s="33" t="s">
        <v>4859</v>
      </c>
      <c r="I2625" s="33" t="s">
        <v>39</v>
      </c>
      <c r="J2625" s="33" t="s">
        <v>40</v>
      </c>
      <c r="K2625" s="33" t="s">
        <v>41</v>
      </c>
    </row>
    <row r="2626" spans="1:12" hidden="1" x14ac:dyDescent="0.3">
      <c r="A2626" s="39">
        <v>46058.355509259258</v>
      </c>
      <c r="B2626" s="33">
        <v>44999309740</v>
      </c>
      <c r="C2626" s="33" t="s">
        <v>45</v>
      </c>
      <c r="D2626" s="33">
        <v>4430265054</v>
      </c>
      <c r="E2626" s="33">
        <v>118</v>
      </c>
      <c r="F2626" s="33">
        <v>98</v>
      </c>
      <c r="G2626" s="33" t="s">
        <v>38</v>
      </c>
      <c r="H2626" s="33" t="s">
        <v>4860</v>
      </c>
      <c r="I2626" s="33" t="s">
        <v>39</v>
      </c>
      <c r="J2626" s="33" t="s">
        <v>40</v>
      </c>
      <c r="K2626" s="33" t="s">
        <v>41</v>
      </c>
    </row>
    <row r="2627" spans="1:12" hidden="1" x14ac:dyDescent="0.3">
      <c r="A2627" s="39">
        <v>46058.354247685187</v>
      </c>
      <c r="B2627" s="33">
        <v>4430141533</v>
      </c>
      <c r="C2627" s="33" t="s">
        <v>43</v>
      </c>
      <c r="D2627" s="33">
        <v>4430265054</v>
      </c>
      <c r="E2627" s="33">
        <v>631</v>
      </c>
      <c r="F2627" s="33">
        <v>554</v>
      </c>
      <c r="G2627" s="33" t="s">
        <v>38</v>
      </c>
      <c r="H2627" s="33" t="s">
        <v>4861</v>
      </c>
      <c r="I2627" s="33" t="s">
        <v>39</v>
      </c>
      <c r="J2627" s="33" t="s">
        <v>40</v>
      </c>
      <c r="K2627" s="33" t="s">
        <v>41</v>
      </c>
      <c r="L2627" s="33">
        <v>5</v>
      </c>
    </row>
    <row r="2628" spans="1:12" hidden="1" x14ac:dyDescent="0.3">
      <c r="A2628" s="39">
        <v>46058.352222222224</v>
      </c>
      <c r="B2628" s="33">
        <v>44999309740</v>
      </c>
      <c r="C2628" s="33">
        <v>4430265054</v>
      </c>
      <c r="D2628" s="33">
        <v>4430265054</v>
      </c>
      <c r="E2628" s="33">
        <v>13</v>
      </c>
      <c r="F2628" s="33">
        <v>12</v>
      </c>
      <c r="G2628" s="33" t="s">
        <v>3449</v>
      </c>
      <c r="H2628" s="33" t="s">
        <v>6304</v>
      </c>
      <c r="I2628" s="33" t="s">
        <v>39</v>
      </c>
      <c r="J2628" s="33" t="s">
        <v>3451</v>
      </c>
    </row>
    <row r="2629" spans="1:12" hidden="1" x14ac:dyDescent="0.3">
      <c r="A2629" s="39">
        <v>46058.346168981479</v>
      </c>
      <c r="B2629" s="33">
        <v>4430141533</v>
      </c>
      <c r="C2629" s="33">
        <v>4430265054</v>
      </c>
      <c r="D2629" s="33">
        <v>4430265054</v>
      </c>
      <c r="E2629" s="33">
        <v>14</v>
      </c>
      <c r="F2629" s="33">
        <v>13</v>
      </c>
      <c r="G2629" s="33" t="s">
        <v>3449</v>
      </c>
      <c r="H2629" s="33" t="s">
        <v>6305</v>
      </c>
      <c r="I2629" s="33" t="s">
        <v>39</v>
      </c>
      <c r="J2629" s="33" t="s">
        <v>3451</v>
      </c>
    </row>
    <row r="2630" spans="1:12" hidden="1" x14ac:dyDescent="0.3">
      <c r="A2630" s="39">
        <v>46058.336296296293</v>
      </c>
      <c r="B2630" s="33">
        <v>45999334612</v>
      </c>
      <c r="C2630" s="33">
        <v>4430265054</v>
      </c>
      <c r="D2630" s="33">
        <v>4430265054</v>
      </c>
      <c r="E2630" s="33">
        <v>16</v>
      </c>
      <c r="F2630" s="33">
        <v>15</v>
      </c>
      <c r="G2630" s="33" t="s">
        <v>3449</v>
      </c>
      <c r="H2630" s="33" t="s">
        <v>6306</v>
      </c>
      <c r="I2630" s="33" t="s">
        <v>39</v>
      </c>
      <c r="J2630" s="33" t="s">
        <v>3451</v>
      </c>
    </row>
    <row r="2631" spans="1:12" hidden="1" x14ac:dyDescent="0.3">
      <c r="A2631" s="39">
        <v>46057.735775462963</v>
      </c>
      <c r="B2631" s="33">
        <v>44988255390</v>
      </c>
      <c r="C2631" s="33" t="s">
        <v>37</v>
      </c>
      <c r="D2631" s="33">
        <v>4430265054</v>
      </c>
      <c r="E2631" s="33">
        <v>882</v>
      </c>
      <c r="F2631" s="33">
        <v>841</v>
      </c>
      <c r="G2631" s="33" t="s">
        <v>38</v>
      </c>
      <c r="H2631" s="33" t="s">
        <v>4862</v>
      </c>
      <c r="I2631" s="33" t="s">
        <v>39</v>
      </c>
      <c r="J2631" s="33" t="s">
        <v>40</v>
      </c>
      <c r="K2631" s="33" t="s">
        <v>41</v>
      </c>
    </row>
    <row r="2632" spans="1:12" hidden="1" x14ac:dyDescent="0.3">
      <c r="A2632" s="39">
        <v>46057.735266203701</v>
      </c>
      <c r="B2632" s="33">
        <v>44988255390</v>
      </c>
      <c r="C2632" s="33">
        <v>4430265054</v>
      </c>
      <c r="D2632" s="33">
        <v>4430265054</v>
      </c>
      <c r="E2632" s="33">
        <v>27</v>
      </c>
      <c r="F2632" s="33">
        <v>27</v>
      </c>
      <c r="G2632" s="33" t="s">
        <v>3449</v>
      </c>
      <c r="H2632" s="33" t="s">
        <v>6307</v>
      </c>
      <c r="I2632" s="33" t="s">
        <v>39</v>
      </c>
      <c r="J2632" s="33" t="s">
        <v>3451</v>
      </c>
    </row>
    <row r="2633" spans="1:12" hidden="1" x14ac:dyDescent="0.3">
      <c r="A2633" s="39">
        <v>46057.732141203705</v>
      </c>
      <c r="B2633" s="33" t="s">
        <v>3627</v>
      </c>
      <c r="C2633" s="33">
        <v>2134252525</v>
      </c>
      <c r="E2633" s="33">
        <v>2</v>
      </c>
      <c r="F2633" s="33">
        <v>0</v>
      </c>
      <c r="G2633" s="33" t="s">
        <v>47</v>
      </c>
      <c r="H2633" s="33" t="s">
        <v>6308</v>
      </c>
      <c r="I2633" s="33" t="s">
        <v>46</v>
      </c>
      <c r="J2633" s="33" t="s">
        <v>3629</v>
      </c>
    </row>
    <row r="2634" spans="1:12" hidden="1" x14ac:dyDescent="0.3">
      <c r="A2634" s="39">
        <v>46057.726574074077</v>
      </c>
      <c r="B2634" s="33">
        <v>44997177141</v>
      </c>
      <c r="C2634" s="33" t="s">
        <v>42</v>
      </c>
      <c r="D2634" s="33">
        <v>4430265054</v>
      </c>
      <c r="E2634" s="33">
        <v>322</v>
      </c>
      <c r="F2634" s="33">
        <v>184</v>
      </c>
      <c r="G2634" s="33" t="s">
        <v>38</v>
      </c>
      <c r="H2634" s="33" t="s">
        <v>4863</v>
      </c>
      <c r="I2634" s="33" t="s">
        <v>39</v>
      </c>
      <c r="J2634" s="33" t="s">
        <v>40</v>
      </c>
      <c r="K2634" s="33" t="s">
        <v>41</v>
      </c>
    </row>
    <row r="2635" spans="1:12" hidden="1" x14ac:dyDescent="0.3">
      <c r="A2635" s="39">
        <v>46057.726423611108</v>
      </c>
      <c r="B2635" s="33">
        <v>1131043888</v>
      </c>
      <c r="C2635" s="33" t="s">
        <v>45</v>
      </c>
      <c r="D2635" s="33">
        <v>4430265054</v>
      </c>
      <c r="E2635" s="33">
        <v>1355</v>
      </c>
      <c r="F2635" s="33">
        <v>1257</v>
      </c>
      <c r="G2635" s="33" t="s">
        <v>38</v>
      </c>
      <c r="H2635" s="33" t="s">
        <v>4864</v>
      </c>
      <c r="I2635" s="33" t="s">
        <v>39</v>
      </c>
      <c r="J2635" s="33" t="s">
        <v>40</v>
      </c>
      <c r="K2635" s="33" t="s">
        <v>41</v>
      </c>
      <c r="L2635" s="33">
        <v>5</v>
      </c>
    </row>
    <row r="2636" spans="1:12" hidden="1" x14ac:dyDescent="0.3">
      <c r="A2636" s="39">
        <v>46057.725601851853</v>
      </c>
      <c r="B2636" s="33" t="s">
        <v>3627</v>
      </c>
      <c r="C2636" s="33">
        <v>3132021202</v>
      </c>
      <c r="E2636" s="33">
        <v>2</v>
      </c>
      <c r="F2636" s="33">
        <v>0</v>
      </c>
      <c r="G2636" s="33" t="s">
        <v>47</v>
      </c>
      <c r="H2636" s="33" t="s">
        <v>6309</v>
      </c>
      <c r="I2636" s="33" t="s">
        <v>46</v>
      </c>
      <c r="J2636" s="33" t="s">
        <v>3629</v>
      </c>
    </row>
    <row r="2637" spans="1:12" hidden="1" x14ac:dyDescent="0.3">
      <c r="A2637" s="39">
        <v>46057.725555555553</v>
      </c>
      <c r="B2637" s="33" t="s">
        <v>3627</v>
      </c>
      <c r="C2637" s="33">
        <v>4431322122</v>
      </c>
      <c r="E2637" s="33">
        <v>0</v>
      </c>
      <c r="F2637" s="33">
        <v>0</v>
      </c>
      <c r="G2637" s="33" t="s">
        <v>47</v>
      </c>
      <c r="H2637" s="33" t="s">
        <v>6310</v>
      </c>
      <c r="I2637" s="33" t="s">
        <v>46</v>
      </c>
      <c r="J2637" s="33" t="s">
        <v>3629</v>
      </c>
    </row>
    <row r="2638" spans="1:12" hidden="1" x14ac:dyDescent="0.3">
      <c r="A2638" s="39">
        <v>46057.721701388888</v>
      </c>
      <c r="B2638" s="33">
        <v>77999884091</v>
      </c>
      <c r="C2638" s="33" t="s">
        <v>42</v>
      </c>
      <c r="D2638" s="33">
        <v>4431268225</v>
      </c>
      <c r="E2638" s="33">
        <v>170</v>
      </c>
      <c r="F2638" s="33">
        <v>125</v>
      </c>
      <c r="G2638" s="33" t="s">
        <v>38</v>
      </c>
      <c r="H2638" s="33" t="s">
        <v>4865</v>
      </c>
      <c r="I2638" s="33" t="s">
        <v>39</v>
      </c>
      <c r="J2638" s="33" t="s">
        <v>40</v>
      </c>
      <c r="K2638" s="33" t="s">
        <v>41</v>
      </c>
      <c r="L2638" s="33">
        <v>5</v>
      </c>
    </row>
    <row r="2639" spans="1:12" hidden="1" x14ac:dyDescent="0.3">
      <c r="A2639" s="39">
        <v>46057.719756944447</v>
      </c>
      <c r="B2639" s="33">
        <v>73982188717</v>
      </c>
      <c r="C2639" s="33" t="s">
        <v>45</v>
      </c>
      <c r="D2639" s="33">
        <v>4430265054</v>
      </c>
      <c r="E2639" s="33">
        <v>281</v>
      </c>
      <c r="F2639" s="33">
        <v>226</v>
      </c>
      <c r="G2639" s="33" t="s">
        <v>38</v>
      </c>
      <c r="H2639" s="33" t="s">
        <v>4866</v>
      </c>
      <c r="I2639" s="33" t="s">
        <v>39</v>
      </c>
      <c r="J2639" s="33" t="s">
        <v>40</v>
      </c>
      <c r="K2639" s="33" t="s">
        <v>41</v>
      </c>
    </row>
    <row r="2640" spans="1:12" hidden="1" x14ac:dyDescent="0.3">
      <c r="A2640" s="39">
        <v>46057.718310185184</v>
      </c>
      <c r="B2640" s="33">
        <v>6234347959</v>
      </c>
      <c r="C2640" s="33" t="s">
        <v>37</v>
      </c>
      <c r="D2640" s="33">
        <v>4430265054</v>
      </c>
      <c r="E2640" s="33">
        <v>455</v>
      </c>
      <c r="F2640" s="33">
        <v>433</v>
      </c>
      <c r="G2640" s="33" t="s">
        <v>38</v>
      </c>
      <c r="H2640" s="33" t="s">
        <v>4867</v>
      </c>
      <c r="I2640" s="33" t="s">
        <v>39</v>
      </c>
      <c r="J2640" s="33" t="s">
        <v>40</v>
      </c>
      <c r="K2640" s="33" t="s">
        <v>41</v>
      </c>
      <c r="L2640" s="33">
        <v>5</v>
      </c>
    </row>
    <row r="2641" spans="1:12" hidden="1" x14ac:dyDescent="0.3">
      <c r="A2641" s="39">
        <v>46057.716747685183</v>
      </c>
      <c r="B2641" s="33" t="s">
        <v>3627</v>
      </c>
      <c r="C2641" s="33">
        <v>7536245757</v>
      </c>
      <c r="E2641" s="33">
        <v>2</v>
      </c>
      <c r="F2641" s="33">
        <v>0</v>
      </c>
      <c r="G2641" s="33" t="s">
        <v>47</v>
      </c>
      <c r="H2641" s="33" t="s">
        <v>6311</v>
      </c>
      <c r="I2641" s="33" t="s">
        <v>46</v>
      </c>
      <c r="J2641" s="33" t="s">
        <v>3629</v>
      </c>
    </row>
    <row r="2642" spans="1:12" hidden="1" x14ac:dyDescent="0.3">
      <c r="A2642" s="39">
        <v>46057.713993055557</v>
      </c>
      <c r="B2642" s="33" t="s">
        <v>48</v>
      </c>
      <c r="C2642" s="33">
        <v>3432424736</v>
      </c>
      <c r="E2642" s="33">
        <v>36</v>
      </c>
      <c r="F2642" s="33">
        <v>35</v>
      </c>
      <c r="G2642" s="33" t="s">
        <v>38</v>
      </c>
      <c r="H2642" s="33" t="s">
        <v>6312</v>
      </c>
      <c r="I2642" s="33" t="s">
        <v>46</v>
      </c>
      <c r="J2642" s="33" t="s">
        <v>40</v>
      </c>
    </row>
    <row r="2643" spans="1:12" hidden="1" x14ac:dyDescent="0.3">
      <c r="A2643" s="39">
        <v>46057.712199074071</v>
      </c>
      <c r="B2643" s="33" t="s">
        <v>48</v>
      </c>
      <c r="C2643" s="33">
        <v>34988939632</v>
      </c>
      <c r="E2643" s="33">
        <v>36</v>
      </c>
      <c r="F2643" s="33">
        <v>0</v>
      </c>
      <c r="G2643" s="33" t="s">
        <v>47</v>
      </c>
      <c r="H2643" s="33" t="s">
        <v>6313</v>
      </c>
      <c r="I2643" s="33" t="s">
        <v>46</v>
      </c>
      <c r="J2643" s="33" t="s">
        <v>40</v>
      </c>
    </row>
    <row r="2644" spans="1:12" hidden="1" x14ac:dyDescent="0.3">
      <c r="A2644" s="39">
        <v>46057.711481481485</v>
      </c>
      <c r="B2644" s="33">
        <v>73982188717</v>
      </c>
      <c r="C2644" s="33" t="s">
        <v>37</v>
      </c>
      <c r="D2644" s="33">
        <v>4430265054</v>
      </c>
      <c r="E2644" s="33">
        <v>22</v>
      </c>
      <c r="F2644" s="33">
        <v>1</v>
      </c>
      <c r="G2644" s="33" t="s">
        <v>38</v>
      </c>
      <c r="H2644" s="33" t="s">
        <v>4868</v>
      </c>
      <c r="I2644" s="33" t="s">
        <v>39</v>
      </c>
      <c r="J2644" s="33" t="s">
        <v>40</v>
      </c>
      <c r="K2644" s="33" t="s">
        <v>41</v>
      </c>
    </row>
    <row r="2645" spans="1:12" hidden="1" x14ac:dyDescent="0.3">
      <c r="A2645" s="39">
        <v>46057.709791666668</v>
      </c>
      <c r="B2645" s="33">
        <v>4436281154</v>
      </c>
      <c r="C2645" s="33" t="s">
        <v>45</v>
      </c>
      <c r="D2645" s="33">
        <v>4430265054</v>
      </c>
      <c r="E2645" s="33">
        <v>152</v>
      </c>
      <c r="F2645" s="33">
        <v>79</v>
      </c>
      <c r="G2645" s="33" t="s">
        <v>38</v>
      </c>
      <c r="H2645" s="33" t="s">
        <v>4869</v>
      </c>
      <c r="I2645" s="33" t="s">
        <v>39</v>
      </c>
      <c r="J2645" s="33" t="s">
        <v>40</v>
      </c>
      <c r="K2645" s="33" t="s">
        <v>41</v>
      </c>
    </row>
    <row r="2646" spans="1:12" hidden="1" x14ac:dyDescent="0.3">
      <c r="A2646" s="39">
        <v>46057.707465277781</v>
      </c>
      <c r="B2646" s="33">
        <v>44991484476</v>
      </c>
      <c r="C2646" s="33" t="s">
        <v>43</v>
      </c>
      <c r="D2646" s="33">
        <v>4430265054</v>
      </c>
      <c r="E2646" s="33">
        <v>357</v>
      </c>
      <c r="F2646" s="33">
        <v>292</v>
      </c>
      <c r="G2646" s="33" t="s">
        <v>38</v>
      </c>
      <c r="H2646" s="33" t="s">
        <v>4870</v>
      </c>
      <c r="I2646" s="33" t="s">
        <v>39</v>
      </c>
      <c r="J2646" s="33" t="s">
        <v>40</v>
      </c>
      <c r="K2646" s="33" t="s">
        <v>41</v>
      </c>
      <c r="L2646" s="33">
        <v>5</v>
      </c>
    </row>
    <row r="2647" spans="1:12" hidden="1" x14ac:dyDescent="0.3">
      <c r="A2647" s="39">
        <v>46057.706956018519</v>
      </c>
      <c r="B2647" s="33" t="s">
        <v>3627</v>
      </c>
      <c r="C2647" s="33">
        <v>11985649793</v>
      </c>
      <c r="E2647" s="33">
        <v>12</v>
      </c>
      <c r="F2647" s="33">
        <v>7</v>
      </c>
      <c r="G2647" s="33" t="s">
        <v>38</v>
      </c>
      <c r="H2647" s="33" t="s">
        <v>6314</v>
      </c>
      <c r="I2647" s="33" t="s">
        <v>46</v>
      </c>
      <c r="J2647" s="33" t="s">
        <v>3629</v>
      </c>
    </row>
    <row r="2648" spans="1:12" hidden="1" x14ac:dyDescent="0.3">
      <c r="A2648" s="39">
        <v>46057.706296296295</v>
      </c>
      <c r="B2648" s="33" t="s">
        <v>3627</v>
      </c>
      <c r="C2648" s="33">
        <v>51993250030</v>
      </c>
      <c r="E2648" s="33">
        <v>21</v>
      </c>
      <c r="F2648" s="33">
        <v>0</v>
      </c>
      <c r="G2648" s="33" t="s">
        <v>47</v>
      </c>
      <c r="H2648" s="33" t="s">
        <v>6315</v>
      </c>
      <c r="I2648" s="33" t="s">
        <v>46</v>
      </c>
      <c r="J2648" s="33" t="s">
        <v>3629</v>
      </c>
    </row>
    <row r="2649" spans="1:12" hidden="1" x14ac:dyDescent="0.3">
      <c r="A2649" s="39">
        <v>46057.697453703702</v>
      </c>
      <c r="B2649" s="33" t="s">
        <v>3627</v>
      </c>
      <c r="C2649" s="33">
        <v>63981367398</v>
      </c>
      <c r="E2649" s="33">
        <v>10</v>
      </c>
      <c r="F2649" s="33">
        <v>0</v>
      </c>
      <c r="G2649" s="33" t="s">
        <v>47</v>
      </c>
      <c r="H2649" s="33" t="s">
        <v>6316</v>
      </c>
      <c r="I2649" s="33" t="s">
        <v>46</v>
      </c>
      <c r="J2649" s="33" t="s">
        <v>3629</v>
      </c>
    </row>
    <row r="2650" spans="1:12" hidden="1" x14ac:dyDescent="0.3">
      <c r="A2650" s="39">
        <v>46057.696400462963</v>
      </c>
      <c r="B2650" s="33" t="s">
        <v>3627</v>
      </c>
      <c r="C2650" s="33">
        <v>6139672057</v>
      </c>
      <c r="E2650" s="33">
        <v>16</v>
      </c>
      <c r="F2650" s="33">
        <v>0</v>
      </c>
      <c r="G2650" s="33" t="s">
        <v>47</v>
      </c>
      <c r="H2650" s="33" t="s">
        <v>6317</v>
      </c>
      <c r="I2650" s="33" t="s">
        <v>46</v>
      </c>
      <c r="J2650" s="33" t="s">
        <v>3629</v>
      </c>
    </row>
    <row r="2651" spans="1:12" hidden="1" x14ac:dyDescent="0.3">
      <c r="A2651" s="39">
        <v>46057.695231481484</v>
      </c>
      <c r="B2651" s="33" t="s">
        <v>3627</v>
      </c>
      <c r="C2651" s="33">
        <v>47991330801</v>
      </c>
      <c r="E2651" s="33">
        <v>34</v>
      </c>
      <c r="F2651" s="33">
        <v>13</v>
      </c>
      <c r="G2651" s="33" t="s">
        <v>38</v>
      </c>
      <c r="H2651" s="33" t="s">
        <v>6318</v>
      </c>
      <c r="I2651" s="33" t="s">
        <v>46</v>
      </c>
      <c r="J2651" s="33" t="s">
        <v>3629</v>
      </c>
    </row>
    <row r="2652" spans="1:12" hidden="1" x14ac:dyDescent="0.3">
      <c r="A2652" s="39">
        <v>46057.687222222223</v>
      </c>
      <c r="B2652" s="33">
        <v>35998295948</v>
      </c>
      <c r="C2652" s="33" t="s">
        <v>37</v>
      </c>
      <c r="D2652" s="33">
        <v>4430265054</v>
      </c>
      <c r="E2652" s="33">
        <v>441</v>
      </c>
      <c r="F2652" s="33">
        <v>406</v>
      </c>
      <c r="G2652" s="33" t="s">
        <v>38</v>
      </c>
      <c r="H2652" s="33" t="s">
        <v>4871</v>
      </c>
      <c r="I2652" s="33" t="s">
        <v>39</v>
      </c>
      <c r="J2652" s="33" t="s">
        <v>40</v>
      </c>
      <c r="K2652" s="33" t="s">
        <v>41</v>
      </c>
    </row>
    <row r="2653" spans="1:12" hidden="1" x14ac:dyDescent="0.3">
      <c r="A2653" s="39">
        <v>46057.683171296296</v>
      </c>
      <c r="B2653" s="33" t="s">
        <v>42</v>
      </c>
      <c r="C2653" s="33">
        <v>44991354005</v>
      </c>
      <c r="E2653" s="33">
        <v>99</v>
      </c>
      <c r="F2653" s="33">
        <v>83</v>
      </c>
      <c r="G2653" s="33" t="s">
        <v>38</v>
      </c>
      <c r="H2653" s="33" t="s">
        <v>6319</v>
      </c>
      <c r="I2653" s="33" t="s">
        <v>46</v>
      </c>
      <c r="J2653" s="33" t="s">
        <v>40</v>
      </c>
    </row>
    <row r="2654" spans="1:12" hidden="1" x14ac:dyDescent="0.3">
      <c r="A2654" s="39">
        <v>46057.683078703703</v>
      </c>
      <c r="B2654" s="33" t="s">
        <v>42</v>
      </c>
      <c r="C2654" s="33">
        <v>4433321380</v>
      </c>
      <c r="E2654" s="33">
        <v>2</v>
      </c>
      <c r="F2654" s="33">
        <v>0</v>
      </c>
      <c r="G2654" s="33" t="s">
        <v>47</v>
      </c>
      <c r="H2654" s="33" t="s">
        <v>6320</v>
      </c>
      <c r="I2654" s="33" t="s">
        <v>46</v>
      </c>
      <c r="J2654" s="33" t="s">
        <v>40</v>
      </c>
    </row>
    <row r="2655" spans="1:12" hidden="1" x14ac:dyDescent="0.3">
      <c r="A2655" s="39">
        <v>46057.682928240742</v>
      </c>
      <c r="B2655" s="33" t="s">
        <v>42</v>
      </c>
      <c r="C2655" s="33">
        <v>4433321380</v>
      </c>
      <c r="E2655" s="33">
        <v>12</v>
      </c>
      <c r="F2655" s="33">
        <v>7</v>
      </c>
      <c r="G2655" s="33" t="s">
        <v>38</v>
      </c>
      <c r="H2655" s="33" t="s">
        <v>6321</v>
      </c>
      <c r="I2655" s="33" t="s">
        <v>46</v>
      </c>
      <c r="J2655" s="33" t="s">
        <v>40</v>
      </c>
    </row>
    <row r="2656" spans="1:12" hidden="1" x14ac:dyDescent="0.3">
      <c r="A2656" s="39">
        <v>46057.682500000003</v>
      </c>
      <c r="B2656" s="33" t="s">
        <v>42</v>
      </c>
      <c r="C2656" s="33">
        <v>4433321380</v>
      </c>
      <c r="E2656" s="33">
        <v>12</v>
      </c>
      <c r="F2656" s="33">
        <v>0</v>
      </c>
      <c r="G2656" s="33" t="s">
        <v>47</v>
      </c>
      <c r="H2656" s="33" t="s">
        <v>6322</v>
      </c>
      <c r="I2656" s="33" t="s">
        <v>46</v>
      </c>
      <c r="J2656" s="33" t="s">
        <v>40</v>
      </c>
    </row>
    <row r="2657" spans="1:11" hidden="1" x14ac:dyDescent="0.3">
      <c r="A2657" s="39">
        <v>46057.682152777779</v>
      </c>
      <c r="B2657" s="33" t="s">
        <v>42</v>
      </c>
      <c r="C2657" s="33">
        <v>44991354005</v>
      </c>
      <c r="E2657" s="33">
        <v>45</v>
      </c>
      <c r="F2657" s="33">
        <v>27</v>
      </c>
      <c r="G2657" s="33" t="s">
        <v>38</v>
      </c>
      <c r="H2657" s="33" t="s">
        <v>6323</v>
      </c>
      <c r="I2657" s="33" t="s">
        <v>46</v>
      </c>
      <c r="J2657" s="33" t="s">
        <v>40</v>
      </c>
    </row>
    <row r="2658" spans="1:11" hidden="1" x14ac:dyDescent="0.3">
      <c r="A2658" s="39">
        <v>46057.681666666664</v>
      </c>
      <c r="B2658" s="33" t="s">
        <v>3627</v>
      </c>
      <c r="C2658" s="33">
        <v>16981226504</v>
      </c>
      <c r="E2658" s="33">
        <v>14</v>
      </c>
      <c r="F2658" s="33">
        <v>0</v>
      </c>
      <c r="G2658" s="33" t="s">
        <v>47</v>
      </c>
      <c r="H2658" s="33" t="s">
        <v>6324</v>
      </c>
      <c r="I2658" s="33" t="s">
        <v>46</v>
      </c>
      <c r="J2658" s="33" t="s">
        <v>3629</v>
      </c>
    </row>
    <row r="2659" spans="1:11" hidden="1" x14ac:dyDescent="0.3">
      <c r="A2659" s="39">
        <v>46057.681574074071</v>
      </c>
      <c r="B2659" s="33" t="s">
        <v>45</v>
      </c>
      <c r="C2659" s="33">
        <v>4430317020</v>
      </c>
      <c r="E2659" s="33">
        <v>198</v>
      </c>
      <c r="F2659" s="33">
        <v>186</v>
      </c>
      <c r="G2659" s="33" t="s">
        <v>38</v>
      </c>
      <c r="H2659" s="33" t="s">
        <v>6325</v>
      </c>
      <c r="I2659" s="33" t="s">
        <v>46</v>
      </c>
      <c r="J2659" s="33" t="s">
        <v>40</v>
      </c>
    </row>
    <row r="2660" spans="1:11" hidden="1" x14ac:dyDescent="0.3">
      <c r="A2660" s="39">
        <v>46057.681203703702</v>
      </c>
      <c r="B2660" s="33" t="s">
        <v>45</v>
      </c>
      <c r="C2660" s="33">
        <v>44997370024</v>
      </c>
      <c r="E2660" s="33">
        <v>42</v>
      </c>
      <c r="F2660" s="33">
        <v>26</v>
      </c>
      <c r="G2660" s="33" t="s">
        <v>38</v>
      </c>
      <c r="H2660" s="33" t="s">
        <v>6326</v>
      </c>
      <c r="I2660" s="33" t="s">
        <v>46</v>
      </c>
      <c r="J2660" s="33" t="s">
        <v>40</v>
      </c>
    </row>
    <row r="2661" spans="1:11" hidden="1" x14ac:dyDescent="0.3">
      <c r="A2661" s="39">
        <v>46057.680983796294</v>
      </c>
      <c r="B2661" s="33" t="s">
        <v>3627</v>
      </c>
      <c r="C2661" s="33">
        <v>44998224733</v>
      </c>
      <c r="E2661" s="33">
        <v>6</v>
      </c>
      <c r="F2661" s="33">
        <v>4</v>
      </c>
      <c r="G2661" s="33" t="s">
        <v>38</v>
      </c>
      <c r="H2661" s="33" t="s">
        <v>6327</v>
      </c>
      <c r="I2661" s="33" t="s">
        <v>46</v>
      </c>
      <c r="J2661" s="33" t="s">
        <v>3629</v>
      </c>
    </row>
    <row r="2662" spans="1:11" hidden="1" x14ac:dyDescent="0.3">
      <c r="A2662" s="39">
        <v>46057.679606481484</v>
      </c>
      <c r="B2662" s="33" t="s">
        <v>3627</v>
      </c>
      <c r="C2662" s="33">
        <v>69993646232</v>
      </c>
      <c r="E2662" s="33">
        <v>8</v>
      </c>
      <c r="F2662" s="33">
        <v>0</v>
      </c>
      <c r="G2662" s="33" t="s">
        <v>47</v>
      </c>
      <c r="H2662" s="33" t="s">
        <v>6328</v>
      </c>
      <c r="I2662" s="33" t="s">
        <v>46</v>
      </c>
      <c r="J2662" s="33" t="s">
        <v>3629</v>
      </c>
    </row>
    <row r="2663" spans="1:11" hidden="1" x14ac:dyDescent="0.3">
      <c r="A2663" s="39">
        <v>46057.677499999998</v>
      </c>
      <c r="B2663" s="33">
        <v>62994086124</v>
      </c>
      <c r="C2663" s="33" t="s">
        <v>43</v>
      </c>
      <c r="D2663" s="33">
        <v>4430265054</v>
      </c>
      <c r="E2663" s="33">
        <v>1422</v>
      </c>
      <c r="F2663" s="33">
        <v>1386</v>
      </c>
      <c r="G2663" s="33" t="s">
        <v>38</v>
      </c>
      <c r="H2663" s="33" t="s">
        <v>4872</v>
      </c>
      <c r="I2663" s="33" t="s">
        <v>39</v>
      </c>
      <c r="J2663" s="33" t="s">
        <v>40</v>
      </c>
      <c r="K2663" s="33" t="s">
        <v>41</v>
      </c>
    </row>
    <row r="2664" spans="1:11" hidden="1" x14ac:dyDescent="0.3">
      <c r="A2664" s="39">
        <v>46057.677071759259</v>
      </c>
      <c r="B2664" s="33">
        <v>4334234629</v>
      </c>
      <c r="C2664" s="33">
        <v>4430265054</v>
      </c>
      <c r="D2664" s="33">
        <v>4430265054</v>
      </c>
      <c r="E2664" s="33">
        <v>4</v>
      </c>
      <c r="F2664" s="33">
        <v>4</v>
      </c>
      <c r="G2664" s="33" t="s">
        <v>3449</v>
      </c>
      <c r="H2664" s="33" t="s">
        <v>6329</v>
      </c>
      <c r="I2664" s="33" t="s">
        <v>39</v>
      </c>
      <c r="J2664" s="33" t="s">
        <v>3451</v>
      </c>
    </row>
    <row r="2665" spans="1:11" hidden="1" x14ac:dyDescent="0.3">
      <c r="A2665" s="39">
        <v>46057.669537037036</v>
      </c>
      <c r="B2665" s="33" t="s">
        <v>42</v>
      </c>
      <c r="C2665" s="33">
        <v>11971245198</v>
      </c>
      <c r="E2665" s="33">
        <v>64</v>
      </c>
      <c r="F2665" s="33">
        <v>49</v>
      </c>
      <c r="G2665" s="33" t="s">
        <v>38</v>
      </c>
      <c r="H2665" s="33" t="s">
        <v>6330</v>
      </c>
      <c r="I2665" s="33" t="s">
        <v>46</v>
      </c>
      <c r="J2665" s="33" t="s">
        <v>40</v>
      </c>
    </row>
    <row r="2666" spans="1:11" hidden="1" x14ac:dyDescent="0.3">
      <c r="A2666" s="39">
        <v>46057.669016203705</v>
      </c>
      <c r="B2666" s="33" t="s">
        <v>42</v>
      </c>
      <c r="C2666" s="33">
        <v>11971245198</v>
      </c>
      <c r="E2666" s="33">
        <v>39</v>
      </c>
      <c r="F2666" s="33">
        <v>0</v>
      </c>
      <c r="G2666" s="33" t="s">
        <v>47</v>
      </c>
      <c r="H2666" s="33" t="s">
        <v>6331</v>
      </c>
      <c r="I2666" s="33" t="s">
        <v>46</v>
      </c>
      <c r="J2666" s="33" t="s">
        <v>40</v>
      </c>
    </row>
    <row r="2667" spans="1:11" hidden="1" x14ac:dyDescent="0.3">
      <c r="A2667" s="39">
        <v>46057.668726851851</v>
      </c>
      <c r="B2667" s="33" t="s">
        <v>42</v>
      </c>
      <c r="C2667" s="33">
        <v>11971245198</v>
      </c>
      <c r="E2667" s="33">
        <v>22</v>
      </c>
      <c r="F2667" s="33">
        <v>0</v>
      </c>
      <c r="G2667" s="33" t="s">
        <v>47</v>
      </c>
      <c r="H2667" s="33" t="s">
        <v>6332</v>
      </c>
      <c r="I2667" s="33" t="s">
        <v>46</v>
      </c>
      <c r="J2667" s="33" t="s">
        <v>40</v>
      </c>
    </row>
    <row r="2668" spans="1:11" hidden="1" x14ac:dyDescent="0.3">
      <c r="A2668" s="39">
        <v>46057.668124999997</v>
      </c>
      <c r="B2668" s="33">
        <v>4430291622</v>
      </c>
      <c r="C2668" s="33" t="s">
        <v>44</v>
      </c>
      <c r="D2668" s="33">
        <v>4430265054</v>
      </c>
      <c r="E2668" s="33">
        <v>399</v>
      </c>
      <c r="F2668" s="33">
        <v>256</v>
      </c>
      <c r="G2668" s="33" t="s">
        <v>38</v>
      </c>
      <c r="H2668" s="33" t="s">
        <v>4873</v>
      </c>
      <c r="I2668" s="33" t="s">
        <v>39</v>
      </c>
      <c r="J2668" s="33" t="s">
        <v>40</v>
      </c>
      <c r="K2668" s="33" t="s">
        <v>41</v>
      </c>
    </row>
    <row r="2669" spans="1:11" hidden="1" x14ac:dyDescent="0.3">
      <c r="A2669" s="39">
        <v>46057.667939814812</v>
      </c>
      <c r="B2669" s="33">
        <v>4430414545</v>
      </c>
      <c r="C2669" s="33">
        <v>4430265054</v>
      </c>
      <c r="D2669" s="33">
        <v>4430265054</v>
      </c>
      <c r="E2669" s="33">
        <v>5</v>
      </c>
      <c r="F2669" s="33">
        <v>4</v>
      </c>
      <c r="G2669" s="33" t="s">
        <v>3449</v>
      </c>
      <c r="H2669" s="33" t="s">
        <v>6333</v>
      </c>
      <c r="I2669" s="33" t="s">
        <v>39</v>
      </c>
      <c r="J2669" s="33" t="s">
        <v>3451</v>
      </c>
    </row>
    <row r="2670" spans="1:11" hidden="1" x14ac:dyDescent="0.3">
      <c r="A2670" s="39">
        <v>46057.66510416667</v>
      </c>
      <c r="B2670" s="33">
        <v>4334226481</v>
      </c>
      <c r="C2670" s="33" t="s">
        <v>44</v>
      </c>
      <c r="D2670" s="33">
        <v>4430265054</v>
      </c>
      <c r="E2670" s="33">
        <v>354</v>
      </c>
      <c r="F2670" s="33">
        <v>197</v>
      </c>
      <c r="G2670" s="33" t="s">
        <v>38</v>
      </c>
      <c r="H2670" s="33" t="s">
        <v>4874</v>
      </c>
      <c r="I2670" s="33" t="s">
        <v>39</v>
      </c>
      <c r="J2670" s="33" t="s">
        <v>40</v>
      </c>
      <c r="K2670" s="33" t="s">
        <v>41</v>
      </c>
    </row>
    <row r="2671" spans="1:11" hidden="1" x14ac:dyDescent="0.3">
      <c r="A2671" s="39">
        <v>46057.661527777775</v>
      </c>
      <c r="B2671" s="33" t="s">
        <v>3627</v>
      </c>
      <c r="C2671" s="33">
        <v>1129503622</v>
      </c>
      <c r="E2671" s="33">
        <v>16</v>
      </c>
      <c r="F2671" s="33">
        <v>3</v>
      </c>
      <c r="G2671" s="33" t="s">
        <v>38</v>
      </c>
      <c r="H2671" s="33" t="s">
        <v>6334</v>
      </c>
      <c r="I2671" s="33" t="s">
        <v>46</v>
      </c>
      <c r="J2671" s="33" t="s">
        <v>3629</v>
      </c>
    </row>
    <row r="2672" spans="1:11" hidden="1" x14ac:dyDescent="0.3">
      <c r="A2672" s="39">
        <v>46057.656006944446</v>
      </c>
      <c r="B2672" s="33">
        <v>44999550006</v>
      </c>
      <c r="C2672" s="33" t="s">
        <v>43</v>
      </c>
      <c r="D2672" s="33">
        <v>4430265054</v>
      </c>
      <c r="E2672" s="33">
        <v>773</v>
      </c>
      <c r="F2672" s="33">
        <v>743</v>
      </c>
      <c r="G2672" s="33" t="s">
        <v>38</v>
      </c>
      <c r="H2672" s="33" t="s">
        <v>4875</v>
      </c>
      <c r="I2672" s="33" t="s">
        <v>39</v>
      </c>
      <c r="J2672" s="33" t="s">
        <v>40</v>
      </c>
      <c r="K2672" s="33" t="s">
        <v>41</v>
      </c>
    </row>
    <row r="2673" spans="1:12" hidden="1" x14ac:dyDescent="0.3">
      <c r="A2673" s="39">
        <v>46057.654305555552</v>
      </c>
      <c r="B2673" s="33">
        <v>4430153305</v>
      </c>
      <c r="C2673" s="33" t="s">
        <v>44</v>
      </c>
      <c r="D2673" s="33">
        <v>4430265054</v>
      </c>
      <c r="E2673" s="33">
        <v>241</v>
      </c>
      <c r="F2673" s="33">
        <v>194</v>
      </c>
      <c r="G2673" s="33" t="s">
        <v>38</v>
      </c>
      <c r="H2673" s="33" t="s">
        <v>4876</v>
      </c>
      <c r="I2673" s="33" t="s">
        <v>39</v>
      </c>
      <c r="J2673" s="33" t="s">
        <v>40</v>
      </c>
      <c r="K2673" s="33" t="s">
        <v>41</v>
      </c>
    </row>
    <row r="2674" spans="1:12" hidden="1" x14ac:dyDescent="0.3">
      <c r="A2674" s="39">
        <v>46057.654004629629</v>
      </c>
      <c r="B2674" s="33" t="s">
        <v>5173</v>
      </c>
      <c r="C2674" s="33">
        <v>11998752939</v>
      </c>
      <c r="E2674" s="33">
        <v>21</v>
      </c>
      <c r="F2674" s="33">
        <v>13</v>
      </c>
      <c r="G2674" s="33" t="s">
        <v>38</v>
      </c>
      <c r="H2674" s="33" t="s">
        <v>6335</v>
      </c>
      <c r="I2674" s="33" t="s">
        <v>46</v>
      </c>
      <c r="J2674" s="33" t="s">
        <v>3629</v>
      </c>
    </row>
    <row r="2675" spans="1:12" hidden="1" x14ac:dyDescent="0.3">
      <c r="A2675" s="39">
        <v>46057.648229166669</v>
      </c>
      <c r="B2675" s="33" t="s">
        <v>3627</v>
      </c>
      <c r="C2675" s="33">
        <v>44999648932</v>
      </c>
      <c r="E2675" s="33">
        <v>35</v>
      </c>
      <c r="F2675" s="33">
        <v>0</v>
      </c>
      <c r="G2675" s="33" t="s">
        <v>47</v>
      </c>
      <c r="H2675" s="33" t="s">
        <v>6336</v>
      </c>
      <c r="I2675" s="33" t="s">
        <v>46</v>
      </c>
      <c r="J2675" s="33" t="s">
        <v>3629</v>
      </c>
    </row>
    <row r="2676" spans="1:12" hidden="1" x14ac:dyDescent="0.3">
      <c r="A2676" s="39">
        <v>46057.648090277777</v>
      </c>
      <c r="B2676" s="33" t="s">
        <v>3627</v>
      </c>
      <c r="C2676" s="33">
        <v>4430266599</v>
      </c>
      <c r="E2676" s="33">
        <v>0</v>
      </c>
      <c r="F2676" s="33">
        <v>0</v>
      </c>
      <c r="G2676" s="33" t="s">
        <v>47</v>
      </c>
      <c r="H2676" s="33" t="s">
        <v>6337</v>
      </c>
      <c r="I2676" s="33" t="s">
        <v>46</v>
      </c>
      <c r="J2676" s="33" t="s">
        <v>3629</v>
      </c>
    </row>
    <row r="2677" spans="1:12" hidden="1" x14ac:dyDescent="0.3">
      <c r="A2677" s="39">
        <v>46057.646701388891</v>
      </c>
      <c r="B2677" s="33" t="s">
        <v>48</v>
      </c>
      <c r="C2677" s="33">
        <v>91985176746</v>
      </c>
      <c r="E2677" s="33">
        <v>693</v>
      </c>
      <c r="F2677" s="33">
        <v>683</v>
      </c>
      <c r="G2677" s="33" t="s">
        <v>38</v>
      </c>
      <c r="H2677" s="33" t="s">
        <v>6338</v>
      </c>
      <c r="I2677" s="33" t="s">
        <v>46</v>
      </c>
      <c r="J2677" s="33" t="s">
        <v>40</v>
      </c>
      <c r="L2677" s="33">
        <v>5</v>
      </c>
    </row>
    <row r="2678" spans="1:12" hidden="1" x14ac:dyDescent="0.3">
      <c r="A2678" s="39">
        <v>46057.646701388891</v>
      </c>
      <c r="B2678" s="33">
        <v>91985176746</v>
      </c>
      <c r="C2678" s="33">
        <v>4430265054</v>
      </c>
      <c r="D2678" s="33">
        <v>4430265054</v>
      </c>
      <c r="E2678" s="33">
        <v>10</v>
      </c>
      <c r="F2678" s="33">
        <v>9</v>
      </c>
      <c r="G2678" s="33" t="s">
        <v>3449</v>
      </c>
      <c r="H2678" s="33" t="s">
        <v>6339</v>
      </c>
      <c r="I2678" s="33" t="s">
        <v>39</v>
      </c>
      <c r="J2678" s="33" t="s">
        <v>3451</v>
      </c>
    </row>
    <row r="2679" spans="1:12" hidden="1" x14ac:dyDescent="0.3">
      <c r="A2679" s="39">
        <v>46057.646550925929</v>
      </c>
      <c r="B2679" s="33" t="s">
        <v>48</v>
      </c>
      <c r="C2679" s="33">
        <v>91985176746</v>
      </c>
      <c r="E2679" s="33">
        <v>36</v>
      </c>
      <c r="F2679" s="33">
        <v>29</v>
      </c>
      <c r="G2679" s="33" t="s">
        <v>38</v>
      </c>
      <c r="H2679" s="33" t="s">
        <v>6340</v>
      </c>
      <c r="I2679" s="33" t="s">
        <v>46</v>
      </c>
      <c r="J2679" s="33" t="s">
        <v>40</v>
      </c>
    </row>
    <row r="2680" spans="1:12" hidden="1" x14ac:dyDescent="0.3">
      <c r="A2680" s="39">
        <v>46057.645752314813</v>
      </c>
      <c r="B2680" s="33">
        <v>91985176746</v>
      </c>
      <c r="C2680" s="33" t="s">
        <v>48</v>
      </c>
      <c r="D2680" s="33">
        <v>4430265054</v>
      </c>
      <c r="E2680" s="33">
        <v>67</v>
      </c>
      <c r="F2680" s="33">
        <v>11</v>
      </c>
      <c r="G2680" s="33" t="s">
        <v>38</v>
      </c>
      <c r="H2680" s="33" t="s">
        <v>4877</v>
      </c>
      <c r="I2680" s="33" t="s">
        <v>39</v>
      </c>
      <c r="J2680" s="33" t="s">
        <v>40</v>
      </c>
      <c r="K2680" s="33" t="s">
        <v>41</v>
      </c>
    </row>
    <row r="2681" spans="1:12" hidden="1" x14ac:dyDescent="0.3">
      <c r="A2681" s="39">
        <v>46057.644745370373</v>
      </c>
      <c r="B2681" s="33">
        <v>44999717086</v>
      </c>
      <c r="C2681" s="33" t="s">
        <v>43</v>
      </c>
      <c r="D2681" s="33">
        <v>4430265054</v>
      </c>
      <c r="E2681" s="33">
        <v>354</v>
      </c>
      <c r="F2681" s="33">
        <v>319</v>
      </c>
      <c r="G2681" s="33" t="s">
        <v>38</v>
      </c>
      <c r="H2681" s="33" t="s">
        <v>4878</v>
      </c>
      <c r="I2681" s="33" t="s">
        <v>39</v>
      </c>
      <c r="J2681" s="33" t="s">
        <v>40</v>
      </c>
      <c r="K2681" s="33" t="s">
        <v>41</v>
      </c>
      <c r="L2681" s="33">
        <v>5</v>
      </c>
    </row>
    <row r="2682" spans="1:12" hidden="1" x14ac:dyDescent="0.3">
      <c r="A2682" s="39">
        <v>46057.644062500003</v>
      </c>
      <c r="B2682" s="33">
        <v>4432325260</v>
      </c>
      <c r="C2682" s="33" t="s">
        <v>48</v>
      </c>
      <c r="D2682" s="33">
        <v>4430265054</v>
      </c>
      <c r="E2682" s="33">
        <v>176</v>
      </c>
      <c r="F2682" s="33">
        <v>175</v>
      </c>
      <c r="G2682" s="33" t="s">
        <v>38</v>
      </c>
      <c r="H2682" s="33" t="s">
        <v>4879</v>
      </c>
      <c r="I2682" s="33" t="s">
        <v>39</v>
      </c>
      <c r="J2682" s="33" t="s">
        <v>40</v>
      </c>
      <c r="K2682" s="33" t="s">
        <v>41</v>
      </c>
    </row>
    <row r="2683" spans="1:12" hidden="1" x14ac:dyDescent="0.3">
      <c r="A2683" s="39">
        <v>46057.640844907408</v>
      </c>
      <c r="B2683" s="33">
        <v>4430145899</v>
      </c>
      <c r="C2683" s="33" t="s">
        <v>45</v>
      </c>
      <c r="D2683" s="33">
        <v>4430265054</v>
      </c>
      <c r="E2683" s="33">
        <v>1242</v>
      </c>
      <c r="F2683" s="33">
        <v>1090</v>
      </c>
      <c r="G2683" s="33" t="s">
        <v>38</v>
      </c>
      <c r="H2683" s="33" t="s">
        <v>4880</v>
      </c>
      <c r="I2683" s="33" t="s">
        <v>39</v>
      </c>
      <c r="J2683" s="33" t="s">
        <v>40</v>
      </c>
      <c r="K2683" s="33" t="s">
        <v>41</v>
      </c>
    </row>
    <row r="2684" spans="1:12" hidden="1" x14ac:dyDescent="0.3">
      <c r="A2684" s="39">
        <v>46057.640243055554</v>
      </c>
      <c r="B2684" s="33">
        <v>4330333542</v>
      </c>
      <c r="C2684" s="33" t="s">
        <v>37</v>
      </c>
      <c r="D2684" s="33">
        <v>4430265054</v>
      </c>
      <c r="E2684" s="33">
        <v>1996</v>
      </c>
      <c r="F2684" s="33">
        <v>1936</v>
      </c>
      <c r="G2684" s="33" t="s">
        <v>38</v>
      </c>
      <c r="H2684" s="33" t="s">
        <v>4881</v>
      </c>
      <c r="I2684" s="33" t="s">
        <v>39</v>
      </c>
      <c r="J2684" s="33" t="s">
        <v>40</v>
      </c>
      <c r="K2684" s="33" t="s">
        <v>41</v>
      </c>
    </row>
    <row r="2685" spans="1:12" hidden="1" x14ac:dyDescent="0.3">
      <c r="A2685" s="39">
        <v>46057.638599537036</v>
      </c>
      <c r="B2685" s="33">
        <v>4432524636</v>
      </c>
      <c r="C2685" s="33" t="s">
        <v>42</v>
      </c>
      <c r="D2685" s="33">
        <v>4430265054</v>
      </c>
      <c r="E2685" s="33">
        <v>946</v>
      </c>
      <c r="F2685" s="33">
        <v>937</v>
      </c>
      <c r="G2685" s="33" t="s">
        <v>38</v>
      </c>
      <c r="H2685" s="33" t="s">
        <v>4882</v>
      </c>
      <c r="I2685" s="33" t="s">
        <v>39</v>
      </c>
      <c r="J2685" s="33" t="s">
        <v>40</v>
      </c>
      <c r="K2685" s="33" t="s">
        <v>41</v>
      </c>
      <c r="L2685" s="33">
        <v>5</v>
      </c>
    </row>
    <row r="2686" spans="1:12" x14ac:dyDescent="0.3">
      <c r="A2686" s="39">
        <v>46057.634930555556</v>
      </c>
      <c r="B2686" s="33">
        <v>4432256273</v>
      </c>
      <c r="C2686" s="33" t="s">
        <v>44</v>
      </c>
      <c r="D2686" s="33">
        <v>4430265054</v>
      </c>
      <c r="E2686" s="33">
        <v>1233</v>
      </c>
      <c r="F2686" s="33">
        <v>1142</v>
      </c>
      <c r="G2686" s="33" t="s">
        <v>38</v>
      </c>
      <c r="H2686" s="33" t="s">
        <v>4883</v>
      </c>
      <c r="I2686" s="33" t="s">
        <v>39</v>
      </c>
      <c r="J2686" s="33" t="s">
        <v>40</v>
      </c>
      <c r="K2686" s="33" t="s">
        <v>41</v>
      </c>
      <c r="L2686" s="33">
        <v>5</v>
      </c>
    </row>
    <row r="2687" spans="1:12" hidden="1" x14ac:dyDescent="0.3">
      <c r="A2687" s="39">
        <v>46057.633101851854</v>
      </c>
      <c r="B2687" s="33">
        <v>44997571961</v>
      </c>
      <c r="C2687" s="33" t="s">
        <v>45</v>
      </c>
      <c r="D2687" s="33">
        <v>4430265054</v>
      </c>
      <c r="E2687" s="33">
        <v>721</v>
      </c>
      <c r="F2687" s="33">
        <v>675</v>
      </c>
      <c r="G2687" s="33" t="s">
        <v>38</v>
      </c>
      <c r="H2687" s="33" t="s">
        <v>4884</v>
      </c>
      <c r="I2687" s="33" t="s">
        <v>39</v>
      </c>
      <c r="J2687" s="33" t="s">
        <v>40</v>
      </c>
      <c r="K2687" s="33" t="s">
        <v>41</v>
      </c>
    </row>
    <row r="2688" spans="1:12" hidden="1" x14ac:dyDescent="0.3">
      <c r="A2688" s="39">
        <v>46057.62841435185</v>
      </c>
      <c r="B2688" s="33" t="s">
        <v>3627</v>
      </c>
      <c r="C2688" s="33">
        <v>4432262123</v>
      </c>
      <c r="E2688" s="33">
        <v>0</v>
      </c>
      <c r="F2688" s="33">
        <v>0</v>
      </c>
      <c r="G2688" s="33" t="s">
        <v>47</v>
      </c>
      <c r="H2688" s="33" t="s">
        <v>6341</v>
      </c>
      <c r="I2688" s="33" t="s">
        <v>46</v>
      </c>
      <c r="J2688" s="33" t="s">
        <v>3629</v>
      </c>
    </row>
    <row r="2689" spans="1:12" hidden="1" x14ac:dyDescent="0.3">
      <c r="A2689" s="39">
        <v>46057.628148148149</v>
      </c>
      <c r="B2689" s="33" t="s">
        <v>3627</v>
      </c>
      <c r="C2689" s="33">
        <v>4430266599</v>
      </c>
      <c r="E2689" s="33">
        <v>0</v>
      </c>
      <c r="F2689" s="33">
        <v>0</v>
      </c>
      <c r="G2689" s="33" t="s">
        <v>47</v>
      </c>
      <c r="H2689" s="33" t="s">
        <v>6342</v>
      </c>
      <c r="I2689" s="33" t="s">
        <v>46</v>
      </c>
      <c r="J2689" s="33" t="s">
        <v>3629</v>
      </c>
    </row>
    <row r="2690" spans="1:12" hidden="1" x14ac:dyDescent="0.3">
      <c r="A2690" s="39">
        <v>46057.62809027778</v>
      </c>
      <c r="B2690" s="33" t="s">
        <v>3627</v>
      </c>
      <c r="C2690" s="33">
        <v>4432263468</v>
      </c>
      <c r="E2690" s="33">
        <v>0</v>
      </c>
      <c r="F2690" s="33">
        <v>0</v>
      </c>
      <c r="G2690" s="33" t="s">
        <v>47</v>
      </c>
      <c r="H2690" s="33" t="s">
        <v>6343</v>
      </c>
      <c r="I2690" s="33" t="s">
        <v>46</v>
      </c>
      <c r="J2690" s="33" t="s">
        <v>3629</v>
      </c>
    </row>
    <row r="2691" spans="1:12" hidden="1" x14ac:dyDescent="0.3">
      <c r="A2691" s="39">
        <v>46057.626458333332</v>
      </c>
      <c r="B2691" s="33" t="s">
        <v>3627</v>
      </c>
      <c r="C2691" s="33">
        <v>4430266599</v>
      </c>
      <c r="E2691" s="33">
        <v>1</v>
      </c>
      <c r="F2691" s="33">
        <v>0</v>
      </c>
      <c r="G2691" s="33" t="s">
        <v>47</v>
      </c>
      <c r="H2691" s="33" t="s">
        <v>6344</v>
      </c>
      <c r="I2691" s="33" t="s">
        <v>46</v>
      </c>
      <c r="J2691" s="33" t="s">
        <v>3629</v>
      </c>
    </row>
    <row r="2692" spans="1:12" hidden="1" x14ac:dyDescent="0.3">
      <c r="A2692" s="39">
        <v>46057.62641203704</v>
      </c>
      <c r="B2692" s="33" t="s">
        <v>3627</v>
      </c>
      <c r="C2692" s="33">
        <v>4430266599</v>
      </c>
      <c r="E2692" s="33">
        <v>0</v>
      </c>
      <c r="F2692" s="33">
        <v>0</v>
      </c>
      <c r="G2692" s="33" t="s">
        <v>47</v>
      </c>
      <c r="H2692" s="33" t="s">
        <v>6345</v>
      </c>
      <c r="I2692" s="33" t="s">
        <v>46</v>
      </c>
      <c r="J2692" s="33" t="s">
        <v>3629</v>
      </c>
    </row>
    <row r="2693" spans="1:12" hidden="1" x14ac:dyDescent="0.3">
      <c r="A2693" s="39">
        <v>46057.625671296293</v>
      </c>
      <c r="B2693" s="33" t="s">
        <v>3627</v>
      </c>
      <c r="C2693" s="33">
        <v>4430266599</v>
      </c>
      <c r="E2693" s="33">
        <v>0</v>
      </c>
      <c r="F2693" s="33">
        <v>0</v>
      </c>
      <c r="G2693" s="33" t="s">
        <v>47</v>
      </c>
      <c r="H2693" s="33" t="s">
        <v>6346</v>
      </c>
      <c r="I2693" s="33" t="s">
        <v>46</v>
      </c>
      <c r="J2693" s="33" t="s">
        <v>3629</v>
      </c>
    </row>
    <row r="2694" spans="1:12" hidden="1" x14ac:dyDescent="0.3">
      <c r="A2694" s="39">
        <v>46057.625416666669</v>
      </c>
      <c r="B2694" s="33" t="s">
        <v>3627</v>
      </c>
      <c r="C2694" s="33">
        <v>4430266599</v>
      </c>
      <c r="E2694" s="33">
        <v>1</v>
      </c>
      <c r="F2694" s="33">
        <v>0</v>
      </c>
      <c r="G2694" s="33" t="s">
        <v>47</v>
      </c>
      <c r="H2694" s="33" t="s">
        <v>6347</v>
      </c>
      <c r="I2694" s="33" t="s">
        <v>46</v>
      </c>
      <c r="J2694" s="33" t="s">
        <v>3629</v>
      </c>
    </row>
    <row r="2695" spans="1:12" hidden="1" x14ac:dyDescent="0.3">
      <c r="A2695" s="39">
        <v>46057.623854166668</v>
      </c>
      <c r="B2695" s="33">
        <v>4430318514</v>
      </c>
      <c r="C2695" s="33" t="s">
        <v>42</v>
      </c>
      <c r="D2695" s="33">
        <v>4430265054</v>
      </c>
      <c r="E2695" s="33">
        <v>321</v>
      </c>
      <c r="F2695" s="33">
        <v>220</v>
      </c>
      <c r="G2695" s="33" t="s">
        <v>38</v>
      </c>
      <c r="H2695" s="33" t="s">
        <v>4885</v>
      </c>
      <c r="I2695" s="33" t="s">
        <v>39</v>
      </c>
      <c r="J2695" s="33" t="s">
        <v>40</v>
      </c>
      <c r="K2695" s="33" t="s">
        <v>41</v>
      </c>
    </row>
    <row r="2696" spans="1:12" hidden="1" x14ac:dyDescent="0.3">
      <c r="A2696" s="39">
        <v>46057.612511574072</v>
      </c>
      <c r="B2696" s="33">
        <v>4432272377</v>
      </c>
      <c r="C2696" s="33" t="s">
        <v>37</v>
      </c>
      <c r="D2696" s="33">
        <v>4430265054</v>
      </c>
      <c r="E2696" s="33">
        <v>1626</v>
      </c>
      <c r="F2696" s="33">
        <v>1584</v>
      </c>
      <c r="G2696" s="33" t="s">
        <v>38</v>
      </c>
      <c r="H2696" s="33" t="s">
        <v>4886</v>
      </c>
      <c r="I2696" s="33" t="s">
        <v>39</v>
      </c>
      <c r="J2696" s="33" t="s">
        <v>40</v>
      </c>
      <c r="K2696" s="33" t="s">
        <v>41</v>
      </c>
    </row>
    <row r="2697" spans="1:12" hidden="1" x14ac:dyDescent="0.3">
      <c r="A2697" s="39">
        <v>46057.610763888886</v>
      </c>
      <c r="B2697" s="33">
        <v>1131043888</v>
      </c>
      <c r="C2697" s="33" t="s">
        <v>43</v>
      </c>
      <c r="D2697" s="33">
        <v>4430265054</v>
      </c>
      <c r="E2697" s="33">
        <v>936</v>
      </c>
      <c r="F2697" s="33">
        <v>790</v>
      </c>
      <c r="G2697" s="33" t="s">
        <v>38</v>
      </c>
      <c r="H2697" s="33" t="s">
        <v>4887</v>
      </c>
      <c r="I2697" s="33" t="s">
        <v>39</v>
      </c>
      <c r="J2697" s="33" t="s">
        <v>40</v>
      </c>
      <c r="K2697" s="33" t="s">
        <v>41</v>
      </c>
      <c r="L2697" s="33">
        <v>5</v>
      </c>
    </row>
    <row r="2698" spans="1:12" hidden="1" x14ac:dyDescent="0.3">
      <c r="A2698" s="39">
        <v>46057.604444444441</v>
      </c>
      <c r="B2698" s="33">
        <v>44991174709</v>
      </c>
      <c r="C2698" s="33" t="s">
        <v>37</v>
      </c>
      <c r="D2698" s="33">
        <v>4430265054</v>
      </c>
      <c r="E2698" s="33">
        <v>416</v>
      </c>
      <c r="F2698" s="33">
        <v>331</v>
      </c>
      <c r="G2698" s="33" t="s">
        <v>38</v>
      </c>
      <c r="H2698" s="33" t="s">
        <v>4888</v>
      </c>
      <c r="I2698" s="33" t="s">
        <v>39</v>
      </c>
      <c r="J2698" s="33" t="s">
        <v>40</v>
      </c>
      <c r="K2698" s="33" t="s">
        <v>41</v>
      </c>
      <c r="L2698" s="33">
        <v>5</v>
      </c>
    </row>
    <row r="2699" spans="1:12" hidden="1" x14ac:dyDescent="0.3">
      <c r="A2699" s="39">
        <v>46057.60328703704</v>
      </c>
      <c r="B2699" s="33">
        <v>4436281154</v>
      </c>
      <c r="C2699" s="33" t="s">
        <v>45</v>
      </c>
      <c r="D2699" s="33">
        <v>4430265054</v>
      </c>
      <c r="E2699" s="33">
        <v>485</v>
      </c>
      <c r="F2699" s="33">
        <v>436</v>
      </c>
      <c r="G2699" s="33" t="s">
        <v>38</v>
      </c>
      <c r="H2699" s="33" t="s">
        <v>4889</v>
      </c>
      <c r="I2699" s="33" t="s">
        <v>39</v>
      </c>
      <c r="J2699" s="33" t="s">
        <v>40</v>
      </c>
      <c r="K2699" s="33" t="s">
        <v>41</v>
      </c>
    </row>
    <row r="2700" spans="1:12" hidden="1" x14ac:dyDescent="0.3">
      <c r="A2700" s="39">
        <v>46057.598969907405</v>
      </c>
      <c r="B2700" s="33" t="s">
        <v>45</v>
      </c>
      <c r="C2700" s="33">
        <v>44997123083</v>
      </c>
      <c r="E2700" s="33">
        <v>64</v>
      </c>
      <c r="F2700" s="33">
        <v>29</v>
      </c>
      <c r="G2700" s="33" t="s">
        <v>38</v>
      </c>
      <c r="H2700" s="33" t="s">
        <v>6348</v>
      </c>
      <c r="I2700" s="33" t="s">
        <v>46</v>
      </c>
      <c r="J2700" s="33" t="s">
        <v>40</v>
      </c>
    </row>
    <row r="2701" spans="1:12" hidden="1" x14ac:dyDescent="0.3">
      <c r="A2701" s="39">
        <v>46057.598680555559</v>
      </c>
      <c r="B2701" s="33">
        <v>4430153305</v>
      </c>
      <c r="C2701" s="33">
        <v>4430265054</v>
      </c>
      <c r="D2701" s="33">
        <v>4430265054</v>
      </c>
      <c r="E2701" s="33">
        <v>48</v>
      </c>
      <c r="F2701" s="33">
        <v>47</v>
      </c>
      <c r="G2701" s="33" t="s">
        <v>3449</v>
      </c>
      <c r="H2701" s="33" t="s">
        <v>4890</v>
      </c>
      <c r="I2701" s="33" t="s">
        <v>39</v>
      </c>
      <c r="J2701" s="33" t="s">
        <v>3451</v>
      </c>
      <c r="K2701" s="33" t="s">
        <v>41</v>
      </c>
    </row>
    <row r="2702" spans="1:12" hidden="1" x14ac:dyDescent="0.3">
      <c r="A2702" s="39">
        <v>46057.597673611112</v>
      </c>
      <c r="B2702" s="33">
        <v>44997123083</v>
      </c>
      <c r="C2702" s="33" t="s">
        <v>45</v>
      </c>
      <c r="D2702" s="33">
        <v>4430265054</v>
      </c>
      <c r="E2702" s="33">
        <v>108</v>
      </c>
      <c r="F2702" s="33">
        <v>78</v>
      </c>
      <c r="G2702" s="33" t="s">
        <v>38</v>
      </c>
      <c r="H2702" s="33" t="s">
        <v>4891</v>
      </c>
      <c r="I2702" s="33" t="s">
        <v>39</v>
      </c>
      <c r="J2702" s="33" t="s">
        <v>40</v>
      </c>
      <c r="K2702" s="33" t="s">
        <v>41</v>
      </c>
    </row>
    <row r="2703" spans="1:12" hidden="1" x14ac:dyDescent="0.3">
      <c r="A2703" s="39">
        <v>46057.594675925924</v>
      </c>
      <c r="B2703" s="33">
        <v>4432525112</v>
      </c>
      <c r="C2703" s="33" t="s">
        <v>42</v>
      </c>
      <c r="D2703" s="33">
        <v>4430265054</v>
      </c>
      <c r="E2703" s="33">
        <v>325</v>
      </c>
      <c r="F2703" s="33">
        <v>217</v>
      </c>
      <c r="G2703" s="33" t="s">
        <v>38</v>
      </c>
      <c r="H2703" s="33" t="s">
        <v>4892</v>
      </c>
      <c r="I2703" s="33" t="s">
        <v>39</v>
      </c>
      <c r="J2703" s="33" t="s">
        <v>40</v>
      </c>
      <c r="K2703" s="33" t="s">
        <v>41</v>
      </c>
    </row>
    <row r="2704" spans="1:12" hidden="1" x14ac:dyDescent="0.3">
      <c r="A2704" s="39">
        <v>46057.593993055554</v>
      </c>
      <c r="B2704" s="33">
        <v>4433542435</v>
      </c>
      <c r="C2704" s="33" t="s">
        <v>43</v>
      </c>
      <c r="D2704" s="33">
        <v>4430265054</v>
      </c>
      <c r="E2704" s="33">
        <v>1564</v>
      </c>
      <c r="F2704" s="33">
        <v>1488</v>
      </c>
      <c r="G2704" s="33" t="s">
        <v>38</v>
      </c>
      <c r="H2704" s="33" t="s">
        <v>4893</v>
      </c>
      <c r="I2704" s="33" t="s">
        <v>39</v>
      </c>
      <c r="J2704" s="33" t="s">
        <v>40</v>
      </c>
      <c r="K2704" s="33" t="s">
        <v>41</v>
      </c>
    </row>
    <row r="2705" spans="1:12" hidden="1" x14ac:dyDescent="0.3">
      <c r="A2705" s="39">
        <v>46057.593009259261</v>
      </c>
      <c r="B2705" s="33">
        <v>4334232912</v>
      </c>
      <c r="C2705" s="33" t="s">
        <v>45</v>
      </c>
      <c r="D2705" s="33">
        <v>4430265054</v>
      </c>
      <c r="E2705" s="33">
        <v>322</v>
      </c>
      <c r="F2705" s="33">
        <v>273</v>
      </c>
      <c r="G2705" s="33" t="s">
        <v>38</v>
      </c>
      <c r="H2705" s="33" t="s">
        <v>4894</v>
      </c>
      <c r="I2705" s="33" t="s">
        <v>39</v>
      </c>
      <c r="J2705" s="33" t="s">
        <v>40</v>
      </c>
      <c r="K2705" s="33" t="s">
        <v>41</v>
      </c>
      <c r="L2705" s="33">
        <v>5</v>
      </c>
    </row>
    <row r="2706" spans="1:12" hidden="1" x14ac:dyDescent="0.3">
      <c r="A2706" s="39">
        <v>46057.591574074075</v>
      </c>
      <c r="B2706" s="33" t="s">
        <v>3627</v>
      </c>
      <c r="C2706" s="33">
        <v>62992184844</v>
      </c>
      <c r="E2706" s="33">
        <v>27</v>
      </c>
      <c r="F2706" s="33">
        <v>19</v>
      </c>
      <c r="G2706" s="33" t="s">
        <v>38</v>
      </c>
      <c r="H2706" s="33" t="s">
        <v>6349</v>
      </c>
      <c r="I2706" s="33" t="s">
        <v>46</v>
      </c>
      <c r="J2706" s="33" t="s">
        <v>3629</v>
      </c>
    </row>
    <row r="2707" spans="1:12" hidden="1" x14ac:dyDescent="0.3">
      <c r="A2707" s="39">
        <v>46057.58971064815</v>
      </c>
      <c r="B2707" s="33" t="s">
        <v>37</v>
      </c>
      <c r="C2707" s="33">
        <v>4430285070</v>
      </c>
      <c r="E2707" s="33">
        <v>788</v>
      </c>
      <c r="F2707" s="33">
        <v>777</v>
      </c>
      <c r="G2707" s="33" t="s">
        <v>38</v>
      </c>
      <c r="H2707" s="33" t="s">
        <v>6350</v>
      </c>
      <c r="I2707" s="33" t="s">
        <v>46</v>
      </c>
      <c r="J2707" s="33" t="s">
        <v>40</v>
      </c>
      <c r="L2707" s="33">
        <v>5</v>
      </c>
    </row>
    <row r="2708" spans="1:12" hidden="1" x14ac:dyDescent="0.3">
      <c r="A2708" s="39">
        <v>46057.589675925927</v>
      </c>
      <c r="B2708" s="33" t="s">
        <v>37</v>
      </c>
      <c r="C2708" s="33">
        <v>4430285070</v>
      </c>
      <c r="E2708" s="33">
        <v>1</v>
      </c>
      <c r="F2708" s="33">
        <v>0</v>
      </c>
      <c r="G2708" s="33" t="s">
        <v>47</v>
      </c>
      <c r="H2708" s="33" t="s">
        <v>6351</v>
      </c>
      <c r="I2708" s="33" t="s">
        <v>46</v>
      </c>
      <c r="J2708" s="33" t="s">
        <v>40</v>
      </c>
    </row>
    <row r="2709" spans="1:12" hidden="1" x14ac:dyDescent="0.3">
      <c r="A2709" s="39">
        <v>46057.589432870373</v>
      </c>
      <c r="B2709" s="33" t="s">
        <v>37</v>
      </c>
      <c r="C2709" s="33">
        <v>44988135387</v>
      </c>
      <c r="E2709" s="33">
        <v>18</v>
      </c>
      <c r="F2709" s="33">
        <v>0</v>
      </c>
      <c r="G2709" s="33" t="s">
        <v>47</v>
      </c>
      <c r="H2709" s="33" t="s">
        <v>6352</v>
      </c>
      <c r="I2709" s="33" t="s">
        <v>46</v>
      </c>
      <c r="J2709" s="33" t="s">
        <v>40</v>
      </c>
    </row>
    <row r="2710" spans="1:12" hidden="1" x14ac:dyDescent="0.3">
      <c r="A2710" s="39">
        <v>46057.585104166668</v>
      </c>
      <c r="B2710" s="33">
        <v>4432672194</v>
      </c>
      <c r="C2710" s="33" t="s">
        <v>45</v>
      </c>
      <c r="D2710" s="33">
        <v>4430265054</v>
      </c>
      <c r="E2710" s="33">
        <v>299</v>
      </c>
      <c r="F2710" s="33">
        <v>245</v>
      </c>
      <c r="G2710" s="33" t="s">
        <v>38</v>
      </c>
      <c r="H2710" s="33" t="s">
        <v>4895</v>
      </c>
      <c r="I2710" s="33" t="s">
        <v>39</v>
      </c>
      <c r="J2710" s="33" t="s">
        <v>40</v>
      </c>
      <c r="K2710" s="33" t="s">
        <v>41</v>
      </c>
      <c r="L2710" s="33">
        <v>5</v>
      </c>
    </row>
    <row r="2711" spans="1:12" hidden="1" x14ac:dyDescent="0.3">
      <c r="A2711" s="39">
        <v>46057.584803240738</v>
      </c>
      <c r="B2711" s="33" t="s">
        <v>43</v>
      </c>
      <c r="C2711" s="33">
        <v>4334234629</v>
      </c>
      <c r="E2711" s="33">
        <v>378</v>
      </c>
      <c r="F2711" s="33">
        <v>367</v>
      </c>
      <c r="G2711" s="33" t="s">
        <v>38</v>
      </c>
      <c r="H2711" s="33" t="s">
        <v>6353</v>
      </c>
      <c r="I2711" s="33" t="s">
        <v>46</v>
      </c>
      <c r="J2711" s="33" t="s">
        <v>40</v>
      </c>
    </row>
    <row r="2712" spans="1:12" hidden="1" x14ac:dyDescent="0.3">
      <c r="A2712" s="39">
        <v>46057.581192129626</v>
      </c>
      <c r="B2712" s="33" t="s">
        <v>45</v>
      </c>
      <c r="C2712" s="33">
        <v>77999884091</v>
      </c>
      <c r="E2712" s="33">
        <v>129</v>
      </c>
      <c r="F2712" s="33">
        <v>119</v>
      </c>
      <c r="G2712" s="33" t="s">
        <v>38</v>
      </c>
      <c r="H2712" s="33" t="s">
        <v>6354</v>
      </c>
      <c r="I2712" s="33" t="s">
        <v>46</v>
      </c>
      <c r="J2712" s="33" t="s">
        <v>40</v>
      </c>
      <c r="L2712" s="33">
        <v>5</v>
      </c>
    </row>
    <row r="2713" spans="1:12" hidden="1" x14ac:dyDescent="0.3">
      <c r="A2713" s="39">
        <v>46057.580405092594</v>
      </c>
      <c r="B2713" s="33">
        <v>44988255390</v>
      </c>
      <c r="C2713" s="33" t="s">
        <v>44</v>
      </c>
      <c r="D2713" s="33">
        <v>4430265054</v>
      </c>
      <c r="E2713" s="33">
        <v>914</v>
      </c>
      <c r="F2713" s="33">
        <v>818</v>
      </c>
      <c r="G2713" s="33" t="s">
        <v>38</v>
      </c>
      <c r="H2713" s="33" t="s">
        <v>4896</v>
      </c>
      <c r="I2713" s="33" t="s">
        <v>39</v>
      </c>
      <c r="J2713" s="33" t="s">
        <v>40</v>
      </c>
      <c r="K2713" s="33" t="s">
        <v>41</v>
      </c>
    </row>
    <row r="2714" spans="1:12" hidden="1" x14ac:dyDescent="0.3">
      <c r="A2714" s="39">
        <v>46057.574780092589</v>
      </c>
      <c r="B2714" s="33" t="s">
        <v>44</v>
      </c>
      <c r="C2714" s="33">
        <v>44999853283</v>
      </c>
      <c r="E2714" s="33">
        <v>39</v>
      </c>
      <c r="F2714" s="33">
        <v>27</v>
      </c>
      <c r="G2714" s="33" t="s">
        <v>38</v>
      </c>
      <c r="H2714" s="33" t="s">
        <v>6355</v>
      </c>
      <c r="I2714" s="33" t="s">
        <v>46</v>
      </c>
      <c r="J2714" s="33" t="s">
        <v>40</v>
      </c>
    </row>
    <row r="2715" spans="1:12" hidden="1" x14ac:dyDescent="0.3">
      <c r="A2715" s="39">
        <v>46057.574629629627</v>
      </c>
      <c r="B2715" s="33" t="s">
        <v>44</v>
      </c>
      <c r="C2715" s="33">
        <v>41999853283</v>
      </c>
      <c r="E2715" s="33">
        <v>40</v>
      </c>
      <c r="F2715" s="33">
        <v>32</v>
      </c>
      <c r="G2715" s="33" t="s">
        <v>38</v>
      </c>
      <c r="H2715" s="33" t="s">
        <v>6356</v>
      </c>
      <c r="I2715" s="33" t="s">
        <v>46</v>
      </c>
      <c r="J2715" s="33" t="s">
        <v>40</v>
      </c>
    </row>
    <row r="2716" spans="1:12" hidden="1" x14ac:dyDescent="0.3">
      <c r="A2716" s="39">
        <v>46057.574131944442</v>
      </c>
      <c r="B2716" s="33">
        <v>4334234629</v>
      </c>
      <c r="C2716" s="33" t="s">
        <v>43</v>
      </c>
      <c r="D2716" s="33">
        <v>4430265054</v>
      </c>
      <c r="E2716" s="33">
        <v>582</v>
      </c>
      <c r="F2716" s="33">
        <v>515</v>
      </c>
      <c r="G2716" s="33" t="s">
        <v>38</v>
      </c>
      <c r="H2716" s="33" t="s">
        <v>4897</v>
      </c>
      <c r="I2716" s="33" t="s">
        <v>39</v>
      </c>
      <c r="J2716" s="33" t="s">
        <v>40</v>
      </c>
      <c r="K2716" s="33" t="s">
        <v>41</v>
      </c>
    </row>
    <row r="2717" spans="1:12" hidden="1" x14ac:dyDescent="0.3">
      <c r="A2717" s="39">
        <v>46057.568425925929</v>
      </c>
      <c r="B2717" s="33">
        <v>44991174709</v>
      </c>
      <c r="C2717" s="33" t="s">
        <v>37</v>
      </c>
      <c r="D2717" s="33">
        <v>4430265054</v>
      </c>
      <c r="E2717" s="33">
        <v>527</v>
      </c>
      <c r="F2717" s="33">
        <v>490</v>
      </c>
      <c r="G2717" s="33" t="s">
        <v>38</v>
      </c>
      <c r="H2717" s="33" t="s">
        <v>4898</v>
      </c>
      <c r="I2717" s="33" t="s">
        <v>39</v>
      </c>
      <c r="J2717" s="33" t="s">
        <v>40</v>
      </c>
      <c r="K2717" s="33" t="s">
        <v>41</v>
      </c>
      <c r="L2717" s="33">
        <v>5</v>
      </c>
    </row>
    <row r="2718" spans="1:12" hidden="1" x14ac:dyDescent="0.3">
      <c r="A2718" s="39">
        <v>46057.558391203704</v>
      </c>
      <c r="B2718" s="33">
        <v>4331622700</v>
      </c>
      <c r="C2718" s="33">
        <v>4430265054</v>
      </c>
      <c r="D2718" s="33">
        <v>4430265054</v>
      </c>
      <c r="E2718" s="33">
        <v>13</v>
      </c>
      <c r="F2718" s="33">
        <v>13</v>
      </c>
      <c r="G2718" s="33" t="s">
        <v>3449</v>
      </c>
      <c r="H2718" s="33" t="s">
        <v>6357</v>
      </c>
      <c r="I2718" s="33" t="s">
        <v>39</v>
      </c>
      <c r="J2718" s="33" t="s">
        <v>3451</v>
      </c>
    </row>
    <row r="2719" spans="1:12" hidden="1" x14ac:dyDescent="0.3">
      <c r="A2719" s="39">
        <v>46057.493703703702</v>
      </c>
      <c r="B2719" s="33">
        <v>44988255390</v>
      </c>
      <c r="C2719" s="33" t="s">
        <v>45</v>
      </c>
      <c r="D2719" s="33">
        <v>4430265054</v>
      </c>
      <c r="E2719" s="33">
        <v>377</v>
      </c>
      <c r="F2719" s="33">
        <v>294</v>
      </c>
      <c r="G2719" s="33" t="s">
        <v>38</v>
      </c>
      <c r="H2719" s="33" t="s">
        <v>4899</v>
      </c>
      <c r="I2719" s="33" t="s">
        <v>39</v>
      </c>
      <c r="J2719" s="33" t="s">
        <v>40</v>
      </c>
      <c r="K2719" s="33" t="s">
        <v>41</v>
      </c>
    </row>
    <row r="2720" spans="1:12" hidden="1" x14ac:dyDescent="0.3">
      <c r="A2720" s="39">
        <v>46057.491516203707</v>
      </c>
      <c r="B2720" s="33">
        <v>44997426611</v>
      </c>
      <c r="C2720" s="33" t="s">
        <v>43</v>
      </c>
      <c r="D2720" s="33">
        <v>4430265054</v>
      </c>
      <c r="E2720" s="33">
        <v>1305</v>
      </c>
      <c r="F2720" s="33">
        <v>1266</v>
      </c>
      <c r="G2720" s="33" t="s">
        <v>38</v>
      </c>
      <c r="H2720" s="33" t="s">
        <v>4900</v>
      </c>
      <c r="I2720" s="33" t="s">
        <v>39</v>
      </c>
      <c r="J2720" s="33" t="s">
        <v>40</v>
      </c>
      <c r="K2720" s="33" t="s">
        <v>41</v>
      </c>
    </row>
    <row r="2721" spans="1:12" hidden="1" x14ac:dyDescent="0.3">
      <c r="A2721" s="39">
        <v>46057.491319444445</v>
      </c>
      <c r="B2721" s="33">
        <v>4432272377</v>
      </c>
      <c r="C2721" s="33" t="s">
        <v>37</v>
      </c>
      <c r="D2721" s="33">
        <v>4430265054</v>
      </c>
      <c r="E2721" s="33">
        <v>705</v>
      </c>
      <c r="F2721" s="33">
        <v>664</v>
      </c>
      <c r="G2721" s="33" t="s">
        <v>38</v>
      </c>
      <c r="H2721" s="33" t="s">
        <v>4901</v>
      </c>
      <c r="I2721" s="33" t="s">
        <v>39</v>
      </c>
      <c r="J2721" s="33" t="s">
        <v>40</v>
      </c>
      <c r="K2721" s="33" t="s">
        <v>41</v>
      </c>
      <c r="L2721" s="33">
        <v>5</v>
      </c>
    </row>
    <row r="2722" spans="1:12" hidden="1" x14ac:dyDescent="0.3">
      <c r="A2722" s="39">
        <v>46057.487037037034</v>
      </c>
      <c r="B2722" s="33">
        <v>1128787060</v>
      </c>
      <c r="C2722" s="33">
        <v>4430265054</v>
      </c>
      <c r="D2722" s="33">
        <v>4430265054</v>
      </c>
      <c r="E2722" s="33">
        <v>34</v>
      </c>
      <c r="F2722" s="33">
        <v>34</v>
      </c>
      <c r="G2722" s="33" t="s">
        <v>3449</v>
      </c>
      <c r="H2722" s="33" t="s">
        <v>4902</v>
      </c>
      <c r="I2722" s="33" t="s">
        <v>39</v>
      </c>
      <c r="J2722" s="33" t="s">
        <v>3451</v>
      </c>
      <c r="K2722" s="33" t="s">
        <v>41</v>
      </c>
    </row>
    <row r="2723" spans="1:12" hidden="1" x14ac:dyDescent="0.3">
      <c r="A2723" s="39">
        <v>46057.486620370371</v>
      </c>
      <c r="B2723" s="33" t="s">
        <v>48</v>
      </c>
      <c r="C2723" s="33">
        <v>44998346034</v>
      </c>
      <c r="E2723" s="33">
        <v>4</v>
      </c>
      <c r="F2723" s="33">
        <v>0</v>
      </c>
      <c r="G2723" s="33" t="s">
        <v>47</v>
      </c>
      <c r="H2723" s="33" t="s">
        <v>6358</v>
      </c>
      <c r="I2723" s="33" t="s">
        <v>46</v>
      </c>
      <c r="J2723" s="33" t="s">
        <v>40</v>
      </c>
    </row>
    <row r="2724" spans="1:12" hidden="1" x14ac:dyDescent="0.3">
      <c r="A2724" s="39">
        <v>46057.469537037039</v>
      </c>
      <c r="B2724" s="33">
        <v>44997164698</v>
      </c>
      <c r="C2724" s="33" t="s">
        <v>43</v>
      </c>
      <c r="D2724" s="33">
        <v>4430265054</v>
      </c>
      <c r="E2724" s="33">
        <v>968</v>
      </c>
      <c r="F2724" s="33">
        <v>883</v>
      </c>
      <c r="G2724" s="33" t="s">
        <v>38</v>
      </c>
      <c r="H2724" s="33" t="s">
        <v>4903</v>
      </c>
      <c r="I2724" s="33" t="s">
        <v>39</v>
      </c>
      <c r="J2724" s="33" t="s">
        <v>40</v>
      </c>
      <c r="K2724" s="33" t="s">
        <v>41</v>
      </c>
      <c r="L2724" s="33">
        <v>5</v>
      </c>
    </row>
    <row r="2725" spans="1:12" hidden="1" x14ac:dyDescent="0.3">
      <c r="A2725" s="39">
        <v>46057.468819444446</v>
      </c>
      <c r="B2725" s="33">
        <v>44997164698</v>
      </c>
      <c r="C2725" s="33">
        <v>4430265054</v>
      </c>
      <c r="D2725" s="33">
        <v>4430265054</v>
      </c>
      <c r="E2725" s="33">
        <v>17</v>
      </c>
      <c r="F2725" s="33">
        <v>17</v>
      </c>
      <c r="G2725" s="33" t="s">
        <v>3449</v>
      </c>
      <c r="H2725" s="33" t="s">
        <v>6359</v>
      </c>
      <c r="I2725" s="33" t="s">
        <v>39</v>
      </c>
      <c r="J2725" s="33" t="s">
        <v>3451</v>
      </c>
    </row>
    <row r="2726" spans="1:12" hidden="1" x14ac:dyDescent="0.3">
      <c r="A2726" s="39">
        <v>46057.463356481479</v>
      </c>
      <c r="B2726" s="33">
        <v>11971245198</v>
      </c>
      <c r="C2726" s="33" t="s">
        <v>42</v>
      </c>
      <c r="D2726" s="33">
        <v>4430265054</v>
      </c>
      <c r="E2726" s="33">
        <v>408</v>
      </c>
      <c r="F2726" s="33">
        <v>357</v>
      </c>
      <c r="G2726" s="33" t="s">
        <v>38</v>
      </c>
      <c r="H2726" s="33" t="s">
        <v>4904</v>
      </c>
      <c r="I2726" s="33" t="s">
        <v>39</v>
      </c>
      <c r="J2726" s="33" t="s">
        <v>40</v>
      </c>
      <c r="K2726" s="33" t="s">
        <v>41</v>
      </c>
    </row>
    <row r="2727" spans="1:12" hidden="1" x14ac:dyDescent="0.3">
      <c r="A2727" s="39">
        <v>46057.463275462964</v>
      </c>
      <c r="B2727" s="33">
        <v>3432424736</v>
      </c>
      <c r="C2727" s="33" t="s">
        <v>48</v>
      </c>
      <c r="D2727" s="33">
        <v>4430265054</v>
      </c>
      <c r="E2727" s="33">
        <v>532</v>
      </c>
      <c r="F2727" s="33">
        <v>474</v>
      </c>
      <c r="G2727" s="33" t="s">
        <v>38</v>
      </c>
      <c r="H2727" s="33" t="s">
        <v>4905</v>
      </c>
      <c r="I2727" s="33" t="s">
        <v>39</v>
      </c>
      <c r="J2727" s="33" t="s">
        <v>40</v>
      </c>
      <c r="K2727" s="33" t="s">
        <v>41</v>
      </c>
    </row>
    <row r="2728" spans="1:12" hidden="1" x14ac:dyDescent="0.3">
      <c r="A2728" s="39">
        <v>46057.462268518517</v>
      </c>
      <c r="B2728" s="33">
        <v>47992275601</v>
      </c>
      <c r="C2728" s="33">
        <v>4430265054</v>
      </c>
      <c r="D2728" s="33">
        <v>4430265054</v>
      </c>
      <c r="E2728" s="33">
        <v>36</v>
      </c>
      <c r="F2728" s="33">
        <v>36</v>
      </c>
      <c r="G2728" s="33" t="s">
        <v>3449</v>
      </c>
      <c r="H2728" s="33" t="s">
        <v>4906</v>
      </c>
      <c r="I2728" s="33" t="s">
        <v>39</v>
      </c>
      <c r="J2728" s="33" t="s">
        <v>3451</v>
      </c>
      <c r="K2728" s="33" t="s">
        <v>41</v>
      </c>
    </row>
    <row r="2729" spans="1:12" hidden="1" x14ac:dyDescent="0.3">
      <c r="A2729" s="39">
        <v>46057.458043981482</v>
      </c>
      <c r="B2729" s="33">
        <v>11968566553</v>
      </c>
      <c r="C2729" s="33">
        <v>4431268225</v>
      </c>
      <c r="D2729" s="33">
        <v>4431268225</v>
      </c>
      <c r="E2729" s="33">
        <v>4</v>
      </c>
      <c r="F2729" s="33">
        <v>3</v>
      </c>
      <c r="G2729" s="33" t="s">
        <v>3449</v>
      </c>
      <c r="H2729" s="33" t="s">
        <v>6360</v>
      </c>
      <c r="I2729" s="33" t="s">
        <v>39</v>
      </c>
      <c r="J2729" s="33" t="s">
        <v>3451</v>
      </c>
    </row>
    <row r="2730" spans="1:12" hidden="1" x14ac:dyDescent="0.3">
      <c r="A2730" s="39">
        <v>46057.45416666667</v>
      </c>
      <c r="B2730" s="33">
        <v>77999884091</v>
      </c>
      <c r="C2730" s="33" t="s">
        <v>45</v>
      </c>
      <c r="D2730" s="33">
        <v>4430265054</v>
      </c>
      <c r="E2730" s="33">
        <v>2423</v>
      </c>
      <c r="F2730" s="33">
        <v>2368</v>
      </c>
      <c r="G2730" s="33" t="s">
        <v>38</v>
      </c>
      <c r="H2730" s="33" t="s">
        <v>4907</v>
      </c>
      <c r="I2730" s="33" t="s">
        <v>39</v>
      </c>
      <c r="J2730" s="33" t="s">
        <v>40</v>
      </c>
      <c r="K2730" s="33" t="s">
        <v>41</v>
      </c>
    </row>
    <row r="2731" spans="1:12" hidden="1" x14ac:dyDescent="0.3">
      <c r="A2731" s="39">
        <v>46057.452962962961</v>
      </c>
      <c r="B2731" s="33" t="s">
        <v>3627</v>
      </c>
      <c r="C2731" s="33">
        <v>31996901701</v>
      </c>
      <c r="E2731" s="33">
        <v>21</v>
      </c>
      <c r="F2731" s="33">
        <v>0</v>
      </c>
      <c r="G2731" s="33" t="s">
        <v>47</v>
      </c>
      <c r="H2731" s="33" t="s">
        <v>6361</v>
      </c>
      <c r="I2731" s="33" t="s">
        <v>46</v>
      </c>
      <c r="J2731" s="33" t="s">
        <v>3629</v>
      </c>
    </row>
    <row r="2732" spans="1:12" hidden="1" x14ac:dyDescent="0.3">
      <c r="A2732" s="39">
        <v>46057.451377314814</v>
      </c>
      <c r="B2732" s="33">
        <v>4436291513</v>
      </c>
      <c r="C2732" s="33" t="s">
        <v>43</v>
      </c>
      <c r="D2732" s="33">
        <v>4430265054</v>
      </c>
      <c r="E2732" s="33">
        <v>617</v>
      </c>
      <c r="F2732" s="33">
        <v>584</v>
      </c>
      <c r="G2732" s="33" t="s">
        <v>38</v>
      </c>
      <c r="H2732" s="33" t="s">
        <v>4908</v>
      </c>
      <c r="I2732" s="33" t="s">
        <v>39</v>
      </c>
      <c r="J2732" s="33" t="s">
        <v>40</v>
      </c>
      <c r="K2732" s="33" t="s">
        <v>41</v>
      </c>
    </row>
    <row r="2733" spans="1:12" hidden="1" x14ac:dyDescent="0.3">
      <c r="A2733" s="39">
        <v>46057.449212962965</v>
      </c>
      <c r="B2733" s="33">
        <v>4436281154</v>
      </c>
      <c r="C2733" s="33" t="s">
        <v>37</v>
      </c>
      <c r="D2733" s="33">
        <v>4430265054</v>
      </c>
      <c r="E2733" s="33">
        <v>1336</v>
      </c>
      <c r="F2733" s="33">
        <v>1289</v>
      </c>
      <c r="G2733" s="33" t="s">
        <v>38</v>
      </c>
      <c r="H2733" s="33" t="s">
        <v>4909</v>
      </c>
      <c r="I2733" s="33" t="s">
        <v>39</v>
      </c>
      <c r="J2733" s="33" t="s">
        <v>40</v>
      </c>
      <c r="K2733" s="33" t="s">
        <v>41</v>
      </c>
    </row>
    <row r="2734" spans="1:12" hidden="1" x14ac:dyDescent="0.3">
      <c r="A2734" s="39">
        <v>46057.449189814812</v>
      </c>
      <c r="B2734" s="33">
        <v>47992275601</v>
      </c>
      <c r="C2734" s="33">
        <v>4430265054</v>
      </c>
      <c r="D2734" s="33">
        <v>4430265054</v>
      </c>
      <c r="E2734" s="33">
        <v>12</v>
      </c>
      <c r="F2734" s="33">
        <v>11</v>
      </c>
      <c r="G2734" s="33" t="s">
        <v>3449</v>
      </c>
      <c r="H2734" s="33" t="s">
        <v>6362</v>
      </c>
      <c r="I2734" s="33" t="s">
        <v>39</v>
      </c>
      <c r="J2734" s="33" t="s">
        <v>3451</v>
      </c>
    </row>
    <row r="2735" spans="1:12" hidden="1" x14ac:dyDescent="0.3">
      <c r="A2735" s="39">
        <v>46057.446493055555</v>
      </c>
      <c r="B2735" s="33" t="s">
        <v>44</v>
      </c>
      <c r="C2735" s="33">
        <v>41999853283</v>
      </c>
      <c r="E2735" s="33">
        <v>7</v>
      </c>
      <c r="F2735" s="33">
        <v>0</v>
      </c>
      <c r="G2735" s="33" t="s">
        <v>47</v>
      </c>
      <c r="H2735" s="33" t="s">
        <v>6363</v>
      </c>
      <c r="I2735" s="33" t="s">
        <v>46</v>
      </c>
      <c r="J2735" s="33" t="s">
        <v>40</v>
      </c>
    </row>
    <row r="2736" spans="1:12" hidden="1" x14ac:dyDescent="0.3">
      <c r="A2736" s="39">
        <v>46057.446400462963</v>
      </c>
      <c r="B2736" s="33">
        <v>83988398480</v>
      </c>
      <c r="C2736" s="33">
        <v>4430265054</v>
      </c>
      <c r="D2736" s="33">
        <v>4430265054</v>
      </c>
      <c r="E2736" s="33">
        <v>34</v>
      </c>
      <c r="F2736" s="33">
        <v>34</v>
      </c>
      <c r="G2736" s="33" t="s">
        <v>3449</v>
      </c>
      <c r="H2736" s="33" t="s">
        <v>4910</v>
      </c>
      <c r="I2736" s="33" t="s">
        <v>39</v>
      </c>
      <c r="J2736" s="33" t="s">
        <v>3451</v>
      </c>
      <c r="K2736" s="33" t="s">
        <v>41</v>
      </c>
    </row>
    <row r="2737" spans="1:12" hidden="1" x14ac:dyDescent="0.3">
      <c r="A2737" s="39">
        <v>46057.44604166667</v>
      </c>
      <c r="B2737" s="33" t="s">
        <v>44</v>
      </c>
      <c r="C2737" s="33">
        <v>41999853283</v>
      </c>
      <c r="E2737" s="33">
        <v>36</v>
      </c>
      <c r="F2737" s="33">
        <v>29</v>
      </c>
      <c r="G2737" s="33" t="s">
        <v>38</v>
      </c>
      <c r="H2737" s="33" t="s">
        <v>6364</v>
      </c>
      <c r="I2737" s="33" t="s">
        <v>46</v>
      </c>
      <c r="J2737" s="33" t="s">
        <v>40</v>
      </c>
    </row>
    <row r="2738" spans="1:12" hidden="1" x14ac:dyDescent="0.3">
      <c r="A2738" s="39">
        <v>46057.445914351854</v>
      </c>
      <c r="B2738" s="33" t="s">
        <v>44</v>
      </c>
      <c r="C2738" s="33">
        <v>41999853283</v>
      </c>
      <c r="E2738" s="33">
        <v>8</v>
      </c>
      <c r="F2738" s="33">
        <v>0</v>
      </c>
      <c r="G2738" s="33" t="s">
        <v>47</v>
      </c>
      <c r="H2738" s="33" t="s">
        <v>6365</v>
      </c>
      <c r="I2738" s="33" t="s">
        <v>46</v>
      </c>
      <c r="J2738" s="33" t="s">
        <v>40</v>
      </c>
    </row>
    <row r="2739" spans="1:12" hidden="1" x14ac:dyDescent="0.3">
      <c r="A2739" s="39">
        <v>46057.443796296298</v>
      </c>
      <c r="B2739" s="33">
        <v>4431337559</v>
      </c>
      <c r="C2739" s="33" t="s">
        <v>45</v>
      </c>
      <c r="D2739" s="33">
        <v>4430265054</v>
      </c>
      <c r="E2739" s="33">
        <v>275</v>
      </c>
      <c r="F2739" s="33">
        <v>243</v>
      </c>
      <c r="G2739" s="33" t="s">
        <v>38</v>
      </c>
      <c r="H2739" s="33" t="s">
        <v>4911</v>
      </c>
      <c r="I2739" s="33" t="s">
        <v>39</v>
      </c>
      <c r="J2739" s="33" t="s">
        <v>40</v>
      </c>
      <c r="K2739" s="33" t="s">
        <v>41</v>
      </c>
      <c r="L2739" s="33">
        <v>4</v>
      </c>
    </row>
    <row r="2740" spans="1:12" hidden="1" x14ac:dyDescent="0.3">
      <c r="A2740" s="39">
        <v>46057.439363425925</v>
      </c>
      <c r="B2740" s="33" t="s">
        <v>44</v>
      </c>
      <c r="C2740" s="33">
        <v>41999853283</v>
      </c>
      <c r="E2740" s="33">
        <v>6</v>
      </c>
      <c r="F2740" s="33">
        <v>0</v>
      </c>
      <c r="G2740" s="33" t="s">
        <v>47</v>
      </c>
      <c r="H2740" s="33" t="s">
        <v>6366</v>
      </c>
      <c r="I2740" s="33" t="s">
        <v>46</v>
      </c>
      <c r="J2740" s="33" t="s">
        <v>40</v>
      </c>
    </row>
    <row r="2741" spans="1:12" hidden="1" x14ac:dyDescent="0.3">
      <c r="A2741" s="39">
        <v>46057.432638888888</v>
      </c>
      <c r="B2741" s="33">
        <v>4436761185</v>
      </c>
      <c r="C2741" s="33" t="s">
        <v>37</v>
      </c>
      <c r="D2741" s="33">
        <v>4430265054</v>
      </c>
      <c r="E2741" s="33">
        <v>436</v>
      </c>
      <c r="F2741" s="33">
        <v>364</v>
      </c>
      <c r="G2741" s="33" t="s">
        <v>38</v>
      </c>
      <c r="H2741" s="33" t="s">
        <v>4912</v>
      </c>
      <c r="I2741" s="33" t="s">
        <v>39</v>
      </c>
      <c r="J2741" s="33" t="s">
        <v>40</v>
      </c>
      <c r="K2741" s="33" t="s">
        <v>41</v>
      </c>
    </row>
    <row r="2742" spans="1:12" hidden="1" x14ac:dyDescent="0.3">
      <c r="A2742" s="39">
        <v>46057.42895833333</v>
      </c>
      <c r="B2742" s="33">
        <v>44998717172</v>
      </c>
      <c r="C2742" s="33" t="s">
        <v>45</v>
      </c>
      <c r="D2742" s="33">
        <v>4430265054</v>
      </c>
      <c r="E2742" s="33">
        <v>218</v>
      </c>
      <c r="F2742" s="33">
        <v>190</v>
      </c>
      <c r="G2742" s="33" t="s">
        <v>38</v>
      </c>
      <c r="H2742" s="33" t="s">
        <v>4913</v>
      </c>
      <c r="I2742" s="33" t="s">
        <v>39</v>
      </c>
      <c r="J2742" s="33" t="s">
        <v>40</v>
      </c>
      <c r="K2742" s="33" t="s">
        <v>41</v>
      </c>
    </row>
    <row r="2743" spans="1:12" x14ac:dyDescent="0.3">
      <c r="A2743" s="39">
        <v>46057.422465277778</v>
      </c>
      <c r="B2743" s="33">
        <v>41999853283</v>
      </c>
      <c r="C2743" s="33" t="s">
        <v>44</v>
      </c>
      <c r="D2743" s="33">
        <v>4430265054</v>
      </c>
      <c r="E2743" s="33">
        <v>761</v>
      </c>
      <c r="F2743" s="33">
        <v>720</v>
      </c>
      <c r="G2743" s="33" t="s">
        <v>38</v>
      </c>
      <c r="H2743" s="33" t="s">
        <v>4914</v>
      </c>
      <c r="I2743" s="33" t="s">
        <v>39</v>
      </c>
      <c r="J2743" s="33" t="s">
        <v>40</v>
      </c>
      <c r="K2743" s="33" t="s">
        <v>41</v>
      </c>
      <c r="L2743" s="33">
        <v>5</v>
      </c>
    </row>
    <row r="2744" spans="1:12" hidden="1" x14ac:dyDescent="0.3">
      <c r="A2744" s="39">
        <v>46057.422418981485</v>
      </c>
      <c r="B2744" s="33">
        <v>41999853283</v>
      </c>
      <c r="C2744" s="33">
        <v>4430265054</v>
      </c>
      <c r="D2744" s="33">
        <v>4430265054</v>
      </c>
      <c r="E2744" s="33">
        <v>2</v>
      </c>
      <c r="F2744" s="33">
        <v>1</v>
      </c>
      <c r="G2744" s="33" t="s">
        <v>3449</v>
      </c>
      <c r="H2744" s="33" t="s">
        <v>6367</v>
      </c>
      <c r="I2744" s="33" t="s">
        <v>39</v>
      </c>
      <c r="J2744" s="33" t="s">
        <v>3451</v>
      </c>
    </row>
    <row r="2745" spans="1:12" hidden="1" x14ac:dyDescent="0.3">
      <c r="A2745" s="39">
        <v>46057.420578703706</v>
      </c>
      <c r="B2745" s="33">
        <v>4520312689</v>
      </c>
      <c r="C2745" s="33" t="s">
        <v>43</v>
      </c>
      <c r="D2745" s="33">
        <v>4430265054</v>
      </c>
      <c r="E2745" s="33">
        <v>775</v>
      </c>
      <c r="F2745" s="33">
        <v>712</v>
      </c>
      <c r="G2745" s="33" t="s">
        <v>38</v>
      </c>
      <c r="H2745" s="33" t="s">
        <v>4915</v>
      </c>
      <c r="I2745" s="33" t="s">
        <v>39</v>
      </c>
      <c r="J2745" s="33" t="s">
        <v>40</v>
      </c>
      <c r="K2745" s="33" t="s">
        <v>41</v>
      </c>
    </row>
    <row r="2746" spans="1:12" hidden="1" x14ac:dyDescent="0.3">
      <c r="A2746" s="39">
        <v>46057.416909722226</v>
      </c>
      <c r="B2746" s="33">
        <v>81983567163</v>
      </c>
      <c r="C2746" s="33" t="s">
        <v>45</v>
      </c>
      <c r="D2746" s="33">
        <v>4431268225</v>
      </c>
      <c r="E2746" s="33">
        <v>156</v>
      </c>
      <c r="F2746" s="33">
        <v>126</v>
      </c>
      <c r="G2746" s="33" t="s">
        <v>38</v>
      </c>
      <c r="H2746" s="33" t="s">
        <v>4916</v>
      </c>
      <c r="I2746" s="33" t="s">
        <v>39</v>
      </c>
      <c r="J2746" s="33" t="s">
        <v>40</v>
      </c>
      <c r="K2746" s="33" t="s">
        <v>41</v>
      </c>
    </row>
    <row r="2747" spans="1:12" hidden="1" x14ac:dyDescent="0.3">
      <c r="A2747" s="39">
        <v>46057.416701388887</v>
      </c>
      <c r="B2747" s="33" t="s">
        <v>37</v>
      </c>
      <c r="C2747" s="33">
        <v>4330333542</v>
      </c>
      <c r="E2747" s="33">
        <v>257</v>
      </c>
      <c r="F2747" s="33">
        <v>241</v>
      </c>
      <c r="G2747" s="33" t="s">
        <v>38</v>
      </c>
      <c r="H2747" s="33" t="s">
        <v>6368</v>
      </c>
      <c r="I2747" s="33" t="s">
        <v>46</v>
      </c>
      <c r="J2747" s="33" t="s">
        <v>40</v>
      </c>
    </row>
    <row r="2748" spans="1:12" hidden="1" x14ac:dyDescent="0.3">
      <c r="A2748" s="39">
        <v>46057.411168981482</v>
      </c>
      <c r="B2748" s="33" t="s">
        <v>3627</v>
      </c>
      <c r="C2748" s="33">
        <v>41991820778</v>
      </c>
      <c r="E2748" s="33">
        <v>6</v>
      </c>
      <c r="F2748" s="33">
        <v>1</v>
      </c>
      <c r="G2748" s="33" t="s">
        <v>38</v>
      </c>
      <c r="H2748" s="33" t="s">
        <v>6369</v>
      </c>
      <c r="I2748" s="33" t="s">
        <v>46</v>
      </c>
      <c r="J2748" s="33" t="s">
        <v>3629</v>
      </c>
    </row>
    <row r="2749" spans="1:12" hidden="1" x14ac:dyDescent="0.3">
      <c r="A2749" s="39">
        <v>46057.410787037035</v>
      </c>
      <c r="B2749" s="33">
        <v>43991364602</v>
      </c>
      <c r="C2749" s="33" t="s">
        <v>42</v>
      </c>
      <c r="D2749" s="33">
        <v>4430265054</v>
      </c>
      <c r="E2749" s="33">
        <v>693</v>
      </c>
      <c r="F2749" s="33">
        <v>592</v>
      </c>
      <c r="G2749" s="33" t="s">
        <v>38</v>
      </c>
      <c r="H2749" s="33" t="s">
        <v>4917</v>
      </c>
      <c r="I2749" s="33" t="s">
        <v>39</v>
      </c>
      <c r="J2749" s="33" t="s">
        <v>40</v>
      </c>
      <c r="K2749" s="33" t="s">
        <v>41</v>
      </c>
    </row>
    <row r="2750" spans="1:12" hidden="1" x14ac:dyDescent="0.3">
      <c r="A2750" s="39">
        <v>46057.410416666666</v>
      </c>
      <c r="B2750" s="33" t="s">
        <v>3627</v>
      </c>
      <c r="C2750" s="33">
        <v>14996305655</v>
      </c>
      <c r="E2750" s="33">
        <v>14</v>
      </c>
      <c r="F2750" s="33">
        <v>0</v>
      </c>
      <c r="G2750" s="33" t="s">
        <v>47</v>
      </c>
      <c r="H2750" s="33" t="s">
        <v>6370</v>
      </c>
      <c r="I2750" s="33" t="s">
        <v>46</v>
      </c>
      <c r="J2750" s="33" t="s">
        <v>3629</v>
      </c>
    </row>
    <row r="2751" spans="1:12" hidden="1" x14ac:dyDescent="0.3">
      <c r="A2751" s="39">
        <v>46057.409537037034</v>
      </c>
      <c r="B2751" s="33" t="s">
        <v>3627</v>
      </c>
      <c r="C2751" s="33">
        <v>98988990466</v>
      </c>
      <c r="E2751" s="33">
        <v>13</v>
      </c>
      <c r="F2751" s="33">
        <v>5</v>
      </c>
      <c r="G2751" s="33" t="s">
        <v>38</v>
      </c>
      <c r="H2751" s="33" t="s">
        <v>6371</v>
      </c>
      <c r="I2751" s="33" t="s">
        <v>46</v>
      </c>
      <c r="J2751" s="33" t="s">
        <v>3629</v>
      </c>
    </row>
    <row r="2752" spans="1:12" hidden="1" x14ac:dyDescent="0.3">
      <c r="A2752" s="39">
        <v>46057.408460648148</v>
      </c>
      <c r="B2752" s="33" t="s">
        <v>3627</v>
      </c>
      <c r="C2752" s="33">
        <v>62982756648</v>
      </c>
      <c r="E2752" s="33">
        <v>17</v>
      </c>
      <c r="F2752" s="33">
        <v>3</v>
      </c>
      <c r="G2752" s="33" t="s">
        <v>38</v>
      </c>
      <c r="H2752" s="33" t="s">
        <v>6372</v>
      </c>
      <c r="I2752" s="33" t="s">
        <v>46</v>
      </c>
      <c r="J2752" s="33" t="s">
        <v>3629</v>
      </c>
    </row>
    <row r="2753" spans="1:12" hidden="1" x14ac:dyDescent="0.3">
      <c r="A2753" s="39">
        <v>46057.404074074075</v>
      </c>
      <c r="B2753" s="33" t="s">
        <v>43</v>
      </c>
      <c r="C2753" s="33">
        <v>44997426611</v>
      </c>
      <c r="E2753" s="33">
        <v>30</v>
      </c>
      <c r="F2753" s="33">
        <v>0</v>
      </c>
      <c r="G2753" s="33" t="s">
        <v>47</v>
      </c>
      <c r="H2753" s="33" t="s">
        <v>6373</v>
      </c>
      <c r="I2753" s="33" t="s">
        <v>46</v>
      </c>
      <c r="J2753" s="33" t="s">
        <v>40</v>
      </c>
    </row>
    <row r="2754" spans="1:12" hidden="1" x14ac:dyDescent="0.3">
      <c r="A2754" s="39">
        <v>46057.401365740741</v>
      </c>
      <c r="B2754" s="33" t="s">
        <v>51</v>
      </c>
      <c r="C2754" s="33">
        <v>1138265661</v>
      </c>
      <c r="E2754" s="33">
        <v>56</v>
      </c>
      <c r="F2754" s="33">
        <v>46</v>
      </c>
      <c r="G2754" s="33" t="s">
        <v>38</v>
      </c>
      <c r="H2754" s="33" t="s">
        <v>6374</v>
      </c>
      <c r="I2754" s="33" t="s">
        <v>46</v>
      </c>
      <c r="J2754" s="33" t="s">
        <v>3629</v>
      </c>
    </row>
    <row r="2755" spans="1:12" hidden="1" x14ac:dyDescent="0.3">
      <c r="A2755" s="39">
        <v>46057.397974537038</v>
      </c>
      <c r="B2755" s="33" t="s">
        <v>37</v>
      </c>
      <c r="C2755" s="33">
        <v>44998601838</v>
      </c>
      <c r="E2755" s="33">
        <v>853</v>
      </c>
      <c r="F2755" s="33">
        <v>846</v>
      </c>
      <c r="G2755" s="33" t="s">
        <v>38</v>
      </c>
      <c r="H2755" s="33" t="s">
        <v>6375</v>
      </c>
      <c r="I2755" s="33" t="s">
        <v>46</v>
      </c>
      <c r="J2755" s="33" t="s">
        <v>40</v>
      </c>
    </row>
    <row r="2756" spans="1:12" hidden="1" x14ac:dyDescent="0.3">
      <c r="A2756" s="39">
        <v>46057.397893518515</v>
      </c>
      <c r="B2756" s="33">
        <v>44998601838</v>
      </c>
      <c r="C2756" s="33" t="s">
        <v>43</v>
      </c>
      <c r="D2756" s="33">
        <v>4431268225</v>
      </c>
      <c r="E2756" s="33">
        <v>102</v>
      </c>
      <c r="F2756" s="33">
        <v>45</v>
      </c>
      <c r="G2756" s="33" t="s">
        <v>38</v>
      </c>
      <c r="H2756" s="33" t="s">
        <v>4918</v>
      </c>
      <c r="I2756" s="33" t="s">
        <v>39</v>
      </c>
      <c r="J2756" s="33" t="s">
        <v>40</v>
      </c>
      <c r="K2756" s="33" t="s">
        <v>41</v>
      </c>
    </row>
    <row r="2757" spans="1:12" hidden="1" x14ac:dyDescent="0.3">
      <c r="A2757" s="39">
        <v>46057.397696759261</v>
      </c>
      <c r="B2757" s="33" t="s">
        <v>37</v>
      </c>
      <c r="C2757" s="33">
        <v>44998601838</v>
      </c>
      <c r="E2757" s="33">
        <v>14</v>
      </c>
      <c r="F2757" s="33">
        <v>0</v>
      </c>
      <c r="G2757" s="33" t="s">
        <v>47</v>
      </c>
      <c r="H2757" s="33" t="s">
        <v>6376</v>
      </c>
      <c r="I2757" s="33" t="s">
        <v>46</v>
      </c>
      <c r="J2757" s="33" t="s">
        <v>40</v>
      </c>
    </row>
    <row r="2758" spans="1:12" x14ac:dyDescent="0.3">
      <c r="A2758" s="39">
        <v>46057.39607638889</v>
      </c>
      <c r="B2758" s="33">
        <v>4432522019</v>
      </c>
      <c r="C2758" s="33" t="s">
        <v>44</v>
      </c>
      <c r="D2758" s="33">
        <v>4430265054</v>
      </c>
      <c r="E2758" s="33">
        <v>945</v>
      </c>
      <c r="F2758" s="33">
        <v>899</v>
      </c>
      <c r="G2758" s="33" t="s">
        <v>38</v>
      </c>
      <c r="H2758" s="33" t="s">
        <v>4919</v>
      </c>
      <c r="I2758" s="33" t="s">
        <v>39</v>
      </c>
      <c r="J2758" s="33" t="s">
        <v>40</v>
      </c>
      <c r="K2758" s="33" t="s">
        <v>41</v>
      </c>
      <c r="L2758" s="33">
        <v>5</v>
      </c>
    </row>
    <row r="2759" spans="1:12" hidden="1" x14ac:dyDescent="0.3">
      <c r="A2759" s="39">
        <v>46057.391250000001</v>
      </c>
      <c r="B2759" s="33">
        <v>93984112869</v>
      </c>
      <c r="C2759" s="33" t="s">
        <v>43</v>
      </c>
      <c r="D2759" s="33">
        <v>4431268225</v>
      </c>
      <c r="E2759" s="33">
        <v>486</v>
      </c>
      <c r="F2759" s="33">
        <v>392</v>
      </c>
      <c r="G2759" s="33" t="s">
        <v>38</v>
      </c>
      <c r="H2759" s="33" t="s">
        <v>4920</v>
      </c>
      <c r="I2759" s="33" t="s">
        <v>39</v>
      </c>
      <c r="J2759" s="33" t="s">
        <v>40</v>
      </c>
      <c r="K2759" s="33" t="s">
        <v>41</v>
      </c>
    </row>
    <row r="2760" spans="1:12" hidden="1" x14ac:dyDescent="0.3">
      <c r="A2760" s="39">
        <v>46057.387118055558</v>
      </c>
      <c r="B2760" s="33">
        <v>44997710633</v>
      </c>
      <c r="C2760" s="33" t="s">
        <v>43</v>
      </c>
      <c r="D2760" s="33">
        <v>4430265054</v>
      </c>
      <c r="E2760" s="33">
        <v>83</v>
      </c>
      <c r="F2760" s="33">
        <v>32</v>
      </c>
      <c r="G2760" s="33" t="s">
        <v>38</v>
      </c>
      <c r="H2760" s="33" t="s">
        <v>4921</v>
      </c>
      <c r="I2760" s="33" t="s">
        <v>39</v>
      </c>
      <c r="J2760" s="33" t="s">
        <v>40</v>
      </c>
      <c r="K2760" s="33" t="s">
        <v>41</v>
      </c>
    </row>
    <row r="2761" spans="1:12" hidden="1" x14ac:dyDescent="0.3">
      <c r="A2761" s="39">
        <v>46057.385196759256</v>
      </c>
      <c r="B2761" s="33" t="s">
        <v>5173</v>
      </c>
      <c r="C2761" s="33">
        <v>4434239353</v>
      </c>
      <c r="E2761" s="33">
        <v>0</v>
      </c>
      <c r="F2761" s="33">
        <v>0</v>
      </c>
      <c r="G2761" s="33" t="s">
        <v>47</v>
      </c>
      <c r="H2761" s="33" t="s">
        <v>6377</v>
      </c>
      <c r="I2761" s="33" t="s">
        <v>46</v>
      </c>
      <c r="J2761" s="33" t="s">
        <v>3629</v>
      </c>
    </row>
    <row r="2762" spans="1:12" x14ac:dyDescent="0.3">
      <c r="A2762" s="39">
        <v>46057.385057870371</v>
      </c>
      <c r="B2762" s="33">
        <v>44999748684</v>
      </c>
      <c r="C2762" s="33" t="s">
        <v>44</v>
      </c>
      <c r="D2762" s="33">
        <v>4430265054</v>
      </c>
      <c r="E2762" s="33">
        <v>834</v>
      </c>
      <c r="F2762" s="33">
        <v>656</v>
      </c>
      <c r="G2762" s="33" t="s">
        <v>38</v>
      </c>
      <c r="H2762" s="33" t="s">
        <v>4922</v>
      </c>
      <c r="I2762" s="33" t="s">
        <v>39</v>
      </c>
      <c r="J2762" s="33" t="s">
        <v>40</v>
      </c>
      <c r="K2762" s="33" t="s">
        <v>41</v>
      </c>
      <c r="L2762" s="33">
        <v>5</v>
      </c>
    </row>
    <row r="2763" spans="1:12" hidden="1" x14ac:dyDescent="0.3">
      <c r="A2763" s="39">
        <v>46057.385034722225</v>
      </c>
      <c r="B2763" s="33" t="s">
        <v>5173</v>
      </c>
      <c r="C2763" s="33">
        <v>4434231198</v>
      </c>
      <c r="E2763" s="33">
        <v>0</v>
      </c>
      <c r="F2763" s="33">
        <v>0</v>
      </c>
      <c r="G2763" s="33" t="s">
        <v>47</v>
      </c>
      <c r="H2763" s="33" t="s">
        <v>6378</v>
      </c>
      <c r="I2763" s="33" t="s">
        <v>46</v>
      </c>
      <c r="J2763" s="33" t="s">
        <v>3629</v>
      </c>
    </row>
    <row r="2764" spans="1:12" hidden="1" x14ac:dyDescent="0.3">
      <c r="A2764" s="39">
        <v>46057.383125</v>
      </c>
      <c r="B2764" s="33">
        <v>41996631918</v>
      </c>
      <c r="C2764" s="33" t="s">
        <v>43</v>
      </c>
      <c r="D2764" s="33">
        <v>4430265054</v>
      </c>
      <c r="E2764" s="33">
        <v>365</v>
      </c>
      <c r="F2764" s="33">
        <v>323</v>
      </c>
      <c r="G2764" s="33" t="s">
        <v>38</v>
      </c>
      <c r="H2764" s="33" t="s">
        <v>4923</v>
      </c>
      <c r="I2764" s="33" t="s">
        <v>39</v>
      </c>
      <c r="J2764" s="33" t="s">
        <v>40</v>
      </c>
      <c r="K2764" s="33" t="s">
        <v>41</v>
      </c>
    </row>
    <row r="2765" spans="1:12" hidden="1" x14ac:dyDescent="0.3">
      <c r="A2765" s="39">
        <v>46057.380497685182</v>
      </c>
      <c r="B2765" s="33">
        <v>44991354005</v>
      </c>
      <c r="C2765" s="33" t="s">
        <v>42</v>
      </c>
      <c r="D2765" s="33">
        <v>4430265054</v>
      </c>
      <c r="E2765" s="33">
        <v>785</v>
      </c>
      <c r="F2765" s="33">
        <v>703</v>
      </c>
      <c r="G2765" s="33" t="s">
        <v>38</v>
      </c>
      <c r="H2765" s="33" t="s">
        <v>4924</v>
      </c>
      <c r="I2765" s="33" t="s">
        <v>39</v>
      </c>
      <c r="J2765" s="33" t="s">
        <v>40</v>
      </c>
      <c r="K2765" s="33" t="s">
        <v>41</v>
      </c>
    </row>
    <row r="2766" spans="1:12" hidden="1" x14ac:dyDescent="0.3">
      <c r="A2766" s="39">
        <v>46057.379120370373</v>
      </c>
      <c r="B2766" s="33">
        <v>44988182098</v>
      </c>
      <c r="C2766" s="33" t="s">
        <v>45</v>
      </c>
      <c r="D2766" s="33">
        <v>4430265054</v>
      </c>
      <c r="E2766" s="33">
        <v>1707</v>
      </c>
      <c r="F2766" s="33">
        <v>1657</v>
      </c>
      <c r="G2766" s="33" t="s">
        <v>38</v>
      </c>
      <c r="H2766" s="33" t="s">
        <v>4925</v>
      </c>
      <c r="I2766" s="33" t="s">
        <v>39</v>
      </c>
      <c r="J2766" s="33" t="s">
        <v>40</v>
      </c>
      <c r="K2766" s="33" t="s">
        <v>41</v>
      </c>
    </row>
    <row r="2767" spans="1:12" hidden="1" x14ac:dyDescent="0.3">
      <c r="A2767" s="39">
        <v>46057.376319444447</v>
      </c>
      <c r="B2767" s="33">
        <v>44998601838</v>
      </c>
      <c r="C2767" s="33" t="s">
        <v>37</v>
      </c>
      <c r="D2767" s="33">
        <v>4430265054</v>
      </c>
      <c r="E2767" s="33">
        <v>1522</v>
      </c>
      <c r="F2767" s="33">
        <v>1483</v>
      </c>
      <c r="G2767" s="33" t="s">
        <v>38</v>
      </c>
      <c r="H2767" s="33" t="s">
        <v>4926</v>
      </c>
      <c r="I2767" s="33" t="s">
        <v>39</v>
      </c>
      <c r="J2767" s="33" t="s">
        <v>40</v>
      </c>
      <c r="K2767" s="33" t="s">
        <v>41</v>
      </c>
    </row>
    <row r="2768" spans="1:12" hidden="1" x14ac:dyDescent="0.3">
      <c r="A2768" s="39">
        <v>46057.373171296298</v>
      </c>
      <c r="B2768" s="33">
        <v>4430315826</v>
      </c>
      <c r="C2768" s="33" t="s">
        <v>44</v>
      </c>
      <c r="D2768" s="33">
        <v>4430265054</v>
      </c>
      <c r="E2768" s="33">
        <v>300</v>
      </c>
      <c r="F2768" s="33">
        <v>252</v>
      </c>
      <c r="G2768" s="33" t="s">
        <v>38</v>
      </c>
      <c r="H2768" s="33" t="s">
        <v>4927</v>
      </c>
      <c r="I2768" s="33" t="s">
        <v>39</v>
      </c>
      <c r="J2768" s="33" t="s">
        <v>40</v>
      </c>
      <c r="K2768" s="33" t="s">
        <v>41</v>
      </c>
    </row>
    <row r="2769" spans="1:12" hidden="1" x14ac:dyDescent="0.3">
      <c r="A2769" s="39">
        <v>46057.363796296297</v>
      </c>
      <c r="B2769" s="33" t="s">
        <v>42</v>
      </c>
      <c r="C2769" s="33">
        <v>4430285070</v>
      </c>
      <c r="E2769" s="33">
        <v>269</v>
      </c>
      <c r="F2769" s="33">
        <v>256</v>
      </c>
      <c r="G2769" s="33" t="s">
        <v>38</v>
      </c>
      <c r="H2769" s="33" t="s">
        <v>6379</v>
      </c>
      <c r="I2769" s="33" t="s">
        <v>46</v>
      </c>
      <c r="J2769" s="33" t="s">
        <v>40</v>
      </c>
    </row>
    <row r="2770" spans="1:12" hidden="1" x14ac:dyDescent="0.3">
      <c r="A2770" s="39">
        <v>46057.363564814812</v>
      </c>
      <c r="B2770" s="33">
        <v>45999211333</v>
      </c>
      <c r="C2770" s="33" t="s">
        <v>45</v>
      </c>
      <c r="D2770" s="33">
        <v>4430265054</v>
      </c>
      <c r="E2770" s="33">
        <v>491</v>
      </c>
      <c r="F2770" s="33">
        <v>436</v>
      </c>
      <c r="G2770" s="33" t="s">
        <v>38</v>
      </c>
      <c r="H2770" s="33" t="s">
        <v>4928</v>
      </c>
      <c r="I2770" s="33" t="s">
        <v>39</v>
      </c>
      <c r="J2770" s="33" t="s">
        <v>40</v>
      </c>
      <c r="K2770" s="33" t="s">
        <v>41</v>
      </c>
    </row>
    <row r="2771" spans="1:12" hidden="1" x14ac:dyDescent="0.3">
      <c r="A2771" s="39">
        <v>46057.351018518515</v>
      </c>
      <c r="B2771" s="33">
        <v>45999211333</v>
      </c>
      <c r="C2771" s="33">
        <v>4430265054</v>
      </c>
      <c r="D2771" s="33">
        <v>4430265054</v>
      </c>
      <c r="E2771" s="33">
        <v>12</v>
      </c>
      <c r="F2771" s="33">
        <v>11</v>
      </c>
      <c r="G2771" s="33" t="s">
        <v>3449</v>
      </c>
      <c r="H2771" s="33" t="s">
        <v>6380</v>
      </c>
      <c r="I2771" s="33" t="s">
        <v>39</v>
      </c>
      <c r="J2771" s="33" t="s">
        <v>3451</v>
      </c>
    </row>
    <row r="2772" spans="1:12" hidden="1" x14ac:dyDescent="0.3">
      <c r="A2772" s="39">
        <v>46056.731516203705</v>
      </c>
      <c r="B2772" s="33">
        <v>11998030658</v>
      </c>
      <c r="C2772" s="33" t="s">
        <v>43</v>
      </c>
      <c r="D2772" s="33">
        <v>4430265054</v>
      </c>
      <c r="E2772" s="33">
        <v>261</v>
      </c>
      <c r="F2772" s="33">
        <v>211</v>
      </c>
      <c r="G2772" s="33" t="s">
        <v>38</v>
      </c>
      <c r="H2772" s="33" t="s">
        <v>4929</v>
      </c>
      <c r="I2772" s="33" t="s">
        <v>39</v>
      </c>
      <c r="J2772" s="33" t="s">
        <v>40</v>
      </c>
      <c r="K2772" s="33" t="s">
        <v>41</v>
      </c>
    </row>
    <row r="2773" spans="1:12" hidden="1" x14ac:dyDescent="0.3">
      <c r="A2773" s="39">
        <v>46056.728344907409</v>
      </c>
      <c r="B2773" s="33">
        <v>44999646909</v>
      </c>
      <c r="C2773" s="33" t="s">
        <v>45</v>
      </c>
      <c r="D2773" s="33">
        <v>4430265054</v>
      </c>
      <c r="E2773" s="33">
        <v>300</v>
      </c>
      <c r="F2773" s="33">
        <v>227</v>
      </c>
      <c r="G2773" s="33" t="s">
        <v>38</v>
      </c>
      <c r="H2773" s="33" t="s">
        <v>4930</v>
      </c>
      <c r="I2773" s="33" t="s">
        <v>39</v>
      </c>
      <c r="J2773" s="33" t="s">
        <v>40</v>
      </c>
      <c r="K2773" s="33" t="s">
        <v>41</v>
      </c>
    </row>
    <row r="2774" spans="1:12" hidden="1" x14ac:dyDescent="0.3">
      <c r="A2774" s="39">
        <v>46056.727187500001</v>
      </c>
      <c r="B2774" s="33" t="s">
        <v>43</v>
      </c>
      <c r="C2774" s="33">
        <v>4431337559</v>
      </c>
      <c r="E2774" s="33">
        <v>233</v>
      </c>
      <c r="F2774" s="33">
        <v>220</v>
      </c>
      <c r="G2774" s="33" t="s">
        <v>38</v>
      </c>
      <c r="H2774" s="33" t="s">
        <v>6381</v>
      </c>
      <c r="I2774" s="33" t="s">
        <v>46</v>
      </c>
      <c r="J2774" s="33" t="s">
        <v>40</v>
      </c>
    </row>
    <row r="2775" spans="1:12" hidden="1" x14ac:dyDescent="0.3">
      <c r="A2775" s="39">
        <v>46056.722870370373</v>
      </c>
      <c r="B2775" s="33" t="s">
        <v>45</v>
      </c>
      <c r="C2775" s="33">
        <v>4436311970</v>
      </c>
      <c r="E2775" s="33">
        <v>358</v>
      </c>
      <c r="F2775" s="33">
        <v>350</v>
      </c>
      <c r="G2775" s="33" t="s">
        <v>38</v>
      </c>
      <c r="H2775" s="33" t="s">
        <v>6382</v>
      </c>
      <c r="I2775" s="33" t="s">
        <v>46</v>
      </c>
      <c r="J2775" s="33" t="s">
        <v>40</v>
      </c>
      <c r="L2775" s="33">
        <v>4</v>
      </c>
    </row>
    <row r="2776" spans="1:12" hidden="1" x14ac:dyDescent="0.3">
      <c r="A2776" s="39">
        <v>46056.721365740741</v>
      </c>
      <c r="B2776" s="33" t="s">
        <v>43</v>
      </c>
      <c r="C2776" s="33">
        <v>4432272377</v>
      </c>
      <c r="E2776" s="33">
        <v>405</v>
      </c>
      <c r="F2776" s="33">
        <v>392</v>
      </c>
      <c r="G2776" s="33" t="s">
        <v>38</v>
      </c>
      <c r="H2776" s="33" t="s">
        <v>6383</v>
      </c>
      <c r="I2776" s="33" t="s">
        <v>46</v>
      </c>
      <c r="J2776" s="33" t="s">
        <v>40</v>
      </c>
    </row>
    <row r="2777" spans="1:12" hidden="1" x14ac:dyDescent="0.3">
      <c r="A2777" s="39">
        <v>46056.721307870372</v>
      </c>
      <c r="B2777" s="33" t="s">
        <v>43</v>
      </c>
      <c r="C2777" s="33">
        <v>4432272377</v>
      </c>
      <c r="E2777" s="33">
        <v>2</v>
      </c>
      <c r="F2777" s="33">
        <v>0</v>
      </c>
      <c r="G2777" s="33" t="s">
        <v>47</v>
      </c>
      <c r="H2777" s="33" t="s">
        <v>6384</v>
      </c>
      <c r="I2777" s="33" t="s">
        <v>46</v>
      </c>
      <c r="J2777" s="33" t="s">
        <v>40</v>
      </c>
    </row>
    <row r="2778" spans="1:12" hidden="1" x14ac:dyDescent="0.3">
      <c r="A2778" s="39">
        <v>46056.720856481479</v>
      </c>
      <c r="B2778" s="33" t="s">
        <v>3627</v>
      </c>
      <c r="C2778" s="33">
        <v>98988775134</v>
      </c>
      <c r="E2778" s="33">
        <v>10</v>
      </c>
      <c r="F2778" s="33">
        <v>0</v>
      </c>
      <c r="G2778" s="33" t="s">
        <v>47</v>
      </c>
      <c r="H2778" s="33" t="s">
        <v>6385</v>
      </c>
      <c r="I2778" s="33" t="s">
        <v>46</v>
      </c>
      <c r="J2778" s="33" t="s">
        <v>3629</v>
      </c>
    </row>
    <row r="2779" spans="1:12" hidden="1" x14ac:dyDescent="0.3">
      <c r="A2779" s="39">
        <v>46056.716770833336</v>
      </c>
      <c r="B2779" s="33">
        <v>4331622700</v>
      </c>
      <c r="C2779" s="33" t="s">
        <v>45</v>
      </c>
      <c r="D2779" s="33">
        <v>4430265054</v>
      </c>
      <c r="E2779" s="33">
        <v>207</v>
      </c>
      <c r="F2779" s="33">
        <v>151</v>
      </c>
      <c r="G2779" s="33" t="s">
        <v>38</v>
      </c>
      <c r="H2779" s="33" t="s">
        <v>4931</v>
      </c>
      <c r="I2779" s="33" t="s">
        <v>39</v>
      </c>
      <c r="J2779" s="33" t="s">
        <v>40</v>
      </c>
      <c r="K2779" s="33" t="s">
        <v>41</v>
      </c>
      <c r="L2779" s="33">
        <v>5</v>
      </c>
    </row>
    <row r="2780" spans="1:12" hidden="1" x14ac:dyDescent="0.3">
      <c r="A2780" s="39">
        <v>46056.711574074077</v>
      </c>
      <c r="B2780" s="33">
        <v>4434231198</v>
      </c>
      <c r="C2780" s="33" t="s">
        <v>43</v>
      </c>
      <c r="D2780" s="33">
        <v>4430265054</v>
      </c>
      <c r="E2780" s="33">
        <v>526</v>
      </c>
      <c r="F2780" s="33">
        <v>492</v>
      </c>
      <c r="G2780" s="33" t="s">
        <v>38</v>
      </c>
      <c r="H2780" s="33" t="s">
        <v>4932</v>
      </c>
      <c r="I2780" s="33" t="s">
        <v>39</v>
      </c>
      <c r="J2780" s="33" t="s">
        <v>40</v>
      </c>
      <c r="K2780" s="33" t="s">
        <v>41</v>
      </c>
    </row>
    <row r="2781" spans="1:12" hidden="1" x14ac:dyDescent="0.3">
      <c r="A2781" s="39">
        <v>46056.707557870373</v>
      </c>
      <c r="B2781" s="33" t="s">
        <v>42</v>
      </c>
      <c r="C2781" s="33">
        <v>44991041123</v>
      </c>
      <c r="E2781" s="33">
        <v>1</v>
      </c>
      <c r="F2781" s="33">
        <v>0</v>
      </c>
      <c r="G2781" s="33" t="s">
        <v>47</v>
      </c>
      <c r="H2781" s="33" t="s">
        <v>6386</v>
      </c>
      <c r="I2781" s="33" t="s">
        <v>46</v>
      </c>
      <c r="J2781" s="33" t="s">
        <v>40</v>
      </c>
    </row>
    <row r="2782" spans="1:12" hidden="1" x14ac:dyDescent="0.3">
      <c r="A2782" s="39">
        <v>46056.706550925926</v>
      </c>
      <c r="B2782" s="33" t="s">
        <v>44</v>
      </c>
      <c r="C2782" s="33">
        <v>1131043888</v>
      </c>
      <c r="E2782" s="33">
        <v>210</v>
      </c>
      <c r="F2782" s="33">
        <v>209</v>
      </c>
      <c r="G2782" s="33" t="s">
        <v>38</v>
      </c>
      <c r="H2782" s="33" t="s">
        <v>6387</v>
      </c>
      <c r="I2782" s="33" t="s">
        <v>46</v>
      </c>
      <c r="J2782" s="33" t="s">
        <v>40</v>
      </c>
      <c r="L2782" s="33">
        <v>5</v>
      </c>
    </row>
    <row r="2783" spans="1:12" hidden="1" x14ac:dyDescent="0.3">
      <c r="A2783" s="39">
        <v>46056.706087962964</v>
      </c>
      <c r="B2783" s="33">
        <v>4520312689</v>
      </c>
      <c r="C2783" s="33" t="s">
        <v>37</v>
      </c>
      <c r="D2783" s="33">
        <v>4430265054</v>
      </c>
      <c r="E2783" s="33">
        <v>1124</v>
      </c>
      <c r="F2783" s="33">
        <v>1079</v>
      </c>
      <c r="G2783" s="33" t="s">
        <v>38</v>
      </c>
      <c r="H2783" s="33" t="s">
        <v>4933</v>
      </c>
      <c r="I2783" s="33" t="s">
        <v>39</v>
      </c>
      <c r="J2783" s="33" t="s">
        <v>40</v>
      </c>
      <c r="K2783" s="33" t="s">
        <v>41</v>
      </c>
    </row>
    <row r="2784" spans="1:12" hidden="1" x14ac:dyDescent="0.3">
      <c r="A2784" s="39">
        <v>46056.703506944446</v>
      </c>
      <c r="B2784" s="33">
        <v>44991041123</v>
      </c>
      <c r="C2784" s="33" t="s">
        <v>42</v>
      </c>
      <c r="D2784" s="33">
        <v>4430265054</v>
      </c>
      <c r="E2784" s="33">
        <v>209</v>
      </c>
      <c r="F2784" s="33">
        <v>123</v>
      </c>
      <c r="G2784" s="33" t="s">
        <v>38</v>
      </c>
      <c r="H2784" s="33" t="s">
        <v>4934</v>
      </c>
      <c r="I2784" s="33" t="s">
        <v>39</v>
      </c>
      <c r="J2784" s="33" t="s">
        <v>40</v>
      </c>
      <c r="K2784" s="33" t="s">
        <v>41</v>
      </c>
    </row>
    <row r="2785" spans="1:12" hidden="1" x14ac:dyDescent="0.3">
      <c r="A2785" s="39">
        <v>46056.699930555558</v>
      </c>
      <c r="B2785" s="33">
        <v>4436372125</v>
      </c>
      <c r="C2785" s="33" t="s">
        <v>45</v>
      </c>
      <c r="D2785" s="33">
        <v>4430265054</v>
      </c>
      <c r="E2785" s="33">
        <v>307</v>
      </c>
      <c r="F2785" s="33">
        <v>281</v>
      </c>
      <c r="G2785" s="33" t="s">
        <v>38</v>
      </c>
      <c r="H2785" s="33" t="s">
        <v>4935</v>
      </c>
      <c r="I2785" s="33" t="s">
        <v>39</v>
      </c>
      <c r="J2785" s="33" t="s">
        <v>40</v>
      </c>
      <c r="K2785" s="33" t="s">
        <v>41</v>
      </c>
    </row>
    <row r="2786" spans="1:12" hidden="1" x14ac:dyDescent="0.3">
      <c r="A2786" s="39">
        <v>46056.697118055556</v>
      </c>
      <c r="B2786" s="33">
        <v>43991364602</v>
      </c>
      <c r="C2786" s="33" t="s">
        <v>42</v>
      </c>
      <c r="D2786" s="33">
        <v>4430265054</v>
      </c>
      <c r="E2786" s="33">
        <v>120</v>
      </c>
      <c r="F2786" s="33">
        <v>87</v>
      </c>
      <c r="G2786" s="33" t="s">
        <v>38</v>
      </c>
      <c r="H2786" s="33" t="s">
        <v>4936</v>
      </c>
      <c r="I2786" s="33" t="s">
        <v>39</v>
      </c>
      <c r="J2786" s="33" t="s">
        <v>40</v>
      </c>
      <c r="K2786" s="33" t="s">
        <v>41</v>
      </c>
    </row>
    <row r="2787" spans="1:12" hidden="1" x14ac:dyDescent="0.3">
      <c r="A2787" s="39">
        <v>46056.694849537038</v>
      </c>
      <c r="B2787" s="33">
        <v>4334226481</v>
      </c>
      <c r="C2787" s="33" t="s">
        <v>44</v>
      </c>
      <c r="D2787" s="33">
        <v>4430265054</v>
      </c>
      <c r="E2787" s="33">
        <v>835</v>
      </c>
      <c r="F2787" s="33">
        <v>773</v>
      </c>
      <c r="G2787" s="33" t="s">
        <v>38</v>
      </c>
      <c r="H2787" s="33" t="s">
        <v>4937</v>
      </c>
      <c r="I2787" s="33" t="s">
        <v>39</v>
      </c>
      <c r="J2787" s="33" t="s">
        <v>40</v>
      </c>
      <c r="K2787" s="33" t="s">
        <v>41</v>
      </c>
    </row>
    <row r="2788" spans="1:12" hidden="1" x14ac:dyDescent="0.3">
      <c r="A2788" s="39">
        <v>46056.692523148151</v>
      </c>
      <c r="B2788" s="33">
        <v>4334232912</v>
      </c>
      <c r="C2788" s="33">
        <v>4430265054</v>
      </c>
      <c r="D2788" s="33">
        <v>4430265054</v>
      </c>
      <c r="E2788" s="33">
        <v>59</v>
      </c>
      <c r="F2788" s="33">
        <v>59</v>
      </c>
      <c r="G2788" s="33" t="s">
        <v>3449</v>
      </c>
      <c r="H2788" s="33" t="s">
        <v>4938</v>
      </c>
      <c r="I2788" s="33" t="s">
        <v>39</v>
      </c>
      <c r="J2788" s="33" t="s">
        <v>3451</v>
      </c>
      <c r="K2788" s="33" t="s">
        <v>41</v>
      </c>
    </row>
    <row r="2789" spans="1:12" hidden="1" x14ac:dyDescent="0.3">
      <c r="A2789" s="39">
        <v>46056.691030092596</v>
      </c>
      <c r="B2789" s="33">
        <v>1131043888</v>
      </c>
      <c r="C2789" s="33" t="s">
        <v>44</v>
      </c>
      <c r="D2789" s="33">
        <v>4430265054</v>
      </c>
      <c r="E2789" s="33">
        <v>184</v>
      </c>
      <c r="F2789" s="33">
        <v>149</v>
      </c>
      <c r="G2789" s="33" t="s">
        <v>38</v>
      </c>
      <c r="H2789" s="33" t="s">
        <v>4939</v>
      </c>
      <c r="I2789" s="33" t="s">
        <v>39</v>
      </c>
      <c r="J2789" s="33" t="s">
        <v>40</v>
      </c>
      <c r="K2789" s="33" t="s">
        <v>41</v>
      </c>
    </row>
    <row r="2790" spans="1:12" hidden="1" x14ac:dyDescent="0.3">
      <c r="A2790" s="39">
        <v>46056.689502314817</v>
      </c>
      <c r="B2790" s="33" t="s">
        <v>5173</v>
      </c>
      <c r="C2790" s="33">
        <v>4439001644</v>
      </c>
      <c r="E2790" s="33">
        <v>0</v>
      </c>
      <c r="F2790" s="33">
        <v>0</v>
      </c>
      <c r="G2790" s="33" t="s">
        <v>47</v>
      </c>
      <c r="H2790" s="33" t="s">
        <v>6388</v>
      </c>
      <c r="I2790" s="33" t="s">
        <v>46</v>
      </c>
      <c r="J2790" s="33" t="s">
        <v>3629</v>
      </c>
    </row>
    <row r="2791" spans="1:12" hidden="1" x14ac:dyDescent="0.3">
      <c r="A2791" s="39">
        <v>46056.689398148148</v>
      </c>
      <c r="B2791" s="33" t="s">
        <v>5173</v>
      </c>
      <c r="C2791" s="33">
        <v>4434228345</v>
      </c>
      <c r="E2791" s="33">
        <v>0</v>
      </c>
      <c r="F2791" s="33">
        <v>0</v>
      </c>
      <c r="G2791" s="33" t="s">
        <v>47</v>
      </c>
      <c r="H2791" s="33" t="s">
        <v>6389</v>
      </c>
      <c r="I2791" s="33" t="s">
        <v>46</v>
      </c>
      <c r="J2791" s="33" t="s">
        <v>3629</v>
      </c>
    </row>
    <row r="2792" spans="1:12" hidden="1" x14ac:dyDescent="0.3">
      <c r="A2792" s="39">
        <v>46056.688935185186</v>
      </c>
      <c r="B2792" s="33">
        <v>44991249108</v>
      </c>
      <c r="C2792" s="33" t="s">
        <v>37</v>
      </c>
      <c r="D2792" s="33">
        <v>4430265054</v>
      </c>
      <c r="E2792" s="33">
        <v>1056</v>
      </c>
      <c r="F2792" s="33">
        <v>997</v>
      </c>
      <c r="G2792" s="33" t="s">
        <v>38</v>
      </c>
      <c r="H2792" s="33" t="s">
        <v>4940</v>
      </c>
      <c r="I2792" s="33" t="s">
        <v>39</v>
      </c>
      <c r="J2792" s="33" t="s">
        <v>40</v>
      </c>
      <c r="K2792" s="33" t="s">
        <v>41</v>
      </c>
      <c r="L2792" s="33">
        <v>5</v>
      </c>
    </row>
    <row r="2793" spans="1:12" hidden="1" x14ac:dyDescent="0.3">
      <c r="A2793" s="39">
        <v>46056.6874537037</v>
      </c>
      <c r="B2793" s="33">
        <v>4430403880</v>
      </c>
      <c r="C2793" s="33" t="s">
        <v>45</v>
      </c>
      <c r="D2793" s="33">
        <v>4430265054</v>
      </c>
      <c r="E2793" s="33">
        <v>722</v>
      </c>
      <c r="F2793" s="33">
        <v>687</v>
      </c>
      <c r="G2793" s="33" t="s">
        <v>38</v>
      </c>
      <c r="H2793" s="33" t="s">
        <v>4941</v>
      </c>
      <c r="I2793" s="33" t="s">
        <v>39</v>
      </c>
      <c r="J2793" s="33" t="s">
        <v>40</v>
      </c>
      <c r="K2793" s="33" t="s">
        <v>41</v>
      </c>
    </row>
    <row r="2794" spans="1:12" hidden="1" x14ac:dyDescent="0.3">
      <c r="A2794" s="39">
        <v>46056.685694444444</v>
      </c>
      <c r="B2794" s="33" t="s">
        <v>5173</v>
      </c>
      <c r="C2794" s="33">
        <v>4434233167</v>
      </c>
      <c r="E2794" s="33">
        <v>1</v>
      </c>
      <c r="F2794" s="33">
        <v>0</v>
      </c>
      <c r="G2794" s="33" t="s">
        <v>47</v>
      </c>
      <c r="H2794" s="33" t="s">
        <v>6390</v>
      </c>
      <c r="I2794" s="33" t="s">
        <v>46</v>
      </c>
      <c r="J2794" s="33" t="s">
        <v>3629</v>
      </c>
    </row>
    <row r="2795" spans="1:12" hidden="1" x14ac:dyDescent="0.3">
      <c r="A2795" s="39">
        <v>46056.685578703706</v>
      </c>
      <c r="B2795" s="33" t="s">
        <v>5173</v>
      </c>
      <c r="C2795" s="33">
        <v>4430459001</v>
      </c>
      <c r="E2795" s="33">
        <v>1</v>
      </c>
      <c r="F2795" s="33">
        <v>0</v>
      </c>
      <c r="G2795" s="33" t="s">
        <v>47</v>
      </c>
      <c r="H2795" s="33" t="s">
        <v>6391</v>
      </c>
      <c r="I2795" s="33" t="s">
        <v>46</v>
      </c>
      <c r="J2795" s="33" t="s">
        <v>3629</v>
      </c>
    </row>
    <row r="2796" spans="1:12" hidden="1" x14ac:dyDescent="0.3">
      <c r="A2796" s="39">
        <v>46056.680671296293</v>
      </c>
      <c r="B2796" s="33" t="s">
        <v>45</v>
      </c>
      <c r="C2796" s="33">
        <v>44991245925</v>
      </c>
      <c r="E2796" s="33">
        <v>40</v>
      </c>
      <c r="F2796" s="33">
        <v>0</v>
      </c>
      <c r="G2796" s="33" t="s">
        <v>47</v>
      </c>
      <c r="H2796" s="33" t="s">
        <v>6392</v>
      </c>
      <c r="I2796" s="33" t="s">
        <v>46</v>
      </c>
      <c r="J2796" s="33" t="s">
        <v>40</v>
      </c>
    </row>
    <row r="2797" spans="1:12" hidden="1" x14ac:dyDescent="0.3">
      <c r="A2797" s="39">
        <v>46056.680509259262</v>
      </c>
      <c r="B2797" s="33" t="s">
        <v>45</v>
      </c>
      <c r="C2797" s="33">
        <v>4430403880</v>
      </c>
      <c r="E2797" s="33">
        <v>9</v>
      </c>
      <c r="F2797" s="33">
        <v>0</v>
      </c>
      <c r="G2797" s="33" t="s">
        <v>47</v>
      </c>
      <c r="H2797" s="33" t="s">
        <v>6393</v>
      </c>
      <c r="I2797" s="33" t="s">
        <v>46</v>
      </c>
      <c r="J2797" s="33" t="s">
        <v>40</v>
      </c>
    </row>
    <row r="2798" spans="1:12" hidden="1" x14ac:dyDescent="0.3">
      <c r="A2798" s="39">
        <v>46056.679884259262</v>
      </c>
      <c r="B2798" s="33" t="s">
        <v>45</v>
      </c>
      <c r="C2798" s="33">
        <v>44991245925</v>
      </c>
      <c r="E2798" s="33">
        <v>41</v>
      </c>
      <c r="F2798" s="33">
        <v>0</v>
      </c>
      <c r="G2798" s="33" t="s">
        <v>47</v>
      </c>
      <c r="H2798" s="33" t="s">
        <v>6394</v>
      </c>
      <c r="I2798" s="33" t="s">
        <v>46</v>
      </c>
      <c r="J2798" s="33" t="s">
        <v>40</v>
      </c>
    </row>
    <row r="2799" spans="1:12" hidden="1" x14ac:dyDescent="0.3">
      <c r="A2799" s="39">
        <v>46056.679722222223</v>
      </c>
      <c r="B2799" s="33" t="s">
        <v>5173</v>
      </c>
      <c r="C2799" s="33">
        <v>4430282545</v>
      </c>
      <c r="E2799" s="33">
        <v>1</v>
      </c>
      <c r="F2799" s="33">
        <v>0</v>
      </c>
      <c r="G2799" s="33" t="s">
        <v>47</v>
      </c>
      <c r="H2799" s="33" t="s">
        <v>6395</v>
      </c>
      <c r="I2799" s="33" t="s">
        <v>46</v>
      </c>
      <c r="J2799" s="33" t="s">
        <v>3629</v>
      </c>
    </row>
    <row r="2800" spans="1:12" hidden="1" x14ac:dyDescent="0.3">
      <c r="A2800" s="39">
        <v>46056.679594907408</v>
      </c>
      <c r="B2800" s="33" t="s">
        <v>5173</v>
      </c>
      <c r="C2800" s="33">
        <v>4430265076</v>
      </c>
      <c r="E2800" s="33">
        <v>1</v>
      </c>
      <c r="F2800" s="33">
        <v>0</v>
      </c>
      <c r="G2800" s="33" t="s">
        <v>47</v>
      </c>
      <c r="H2800" s="33" t="s">
        <v>6396</v>
      </c>
      <c r="I2800" s="33" t="s">
        <v>46</v>
      </c>
      <c r="J2800" s="33" t="s">
        <v>3629</v>
      </c>
    </row>
    <row r="2801" spans="1:12" hidden="1" x14ac:dyDescent="0.3">
      <c r="A2801" s="39">
        <v>46056.67931712963</v>
      </c>
      <c r="B2801" s="33" t="s">
        <v>45</v>
      </c>
      <c r="C2801" s="33">
        <v>44998006660</v>
      </c>
      <c r="E2801" s="33">
        <v>48</v>
      </c>
      <c r="F2801" s="33">
        <v>40</v>
      </c>
      <c r="G2801" s="33" t="s">
        <v>38</v>
      </c>
      <c r="H2801" s="33" t="s">
        <v>6397</v>
      </c>
      <c r="I2801" s="33" t="s">
        <v>46</v>
      </c>
      <c r="J2801" s="33" t="s">
        <v>40</v>
      </c>
    </row>
    <row r="2802" spans="1:12" hidden="1" x14ac:dyDescent="0.3">
      <c r="A2802" s="39">
        <v>46056.678206018521</v>
      </c>
      <c r="B2802" s="33" t="s">
        <v>3873</v>
      </c>
      <c r="E2802" s="33">
        <v>158</v>
      </c>
      <c r="F2802" s="33">
        <v>151</v>
      </c>
      <c r="G2802" s="33" t="s">
        <v>38</v>
      </c>
      <c r="H2802" s="33" t="s">
        <v>6398</v>
      </c>
      <c r="I2802" s="33" t="s">
        <v>46</v>
      </c>
      <c r="J2802" s="33" t="s">
        <v>3451</v>
      </c>
    </row>
    <row r="2803" spans="1:12" hidden="1" x14ac:dyDescent="0.3">
      <c r="A2803" s="39">
        <v>46056.677581018521</v>
      </c>
      <c r="B2803" s="33" t="s">
        <v>5173</v>
      </c>
      <c r="C2803" s="33">
        <v>4435252512</v>
      </c>
      <c r="E2803" s="33">
        <v>0</v>
      </c>
      <c r="F2803" s="33">
        <v>0</v>
      </c>
      <c r="G2803" s="33" t="s">
        <v>47</v>
      </c>
      <c r="H2803" s="33" t="s">
        <v>6399</v>
      </c>
      <c r="I2803" s="33" t="s">
        <v>46</v>
      </c>
      <c r="J2803" s="33" t="s">
        <v>3629</v>
      </c>
    </row>
    <row r="2804" spans="1:12" hidden="1" x14ac:dyDescent="0.3">
      <c r="A2804" s="39">
        <v>46056.677418981482</v>
      </c>
      <c r="B2804" s="33" t="s">
        <v>5173</v>
      </c>
      <c r="C2804" s="33">
        <v>4430175515</v>
      </c>
      <c r="E2804" s="33">
        <v>0</v>
      </c>
      <c r="F2804" s="33">
        <v>0</v>
      </c>
      <c r="G2804" s="33" t="s">
        <v>47</v>
      </c>
      <c r="H2804" s="33" t="s">
        <v>6400</v>
      </c>
      <c r="I2804" s="33" t="s">
        <v>46</v>
      </c>
      <c r="J2804" s="33" t="s">
        <v>3629</v>
      </c>
    </row>
    <row r="2805" spans="1:12" hidden="1" x14ac:dyDescent="0.3">
      <c r="A2805" s="39">
        <v>46056.677071759259</v>
      </c>
      <c r="B2805" s="33" t="s">
        <v>45</v>
      </c>
      <c r="C2805" s="33">
        <v>4436313274</v>
      </c>
      <c r="E2805" s="33">
        <v>178</v>
      </c>
      <c r="F2805" s="33">
        <v>154</v>
      </c>
      <c r="G2805" s="33" t="s">
        <v>38</v>
      </c>
      <c r="H2805" s="33" t="s">
        <v>6401</v>
      </c>
      <c r="I2805" s="33" t="s">
        <v>46</v>
      </c>
      <c r="J2805" s="33" t="s">
        <v>40</v>
      </c>
    </row>
    <row r="2806" spans="1:12" hidden="1" x14ac:dyDescent="0.3">
      <c r="A2806" s="39">
        <v>46056.67695601852</v>
      </c>
      <c r="B2806" s="33" t="s">
        <v>45</v>
      </c>
      <c r="C2806" s="33">
        <v>4436313274</v>
      </c>
      <c r="E2806" s="33">
        <v>4</v>
      </c>
      <c r="F2806" s="33">
        <v>0</v>
      </c>
      <c r="G2806" s="33" t="s">
        <v>47</v>
      </c>
      <c r="H2806" s="33" t="s">
        <v>6402</v>
      </c>
      <c r="I2806" s="33" t="s">
        <v>46</v>
      </c>
      <c r="J2806" s="33" t="s">
        <v>40</v>
      </c>
    </row>
    <row r="2807" spans="1:12" hidden="1" x14ac:dyDescent="0.3">
      <c r="A2807" s="39">
        <v>46056.675416666665</v>
      </c>
      <c r="B2807" s="33" t="s">
        <v>5173</v>
      </c>
      <c r="C2807" s="33">
        <v>4430175515</v>
      </c>
      <c r="E2807" s="33">
        <v>0</v>
      </c>
      <c r="F2807" s="33">
        <v>0</v>
      </c>
      <c r="G2807" s="33" t="s">
        <v>47</v>
      </c>
      <c r="H2807" s="33" t="s">
        <v>6403</v>
      </c>
      <c r="I2807" s="33" t="s">
        <v>46</v>
      </c>
      <c r="J2807" s="33" t="s">
        <v>3629</v>
      </c>
    </row>
    <row r="2808" spans="1:12" hidden="1" x14ac:dyDescent="0.3">
      <c r="A2808" s="39">
        <v>46056.675300925926</v>
      </c>
      <c r="B2808" s="33" t="s">
        <v>5173</v>
      </c>
      <c r="C2808" s="33">
        <v>4435252512</v>
      </c>
      <c r="E2808" s="33">
        <v>1</v>
      </c>
      <c r="F2808" s="33">
        <v>0</v>
      </c>
      <c r="G2808" s="33" t="s">
        <v>47</v>
      </c>
      <c r="H2808" s="33" t="s">
        <v>6404</v>
      </c>
      <c r="I2808" s="33" t="s">
        <v>46</v>
      </c>
      <c r="J2808" s="33" t="s">
        <v>3629</v>
      </c>
    </row>
    <row r="2809" spans="1:12" hidden="1" x14ac:dyDescent="0.3">
      <c r="A2809" s="39">
        <v>46056.669942129629</v>
      </c>
      <c r="B2809" s="33" t="s">
        <v>5173</v>
      </c>
      <c r="C2809" s="33">
        <v>4436721260</v>
      </c>
      <c r="E2809" s="33">
        <v>1</v>
      </c>
      <c r="F2809" s="33">
        <v>0</v>
      </c>
      <c r="G2809" s="33" t="s">
        <v>47</v>
      </c>
      <c r="H2809" s="33" t="s">
        <v>6405</v>
      </c>
      <c r="I2809" s="33" t="s">
        <v>46</v>
      </c>
      <c r="J2809" s="33" t="s">
        <v>3629</v>
      </c>
    </row>
    <row r="2810" spans="1:12" hidden="1" x14ac:dyDescent="0.3">
      <c r="A2810" s="39">
        <v>46056.667847222219</v>
      </c>
      <c r="B2810" s="33" t="s">
        <v>3627</v>
      </c>
      <c r="C2810" s="33">
        <v>51992106432</v>
      </c>
      <c r="E2810" s="33">
        <v>18</v>
      </c>
      <c r="F2810" s="33">
        <v>4</v>
      </c>
      <c r="G2810" s="33" t="s">
        <v>38</v>
      </c>
      <c r="H2810" s="33" t="s">
        <v>6406</v>
      </c>
      <c r="I2810" s="33" t="s">
        <v>46</v>
      </c>
      <c r="J2810" s="33" t="s">
        <v>3629</v>
      </c>
    </row>
    <row r="2811" spans="1:12" hidden="1" x14ac:dyDescent="0.3">
      <c r="A2811" s="39">
        <v>46056.667615740742</v>
      </c>
      <c r="B2811" s="33" t="s">
        <v>45</v>
      </c>
      <c r="C2811" s="33">
        <v>44999670264</v>
      </c>
      <c r="E2811" s="33">
        <v>723</v>
      </c>
      <c r="F2811" s="33">
        <v>714</v>
      </c>
      <c r="G2811" s="33" t="s">
        <v>38</v>
      </c>
      <c r="H2811" s="33" t="s">
        <v>6407</v>
      </c>
      <c r="I2811" s="33" t="s">
        <v>46</v>
      </c>
      <c r="J2811" s="33" t="s">
        <v>40</v>
      </c>
      <c r="L2811" s="33">
        <v>3</v>
      </c>
    </row>
    <row r="2812" spans="1:12" hidden="1" x14ac:dyDescent="0.3">
      <c r="A2812" s="39">
        <v>46056.665358796294</v>
      </c>
      <c r="B2812" s="33" t="s">
        <v>3627</v>
      </c>
      <c r="C2812" s="33">
        <v>51985098814</v>
      </c>
      <c r="E2812" s="33">
        <v>24</v>
      </c>
      <c r="F2812" s="33">
        <v>8</v>
      </c>
      <c r="G2812" s="33" t="s">
        <v>38</v>
      </c>
      <c r="H2812" s="33" t="s">
        <v>6408</v>
      </c>
      <c r="I2812" s="33" t="s">
        <v>46</v>
      </c>
      <c r="J2812" s="33" t="s">
        <v>3629</v>
      </c>
    </row>
    <row r="2813" spans="1:12" hidden="1" x14ac:dyDescent="0.3">
      <c r="A2813" s="39">
        <v>46056.664548611108</v>
      </c>
      <c r="B2813" s="33" t="s">
        <v>3627</v>
      </c>
      <c r="C2813" s="33">
        <v>65999886282</v>
      </c>
      <c r="E2813" s="33">
        <v>8</v>
      </c>
      <c r="F2813" s="33">
        <v>0</v>
      </c>
      <c r="G2813" s="33" t="s">
        <v>47</v>
      </c>
      <c r="H2813" s="33" t="s">
        <v>6409</v>
      </c>
      <c r="I2813" s="33" t="s">
        <v>46</v>
      </c>
      <c r="J2813" s="33" t="s">
        <v>3629</v>
      </c>
    </row>
    <row r="2814" spans="1:12" hidden="1" x14ac:dyDescent="0.3">
      <c r="A2814" s="39">
        <v>46056.661435185182</v>
      </c>
      <c r="B2814" s="33" t="s">
        <v>3627</v>
      </c>
      <c r="C2814" s="33">
        <v>62981411743</v>
      </c>
      <c r="E2814" s="33">
        <v>38</v>
      </c>
      <c r="F2814" s="33">
        <v>15</v>
      </c>
      <c r="G2814" s="33" t="s">
        <v>38</v>
      </c>
      <c r="H2814" s="33" t="s">
        <v>6410</v>
      </c>
      <c r="I2814" s="33" t="s">
        <v>46</v>
      </c>
      <c r="J2814" s="33" t="s">
        <v>3629</v>
      </c>
    </row>
    <row r="2815" spans="1:12" hidden="1" x14ac:dyDescent="0.3">
      <c r="A2815" s="39">
        <v>46056.661030092589</v>
      </c>
      <c r="B2815" s="33">
        <v>4430468250</v>
      </c>
      <c r="C2815" s="33" t="s">
        <v>42</v>
      </c>
      <c r="D2815" s="33">
        <v>4430265054</v>
      </c>
      <c r="E2815" s="33">
        <v>1821</v>
      </c>
      <c r="F2815" s="33">
        <v>1796</v>
      </c>
      <c r="G2815" s="33" t="s">
        <v>38</v>
      </c>
      <c r="H2815" s="33" t="s">
        <v>4942</v>
      </c>
      <c r="I2815" s="33" t="s">
        <v>39</v>
      </c>
      <c r="J2815" s="33" t="s">
        <v>40</v>
      </c>
      <c r="K2815" s="33" t="s">
        <v>41</v>
      </c>
      <c r="L2815" s="33">
        <v>5</v>
      </c>
    </row>
    <row r="2816" spans="1:12" hidden="1" x14ac:dyDescent="0.3">
      <c r="A2816" s="39">
        <v>46056.659444444442</v>
      </c>
      <c r="B2816" s="33">
        <v>4334234629</v>
      </c>
      <c r="C2816" s="33" t="s">
        <v>37</v>
      </c>
      <c r="D2816" s="33">
        <v>4430265054</v>
      </c>
      <c r="E2816" s="33">
        <v>302</v>
      </c>
      <c r="F2816" s="33">
        <v>283</v>
      </c>
      <c r="G2816" s="33" t="s">
        <v>38</v>
      </c>
      <c r="H2816" s="33" t="s">
        <v>4943</v>
      </c>
      <c r="I2816" s="33" t="s">
        <v>39</v>
      </c>
      <c r="J2816" s="33" t="s">
        <v>40</v>
      </c>
      <c r="K2816" s="33" t="s">
        <v>41</v>
      </c>
      <c r="L2816" s="33">
        <v>5</v>
      </c>
    </row>
    <row r="2817" spans="1:12" hidden="1" x14ac:dyDescent="0.3">
      <c r="A2817" s="39">
        <v>46056.658854166664</v>
      </c>
      <c r="B2817" s="33" t="s">
        <v>3627</v>
      </c>
      <c r="C2817" s="33">
        <v>81983001393</v>
      </c>
      <c r="E2817" s="33">
        <v>52</v>
      </c>
      <c r="F2817" s="33">
        <v>13</v>
      </c>
      <c r="G2817" s="33" t="s">
        <v>38</v>
      </c>
      <c r="H2817" s="33" t="s">
        <v>6411</v>
      </c>
      <c r="I2817" s="33" t="s">
        <v>46</v>
      </c>
      <c r="J2817" s="33" t="s">
        <v>3629</v>
      </c>
    </row>
    <row r="2818" spans="1:12" hidden="1" x14ac:dyDescent="0.3">
      <c r="A2818" s="39">
        <v>46056.657800925925</v>
      </c>
      <c r="B2818" s="33" t="s">
        <v>3627</v>
      </c>
      <c r="C2818" s="33">
        <v>98983158209</v>
      </c>
      <c r="E2818" s="33">
        <v>14</v>
      </c>
      <c r="F2818" s="33">
        <v>0</v>
      </c>
      <c r="G2818" s="33" t="s">
        <v>47</v>
      </c>
      <c r="H2818" s="33" t="s">
        <v>6412</v>
      </c>
      <c r="I2818" s="33" t="s">
        <v>46</v>
      </c>
      <c r="J2818" s="33" t="s">
        <v>3629</v>
      </c>
    </row>
    <row r="2819" spans="1:12" hidden="1" x14ac:dyDescent="0.3">
      <c r="A2819" s="39">
        <v>46056.656956018516</v>
      </c>
      <c r="B2819" s="33" t="s">
        <v>3627</v>
      </c>
      <c r="C2819" s="33">
        <v>47997244881</v>
      </c>
      <c r="E2819" s="33">
        <v>4</v>
      </c>
      <c r="F2819" s="33">
        <v>0</v>
      </c>
      <c r="G2819" s="33" t="s">
        <v>47</v>
      </c>
      <c r="H2819" s="33" t="s">
        <v>6413</v>
      </c>
      <c r="I2819" s="33" t="s">
        <v>46</v>
      </c>
      <c r="J2819" s="33" t="s">
        <v>3629</v>
      </c>
    </row>
    <row r="2820" spans="1:12" hidden="1" x14ac:dyDescent="0.3">
      <c r="A2820" s="39">
        <v>46056.65457175926</v>
      </c>
      <c r="B2820" s="33" t="s">
        <v>3627</v>
      </c>
      <c r="C2820" s="33">
        <v>85999124954</v>
      </c>
      <c r="E2820" s="33">
        <v>11</v>
      </c>
      <c r="F2820" s="33">
        <v>0</v>
      </c>
      <c r="G2820" s="33" t="s">
        <v>47</v>
      </c>
      <c r="H2820" s="33" t="s">
        <v>6414</v>
      </c>
      <c r="I2820" s="33" t="s">
        <v>46</v>
      </c>
      <c r="J2820" s="33" t="s">
        <v>3629</v>
      </c>
    </row>
    <row r="2821" spans="1:12" hidden="1" x14ac:dyDescent="0.3">
      <c r="A2821" s="39">
        <v>46056.654143518521</v>
      </c>
      <c r="B2821" s="33" t="s">
        <v>51</v>
      </c>
      <c r="C2821" s="33">
        <v>16997258418</v>
      </c>
      <c r="E2821" s="33">
        <v>26</v>
      </c>
      <c r="F2821" s="33">
        <v>3</v>
      </c>
      <c r="G2821" s="33" t="s">
        <v>38</v>
      </c>
      <c r="H2821" s="33" t="s">
        <v>6415</v>
      </c>
      <c r="I2821" s="33" t="s">
        <v>46</v>
      </c>
      <c r="J2821" s="33" t="s">
        <v>3629</v>
      </c>
    </row>
    <row r="2822" spans="1:12" hidden="1" x14ac:dyDescent="0.3">
      <c r="A2822" s="39">
        <v>46056.653182870374</v>
      </c>
      <c r="B2822" s="33" t="s">
        <v>3627</v>
      </c>
      <c r="C2822" s="33">
        <v>53991255589</v>
      </c>
      <c r="E2822" s="33">
        <v>18</v>
      </c>
      <c r="F2822" s="33">
        <v>13</v>
      </c>
      <c r="G2822" s="33" t="s">
        <v>38</v>
      </c>
      <c r="H2822" s="33" t="s">
        <v>6416</v>
      </c>
      <c r="I2822" s="33" t="s">
        <v>46</v>
      </c>
      <c r="J2822" s="33" t="s">
        <v>3629</v>
      </c>
    </row>
    <row r="2823" spans="1:12" hidden="1" x14ac:dyDescent="0.3">
      <c r="A2823" s="39">
        <v>46056.651134259257</v>
      </c>
      <c r="B2823" s="33" t="s">
        <v>43</v>
      </c>
      <c r="C2823" s="33">
        <v>67992169496</v>
      </c>
      <c r="E2823" s="33">
        <v>145</v>
      </c>
      <c r="F2823" s="33">
        <v>139</v>
      </c>
      <c r="G2823" s="33" t="s">
        <v>38</v>
      </c>
      <c r="H2823" s="33" t="s">
        <v>6417</v>
      </c>
      <c r="I2823" s="33" t="s">
        <v>46</v>
      </c>
      <c r="J2823" s="33" t="s">
        <v>40</v>
      </c>
    </row>
    <row r="2824" spans="1:12" hidden="1" x14ac:dyDescent="0.3">
      <c r="A2824" s="39">
        <v>46056.650462962964</v>
      </c>
      <c r="B2824" s="33">
        <v>67992169496</v>
      </c>
      <c r="C2824" s="33" t="s">
        <v>43</v>
      </c>
      <c r="D2824" s="33">
        <v>4430265054</v>
      </c>
      <c r="E2824" s="33">
        <v>55</v>
      </c>
      <c r="F2824" s="33">
        <v>27</v>
      </c>
      <c r="G2824" s="33" t="s">
        <v>38</v>
      </c>
      <c r="H2824" s="33" t="s">
        <v>4944</v>
      </c>
      <c r="I2824" s="33" t="s">
        <v>39</v>
      </c>
      <c r="J2824" s="33" t="s">
        <v>40</v>
      </c>
      <c r="K2824" s="33" t="s">
        <v>41</v>
      </c>
    </row>
    <row r="2825" spans="1:12" hidden="1" x14ac:dyDescent="0.3">
      <c r="A2825" s="39">
        <v>46056.6483912037</v>
      </c>
      <c r="B2825" s="33">
        <v>4334232912</v>
      </c>
      <c r="C2825" s="33" t="s">
        <v>37</v>
      </c>
      <c r="D2825" s="33">
        <v>4430265054</v>
      </c>
      <c r="E2825" s="33">
        <v>598</v>
      </c>
      <c r="F2825" s="33">
        <v>560</v>
      </c>
      <c r="G2825" s="33" t="s">
        <v>38</v>
      </c>
      <c r="H2825" s="33" t="s">
        <v>4945</v>
      </c>
      <c r="I2825" s="33" t="s">
        <v>39</v>
      </c>
      <c r="J2825" s="33" t="s">
        <v>40</v>
      </c>
      <c r="K2825" s="33" t="s">
        <v>41</v>
      </c>
    </row>
    <row r="2826" spans="1:12" hidden="1" x14ac:dyDescent="0.3">
      <c r="A2826" s="39">
        <v>46056.647245370368</v>
      </c>
      <c r="B2826" s="33">
        <v>44997680266</v>
      </c>
      <c r="C2826" s="33" t="s">
        <v>48</v>
      </c>
      <c r="D2826" s="33">
        <v>4430265054</v>
      </c>
      <c r="E2826" s="33">
        <v>95</v>
      </c>
      <c r="F2826" s="33">
        <v>62</v>
      </c>
      <c r="G2826" s="33" t="s">
        <v>38</v>
      </c>
      <c r="H2826" s="33" t="s">
        <v>4946</v>
      </c>
      <c r="I2826" s="33" t="s">
        <v>39</v>
      </c>
      <c r="J2826" s="33" t="s">
        <v>40</v>
      </c>
      <c r="K2826" s="33" t="s">
        <v>41</v>
      </c>
    </row>
    <row r="2827" spans="1:12" hidden="1" x14ac:dyDescent="0.3">
      <c r="A2827" s="39">
        <v>46056.647141203706</v>
      </c>
      <c r="B2827" s="33">
        <v>44997680266</v>
      </c>
      <c r="C2827" s="33">
        <v>4430265054</v>
      </c>
      <c r="D2827" s="33">
        <v>4430265054</v>
      </c>
      <c r="E2827" s="33">
        <v>1</v>
      </c>
      <c r="F2827" s="33">
        <v>0</v>
      </c>
      <c r="G2827" s="33" t="s">
        <v>47</v>
      </c>
      <c r="H2827" s="33" t="s">
        <v>6418</v>
      </c>
      <c r="I2827" s="33" t="s">
        <v>39</v>
      </c>
      <c r="J2827" s="33" t="s">
        <v>3451</v>
      </c>
    </row>
    <row r="2828" spans="1:12" hidden="1" x14ac:dyDescent="0.3">
      <c r="A2828" s="39">
        <v>46056.646782407406</v>
      </c>
      <c r="B2828" s="33">
        <v>4430289556</v>
      </c>
      <c r="C2828" s="33" t="s">
        <v>42</v>
      </c>
      <c r="D2828" s="33">
        <v>4430265054</v>
      </c>
      <c r="E2828" s="33">
        <v>445</v>
      </c>
      <c r="F2828" s="33">
        <v>369</v>
      </c>
      <c r="G2828" s="33" t="s">
        <v>38</v>
      </c>
      <c r="H2828" s="33" t="s">
        <v>4947</v>
      </c>
      <c r="I2828" s="33" t="s">
        <v>39</v>
      </c>
      <c r="J2828" s="33" t="s">
        <v>40</v>
      </c>
      <c r="K2828" s="33" t="s">
        <v>41</v>
      </c>
    </row>
    <row r="2829" spans="1:12" hidden="1" x14ac:dyDescent="0.3">
      <c r="A2829" s="39">
        <v>46056.64435185185</v>
      </c>
      <c r="B2829" s="33">
        <v>4436351818</v>
      </c>
      <c r="C2829" s="33" t="s">
        <v>37</v>
      </c>
      <c r="D2829" s="33">
        <v>4430265054</v>
      </c>
      <c r="E2829" s="33">
        <v>248</v>
      </c>
      <c r="F2829" s="33">
        <v>212</v>
      </c>
      <c r="G2829" s="33" t="s">
        <v>38</v>
      </c>
      <c r="H2829" s="33" t="s">
        <v>4948</v>
      </c>
      <c r="I2829" s="33" t="s">
        <v>39</v>
      </c>
      <c r="J2829" s="33" t="s">
        <v>40</v>
      </c>
      <c r="K2829" s="33" t="s">
        <v>41</v>
      </c>
      <c r="L2829" s="33">
        <v>5</v>
      </c>
    </row>
    <row r="2830" spans="1:12" hidden="1" x14ac:dyDescent="0.3">
      <c r="A2830" s="39">
        <v>46056.641377314816</v>
      </c>
      <c r="B2830" s="33">
        <v>44997426611</v>
      </c>
      <c r="C2830" s="33" t="s">
        <v>43</v>
      </c>
      <c r="D2830" s="33">
        <v>4430265054</v>
      </c>
      <c r="E2830" s="33">
        <v>438</v>
      </c>
      <c r="F2830" s="33">
        <v>403</v>
      </c>
      <c r="G2830" s="33" t="s">
        <v>38</v>
      </c>
      <c r="H2830" s="33" t="s">
        <v>4949</v>
      </c>
      <c r="I2830" s="33" t="s">
        <v>39</v>
      </c>
      <c r="J2830" s="33" t="s">
        <v>40</v>
      </c>
      <c r="K2830" s="33" t="s">
        <v>41</v>
      </c>
    </row>
    <row r="2831" spans="1:12" x14ac:dyDescent="0.3">
      <c r="A2831" s="39">
        <v>46056.641087962962</v>
      </c>
      <c r="B2831" s="33">
        <v>44991249108</v>
      </c>
      <c r="C2831" s="33" t="s">
        <v>44</v>
      </c>
      <c r="D2831" s="33">
        <v>4430265054</v>
      </c>
      <c r="E2831" s="33">
        <v>1218</v>
      </c>
      <c r="F2831" s="33">
        <v>1172</v>
      </c>
      <c r="G2831" s="33" t="s">
        <v>38</v>
      </c>
      <c r="H2831" s="33" t="s">
        <v>4950</v>
      </c>
      <c r="I2831" s="33" t="s">
        <v>39</v>
      </c>
      <c r="J2831" s="33" t="s">
        <v>40</v>
      </c>
      <c r="K2831" s="33" t="s">
        <v>41</v>
      </c>
      <c r="L2831" s="33">
        <v>5</v>
      </c>
    </row>
    <row r="2832" spans="1:12" hidden="1" x14ac:dyDescent="0.3">
      <c r="A2832" s="39">
        <v>46056.640381944446</v>
      </c>
      <c r="B2832" s="33" t="s">
        <v>5173</v>
      </c>
      <c r="C2832" s="33">
        <v>1732146970</v>
      </c>
      <c r="E2832" s="33">
        <v>862</v>
      </c>
      <c r="F2832" s="33">
        <v>861</v>
      </c>
      <c r="G2832" s="33" t="s">
        <v>38</v>
      </c>
      <c r="H2832" s="33" t="s">
        <v>6419</v>
      </c>
      <c r="I2832" s="33" t="s">
        <v>46</v>
      </c>
      <c r="J2832" s="33" t="s">
        <v>3629</v>
      </c>
    </row>
    <row r="2833" spans="1:11" hidden="1" x14ac:dyDescent="0.3">
      <c r="A2833" s="39">
        <v>46056.64025462963</v>
      </c>
      <c r="B2833" s="33" t="s">
        <v>5173</v>
      </c>
      <c r="C2833" s="33">
        <v>4432146970</v>
      </c>
      <c r="E2833" s="33">
        <v>1</v>
      </c>
      <c r="F2833" s="33">
        <v>0</v>
      </c>
      <c r="G2833" s="33" t="s">
        <v>47</v>
      </c>
      <c r="H2833" s="33" t="s">
        <v>6420</v>
      </c>
      <c r="I2833" s="33" t="s">
        <v>46</v>
      </c>
      <c r="J2833" s="33" t="s">
        <v>3629</v>
      </c>
    </row>
    <row r="2834" spans="1:11" hidden="1" x14ac:dyDescent="0.3">
      <c r="A2834" s="39">
        <v>46056.637523148151</v>
      </c>
      <c r="B2834" s="33" t="s">
        <v>44</v>
      </c>
      <c r="C2834" s="33">
        <v>4330333542</v>
      </c>
      <c r="E2834" s="33">
        <v>102</v>
      </c>
      <c r="F2834" s="33">
        <v>95</v>
      </c>
      <c r="G2834" s="33" t="s">
        <v>38</v>
      </c>
      <c r="H2834" s="33" t="s">
        <v>6421</v>
      </c>
      <c r="I2834" s="33" t="s">
        <v>46</v>
      </c>
      <c r="J2834" s="33" t="s">
        <v>40</v>
      </c>
    </row>
    <row r="2835" spans="1:11" hidden="1" x14ac:dyDescent="0.3">
      <c r="A2835" s="39">
        <v>46056.637175925927</v>
      </c>
      <c r="B2835" s="33">
        <v>4430403880</v>
      </c>
      <c r="C2835" s="33" t="s">
        <v>37</v>
      </c>
      <c r="D2835" s="33">
        <v>4430265054</v>
      </c>
      <c r="E2835" s="33">
        <v>41</v>
      </c>
      <c r="F2835" s="33">
        <v>29</v>
      </c>
      <c r="G2835" s="33" t="s">
        <v>38</v>
      </c>
      <c r="H2835" s="33" t="s">
        <v>4951</v>
      </c>
      <c r="I2835" s="33" t="s">
        <v>39</v>
      </c>
      <c r="J2835" s="33" t="s">
        <v>40</v>
      </c>
      <c r="K2835" s="33" t="s">
        <v>41</v>
      </c>
    </row>
    <row r="2836" spans="1:11" hidden="1" x14ac:dyDescent="0.3">
      <c r="A2836" s="39">
        <v>46056.636550925927</v>
      </c>
      <c r="B2836" s="33" t="s">
        <v>5173</v>
      </c>
      <c r="C2836" s="33">
        <v>4436241591</v>
      </c>
      <c r="E2836" s="33">
        <v>1</v>
      </c>
      <c r="F2836" s="33">
        <v>0</v>
      </c>
      <c r="G2836" s="33" t="s">
        <v>47</v>
      </c>
      <c r="H2836" s="33" t="s">
        <v>6422</v>
      </c>
      <c r="I2836" s="33" t="s">
        <v>46</v>
      </c>
      <c r="J2836" s="33" t="s">
        <v>3629</v>
      </c>
    </row>
    <row r="2837" spans="1:11" hidden="1" x14ac:dyDescent="0.3">
      <c r="A2837" s="39">
        <v>46056.636435185188</v>
      </c>
      <c r="B2837" s="33" t="s">
        <v>5173</v>
      </c>
      <c r="C2837" s="33">
        <v>4436232122</v>
      </c>
      <c r="E2837" s="33">
        <v>0</v>
      </c>
      <c r="F2837" s="33">
        <v>0</v>
      </c>
      <c r="G2837" s="33" t="s">
        <v>47</v>
      </c>
      <c r="H2837" s="33" t="s">
        <v>6423</v>
      </c>
      <c r="I2837" s="33" t="s">
        <v>46</v>
      </c>
      <c r="J2837" s="33" t="s">
        <v>3629</v>
      </c>
    </row>
    <row r="2838" spans="1:11" hidden="1" x14ac:dyDescent="0.3">
      <c r="A2838" s="39">
        <v>46056.635625000003</v>
      </c>
      <c r="B2838" s="33" t="s">
        <v>44</v>
      </c>
      <c r="C2838" s="33">
        <v>4432325260</v>
      </c>
      <c r="E2838" s="33">
        <v>47</v>
      </c>
      <c r="F2838" s="33">
        <v>39</v>
      </c>
      <c r="G2838" s="33" t="s">
        <v>38</v>
      </c>
      <c r="H2838" s="33" t="s">
        <v>6424</v>
      </c>
      <c r="I2838" s="33" t="s">
        <v>46</v>
      </c>
      <c r="J2838" s="33" t="s">
        <v>40</v>
      </c>
    </row>
    <row r="2839" spans="1:11" hidden="1" x14ac:dyDescent="0.3">
      <c r="A2839" s="39">
        <v>46056.635578703703</v>
      </c>
      <c r="B2839" s="33" t="s">
        <v>44</v>
      </c>
      <c r="C2839" s="33">
        <v>4432325260</v>
      </c>
      <c r="E2839" s="33">
        <v>3</v>
      </c>
      <c r="F2839" s="33">
        <v>0</v>
      </c>
      <c r="G2839" s="33" t="s">
        <v>47</v>
      </c>
      <c r="H2839" s="33" t="s">
        <v>6425</v>
      </c>
      <c r="I2839" s="33" t="s">
        <v>46</v>
      </c>
      <c r="J2839" s="33" t="s">
        <v>40</v>
      </c>
    </row>
    <row r="2840" spans="1:11" hidden="1" x14ac:dyDescent="0.3">
      <c r="A2840" s="39">
        <v>46056.635578703703</v>
      </c>
      <c r="B2840" s="33" t="s">
        <v>5173</v>
      </c>
      <c r="C2840" s="33">
        <v>4436232122</v>
      </c>
      <c r="E2840" s="33">
        <v>0</v>
      </c>
      <c r="F2840" s="33">
        <v>0</v>
      </c>
      <c r="G2840" s="33" t="s">
        <v>47</v>
      </c>
      <c r="H2840" s="33" t="s">
        <v>6426</v>
      </c>
      <c r="I2840" s="33" t="s">
        <v>46</v>
      </c>
      <c r="J2840" s="33" t="s">
        <v>3629</v>
      </c>
    </row>
    <row r="2841" spans="1:11" hidden="1" x14ac:dyDescent="0.3">
      <c r="A2841" s="39">
        <v>46056.635300925926</v>
      </c>
      <c r="B2841" s="33" t="s">
        <v>5173</v>
      </c>
      <c r="C2841" s="33">
        <v>4436751451</v>
      </c>
      <c r="E2841" s="33">
        <v>1</v>
      </c>
      <c r="F2841" s="33">
        <v>0</v>
      </c>
      <c r="G2841" s="33" t="s">
        <v>47</v>
      </c>
      <c r="H2841" s="33" t="s">
        <v>6427</v>
      </c>
      <c r="I2841" s="33" t="s">
        <v>46</v>
      </c>
      <c r="J2841" s="33" t="s">
        <v>3629</v>
      </c>
    </row>
    <row r="2842" spans="1:11" hidden="1" x14ac:dyDescent="0.3">
      <c r="A2842" s="39">
        <v>46056.634247685186</v>
      </c>
      <c r="B2842" s="33" t="s">
        <v>3627</v>
      </c>
      <c r="C2842" s="33">
        <v>96999110726</v>
      </c>
      <c r="E2842" s="33">
        <v>19</v>
      </c>
      <c r="F2842" s="33">
        <v>0</v>
      </c>
      <c r="G2842" s="33" t="s">
        <v>47</v>
      </c>
      <c r="H2842" s="33" t="s">
        <v>6428</v>
      </c>
      <c r="I2842" s="33" t="s">
        <v>46</v>
      </c>
      <c r="J2842" s="33" t="s">
        <v>3629</v>
      </c>
    </row>
    <row r="2843" spans="1:11" hidden="1" x14ac:dyDescent="0.3">
      <c r="A2843" s="39">
        <v>46056.632465277777</v>
      </c>
      <c r="B2843" s="33" t="s">
        <v>37</v>
      </c>
      <c r="C2843" s="33">
        <v>4430191401</v>
      </c>
      <c r="E2843" s="33">
        <v>125</v>
      </c>
      <c r="F2843" s="33">
        <v>119</v>
      </c>
      <c r="G2843" s="33" t="s">
        <v>38</v>
      </c>
      <c r="H2843" s="33" t="s">
        <v>6429</v>
      </c>
      <c r="I2843" s="33" t="s">
        <v>46</v>
      </c>
      <c r="J2843" s="33" t="s">
        <v>40</v>
      </c>
    </row>
    <row r="2844" spans="1:11" hidden="1" x14ac:dyDescent="0.3">
      <c r="A2844" s="39">
        <v>46056.630497685182</v>
      </c>
      <c r="B2844" s="33" t="s">
        <v>3873</v>
      </c>
      <c r="E2844" s="33">
        <v>489</v>
      </c>
      <c r="F2844" s="33">
        <v>486</v>
      </c>
      <c r="G2844" s="33" t="s">
        <v>38</v>
      </c>
      <c r="H2844" s="33" t="s">
        <v>6430</v>
      </c>
      <c r="I2844" s="33" t="s">
        <v>46</v>
      </c>
      <c r="J2844" s="33" t="s">
        <v>3451</v>
      </c>
    </row>
    <row r="2845" spans="1:11" hidden="1" x14ac:dyDescent="0.3">
      <c r="A2845" s="39">
        <v>46056.628009259257</v>
      </c>
      <c r="B2845" s="33">
        <v>4431337559</v>
      </c>
      <c r="C2845" s="33" t="s">
        <v>43</v>
      </c>
      <c r="D2845" s="33">
        <v>4430265054</v>
      </c>
      <c r="E2845" s="33">
        <v>737</v>
      </c>
      <c r="F2845" s="33">
        <v>682</v>
      </c>
      <c r="G2845" s="33" t="s">
        <v>38</v>
      </c>
      <c r="H2845" s="33" t="s">
        <v>4952</v>
      </c>
      <c r="I2845" s="33" t="s">
        <v>39</v>
      </c>
      <c r="J2845" s="33" t="s">
        <v>40</v>
      </c>
      <c r="K2845" s="33" t="s">
        <v>41</v>
      </c>
    </row>
    <row r="2846" spans="1:11" hidden="1" x14ac:dyDescent="0.3">
      <c r="A2846" s="39">
        <v>46056.626701388886</v>
      </c>
      <c r="B2846" s="33">
        <v>6234347959</v>
      </c>
      <c r="C2846" s="33" t="s">
        <v>48</v>
      </c>
      <c r="D2846" s="33">
        <v>4430265054</v>
      </c>
      <c r="E2846" s="33">
        <v>726</v>
      </c>
      <c r="F2846" s="33">
        <v>661</v>
      </c>
      <c r="G2846" s="33" t="s">
        <v>38</v>
      </c>
      <c r="H2846" s="33" t="s">
        <v>4953</v>
      </c>
      <c r="I2846" s="33" t="s">
        <v>39</v>
      </c>
      <c r="J2846" s="33" t="s">
        <v>40</v>
      </c>
      <c r="K2846" s="33" t="s">
        <v>41</v>
      </c>
    </row>
    <row r="2847" spans="1:11" hidden="1" x14ac:dyDescent="0.3">
      <c r="A2847" s="39">
        <v>46056.626481481479</v>
      </c>
      <c r="B2847" s="33">
        <v>4432322192</v>
      </c>
      <c r="C2847" s="33" t="s">
        <v>42</v>
      </c>
      <c r="D2847" s="33">
        <v>4430265054</v>
      </c>
      <c r="E2847" s="33">
        <v>270</v>
      </c>
      <c r="F2847" s="33">
        <v>170</v>
      </c>
      <c r="G2847" s="33" t="s">
        <v>38</v>
      </c>
      <c r="H2847" s="33" t="s">
        <v>4954</v>
      </c>
      <c r="I2847" s="33" t="s">
        <v>39</v>
      </c>
      <c r="J2847" s="33" t="s">
        <v>40</v>
      </c>
      <c r="K2847" s="33" t="s">
        <v>41</v>
      </c>
    </row>
    <row r="2848" spans="1:11" hidden="1" x14ac:dyDescent="0.3">
      <c r="A2848" s="39">
        <v>46056.626342592594</v>
      </c>
      <c r="B2848" s="33">
        <v>44997307457</v>
      </c>
      <c r="C2848" s="33" t="s">
        <v>37</v>
      </c>
      <c r="D2848" s="33">
        <v>4430265054</v>
      </c>
      <c r="E2848" s="33">
        <v>449</v>
      </c>
      <c r="F2848" s="33">
        <v>422</v>
      </c>
      <c r="G2848" s="33" t="s">
        <v>38</v>
      </c>
      <c r="H2848" s="33" t="s">
        <v>4955</v>
      </c>
      <c r="I2848" s="33" t="s">
        <v>39</v>
      </c>
      <c r="J2848" s="33" t="s">
        <v>40</v>
      </c>
      <c r="K2848" s="33" t="s">
        <v>41</v>
      </c>
    </row>
    <row r="2849" spans="1:12" hidden="1" x14ac:dyDescent="0.3">
      <c r="A2849" s="39">
        <v>46056.624756944446</v>
      </c>
      <c r="B2849" s="33">
        <v>4432325260</v>
      </c>
      <c r="C2849" s="33" t="s">
        <v>44</v>
      </c>
      <c r="D2849" s="33">
        <v>4430265054</v>
      </c>
      <c r="E2849" s="33">
        <v>260</v>
      </c>
      <c r="F2849" s="33">
        <v>208</v>
      </c>
      <c r="G2849" s="33" t="s">
        <v>38</v>
      </c>
      <c r="H2849" s="33" t="s">
        <v>4956</v>
      </c>
      <c r="I2849" s="33" t="s">
        <v>39</v>
      </c>
      <c r="J2849" s="33" t="s">
        <v>40</v>
      </c>
      <c r="K2849" s="33" t="s">
        <v>41</v>
      </c>
    </row>
    <row r="2850" spans="1:12" hidden="1" x14ac:dyDescent="0.3">
      <c r="A2850" s="39">
        <v>46056.619247685187</v>
      </c>
      <c r="B2850" s="33">
        <v>44998601838</v>
      </c>
      <c r="C2850" s="33" t="s">
        <v>43</v>
      </c>
      <c r="D2850" s="33">
        <v>4430265054</v>
      </c>
      <c r="E2850" s="33">
        <v>723</v>
      </c>
      <c r="F2850" s="33">
        <v>635</v>
      </c>
      <c r="G2850" s="33" t="s">
        <v>38</v>
      </c>
      <c r="H2850" s="33" t="s">
        <v>4957</v>
      </c>
      <c r="I2850" s="33" t="s">
        <v>39</v>
      </c>
      <c r="J2850" s="33" t="s">
        <v>40</v>
      </c>
      <c r="K2850" s="33" t="s">
        <v>41</v>
      </c>
    </row>
    <row r="2851" spans="1:12" hidden="1" x14ac:dyDescent="0.3">
      <c r="A2851" s="39">
        <v>46056.6175</v>
      </c>
      <c r="B2851" s="33">
        <v>4436313274</v>
      </c>
      <c r="C2851" s="33" t="s">
        <v>45</v>
      </c>
      <c r="D2851" s="33">
        <v>4430265054</v>
      </c>
      <c r="E2851" s="33">
        <v>3196</v>
      </c>
      <c r="F2851" s="33">
        <v>3165</v>
      </c>
      <c r="G2851" s="33" t="s">
        <v>38</v>
      </c>
      <c r="H2851" s="33" t="s">
        <v>4958</v>
      </c>
      <c r="I2851" s="33" t="s">
        <v>39</v>
      </c>
      <c r="J2851" s="33" t="s">
        <v>40</v>
      </c>
      <c r="K2851" s="33" t="s">
        <v>41</v>
      </c>
    </row>
    <row r="2852" spans="1:12" hidden="1" x14ac:dyDescent="0.3">
      <c r="A2852" s="39">
        <v>46056.616412037038</v>
      </c>
      <c r="B2852" s="33">
        <v>1139767228</v>
      </c>
      <c r="C2852" s="33" t="s">
        <v>48</v>
      </c>
      <c r="D2852" s="33">
        <v>4430265054</v>
      </c>
      <c r="E2852" s="33">
        <v>540</v>
      </c>
      <c r="F2852" s="33">
        <v>471</v>
      </c>
      <c r="G2852" s="33" t="s">
        <v>38</v>
      </c>
      <c r="H2852" s="33" t="s">
        <v>4959</v>
      </c>
      <c r="I2852" s="33" t="s">
        <v>39</v>
      </c>
      <c r="J2852" s="33" t="s">
        <v>40</v>
      </c>
      <c r="K2852" s="33" t="s">
        <v>41</v>
      </c>
      <c r="L2852" s="33">
        <v>5</v>
      </c>
    </row>
    <row r="2853" spans="1:12" hidden="1" x14ac:dyDescent="0.3">
      <c r="A2853" s="39">
        <v>46056.614791666667</v>
      </c>
      <c r="B2853" s="33">
        <v>4430403880</v>
      </c>
      <c r="C2853" s="33">
        <v>4430265054</v>
      </c>
      <c r="D2853" s="33">
        <v>4430265054</v>
      </c>
      <c r="E2853" s="33">
        <v>205</v>
      </c>
      <c r="F2853" s="33">
        <v>204</v>
      </c>
      <c r="G2853" s="33" t="s">
        <v>3449</v>
      </c>
      <c r="H2853" s="33" t="s">
        <v>4960</v>
      </c>
      <c r="I2853" s="33" t="s">
        <v>39</v>
      </c>
      <c r="J2853" s="33" t="s">
        <v>3451</v>
      </c>
      <c r="K2853" s="33" t="s">
        <v>41</v>
      </c>
    </row>
    <row r="2854" spans="1:12" hidden="1" x14ac:dyDescent="0.3">
      <c r="A2854" s="39">
        <v>46056.614131944443</v>
      </c>
      <c r="B2854" s="33">
        <v>51981405885</v>
      </c>
      <c r="C2854" s="33" t="s">
        <v>3627</v>
      </c>
      <c r="D2854" s="33">
        <v>4430265054</v>
      </c>
      <c r="E2854" s="33">
        <v>140</v>
      </c>
      <c r="F2854" s="33">
        <v>118</v>
      </c>
      <c r="G2854" s="33" t="s">
        <v>38</v>
      </c>
      <c r="H2854" s="33" t="s">
        <v>6431</v>
      </c>
      <c r="I2854" s="33" t="s">
        <v>39</v>
      </c>
      <c r="J2854" s="33" t="s">
        <v>3629</v>
      </c>
      <c r="K2854" s="33" t="s">
        <v>50</v>
      </c>
    </row>
    <row r="2855" spans="1:12" hidden="1" x14ac:dyDescent="0.3">
      <c r="A2855" s="39">
        <v>46056.611122685186</v>
      </c>
      <c r="B2855" s="33">
        <v>47988953223</v>
      </c>
      <c r="C2855" s="33" t="s">
        <v>48</v>
      </c>
      <c r="D2855" s="33">
        <v>4430265054</v>
      </c>
      <c r="E2855" s="33">
        <v>504</v>
      </c>
      <c r="F2855" s="33">
        <v>157</v>
      </c>
      <c r="G2855" s="33" t="s">
        <v>38</v>
      </c>
      <c r="H2855" s="33" t="s">
        <v>4961</v>
      </c>
      <c r="I2855" s="33" t="s">
        <v>39</v>
      </c>
      <c r="J2855" s="33" t="s">
        <v>40</v>
      </c>
      <c r="K2855" s="33" t="s">
        <v>41</v>
      </c>
    </row>
    <row r="2856" spans="1:12" hidden="1" x14ac:dyDescent="0.3">
      <c r="A2856" s="39">
        <v>46056.610868055555</v>
      </c>
      <c r="B2856" s="33">
        <v>44991484476</v>
      </c>
      <c r="C2856" s="33" t="s">
        <v>43</v>
      </c>
      <c r="D2856" s="33">
        <v>4430265054</v>
      </c>
      <c r="E2856" s="33">
        <v>791</v>
      </c>
      <c r="F2856" s="33">
        <v>708</v>
      </c>
      <c r="G2856" s="33" t="s">
        <v>38</v>
      </c>
      <c r="H2856" s="33" t="s">
        <v>4962</v>
      </c>
      <c r="I2856" s="33" t="s">
        <v>39</v>
      </c>
      <c r="J2856" s="33" t="s">
        <v>40</v>
      </c>
      <c r="K2856" s="33" t="s">
        <v>41</v>
      </c>
      <c r="L2856" s="33">
        <v>5</v>
      </c>
    </row>
    <row r="2857" spans="1:12" hidden="1" x14ac:dyDescent="0.3">
      <c r="A2857" s="39">
        <v>46056.609803240739</v>
      </c>
      <c r="B2857" s="33">
        <v>44997123083</v>
      </c>
      <c r="C2857" s="33" t="s">
        <v>42</v>
      </c>
      <c r="D2857" s="33">
        <v>4430265054</v>
      </c>
      <c r="E2857" s="33">
        <v>973</v>
      </c>
      <c r="F2857" s="33">
        <v>822</v>
      </c>
      <c r="G2857" s="33" t="s">
        <v>38</v>
      </c>
      <c r="H2857" s="33" t="s">
        <v>4963</v>
      </c>
      <c r="I2857" s="33" t="s">
        <v>39</v>
      </c>
      <c r="J2857" s="33" t="s">
        <v>40</v>
      </c>
      <c r="K2857" s="33" t="s">
        <v>41</v>
      </c>
      <c r="L2857" s="33">
        <v>5</v>
      </c>
    </row>
    <row r="2858" spans="1:12" hidden="1" x14ac:dyDescent="0.3">
      <c r="A2858" s="39">
        <v>46056.609386574077</v>
      </c>
      <c r="B2858" s="33">
        <v>44988255390</v>
      </c>
      <c r="C2858" s="33">
        <v>4430265054</v>
      </c>
      <c r="D2858" s="33">
        <v>4430265054</v>
      </c>
      <c r="E2858" s="33">
        <v>43</v>
      </c>
      <c r="F2858" s="33">
        <v>43</v>
      </c>
      <c r="G2858" s="33" t="s">
        <v>3449</v>
      </c>
      <c r="H2858" s="33" t="s">
        <v>4964</v>
      </c>
      <c r="I2858" s="33" t="s">
        <v>39</v>
      </c>
      <c r="J2858" s="33" t="s">
        <v>3451</v>
      </c>
      <c r="K2858" s="33" t="s">
        <v>41</v>
      </c>
    </row>
    <row r="2859" spans="1:12" hidden="1" x14ac:dyDescent="0.3">
      <c r="A2859" s="39">
        <v>46056.609293981484</v>
      </c>
      <c r="B2859" s="33" t="s">
        <v>3627</v>
      </c>
      <c r="C2859" s="33">
        <v>11999158720</v>
      </c>
      <c r="E2859" s="33">
        <v>10</v>
      </c>
      <c r="F2859" s="33">
        <v>0</v>
      </c>
      <c r="G2859" s="33" t="s">
        <v>47</v>
      </c>
      <c r="H2859" s="33" t="s">
        <v>6432</v>
      </c>
      <c r="I2859" s="33" t="s">
        <v>46</v>
      </c>
      <c r="J2859" s="33" t="s">
        <v>3629</v>
      </c>
    </row>
    <row r="2860" spans="1:12" hidden="1" x14ac:dyDescent="0.3">
      <c r="A2860" s="39">
        <v>46056.6091087963</v>
      </c>
      <c r="B2860" s="33">
        <v>44997561804</v>
      </c>
      <c r="C2860" s="33" t="s">
        <v>43</v>
      </c>
      <c r="D2860" s="33">
        <v>4430265054</v>
      </c>
      <c r="E2860" s="33">
        <v>218</v>
      </c>
      <c r="F2860" s="33">
        <v>180</v>
      </c>
      <c r="G2860" s="33" t="s">
        <v>38</v>
      </c>
      <c r="H2860" s="33" t="s">
        <v>4965</v>
      </c>
      <c r="I2860" s="33" t="s">
        <v>39</v>
      </c>
      <c r="J2860" s="33" t="s">
        <v>40</v>
      </c>
      <c r="K2860" s="33" t="s">
        <v>41</v>
      </c>
    </row>
    <row r="2861" spans="1:12" hidden="1" x14ac:dyDescent="0.3">
      <c r="A2861" s="39">
        <v>46056.607418981483</v>
      </c>
      <c r="B2861" s="33">
        <v>44999670264</v>
      </c>
      <c r="C2861" s="33" t="s">
        <v>45</v>
      </c>
      <c r="D2861" s="33">
        <v>4430265054</v>
      </c>
      <c r="E2861" s="33">
        <v>815</v>
      </c>
      <c r="F2861" s="33">
        <v>770</v>
      </c>
      <c r="G2861" s="33" t="s">
        <v>38</v>
      </c>
      <c r="H2861" s="33" t="s">
        <v>4966</v>
      </c>
      <c r="I2861" s="33" t="s">
        <v>39</v>
      </c>
      <c r="J2861" s="33" t="s">
        <v>40</v>
      </c>
      <c r="K2861" s="33" t="s">
        <v>41</v>
      </c>
    </row>
    <row r="2862" spans="1:12" hidden="1" x14ac:dyDescent="0.3">
      <c r="A2862" s="39">
        <v>46056.606134259258</v>
      </c>
      <c r="B2862" s="33" t="s">
        <v>48</v>
      </c>
      <c r="C2862" s="33">
        <v>4436249360</v>
      </c>
      <c r="E2862" s="33">
        <v>794</v>
      </c>
      <c r="F2862" s="33">
        <v>781</v>
      </c>
      <c r="G2862" s="33" t="s">
        <v>38</v>
      </c>
      <c r="H2862" s="33" t="s">
        <v>6433</v>
      </c>
      <c r="I2862" s="33" t="s">
        <v>46</v>
      </c>
      <c r="J2862" s="33" t="s">
        <v>40</v>
      </c>
    </row>
    <row r="2863" spans="1:12" hidden="1" x14ac:dyDescent="0.3">
      <c r="A2863" s="39">
        <v>46056.605879629627</v>
      </c>
      <c r="B2863" s="33" t="s">
        <v>48</v>
      </c>
      <c r="C2863" s="33">
        <v>44988255390</v>
      </c>
      <c r="E2863" s="33">
        <v>1</v>
      </c>
      <c r="F2863" s="33">
        <v>0</v>
      </c>
      <c r="G2863" s="33" t="s">
        <v>47</v>
      </c>
      <c r="H2863" s="33" t="s">
        <v>6434</v>
      </c>
      <c r="I2863" s="33" t="s">
        <v>46</v>
      </c>
      <c r="J2863" s="33" t="s">
        <v>40</v>
      </c>
    </row>
    <row r="2864" spans="1:12" hidden="1" x14ac:dyDescent="0.3">
      <c r="A2864" s="39">
        <v>46056.605821759258</v>
      </c>
      <c r="B2864" s="33" t="s">
        <v>48</v>
      </c>
      <c r="C2864" s="33">
        <v>44988255390</v>
      </c>
      <c r="E2864" s="33">
        <v>4</v>
      </c>
      <c r="F2864" s="33">
        <v>0</v>
      </c>
      <c r="G2864" s="33" t="s">
        <v>47</v>
      </c>
      <c r="H2864" s="33" t="s">
        <v>6435</v>
      </c>
      <c r="I2864" s="33" t="s">
        <v>46</v>
      </c>
      <c r="J2864" s="33" t="s">
        <v>40</v>
      </c>
    </row>
    <row r="2865" spans="1:12" hidden="1" x14ac:dyDescent="0.3">
      <c r="A2865" s="39">
        <v>46056.603229166663</v>
      </c>
      <c r="B2865" s="33">
        <v>44988255390</v>
      </c>
      <c r="C2865" s="33" t="s">
        <v>48</v>
      </c>
      <c r="D2865" s="33">
        <v>4430265054</v>
      </c>
      <c r="E2865" s="33">
        <v>195</v>
      </c>
      <c r="F2865" s="33">
        <v>137</v>
      </c>
      <c r="G2865" s="33" t="s">
        <v>38</v>
      </c>
      <c r="H2865" s="33" t="s">
        <v>4967</v>
      </c>
      <c r="I2865" s="33" t="s">
        <v>39</v>
      </c>
      <c r="J2865" s="33" t="s">
        <v>40</v>
      </c>
      <c r="K2865" s="33" t="s">
        <v>41</v>
      </c>
    </row>
    <row r="2866" spans="1:12" hidden="1" x14ac:dyDescent="0.3">
      <c r="A2866" s="39">
        <v>46056.60125</v>
      </c>
      <c r="B2866" s="33">
        <v>4432325260</v>
      </c>
      <c r="C2866" s="33" t="s">
        <v>44</v>
      </c>
      <c r="D2866" s="33">
        <v>4430265054</v>
      </c>
      <c r="E2866" s="33">
        <v>1760</v>
      </c>
      <c r="F2866" s="33">
        <v>1680</v>
      </c>
      <c r="G2866" s="33" t="s">
        <v>38</v>
      </c>
      <c r="H2866" s="33" t="s">
        <v>4968</v>
      </c>
      <c r="I2866" s="33" t="s">
        <v>39</v>
      </c>
      <c r="J2866" s="33" t="s">
        <v>40</v>
      </c>
      <c r="K2866" s="33" t="s">
        <v>41</v>
      </c>
    </row>
    <row r="2867" spans="1:12" hidden="1" x14ac:dyDescent="0.3">
      <c r="A2867" s="39">
        <v>46056.601030092592</v>
      </c>
      <c r="B2867" s="33">
        <v>41996631918</v>
      </c>
      <c r="C2867" s="33" t="s">
        <v>43</v>
      </c>
      <c r="D2867" s="33">
        <v>4430265054</v>
      </c>
      <c r="E2867" s="33">
        <v>419</v>
      </c>
      <c r="F2867" s="33">
        <v>370</v>
      </c>
      <c r="G2867" s="33" t="s">
        <v>38</v>
      </c>
      <c r="H2867" s="33" t="s">
        <v>4969</v>
      </c>
      <c r="I2867" s="33" t="s">
        <v>39</v>
      </c>
      <c r="J2867" s="33" t="s">
        <v>40</v>
      </c>
      <c r="K2867" s="33" t="s">
        <v>41</v>
      </c>
    </row>
    <row r="2868" spans="1:12" hidden="1" x14ac:dyDescent="0.3">
      <c r="A2868" s="39">
        <v>46056.598310185182</v>
      </c>
      <c r="B2868" s="33">
        <v>45999334612</v>
      </c>
      <c r="C2868" s="33" t="s">
        <v>42</v>
      </c>
      <c r="D2868" s="33">
        <v>4430265054</v>
      </c>
      <c r="E2868" s="33">
        <v>1066</v>
      </c>
      <c r="F2868" s="33">
        <v>949</v>
      </c>
      <c r="G2868" s="33" t="s">
        <v>38</v>
      </c>
      <c r="H2868" s="33" t="s">
        <v>4970</v>
      </c>
      <c r="I2868" s="33" t="s">
        <v>39</v>
      </c>
      <c r="J2868" s="33" t="s">
        <v>40</v>
      </c>
      <c r="K2868" s="33" t="s">
        <v>41</v>
      </c>
      <c r="L2868" s="33">
        <v>5</v>
      </c>
    </row>
    <row r="2869" spans="1:12" hidden="1" x14ac:dyDescent="0.3">
      <c r="A2869" s="39">
        <v>46056.597511574073</v>
      </c>
      <c r="B2869" s="33">
        <v>83988398480</v>
      </c>
      <c r="C2869" s="33" t="s">
        <v>37</v>
      </c>
      <c r="D2869" s="33">
        <v>4430265054</v>
      </c>
      <c r="E2869" s="33">
        <v>2301</v>
      </c>
      <c r="F2869" s="33">
        <v>2283</v>
      </c>
      <c r="G2869" s="33" t="s">
        <v>38</v>
      </c>
      <c r="H2869" s="33" t="s">
        <v>4971</v>
      </c>
      <c r="I2869" s="33" t="s">
        <v>39</v>
      </c>
      <c r="J2869" s="33" t="s">
        <v>40</v>
      </c>
      <c r="K2869" s="33" t="s">
        <v>41</v>
      </c>
    </row>
    <row r="2870" spans="1:12" hidden="1" x14ac:dyDescent="0.3">
      <c r="A2870" s="39">
        <v>46056.593715277777</v>
      </c>
      <c r="B2870" s="33">
        <v>45999334612</v>
      </c>
      <c r="C2870" s="33">
        <v>4430265054</v>
      </c>
      <c r="D2870" s="33">
        <v>4430265054</v>
      </c>
      <c r="E2870" s="33">
        <v>84</v>
      </c>
      <c r="F2870" s="33">
        <v>84</v>
      </c>
      <c r="G2870" s="33" t="s">
        <v>3449</v>
      </c>
      <c r="H2870" s="33" t="s">
        <v>4972</v>
      </c>
      <c r="I2870" s="33" t="s">
        <v>39</v>
      </c>
      <c r="J2870" s="33" t="s">
        <v>3451</v>
      </c>
      <c r="K2870" s="33" t="s">
        <v>41</v>
      </c>
    </row>
    <row r="2871" spans="1:12" hidden="1" x14ac:dyDescent="0.3">
      <c r="A2871" s="39">
        <v>46056.58935185185</v>
      </c>
      <c r="B2871" s="33">
        <v>44991041123</v>
      </c>
      <c r="C2871" s="33" t="s">
        <v>48</v>
      </c>
      <c r="D2871" s="33">
        <v>4430265054</v>
      </c>
      <c r="E2871" s="33">
        <v>161</v>
      </c>
      <c r="F2871" s="33">
        <v>142</v>
      </c>
      <c r="G2871" s="33" t="s">
        <v>38</v>
      </c>
      <c r="H2871" s="33" t="s">
        <v>4973</v>
      </c>
      <c r="I2871" s="33" t="s">
        <v>39</v>
      </c>
      <c r="J2871" s="33" t="s">
        <v>40</v>
      </c>
      <c r="K2871" s="33" t="s">
        <v>41</v>
      </c>
    </row>
    <row r="2872" spans="1:12" hidden="1" x14ac:dyDescent="0.3">
      <c r="A2872" s="39">
        <v>46056.58798611111</v>
      </c>
      <c r="B2872" s="33">
        <v>44991041123</v>
      </c>
      <c r="C2872" s="33">
        <v>4430265054</v>
      </c>
      <c r="D2872" s="33">
        <v>4430265054</v>
      </c>
      <c r="E2872" s="33">
        <v>60</v>
      </c>
      <c r="F2872" s="33">
        <v>59</v>
      </c>
      <c r="G2872" s="33" t="s">
        <v>3449</v>
      </c>
      <c r="H2872" s="33" t="s">
        <v>4974</v>
      </c>
      <c r="I2872" s="33" t="s">
        <v>39</v>
      </c>
      <c r="J2872" s="33" t="s">
        <v>3451</v>
      </c>
      <c r="K2872" s="33" t="s">
        <v>41</v>
      </c>
    </row>
    <row r="2873" spans="1:12" x14ac:dyDescent="0.3">
      <c r="A2873" s="39">
        <v>46056.587766203702</v>
      </c>
      <c r="B2873" s="33">
        <v>4435341422</v>
      </c>
      <c r="C2873" s="33" t="s">
        <v>44</v>
      </c>
      <c r="D2873" s="33">
        <v>4430265054</v>
      </c>
      <c r="E2873" s="33">
        <v>343</v>
      </c>
      <c r="F2873" s="33">
        <v>262</v>
      </c>
      <c r="G2873" s="33" t="s">
        <v>38</v>
      </c>
      <c r="H2873" s="33" t="s">
        <v>4975</v>
      </c>
      <c r="I2873" s="33" t="s">
        <v>39</v>
      </c>
      <c r="J2873" s="33" t="s">
        <v>40</v>
      </c>
      <c r="K2873" s="33" t="s">
        <v>41</v>
      </c>
      <c r="L2873" s="33">
        <v>5</v>
      </c>
    </row>
    <row r="2874" spans="1:12" hidden="1" x14ac:dyDescent="0.3">
      <c r="A2874" s="39">
        <v>46056.587210648147</v>
      </c>
      <c r="B2874" s="33">
        <v>4432272377</v>
      </c>
      <c r="C2874" s="33" t="s">
        <v>43</v>
      </c>
      <c r="D2874" s="33">
        <v>4430265054</v>
      </c>
      <c r="E2874" s="33">
        <v>1041</v>
      </c>
      <c r="F2874" s="33">
        <v>999</v>
      </c>
      <c r="G2874" s="33" t="s">
        <v>38</v>
      </c>
      <c r="H2874" s="33" t="s">
        <v>4976</v>
      </c>
      <c r="I2874" s="33" t="s">
        <v>39</v>
      </c>
      <c r="J2874" s="33" t="s">
        <v>40</v>
      </c>
      <c r="K2874" s="33" t="s">
        <v>41</v>
      </c>
    </row>
    <row r="2875" spans="1:12" hidden="1" x14ac:dyDescent="0.3">
      <c r="A2875" s="39">
        <v>46056.587048611109</v>
      </c>
      <c r="B2875" s="33" t="s">
        <v>51</v>
      </c>
      <c r="C2875" s="33">
        <v>11941312262</v>
      </c>
      <c r="E2875" s="33">
        <v>9</v>
      </c>
      <c r="F2875" s="33">
        <v>1</v>
      </c>
      <c r="G2875" s="33" t="s">
        <v>38</v>
      </c>
      <c r="H2875" s="33" t="s">
        <v>6436</v>
      </c>
      <c r="I2875" s="33" t="s">
        <v>46</v>
      </c>
      <c r="J2875" s="33" t="s">
        <v>3629</v>
      </c>
    </row>
    <row r="2876" spans="1:12" hidden="1" x14ac:dyDescent="0.3">
      <c r="A2876" s="39">
        <v>46056.580868055556</v>
      </c>
      <c r="B2876" s="33">
        <v>44998266194</v>
      </c>
      <c r="C2876" s="33" t="s">
        <v>48</v>
      </c>
      <c r="D2876" s="33">
        <v>4430265054</v>
      </c>
      <c r="E2876" s="33">
        <v>294</v>
      </c>
      <c r="F2876" s="33">
        <v>228</v>
      </c>
      <c r="G2876" s="33" t="s">
        <v>38</v>
      </c>
      <c r="H2876" s="33" t="s">
        <v>4977</v>
      </c>
      <c r="I2876" s="33" t="s">
        <v>39</v>
      </c>
      <c r="J2876" s="33" t="s">
        <v>40</v>
      </c>
      <c r="K2876" s="33" t="s">
        <v>41</v>
      </c>
    </row>
    <row r="2877" spans="1:12" hidden="1" x14ac:dyDescent="0.3">
      <c r="A2877" s="39">
        <v>46056.58</v>
      </c>
      <c r="B2877" s="33">
        <v>4432520077</v>
      </c>
      <c r="C2877" s="33" t="s">
        <v>42</v>
      </c>
      <c r="D2877" s="33">
        <v>4430265054</v>
      </c>
      <c r="E2877" s="33">
        <v>887</v>
      </c>
      <c r="F2877" s="33">
        <v>854</v>
      </c>
      <c r="G2877" s="33" t="s">
        <v>38</v>
      </c>
      <c r="H2877" s="33" t="s">
        <v>4978</v>
      </c>
      <c r="I2877" s="33" t="s">
        <v>39</v>
      </c>
      <c r="J2877" s="33" t="s">
        <v>40</v>
      </c>
      <c r="K2877" s="33" t="s">
        <v>41</v>
      </c>
      <c r="L2877" s="33">
        <v>5</v>
      </c>
    </row>
    <row r="2878" spans="1:12" hidden="1" x14ac:dyDescent="0.3">
      <c r="A2878" s="39">
        <v>46056.574942129628</v>
      </c>
      <c r="B2878" s="33">
        <v>1732146970</v>
      </c>
      <c r="C2878" s="33" t="s">
        <v>45</v>
      </c>
      <c r="D2878" s="33">
        <v>4431268225</v>
      </c>
      <c r="E2878" s="33">
        <v>2573</v>
      </c>
      <c r="F2878" s="33">
        <v>2543</v>
      </c>
      <c r="G2878" s="33" t="s">
        <v>38</v>
      </c>
      <c r="H2878" s="33" t="s">
        <v>4979</v>
      </c>
      <c r="I2878" s="33" t="s">
        <v>39</v>
      </c>
      <c r="J2878" s="33" t="s">
        <v>40</v>
      </c>
      <c r="K2878" s="33" t="s">
        <v>41</v>
      </c>
      <c r="L2878" s="33">
        <v>5</v>
      </c>
    </row>
    <row r="2879" spans="1:12" hidden="1" x14ac:dyDescent="0.3">
      <c r="A2879" s="39">
        <v>46056.574502314812</v>
      </c>
      <c r="B2879" s="33">
        <v>1131043888</v>
      </c>
      <c r="C2879" s="33" t="s">
        <v>43</v>
      </c>
      <c r="D2879" s="33">
        <v>4430265054</v>
      </c>
      <c r="E2879" s="33">
        <v>1013</v>
      </c>
      <c r="F2879" s="33">
        <v>988</v>
      </c>
      <c r="G2879" s="33" t="s">
        <v>38</v>
      </c>
      <c r="H2879" s="33" t="s">
        <v>4980</v>
      </c>
      <c r="I2879" s="33" t="s">
        <v>39</v>
      </c>
      <c r="J2879" s="33" t="s">
        <v>40</v>
      </c>
      <c r="K2879" s="33" t="s">
        <v>41</v>
      </c>
    </row>
    <row r="2880" spans="1:12" hidden="1" x14ac:dyDescent="0.3">
      <c r="A2880" s="39">
        <v>46056.574016203704</v>
      </c>
      <c r="B2880" s="33">
        <v>43991364602</v>
      </c>
      <c r="C2880" s="33" t="s">
        <v>44</v>
      </c>
      <c r="D2880" s="33">
        <v>4430265054</v>
      </c>
      <c r="E2880" s="33">
        <v>876</v>
      </c>
      <c r="F2880" s="33">
        <v>829</v>
      </c>
      <c r="G2880" s="33" t="s">
        <v>38</v>
      </c>
      <c r="H2880" s="33" t="s">
        <v>4981</v>
      </c>
      <c r="I2880" s="33" t="s">
        <v>39</v>
      </c>
      <c r="J2880" s="33" t="s">
        <v>40</v>
      </c>
      <c r="K2880" s="33" t="s">
        <v>41</v>
      </c>
    </row>
    <row r="2881" spans="1:12" hidden="1" x14ac:dyDescent="0.3">
      <c r="A2881" s="39">
        <v>46056.569652777776</v>
      </c>
      <c r="B2881" s="33">
        <v>4430191401</v>
      </c>
      <c r="C2881" s="33" t="s">
        <v>37</v>
      </c>
      <c r="D2881" s="33">
        <v>4430265054</v>
      </c>
      <c r="E2881" s="33">
        <v>1971</v>
      </c>
      <c r="F2881" s="33">
        <v>1858</v>
      </c>
      <c r="G2881" s="33" t="s">
        <v>38</v>
      </c>
      <c r="H2881" s="33" t="s">
        <v>4982</v>
      </c>
      <c r="I2881" s="33" t="s">
        <v>39</v>
      </c>
      <c r="J2881" s="33" t="s">
        <v>40</v>
      </c>
      <c r="K2881" s="33" t="s">
        <v>41</v>
      </c>
    </row>
    <row r="2882" spans="1:12" hidden="1" x14ac:dyDescent="0.3">
      <c r="A2882" s="39">
        <v>46056.559166666666</v>
      </c>
      <c r="B2882" s="33">
        <v>44999670264</v>
      </c>
      <c r="C2882" s="33">
        <v>4430265054</v>
      </c>
      <c r="D2882" s="33">
        <v>4430265054</v>
      </c>
      <c r="E2882" s="33">
        <v>16</v>
      </c>
      <c r="F2882" s="33">
        <v>15</v>
      </c>
      <c r="G2882" s="33" t="s">
        <v>3449</v>
      </c>
      <c r="H2882" s="33" t="s">
        <v>6437</v>
      </c>
      <c r="I2882" s="33" t="s">
        <v>39</v>
      </c>
      <c r="J2882" s="33" t="s">
        <v>3451</v>
      </c>
    </row>
    <row r="2883" spans="1:12" hidden="1" x14ac:dyDescent="0.3">
      <c r="A2883" s="39">
        <v>46056.534247685187</v>
      </c>
      <c r="B2883" s="33">
        <v>41996631918</v>
      </c>
      <c r="C2883" s="33">
        <v>4430265054</v>
      </c>
      <c r="D2883" s="33">
        <v>4430265054</v>
      </c>
      <c r="E2883" s="33">
        <v>16</v>
      </c>
      <c r="F2883" s="33">
        <v>15</v>
      </c>
      <c r="G2883" s="33" t="s">
        <v>3449</v>
      </c>
      <c r="H2883" s="33" t="s">
        <v>6438</v>
      </c>
      <c r="I2883" s="33" t="s">
        <v>39</v>
      </c>
      <c r="J2883" s="33" t="s">
        <v>3451</v>
      </c>
    </row>
    <row r="2884" spans="1:12" hidden="1" x14ac:dyDescent="0.3">
      <c r="A2884" s="39">
        <v>46056.4925</v>
      </c>
      <c r="B2884" s="33" t="s">
        <v>3627</v>
      </c>
      <c r="C2884" s="33">
        <v>85989745024</v>
      </c>
      <c r="E2884" s="33">
        <v>22</v>
      </c>
      <c r="F2884" s="33">
        <v>0</v>
      </c>
      <c r="G2884" s="33" t="s">
        <v>47</v>
      </c>
      <c r="H2884" s="33" t="s">
        <v>6439</v>
      </c>
      <c r="I2884" s="33" t="s">
        <v>46</v>
      </c>
      <c r="J2884" s="33" t="s">
        <v>3629</v>
      </c>
    </row>
    <row r="2885" spans="1:12" hidden="1" x14ac:dyDescent="0.3">
      <c r="A2885" s="39">
        <v>46056.492094907408</v>
      </c>
      <c r="B2885" s="33">
        <v>44988255390</v>
      </c>
      <c r="C2885" s="33" t="s">
        <v>37</v>
      </c>
      <c r="D2885" s="33">
        <v>4430265054</v>
      </c>
      <c r="E2885" s="33">
        <v>690</v>
      </c>
      <c r="F2885" s="33">
        <v>648</v>
      </c>
      <c r="G2885" s="33" t="s">
        <v>38</v>
      </c>
      <c r="H2885" s="33" t="s">
        <v>4983</v>
      </c>
      <c r="I2885" s="33" t="s">
        <v>39</v>
      </c>
      <c r="J2885" s="33" t="s">
        <v>40</v>
      </c>
      <c r="K2885" s="33" t="s">
        <v>41</v>
      </c>
    </row>
    <row r="2886" spans="1:12" hidden="1" x14ac:dyDescent="0.3">
      <c r="A2886" s="39">
        <v>46056.491412037038</v>
      </c>
      <c r="B2886" s="33" t="s">
        <v>3627</v>
      </c>
      <c r="C2886" s="33">
        <v>65999712363</v>
      </c>
      <c r="E2886" s="33">
        <v>2</v>
      </c>
      <c r="F2886" s="33">
        <v>0</v>
      </c>
      <c r="G2886" s="33" t="s">
        <v>47</v>
      </c>
      <c r="H2886" s="33" t="s">
        <v>6440</v>
      </c>
      <c r="I2886" s="33" t="s">
        <v>46</v>
      </c>
      <c r="J2886" s="33" t="s">
        <v>3629</v>
      </c>
    </row>
    <row r="2887" spans="1:12" hidden="1" x14ac:dyDescent="0.3">
      <c r="A2887" s="39">
        <v>46056.489178240743</v>
      </c>
      <c r="B2887" s="33" t="s">
        <v>3627</v>
      </c>
      <c r="C2887" s="33">
        <v>21975904559</v>
      </c>
      <c r="E2887" s="33">
        <v>37</v>
      </c>
      <c r="F2887" s="33">
        <v>0</v>
      </c>
      <c r="G2887" s="33" t="s">
        <v>47</v>
      </c>
      <c r="H2887" s="33" t="s">
        <v>6441</v>
      </c>
      <c r="I2887" s="33" t="s">
        <v>46</v>
      </c>
      <c r="J2887" s="33" t="s">
        <v>3629</v>
      </c>
    </row>
    <row r="2888" spans="1:12" hidden="1" x14ac:dyDescent="0.3">
      <c r="A2888" s="39">
        <v>46056.478715277779</v>
      </c>
      <c r="B2888" s="33">
        <v>4331622700</v>
      </c>
      <c r="C2888" s="33" t="s">
        <v>43</v>
      </c>
      <c r="D2888" s="33">
        <v>4430265054</v>
      </c>
      <c r="E2888" s="33">
        <v>231</v>
      </c>
      <c r="F2888" s="33">
        <v>184</v>
      </c>
      <c r="G2888" s="33" t="s">
        <v>38</v>
      </c>
      <c r="H2888" s="33" t="s">
        <v>4984</v>
      </c>
      <c r="I2888" s="33" t="s">
        <v>39</v>
      </c>
      <c r="J2888" s="33" t="s">
        <v>40</v>
      </c>
      <c r="K2888" s="33" t="s">
        <v>41</v>
      </c>
    </row>
    <row r="2889" spans="1:12" hidden="1" x14ac:dyDescent="0.3">
      <c r="A2889" s="39">
        <v>46056.47314814815</v>
      </c>
      <c r="B2889" s="33">
        <v>44997426611</v>
      </c>
      <c r="C2889" s="33" t="s">
        <v>37</v>
      </c>
      <c r="D2889" s="33">
        <v>4430265054</v>
      </c>
      <c r="E2889" s="33">
        <v>378</v>
      </c>
      <c r="F2889" s="33">
        <v>330</v>
      </c>
      <c r="G2889" s="33" t="s">
        <v>38</v>
      </c>
      <c r="H2889" s="33" t="s">
        <v>4985</v>
      </c>
      <c r="I2889" s="33" t="s">
        <v>39</v>
      </c>
      <c r="J2889" s="33" t="s">
        <v>40</v>
      </c>
      <c r="K2889" s="33" t="s">
        <v>41</v>
      </c>
      <c r="L2889" s="33">
        <v>5</v>
      </c>
    </row>
    <row r="2890" spans="1:12" hidden="1" x14ac:dyDescent="0.3">
      <c r="A2890" s="39">
        <v>46056.471666666665</v>
      </c>
      <c r="B2890" s="33">
        <v>44998636008</v>
      </c>
      <c r="C2890" s="33" t="s">
        <v>44</v>
      </c>
      <c r="D2890" s="33">
        <v>4430265054</v>
      </c>
      <c r="E2890" s="33">
        <v>472</v>
      </c>
      <c r="F2890" s="33">
        <v>434</v>
      </c>
      <c r="G2890" s="33" t="s">
        <v>38</v>
      </c>
      <c r="H2890" s="33" t="s">
        <v>4986</v>
      </c>
      <c r="I2890" s="33" t="s">
        <v>39</v>
      </c>
      <c r="J2890" s="33" t="s">
        <v>40</v>
      </c>
      <c r="K2890" s="33" t="s">
        <v>41</v>
      </c>
    </row>
    <row r="2891" spans="1:12" hidden="1" x14ac:dyDescent="0.3">
      <c r="A2891" s="39">
        <v>46056.468182870369</v>
      </c>
      <c r="B2891" s="33">
        <v>4430289556</v>
      </c>
      <c r="C2891" s="33" t="s">
        <v>45</v>
      </c>
      <c r="D2891" s="33">
        <v>4430265054</v>
      </c>
      <c r="E2891" s="33">
        <v>461</v>
      </c>
      <c r="F2891" s="33">
        <v>431</v>
      </c>
      <c r="G2891" s="33" t="s">
        <v>38</v>
      </c>
      <c r="H2891" s="33" t="s">
        <v>4987</v>
      </c>
      <c r="I2891" s="33" t="s">
        <v>39</v>
      </c>
      <c r="J2891" s="33" t="s">
        <v>40</v>
      </c>
      <c r="K2891" s="33" t="s">
        <v>41</v>
      </c>
    </row>
    <row r="2892" spans="1:12" hidden="1" x14ac:dyDescent="0.3">
      <c r="A2892" s="39">
        <v>46056.463356481479</v>
      </c>
      <c r="B2892" s="33">
        <v>45999211357</v>
      </c>
      <c r="C2892" s="33" t="s">
        <v>43</v>
      </c>
      <c r="D2892" s="33">
        <v>4431268225</v>
      </c>
      <c r="E2892" s="33">
        <v>518</v>
      </c>
      <c r="F2892" s="33">
        <v>492</v>
      </c>
      <c r="G2892" s="33" t="s">
        <v>38</v>
      </c>
      <c r="H2892" s="33" t="s">
        <v>4988</v>
      </c>
      <c r="I2892" s="33" t="s">
        <v>39</v>
      </c>
      <c r="J2892" s="33" t="s">
        <v>40</v>
      </c>
      <c r="K2892" s="33" t="s">
        <v>41</v>
      </c>
    </row>
    <row r="2893" spans="1:12" hidden="1" x14ac:dyDescent="0.3">
      <c r="A2893" s="39">
        <v>46056.463321759256</v>
      </c>
      <c r="B2893" s="33">
        <v>4432520077</v>
      </c>
      <c r="C2893" s="33" t="s">
        <v>42</v>
      </c>
      <c r="D2893" s="33">
        <v>4430265054</v>
      </c>
      <c r="E2893" s="33">
        <v>1347</v>
      </c>
      <c r="F2893" s="33">
        <v>1269</v>
      </c>
      <c r="G2893" s="33" t="s">
        <v>38</v>
      </c>
      <c r="H2893" s="33" t="s">
        <v>4989</v>
      </c>
      <c r="I2893" s="33" t="s">
        <v>39</v>
      </c>
      <c r="J2893" s="33" t="s">
        <v>40</v>
      </c>
      <c r="K2893" s="33" t="s">
        <v>41</v>
      </c>
      <c r="L2893" s="33">
        <v>5</v>
      </c>
    </row>
    <row r="2894" spans="1:12" hidden="1" x14ac:dyDescent="0.3">
      <c r="A2894" s="39">
        <v>46056.462071759262</v>
      </c>
      <c r="B2894" s="33">
        <v>4430191401</v>
      </c>
      <c r="C2894" s="33" t="s">
        <v>37</v>
      </c>
      <c r="D2894" s="33">
        <v>4430265054</v>
      </c>
      <c r="E2894" s="33">
        <v>584</v>
      </c>
      <c r="F2894" s="33">
        <v>473</v>
      </c>
      <c r="G2894" s="33" t="s">
        <v>38</v>
      </c>
      <c r="H2894" s="33" t="s">
        <v>4990</v>
      </c>
      <c r="I2894" s="33" t="s">
        <v>39</v>
      </c>
      <c r="J2894" s="33" t="s">
        <v>40</v>
      </c>
      <c r="K2894" s="33" t="s">
        <v>41</v>
      </c>
      <c r="L2894" s="33">
        <v>5</v>
      </c>
    </row>
    <row r="2895" spans="1:12" hidden="1" x14ac:dyDescent="0.3">
      <c r="A2895" s="39">
        <v>46056.455949074072</v>
      </c>
      <c r="B2895" s="33">
        <v>44997426611</v>
      </c>
      <c r="C2895" s="33">
        <v>4430265054</v>
      </c>
      <c r="D2895" s="33">
        <v>4430265054</v>
      </c>
      <c r="E2895" s="33">
        <v>12</v>
      </c>
      <c r="F2895" s="33">
        <v>12</v>
      </c>
      <c r="G2895" s="33" t="s">
        <v>3449</v>
      </c>
      <c r="H2895" s="33" t="s">
        <v>6442</v>
      </c>
      <c r="I2895" s="33" t="s">
        <v>39</v>
      </c>
      <c r="J2895" s="33" t="s">
        <v>3451</v>
      </c>
    </row>
    <row r="2896" spans="1:12" hidden="1" x14ac:dyDescent="0.3">
      <c r="A2896" s="39">
        <v>46056.454398148147</v>
      </c>
      <c r="B2896" s="33">
        <v>4436351835</v>
      </c>
      <c r="C2896" s="33" t="s">
        <v>45</v>
      </c>
      <c r="D2896" s="33">
        <v>4430265054</v>
      </c>
      <c r="E2896" s="33">
        <v>664</v>
      </c>
      <c r="F2896" s="33">
        <v>507</v>
      </c>
      <c r="G2896" s="33" t="s">
        <v>38</v>
      </c>
      <c r="H2896" s="33" t="s">
        <v>4991</v>
      </c>
      <c r="I2896" s="33" t="s">
        <v>39</v>
      </c>
      <c r="J2896" s="33" t="s">
        <v>40</v>
      </c>
      <c r="K2896" s="33" t="s">
        <v>41</v>
      </c>
      <c r="L2896" s="33">
        <v>5</v>
      </c>
    </row>
    <row r="2897" spans="1:12" hidden="1" x14ac:dyDescent="0.3">
      <c r="A2897" s="39">
        <v>46056.4530787037</v>
      </c>
      <c r="B2897" s="33" t="s">
        <v>45</v>
      </c>
      <c r="C2897" s="33">
        <v>4430317020</v>
      </c>
      <c r="E2897" s="33">
        <v>209</v>
      </c>
      <c r="F2897" s="33">
        <v>197</v>
      </c>
      <c r="G2897" s="33" t="s">
        <v>38</v>
      </c>
      <c r="H2897" s="33" t="s">
        <v>6443</v>
      </c>
      <c r="I2897" s="33" t="s">
        <v>46</v>
      </c>
      <c r="J2897" s="33" t="s">
        <v>40</v>
      </c>
    </row>
    <row r="2898" spans="1:12" hidden="1" x14ac:dyDescent="0.3">
      <c r="A2898" s="39">
        <v>46056.452557870369</v>
      </c>
      <c r="B2898" s="33" t="s">
        <v>48</v>
      </c>
      <c r="C2898" s="33">
        <v>4430153305</v>
      </c>
      <c r="E2898" s="33">
        <v>68</v>
      </c>
      <c r="F2898" s="33">
        <v>56</v>
      </c>
      <c r="G2898" s="33" t="s">
        <v>38</v>
      </c>
      <c r="H2898" s="33" t="s">
        <v>6444</v>
      </c>
      <c r="I2898" s="33" t="s">
        <v>46</v>
      </c>
      <c r="J2898" s="33" t="s">
        <v>40</v>
      </c>
    </row>
    <row r="2899" spans="1:12" hidden="1" x14ac:dyDescent="0.3">
      <c r="A2899" s="39">
        <v>46056.445150462961</v>
      </c>
      <c r="B2899" s="33">
        <v>4433235524</v>
      </c>
      <c r="C2899" s="33" t="s">
        <v>44</v>
      </c>
      <c r="D2899" s="33">
        <v>4430265054</v>
      </c>
      <c r="E2899" s="33">
        <v>1980</v>
      </c>
      <c r="F2899" s="33">
        <v>1927</v>
      </c>
      <c r="G2899" s="33" t="s">
        <v>38</v>
      </c>
      <c r="H2899" s="33" t="s">
        <v>4992</v>
      </c>
      <c r="I2899" s="33" t="s">
        <v>39</v>
      </c>
      <c r="J2899" s="33" t="s">
        <v>40</v>
      </c>
      <c r="K2899" s="33" t="s">
        <v>41</v>
      </c>
    </row>
    <row r="2900" spans="1:12" hidden="1" x14ac:dyDescent="0.3">
      <c r="A2900" s="39">
        <v>46056.444224537037</v>
      </c>
      <c r="B2900" s="33">
        <v>4432520077</v>
      </c>
      <c r="C2900" s="33" t="s">
        <v>42</v>
      </c>
      <c r="D2900" s="33">
        <v>4430265054</v>
      </c>
      <c r="E2900" s="33">
        <v>956</v>
      </c>
      <c r="F2900" s="33">
        <v>912</v>
      </c>
      <c r="G2900" s="33" t="s">
        <v>38</v>
      </c>
      <c r="H2900" s="33" t="s">
        <v>4993</v>
      </c>
      <c r="I2900" s="33" t="s">
        <v>39</v>
      </c>
      <c r="J2900" s="33" t="s">
        <v>40</v>
      </c>
      <c r="K2900" s="33" t="s">
        <v>41</v>
      </c>
      <c r="L2900" s="33">
        <v>5</v>
      </c>
    </row>
    <row r="2901" spans="1:12" hidden="1" x14ac:dyDescent="0.3">
      <c r="A2901" s="39">
        <v>46056.443935185183</v>
      </c>
      <c r="B2901" s="33">
        <v>44991484476</v>
      </c>
      <c r="C2901" s="33" t="s">
        <v>43</v>
      </c>
      <c r="D2901" s="33">
        <v>4430265054</v>
      </c>
      <c r="E2901" s="33">
        <v>845</v>
      </c>
      <c r="F2901" s="33">
        <v>800</v>
      </c>
      <c r="G2901" s="33" t="s">
        <v>38</v>
      </c>
      <c r="H2901" s="33" t="s">
        <v>4994</v>
      </c>
      <c r="I2901" s="33" t="s">
        <v>39</v>
      </c>
      <c r="J2901" s="33" t="s">
        <v>40</v>
      </c>
      <c r="K2901" s="33" t="s">
        <v>41</v>
      </c>
      <c r="L2901" s="33">
        <v>5</v>
      </c>
    </row>
    <row r="2902" spans="1:12" hidden="1" x14ac:dyDescent="0.3">
      <c r="A2902" s="39">
        <v>46056.442372685182</v>
      </c>
      <c r="B2902" s="33">
        <v>4435228300</v>
      </c>
      <c r="C2902" s="33" t="s">
        <v>37</v>
      </c>
      <c r="D2902" s="33">
        <v>4430265054</v>
      </c>
      <c r="E2902" s="33">
        <v>1200</v>
      </c>
      <c r="F2902" s="33">
        <v>1086</v>
      </c>
      <c r="G2902" s="33" t="s">
        <v>38</v>
      </c>
      <c r="H2902" s="33" t="s">
        <v>4995</v>
      </c>
      <c r="I2902" s="33" t="s">
        <v>39</v>
      </c>
      <c r="J2902" s="33" t="s">
        <v>40</v>
      </c>
      <c r="K2902" s="33" t="s">
        <v>41</v>
      </c>
    </row>
    <row r="2903" spans="1:12" hidden="1" x14ac:dyDescent="0.3">
      <c r="A2903" s="39">
        <v>46056.441296296296</v>
      </c>
      <c r="B2903" s="33">
        <v>4330333542</v>
      </c>
      <c r="C2903" s="33" t="s">
        <v>44</v>
      </c>
      <c r="D2903" s="33">
        <v>4430265054</v>
      </c>
      <c r="E2903" s="33">
        <v>310</v>
      </c>
      <c r="F2903" s="33">
        <v>272</v>
      </c>
      <c r="G2903" s="33" t="s">
        <v>38</v>
      </c>
      <c r="H2903" s="33" t="s">
        <v>4996</v>
      </c>
      <c r="I2903" s="33" t="s">
        <v>39</v>
      </c>
      <c r="J2903" s="33" t="s">
        <v>40</v>
      </c>
      <c r="K2903" s="33" t="s">
        <v>41</v>
      </c>
    </row>
    <row r="2904" spans="1:12" hidden="1" x14ac:dyDescent="0.3">
      <c r="A2904" s="39">
        <v>46056.425567129627</v>
      </c>
      <c r="B2904" s="33">
        <v>44988303530</v>
      </c>
      <c r="C2904" s="33" t="s">
        <v>43</v>
      </c>
      <c r="D2904" s="33">
        <v>4430265054</v>
      </c>
      <c r="E2904" s="33">
        <v>222</v>
      </c>
      <c r="F2904" s="33">
        <v>146</v>
      </c>
      <c r="G2904" s="33" t="s">
        <v>38</v>
      </c>
      <c r="H2904" s="33" t="s">
        <v>4997</v>
      </c>
      <c r="I2904" s="33" t="s">
        <v>39</v>
      </c>
      <c r="J2904" s="33" t="s">
        <v>40</v>
      </c>
      <c r="K2904" s="33" t="s">
        <v>41</v>
      </c>
    </row>
    <row r="2905" spans="1:12" hidden="1" x14ac:dyDescent="0.3">
      <c r="A2905" s="39">
        <v>46056.42527777778</v>
      </c>
      <c r="B2905" s="33">
        <v>4432269849</v>
      </c>
      <c r="C2905" s="33" t="s">
        <v>45</v>
      </c>
      <c r="D2905" s="33">
        <v>4430265054</v>
      </c>
      <c r="E2905" s="33">
        <v>1050</v>
      </c>
      <c r="F2905" s="33">
        <v>972</v>
      </c>
      <c r="G2905" s="33" t="s">
        <v>38</v>
      </c>
      <c r="H2905" s="33" t="s">
        <v>4998</v>
      </c>
      <c r="I2905" s="33" t="s">
        <v>39</v>
      </c>
      <c r="J2905" s="33" t="s">
        <v>40</v>
      </c>
      <c r="K2905" s="33" t="s">
        <v>41</v>
      </c>
      <c r="L2905" s="33">
        <v>5</v>
      </c>
    </row>
    <row r="2906" spans="1:12" hidden="1" x14ac:dyDescent="0.3">
      <c r="A2906" s="39">
        <v>46056.421076388891</v>
      </c>
      <c r="B2906" s="33">
        <v>1122198747</v>
      </c>
      <c r="C2906" s="33" t="s">
        <v>3627</v>
      </c>
      <c r="D2906" s="33">
        <v>4430265054</v>
      </c>
      <c r="E2906" s="33">
        <v>168</v>
      </c>
      <c r="F2906" s="33">
        <v>143</v>
      </c>
      <c r="G2906" s="33" t="s">
        <v>38</v>
      </c>
      <c r="H2906" s="33" t="s">
        <v>6445</v>
      </c>
      <c r="I2906" s="33" t="s">
        <v>39</v>
      </c>
      <c r="J2906" s="33" t="s">
        <v>3629</v>
      </c>
      <c r="K2906" s="33" t="s">
        <v>50</v>
      </c>
    </row>
    <row r="2907" spans="1:12" hidden="1" x14ac:dyDescent="0.3">
      <c r="A2907" s="39">
        <v>46056.418622685182</v>
      </c>
      <c r="B2907" s="33" t="s">
        <v>5173</v>
      </c>
      <c r="C2907" s="33">
        <v>4130104590</v>
      </c>
      <c r="E2907" s="33">
        <v>35</v>
      </c>
      <c r="F2907" s="33">
        <v>29</v>
      </c>
      <c r="G2907" s="33" t="s">
        <v>38</v>
      </c>
      <c r="H2907" s="33" t="s">
        <v>6446</v>
      </c>
      <c r="I2907" s="33" t="s">
        <v>46</v>
      </c>
      <c r="J2907" s="33" t="s">
        <v>3629</v>
      </c>
    </row>
    <row r="2908" spans="1:12" hidden="1" x14ac:dyDescent="0.3">
      <c r="A2908" s="39">
        <v>46056.418483796297</v>
      </c>
      <c r="B2908" s="33" t="s">
        <v>5173</v>
      </c>
      <c r="C2908" s="33">
        <v>4130221762</v>
      </c>
      <c r="E2908" s="33">
        <v>0</v>
      </c>
      <c r="F2908" s="33">
        <v>0</v>
      </c>
      <c r="G2908" s="33" t="s">
        <v>47</v>
      </c>
      <c r="H2908" s="33" t="s">
        <v>6447</v>
      </c>
      <c r="I2908" s="33" t="s">
        <v>46</v>
      </c>
      <c r="J2908" s="33" t="s">
        <v>3629</v>
      </c>
    </row>
    <row r="2909" spans="1:12" hidden="1" x14ac:dyDescent="0.3">
      <c r="A2909" s="39">
        <v>46056.415092592593</v>
      </c>
      <c r="B2909" s="33">
        <v>62991155122</v>
      </c>
      <c r="C2909" s="33" t="s">
        <v>48</v>
      </c>
      <c r="D2909" s="33">
        <v>4430265054</v>
      </c>
      <c r="E2909" s="33">
        <v>602</v>
      </c>
      <c r="F2909" s="33">
        <v>602</v>
      </c>
      <c r="G2909" s="33" t="s">
        <v>38</v>
      </c>
      <c r="H2909" s="33" t="s">
        <v>4999</v>
      </c>
      <c r="I2909" s="33" t="s">
        <v>39</v>
      </c>
      <c r="J2909" s="33" t="s">
        <v>40</v>
      </c>
      <c r="K2909" s="33" t="s">
        <v>41</v>
      </c>
    </row>
    <row r="2910" spans="1:12" hidden="1" x14ac:dyDescent="0.3">
      <c r="A2910" s="39">
        <v>46056.414953703701</v>
      </c>
      <c r="B2910" s="33">
        <v>4432272377</v>
      </c>
      <c r="C2910" s="33" t="s">
        <v>37</v>
      </c>
      <c r="D2910" s="33">
        <v>4430265054</v>
      </c>
      <c r="E2910" s="33">
        <v>475</v>
      </c>
      <c r="F2910" s="33">
        <v>376</v>
      </c>
      <c r="G2910" s="33" t="s">
        <v>38</v>
      </c>
      <c r="H2910" s="33" t="s">
        <v>5000</v>
      </c>
      <c r="I2910" s="33" t="s">
        <v>39</v>
      </c>
      <c r="J2910" s="33" t="s">
        <v>40</v>
      </c>
      <c r="K2910" s="33" t="s">
        <v>41</v>
      </c>
      <c r="L2910" s="33">
        <v>5</v>
      </c>
    </row>
    <row r="2911" spans="1:12" hidden="1" x14ac:dyDescent="0.3">
      <c r="A2911" s="39">
        <v>46056.409259259257</v>
      </c>
      <c r="B2911" s="33">
        <v>44991232686</v>
      </c>
      <c r="C2911" s="33">
        <v>4430265054</v>
      </c>
      <c r="D2911" s="33">
        <v>4430265054</v>
      </c>
      <c r="E2911" s="33">
        <v>20</v>
      </c>
      <c r="F2911" s="33">
        <v>19</v>
      </c>
      <c r="G2911" s="33" t="s">
        <v>3449</v>
      </c>
      <c r="H2911" s="33" t="s">
        <v>6448</v>
      </c>
      <c r="I2911" s="33" t="s">
        <v>39</v>
      </c>
      <c r="J2911" s="33" t="s">
        <v>3451</v>
      </c>
    </row>
    <row r="2912" spans="1:12" hidden="1" x14ac:dyDescent="0.3">
      <c r="A2912" s="39">
        <v>46056.408229166664</v>
      </c>
      <c r="B2912" s="33" t="s">
        <v>3627</v>
      </c>
      <c r="C2912" s="33">
        <v>44999664300</v>
      </c>
      <c r="E2912" s="33">
        <v>1</v>
      </c>
      <c r="F2912" s="33">
        <v>0</v>
      </c>
      <c r="G2912" s="33" t="s">
        <v>47</v>
      </c>
      <c r="H2912" s="33" t="s">
        <v>6449</v>
      </c>
      <c r="I2912" s="33" t="s">
        <v>46</v>
      </c>
      <c r="J2912" s="33" t="s">
        <v>3629</v>
      </c>
    </row>
    <row r="2913" spans="1:12" hidden="1" x14ac:dyDescent="0.3">
      <c r="A2913" s="39">
        <v>46056.405532407407</v>
      </c>
      <c r="B2913" s="33">
        <v>44988255390</v>
      </c>
      <c r="C2913" s="33" t="s">
        <v>42</v>
      </c>
      <c r="D2913" s="33">
        <v>4430265054</v>
      </c>
      <c r="E2913" s="33">
        <v>1636</v>
      </c>
      <c r="F2913" s="33">
        <v>1439</v>
      </c>
      <c r="G2913" s="33" t="s">
        <v>38</v>
      </c>
      <c r="H2913" s="33" t="s">
        <v>5001</v>
      </c>
      <c r="I2913" s="33" t="s">
        <v>39</v>
      </c>
      <c r="J2913" s="33" t="s">
        <v>40</v>
      </c>
      <c r="K2913" s="33" t="s">
        <v>41</v>
      </c>
    </row>
    <row r="2914" spans="1:12" hidden="1" x14ac:dyDescent="0.3">
      <c r="A2914" s="39">
        <v>46056.39570601852</v>
      </c>
      <c r="B2914" s="33">
        <v>4133491428</v>
      </c>
      <c r="C2914" s="33" t="s">
        <v>48</v>
      </c>
      <c r="D2914" s="33">
        <v>4430265054</v>
      </c>
      <c r="E2914" s="33">
        <v>429</v>
      </c>
      <c r="F2914" s="33">
        <v>428</v>
      </c>
      <c r="G2914" s="33" t="s">
        <v>38</v>
      </c>
      <c r="H2914" s="33" t="s">
        <v>5002</v>
      </c>
      <c r="I2914" s="33" t="s">
        <v>39</v>
      </c>
      <c r="J2914" s="33" t="s">
        <v>40</v>
      </c>
      <c r="K2914" s="33" t="s">
        <v>41</v>
      </c>
    </row>
    <row r="2915" spans="1:12" hidden="1" x14ac:dyDescent="0.3">
      <c r="A2915" s="39">
        <v>46056.392743055556</v>
      </c>
      <c r="B2915" s="33">
        <v>44988303530</v>
      </c>
      <c r="C2915" s="33" t="s">
        <v>43</v>
      </c>
      <c r="D2915" s="33">
        <v>4430265054</v>
      </c>
      <c r="E2915" s="33">
        <v>1046</v>
      </c>
      <c r="F2915" s="33">
        <v>955</v>
      </c>
      <c r="G2915" s="33" t="s">
        <v>38</v>
      </c>
      <c r="H2915" s="33" t="s">
        <v>5003</v>
      </c>
      <c r="I2915" s="33" t="s">
        <v>39</v>
      </c>
      <c r="J2915" s="33" t="s">
        <v>40</v>
      </c>
      <c r="K2915" s="33" t="s">
        <v>41</v>
      </c>
    </row>
    <row r="2916" spans="1:12" hidden="1" x14ac:dyDescent="0.3">
      <c r="A2916" s="39">
        <v>46056.392141203702</v>
      </c>
      <c r="B2916" s="33">
        <v>4430191401</v>
      </c>
      <c r="C2916" s="33" t="s">
        <v>37</v>
      </c>
      <c r="D2916" s="33">
        <v>4430265054</v>
      </c>
      <c r="E2916" s="33">
        <v>1648</v>
      </c>
      <c r="F2916" s="33">
        <v>1544</v>
      </c>
      <c r="G2916" s="33" t="s">
        <v>38</v>
      </c>
      <c r="H2916" s="33" t="s">
        <v>5004</v>
      </c>
      <c r="I2916" s="33" t="s">
        <v>39</v>
      </c>
      <c r="J2916" s="33" t="s">
        <v>40</v>
      </c>
      <c r="K2916" s="33" t="s">
        <v>41</v>
      </c>
      <c r="L2916" s="33">
        <v>4</v>
      </c>
    </row>
    <row r="2917" spans="1:12" hidden="1" x14ac:dyDescent="0.3">
      <c r="A2917" s="39">
        <v>46056.391631944447</v>
      </c>
      <c r="B2917" s="33">
        <v>44991484476</v>
      </c>
      <c r="C2917" s="33" t="s">
        <v>45</v>
      </c>
      <c r="D2917" s="33">
        <v>4430265054</v>
      </c>
      <c r="E2917" s="33">
        <v>2309</v>
      </c>
      <c r="F2917" s="33">
        <v>2256</v>
      </c>
      <c r="G2917" s="33" t="s">
        <v>38</v>
      </c>
      <c r="H2917" s="33" t="s">
        <v>5005</v>
      </c>
      <c r="I2917" s="33" t="s">
        <v>39</v>
      </c>
      <c r="J2917" s="33" t="s">
        <v>40</v>
      </c>
      <c r="K2917" s="33" t="s">
        <v>41</v>
      </c>
      <c r="L2917" s="33">
        <v>5</v>
      </c>
    </row>
    <row r="2918" spans="1:12" hidden="1" x14ac:dyDescent="0.3">
      <c r="A2918" s="39">
        <v>46056.383576388886</v>
      </c>
      <c r="B2918" s="33" t="s">
        <v>48</v>
      </c>
      <c r="C2918" s="33">
        <v>44999090169</v>
      </c>
      <c r="E2918" s="33">
        <v>41</v>
      </c>
      <c r="F2918" s="33">
        <v>35</v>
      </c>
      <c r="G2918" s="33" t="s">
        <v>38</v>
      </c>
      <c r="H2918" s="33" t="s">
        <v>6450</v>
      </c>
      <c r="I2918" s="33" t="s">
        <v>46</v>
      </c>
      <c r="J2918" s="33" t="s">
        <v>40</v>
      </c>
    </row>
    <row r="2919" spans="1:12" hidden="1" x14ac:dyDescent="0.3">
      <c r="A2919" s="39">
        <v>46056.379571759258</v>
      </c>
      <c r="B2919" s="33" t="s">
        <v>5173</v>
      </c>
      <c r="C2919" s="33">
        <v>4430254650</v>
      </c>
      <c r="E2919" s="33">
        <v>168</v>
      </c>
      <c r="F2919" s="33">
        <v>167</v>
      </c>
      <c r="G2919" s="33" t="s">
        <v>38</v>
      </c>
      <c r="H2919" s="33" t="s">
        <v>6451</v>
      </c>
      <c r="I2919" s="33" t="s">
        <v>46</v>
      </c>
      <c r="J2919" s="33" t="s">
        <v>3629</v>
      </c>
    </row>
    <row r="2920" spans="1:12" hidden="1" x14ac:dyDescent="0.3">
      <c r="A2920" s="39">
        <v>46056.372800925928</v>
      </c>
      <c r="B2920" s="33" t="s">
        <v>51</v>
      </c>
      <c r="C2920" s="33">
        <v>4440047905</v>
      </c>
      <c r="E2920" s="33">
        <v>501</v>
      </c>
      <c r="F2920" s="33">
        <v>500</v>
      </c>
      <c r="G2920" s="33" t="s">
        <v>38</v>
      </c>
      <c r="H2920" s="33" t="s">
        <v>6452</v>
      </c>
      <c r="I2920" s="33" t="s">
        <v>46</v>
      </c>
      <c r="J2920" s="33" t="s">
        <v>3629</v>
      </c>
    </row>
    <row r="2921" spans="1:12" hidden="1" x14ac:dyDescent="0.3">
      <c r="A2921" s="39">
        <v>46056.371388888889</v>
      </c>
      <c r="B2921" s="33">
        <v>4432524636</v>
      </c>
      <c r="C2921" s="33" t="s">
        <v>45</v>
      </c>
      <c r="D2921" s="33">
        <v>4430265054</v>
      </c>
      <c r="E2921" s="33">
        <v>615</v>
      </c>
      <c r="F2921" s="33">
        <v>547</v>
      </c>
      <c r="G2921" s="33" t="s">
        <v>38</v>
      </c>
      <c r="H2921" s="33" t="s">
        <v>5006</v>
      </c>
      <c r="I2921" s="33" t="s">
        <v>39</v>
      </c>
      <c r="J2921" s="33" t="s">
        <v>40</v>
      </c>
      <c r="K2921" s="33" t="s">
        <v>41</v>
      </c>
    </row>
    <row r="2922" spans="1:12" hidden="1" x14ac:dyDescent="0.3">
      <c r="A2922" s="39">
        <v>46056.370312500003</v>
      </c>
      <c r="B2922" s="33">
        <v>4432541143</v>
      </c>
      <c r="C2922" s="33" t="s">
        <v>48</v>
      </c>
      <c r="D2922" s="33">
        <v>4430265054</v>
      </c>
      <c r="E2922" s="33">
        <v>483</v>
      </c>
      <c r="F2922" s="33">
        <v>367</v>
      </c>
      <c r="G2922" s="33" t="s">
        <v>38</v>
      </c>
      <c r="H2922" s="33" t="s">
        <v>5007</v>
      </c>
      <c r="I2922" s="33" t="s">
        <v>39</v>
      </c>
      <c r="J2922" s="33" t="s">
        <v>40</v>
      </c>
      <c r="K2922" s="33" t="s">
        <v>41</v>
      </c>
      <c r="L2922" s="33">
        <v>5</v>
      </c>
    </row>
    <row r="2923" spans="1:12" hidden="1" x14ac:dyDescent="0.3">
      <c r="A2923" s="39">
        <v>46056.369942129626</v>
      </c>
      <c r="B2923" s="33">
        <v>4432541200</v>
      </c>
      <c r="C2923" s="33">
        <v>4430265054</v>
      </c>
      <c r="D2923" s="33">
        <v>4430265054</v>
      </c>
      <c r="E2923" s="33">
        <v>15</v>
      </c>
      <c r="F2923" s="33">
        <v>15</v>
      </c>
      <c r="G2923" s="33" t="s">
        <v>3449</v>
      </c>
      <c r="H2923" s="33" t="s">
        <v>6453</v>
      </c>
      <c r="I2923" s="33" t="s">
        <v>39</v>
      </c>
      <c r="J2923" s="33" t="s">
        <v>3451</v>
      </c>
    </row>
    <row r="2924" spans="1:12" hidden="1" x14ac:dyDescent="0.3">
      <c r="A2924" s="39">
        <v>46056.369895833333</v>
      </c>
      <c r="B2924" s="33">
        <v>62994086124</v>
      </c>
      <c r="C2924" s="33" t="s">
        <v>42</v>
      </c>
      <c r="D2924" s="33">
        <v>4430265054</v>
      </c>
      <c r="E2924" s="33">
        <v>948</v>
      </c>
      <c r="F2924" s="33">
        <v>691</v>
      </c>
      <c r="G2924" s="33" t="s">
        <v>38</v>
      </c>
      <c r="H2924" s="33" t="s">
        <v>5008</v>
      </c>
      <c r="I2924" s="33" t="s">
        <v>39</v>
      </c>
      <c r="J2924" s="33" t="s">
        <v>40</v>
      </c>
      <c r="K2924" s="33" t="s">
        <v>41</v>
      </c>
      <c r="L2924" s="33">
        <v>5</v>
      </c>
    </row>
    <row r="2925" spans="1:12" x14ac:dyDescent="0.3">
      <c r="A2925" s="39">
        <v>46056.369756944441</v>
      </c>
      <c r="B2925" s="33">
        <v>4330333558</v>
      </c>
      <c r="C2925" s="33" t="s">
        <v>44</v>
      </c>
      <c r="D2925" s="33">
        <v>4430265054</v>
      </c>
      <c r="E2925" s="33">
        <v>436</v>
      </c>
      <c r="F2925" s="33">
        <v>411</v>
      </c>
      <c r="G2925" s="33" t="s">
        <v>38</v>
      </c>
      <c r="H2925" s="33" t="s">
        <v>5009</v>
      </c>
      <c r="I2925" s="33" t="s">
        <v>39</v>
      </c>
      <c r="J2925" s="33" t="s">
        <v>40</v>
      </c>
      <c r="K2925" s="33" t="s">
        <v>41</v>
      </c>
      <c r="L2925" s="33">
        <v>5</v>
      </c>
    </row>
    <row r="2926" spans="1:12" hidden="1" x14ac:dyDescent="0.3">
      <c r="A2926" s="39">
        <v>46056.369537037041</v>
      </c>
      <c r="B2926" s="33" t="s">
        <v>51</v>
      </c>
      <c r="C2926" s="33">
        <v>4440047905</v>
      </c>
      <c r="E2926" s="33">
        <v>197</v>
      </c>
      <c r="F2926" s="33">
        <v>195</v>
      </c>
      <c r="G2926" s="33" t="s">
        <v>38</v>
      </c>
      <c r="H2926" s="33" t="s">
        <v>6454</v>
      </c>
      <c r="I2926" s="33" t="s">
        <v>46</v>
      </c>
      <c r="J2926" s="33" t="s">
        <v>3629</v>
      </c>
    </row>
    <row r="2927" spans="1:12" hidden="1" x14ac:dyDescent="0.3">
      <c r="A2927" s="39">
        <v>46056.366087962961</v>
      </c>
      <c r="B2927" s="33">
        <v>44991484476</v>
      </c>
      <c r="C2927" s="33" t="s">
        <v>43</v>
      </c>
      <c r="D2927" s="33">
        <v>4430265054</v>
      </c>
      <c r="E2927" s="33">
        <v>1373</v>
      </c>
      <c r="F2927" s="33">
        <v>1347</v>
      </c>
      <c r="G2927" s="33" t="s">
        <v>38</v>
      </c>
      <c r="H2927" s="33" t="s">
        <v>5010</v>
      </c>
      <c r="I2927" s="33" t="s">
        <v>39</v>
      </c>
      <c r="J2927" s="33" t="s">
        <v>40</v>
      </c>
      <c r="K2927" s="33" t="s">
        <v>41</v>
      </c>
    </row>
    <row r="2928" spans="1:12" hidden="1" x14ac:dyDescent="0.3">
      <c r="A2928" s="39">
        <v>46056.364363425928</v>
      </c>
      <c r="B2928" s="33">
        <v>44988067937</v>
      </c>
      <c r="C2928" s="33" t="s">
        <v>45</v>
      </c>
      <c r="D2928" s="33">
        <v>4430265054</v>
      </c>
      <c r="E2928" s="33">
        <v>678</v>
      </c>
      <c r="F2928" s="33">
        <v>606</v>
      </c>
      <c r="G2928" s="33" t="s">
        <v>38</v>
      </c>
      <c r="H2928" s="33" t="s">
        <v>5011</v>
      </c>
      <c r="I2928" s="33" t="s">
        <v>39</v>
      </c>
      <c r="J2928" s="33" t="s">
        <v>40</v>
      </c>
      <c r="K2928" s="33" t="s">
        <v>41</v>
      </c>
      <c r="L2928" s="33">
        <v>5</v>
      </c>
    </row>
    <row r="2929" spans="1:12" hidden="1" x14ac:dyDescent="0.3">
      <c r="A2929" s="39">
        <v>46056.363078703704</v>
      </c>
      <c r="B2929" s="33" t="s">
        <v>48</v>
      </c>
      <c r="C2929" s="33">
        <v>44999090169</v>
      </c>
      <c r="E2929" s="33">
        <v>402</v>
      </c>
      <c r="F2929" s="33">
        <v>390</v>
      </c>
      <c r="G2929" s="33" t="s">
        <v>38</v>
      </c>
      <c r="H2929" s="33" t="s">
        <v>6455</v>
      </c>
      <c r="I2929" s="33" t="s">
        <v>46</v>
      </c>
      <c r="J2929" s="33" t="s">
        <v>40</v>
      </c>
    </row>
    <row r="2930" spans="1:12" hidden="1" x14ac:dyDescent="0.3">
      <c r="A2930" s="39">
        <v>46056.362604166665</v>
      </c>
      <c r="B2930" s="33" t="s">
        <v>45</v>
      </c>
      <c r="C2930" s="33">
        <v>4430403880</v>
      </c>
      <c r="E2930" s="33">
        <v>74</v>
      </c>
      <c r="F2930" s="33">
        <v>0</v>
      </c>
      <c r="G2930" s="33" t="s">
        <v>47</v>
      </c>
      <c r="H2930" s="33" t="s">
        <v>6456</v>
      </c>
      <c r="I2930" s="33" t="s">
        <v>46</v>
      </c>
      <c r="J2930" s="33" t="s">
        <v>40</v>
      </c>
    </row>
    <row r="2931" spans="1:12" hidden="1" x14ac:dyDescent="0.3">
      <c r="A2931" s="39">
        <v>46056.362453703703</v>
      </c>
      <c r="B2931" s="33" t="s">
        <v>45</v>
      </c>
      <c r="C2931" s="33">
        <v>4430403880</v>
      </c>
      <c r="E2931" s="33">
        <v>6</v>
      </c>
      <c r="F2931" s="33">
        <v>0</v>
      </c>
      <c r="G2931" s="33" t="s">
        <v>47</v>
      </c>
      <c r="H2931" s="33" t="s">
        <v>6457</v>
      </c>
      <c r="I2931" s="33" t="s">
        <v>46</v>
      </c>
      <c r="J2931" s="33" t="s">
        <v>40</v>
      </c>
    </row>
    <row r="2932" spans="1:12" hidden="1" x14ac:dyDescent="0.3">
      <c r="A2932" s="39">
        <v>46056.358796296299</v>
      </c>
      <c r="B2932" s="33">
        <v>1438160351</v>
      </c>
      <c r="C2932" s="33">
        <v>4430265054</v>
      </c>
      <c r="D2932" s="33">
        <v>4430265054</v>
      </c>
      <c r="E2932" s="33">
        <v>8</v>
      </c>
      <c r="F2932" s="33">
        <v>8</v>
      </c>
      <c r="G2932" s="33" t="s">
        <v>3449</v>
      </c>
      <c r="H2932" s="33" t="s">
        <v>6458</v>
      </c>
      <c r="I2932" s="33" t="s">
        <v>39</v>
      </c>
      <c r="J2932" s="33" t="s">
        <v>3451</v>
      </c>
    </row>
    <row r="2933" spans="1:12" hidden="1" x14ac:dyDescent="0.3">
      <c r="A2933" s="39">
        <v>46056.354560185187</v>
      </c>
      <c r="B2933" s="33">
        <v>44988303530</v>
      </c>
      <c r="C2933" s="33" t="s">
        <v>37</v>
      </c>
      <c r="D2933" s="33">
        <v>4430265054</v>
      </c>
      <c r="E2933" s="33">
        <v>2619</v>
      </c>
      <c r="F2933" s="33">
        <v>2567</v>
      </c>
      <c r="G2933" s="33" t="s">
        <v>38</v>
      </c>
      <c r="H2933" s="33" t="s">
        <v>5012</v>
      </c>
      <c r="I2933" s="33" t="s">
        <v>39</v>
      </c>
      <c r="J2933" s="33" t="s">
        <v>40</v>
      </c>
      <c r="K2933" s="33" t="s">
        <v>41</v>
      </c>
      <c r="L2933" s="33">
        <v>5</v>
      </c>
    </row>
    <row r="2934" spans="1:12" hidden="1" x14ac:dyDescent="0.3">
      <c r="A2934" s="39">
        <v>46055.75576388889</v>
      </c>
      <c r="B2934" s="33">
        <v>44998343558</v>
      </c>
      <c r="C2934" s="33">
        <v>4430265054</v>
      </c>
      <c r="D2934" s="33">
        <v>4430265054</v>
      </c>
      <c r="E2934" s="33">
        <v>19</v>
      </c>
      <c r="F2934" s="33">
        <v>19</v>
      </c>
      <c r="G2934" s="33" t="s">
        <v>3449</v>
      </c>
      <c r="H2934" s="33" t="s">
        <v>6459</v>
      </c>
      <c r="I2934" s="33" t="s">
        <v>39</v>
      </c>
      <c r="J2934" s="33" t="s">
        <v>3451</v>
      </c>
    </row>
    <row r="2935" spans="1:12" hidden="1" x14ac:dyDescent="0.3">
      <c r="A2935" s="39">
        <v>46055.734814814816</v>
      </c>
      <c r="B2935" s="33" t="s">
        <v>37</v>
      </c>
      <c r="C2935" s="33">
        <v>3432424736</v>
      </c>
      <c r="E2935" s="33">
        <v>341</v>
      </c>
      <c r="F2935" s="33">
        <v>340</v>
      </c>
      <c r="G2935" s="33" t="s">
        <v>38</v>
      </c>
      <c r="H2935" s="33" t="s">
        <v>6460</v>
      </c>
      <c r="I2935" s="33" t="s">
        <v>46</v>
      </c>
      <c r="J2935" s="33" t="s">
        <v>40</v>
      </c>
    </row>
    <row r="2936" spans="1:12" hidden="1" x14ac:dyDescent="0.3">
      <c r="A2936" s="39">
        <v>46055.73060185185</v>
      </c>
      <c r="B2936" s="33" t="s">
        <v>51</v>
      </c>
      <c r="C2936" s="33">
        <v>4440047905</v>
      </c>
      <c r="E2936" s="33">
        <v>676</v>
      </c>
      <c r="F2936" s="33">
        <v>674</v>
      </c>
      <c r="G2936" s="33" t="s">
        <v>38</v>
      </c>
      <c r="H2936" s="33" t="s">
        <v>6461</v>
      </c>
      <c r="I2936" s="33" t="s">
        <v>46</v>
      </c>
      <c r="J2936" s="33" t="s">
        <v>3629</v>
      </c>
    </row>
    <row r="2937" spans="1:12" hidden="1" x14ac:dyDescent="0.3">
      <c r="A2937" s="39">
        <v>46055.730081018519</v>
      </c>
      <c r="B2937" s="33" t="s">
        <v>37</v>
      </c>
      <c r="C2937" s="33">
        <v>44998318763</v>
      </c>
      <c r="E2937" s="33">
        <v>36</v>
      </c>
      <c r="F2937" s="33">
        <v>0</v>
      </c>
      <c r="G2937" s="33" t="s">
        <v>47</v>
      </c>
      <c r="H2937" s="33" t="s">
        <v>6462</v>
      </c>
      <c r="I2937" s="33" t="s">
        <v>46</v>
      </c>
      <c r="J2937" s="33" t="s">
        <v>40</v>
      </c>
    </row>
    <row r="2938" spans="1:12" x14ac:dyDescent="0.3">
      <c r="A2938" s="39">
        <v>46055.72550925926</v>
      </c>
      <c r="B2938" s="33">
        <v>44999903759</v>
      </c>
      <c r="C2938" s="33" t="s">
        <v>44</v>
      </c>
      <c r="D2938" s="33">
        <v>4430265054</v>
      </c>
      <c r="E2938" s="33">
        <v>812</v>
      </c>
      <c r="F2938" s="33">
        <v>709</v>
      </c>
      <c r="G2938" s="33" t="s">
        <v>38</v>
      </c>
      <c r="H2938" s="33" t="s">
        <v>5013</v>
      </c>
      <c r="I2938" s="33" t="s">
        <v>39</v>
      </c>
      <c r="J2938" s="33" t="s">
        <v>40</v>
      </c>
      <c r="K2938" s="33" t="s">
        <v>41</v>
      </c>
      <c r="L2938" s="33">
        <v>5</v>
      </c>
    </row>
    <row r="2939" spans="1:12" hidden="1" x14ac:dyDescent="0.3">
      <c r="A2939" s="39">
        <v>46055.725185185183</v>
      </c>
      <c r="B2939" s="33">
        <v>44999903759</v>
      </c>
      <c r="C2939" s="33">
        <v>4430265054</v>
      </c>
      <c r="D2939" s="33">
        <v>4430265054</v>
      </c>
      <c r="E2939" s="33">
        <v>2</v>
      </c>
      <c r="F2939" s="33">
        <v>1</v>
      </c>
      <c r="G2939" s="33" t="s">
        <v>3449</v>
      </c>
      <c r="H2939" s="33" t="s">
        <v>6463</v>
      </c>
      <c r="I2939" s="33" t="s">
        <v>39</v>
      </c>
      <c r="J2939" s="33" t="s">
        <v>3451</v>
      </c>
    </row>
    <row r="2940" spans="1:12" hidden="1" x14ac:dyDescent="0.3">
      <c r="A2940" s="39">
        <v>46055.718576388892</v>
      </c>
      <c r="B2940" s="33" t="s">
        <v>48</v>
      </c>
      <c r="C2940" s="33">
        <v>44999090169</v>
      </c>
      <c r="E2940" s="33">
        <v>74</v>
      </c>
      <c r="F2940" s="33">
        <v>61</v>
      </c>
      <c r="G2940" s="33" t="s">
        <v>38</v>
      </c>
      <c r="H2940" s="33" t="s">
        <v>6464</v>
      </c>
      <c r="I2940" s="33" t="s">
        <v>46</v>
      </c>
      <c r="J2940" s="33" t="s">
        <v>40</v>
      </c>
    </row>
    <row r="2941" spans="1:12" hidden="1" x14ac:dyDescent="0.3">
      <c r="A2941" s="39">
        <v>46055.716273148151</v>
      </c>
      <c r="B2941" s="33">
        <v>44988255390</v>
      </c>
      <c r="C2941" s="33" t="s">
        <v>44</v>
      </c>
      <c r="D2941" s="33">
        <v>4430265054</v>
      </c>
      <c r="E2941" s="33">
        <v>197</v>
      </c>
      <c r="F2941" s="33">
        <v>119</v>
      </c>
      <c r="G2941" s="33" t="s">
        <v>38</v>
      </c>
      <c r="H2941" s="33" t="s">
        <v>5014</v>
      </c>
      <c r="I2941" s="33" t="s">
        <v>39</v>
      </c>
      <c r="J2941" s="33" t="s">
        <v>40</v>
      </c>
      <c r="K2941" s="33" t="s">
        <v>41</v>
      </c>
    </row>
    <row r="2942" spans="1:12" hidden="1" x14ac:dyDescent="0.3">
      <c r="A2942" s="39">
        <v>46055.714803240742</v>
      </c>
      <c r="B2942" s="33">
        <v>43999388040</v>
      </c>
      <c r="C2942" s="33" t="s">
        <v>45</v>
      </c>
      <c r="D2942" s="33">
        <v>4430265054</v>
      </c>
      <c r="E2942" s="33">
        <v>991</v>
      </c>
      <c r="F2942" s="33">
        <v>947</v>
      </c>
      <c r="G2942" s="33" t="s">
        <v>38</v>
      </c>
      <c r="H2942" s="33" t="s">
        <v>5015</v>
      </c>
      <c r="I2942" s="33" t="s">
        <v>39</v>
      </c>
      <c r="J2942" s="33" t="s">
        <v>40</v>
      </c>
      <c r="K2942" s="33" t="s">
        <v>41</v>
      </c>
      <c r="L2942" s="33">
        <v>5</v>
      </c>
    </row>
    <row r="2943" spans="1:12" hidden="1" x14ac:dyDescent="0.3">
      <c r="A2943" s="39">
        <v>46055.707569444443</v>
      </c>
      <c r="B2943" s="33" t="s">
        <v>3627</v>
      </c>
      <c r="C2943" s="33">
        <v>1123568477</v>
      </c>
      <c r="E2943" s="33">
        <v>20</v>
      </c>
      <c r="F2943" s="33">
        <v>0</v>
      </c>
      <c r="G2943" s="33" t="s">
        <v>47</v>
      </c>
      <c r="H2943" s="33" t="s">
        <v>6465</v>
      </c>
      <c r="I2943" s="33" t="s">
        <v>46</v>
      </c>
      <c r="J2943" s="33" t="s">
        <v>3629</v>
      </c>
    </row>
    <row r="2944" spans="1:12" hidden="1" x14ac:dyDescent="0.3">
      <c r="A2944" s="39">
        <v>46055.706319444442</v>
      </c>
      <c r="B2944" s="33" t="s">
        <v>3627</v>
      </c>
      <c r="C2944" s="33">
        <v>31985069428</v>
      </c>
      <c r="E2944" s="33">
        <v>13</v>
      </c>
      <c r="F2944" s="33">
        <v>0</v>
      </c>
      <c r="G2944" s="33" t="s">
        <v>47</v>
      </c>
      <c r="H2944" s="33" t="s">
        <v>6466</v>
      </c>
      <c r="I2944" s="33" t="s">
        <v>46</v>
      </c>
      <c r="J2944" s="33" t="s">
        <v>3629</v>
      </c>
    </row>
    <row r="2945" spans="1:11" hidden="1" x14ac:dyDescent="0.3">
      <c r="A2945" s="39">
        <v>46055.703680555554</v>
      </c>
      <c r="B2945" s="33">
        <v>11965990735</v>
      </c>
      <c r="C2945" s="33" t="s">
        <v>42</v>
      </c>
      <c r="D2945" s="33">
        <v>4430265054</v>
      </c>
      <c r="E2945" s="33">
        <v>56</v>
      </c>
      <c r="F2945" s="33">
        <v>37</v>
      </c>
      <c r="G2945" s="33" t="s">
        <v>38</v>
      </c>
      <c r="H2945" s="33" t="s">
        <v>5016</v>
      </c>
      <c r="I2945" s="33" t="s">
        <v>39</v>
      </c>
      <c r="J2945" s="33" t="s">
        <v>40</v>
      </c>
      <c r="K2945" s="33" t="s">
        <v>41</v>
      </c>
    </row>
    <row r="2946" spans="1:11" hidden="1" x14ac:dyDescent="0.3">
      <c r="A2946" s="39">
        <v>46055.702731481484</v>
      </c>
      <c r="B2946" s="33" t="s">
        <v>42</v>
      </c>
      <c r="C2946" s="33">
        <v>11965990735</v>
      </c>
      <c r="E2946" s="33">
        <v>33</v>
      </c>
      <c r="F2946" s="33">
        <v>18</v>
      </c>
      <c r="G2946" s="33" t="s">
        <v>38</v>
      </c>
      <c r="H2946" s="33" t="s">
        <v>6467</v>
      </c>
      <c r="I2946" s="33" t="s">
        <v>46</v>
      </c>
      <c r="J2946" s="33" t="s">
        <v>40</v>
      </c>
    </row>
    <row r="2947" spans="1:11" hidden="1" x14ac:dyDescent="0.3">
      <c r="A2947" s="39">
        <v>46055.702708333331</v>
      </c>
      <c r="B2947" s="33">
        <v>11965990735</v>
      </c>
      <c r="C2947" s="33">
        <v>4430265054</v>
      </c>
      <c r="D2947" s="33">
        <v>4430265054</v>
      </c>
      <c r="E2947" s="33">
        <v>16</v>
      </c>
      <c r="F2947" s="33">
        <v>16</v>
      </c>
      <c r="G2947" s="33" t="s">
        <v>3449</v>
      </c>
      <c r="H2947" s="33" t="s">
        <v>6468</v>
      </c>
      <c r="I2947" s="33" t="s">
        <v>39</v>
      </c>
      <c r="J2947" s="33" t="s">
        <v>3451</v>
      </c>
    </row>
    <row r="2948" spans="1:11" hidden="1" x14ac:dyDescent="0.3">
      <c r="A2948" s="39">
        <v>46055.702650462961</v>
      </c>
      <c r="B2948" s="33" t="s">
        <v>42</v>
      </c>
      <c r="C2948" s="33">
        <v>11965990735</v>
      </c>
      <c r="E2948" s="33">
        <v>5</v>
      </c>
      <c r="F2948" s="33">
        <v>0</v>
      </c>
      <c r="G2948" s="33" t="s">
        <v>47</v>
      </c>
      <c r="H2948" s="33" t="s">
        <v>6469</v>
      </c>
      <c r="I2948" s="33" t="s">
        <v>46</v>
      </c>
      <c r="J2948" s="33" t="s">
        <v>40</v>
      </c>
    </row>
    <row r="2949" spans="1:11" hidden="1" x14ac:dyDescent="0.3">
      <c r="A2949" s="39">
        <v>46055.702476851853</v>
      </c>
      <c r="B2949" s="33" t="s">
        <v>42</v>
      </c>
      <c r="C2949" s="33">
        <v>11965990735</v>
      </c>
      <c r="E2949" s="33">
        <v>13</v>
      </c>
      <c r="F2949" s="33">
        <v>0</v>
      </c>
      <c r="G2949" s="33" t="s">
        <v>47</v>
      </c>
      <c r="H2949" s="33" t="s">
        <v>6470</v>
      </c>
      <c r="I2949" s="33" t="s">
        <v>46</v>
      </c>
      <c r="J2949" s="33" t="s">
        <v>40</v>
      </c>
    </row>
    <row r="2950" spans="1:11" hidden="1" x14ac:dyDescent="0.3">
      <c r="A2950" s="39">
        <v>46055.702164351853</v>
      </c>
      <c r="B2950" s="33" t="s">
        <v>5173</v>
      </c>
      <c r="C2950" s="33">
        <v>4430152023</v>
      </c>
      <c r="E2950" s="33">
        <v>174</v>
      </c>
      <c r="F2950" s="33">
        <v>163</v>
      </c>
      <c r="G2950" s="33" t="s">
        <v>38</v>
      </c>
      <c r="H2950" s="33" t="s">
        <v>6471</v>
      </c>
      <c r="I2950" s="33" t="s">
        <v>46</v>
      </c>
      <c r="J2950" s="33" t="s">
        <v>3629</v>
      </c>
    </row>
    <row r="2951" spans="1:11" hidden="1" x14ac:dyDescent="0.3">
      <c r="A2951" s="39">
        <v>46055.701539351852</v>
      </c>
      <c r="B2951" s="33">
        <v>11965990735</v>
      </c>
      <c r="C2951" s="33" t="s">
        <v>42</v>
      </c>
      <c r="D2951" s="33">
        <v>4430265054</v>
      </c>
      <c r="E2951" s="33">
        <v>81</v>
      </c>
      <c r="F2951" s="33">
        <v>45</v>
      </c>
      <c r="G2951" s="33" t="s">
        <v>38</v>
      </c>
      <c r="H2951" s="33" t="s">
        <v>5017</v>
      </c>
      <c r="I2951" s="33" t="s">
        <v>39</v>
      </c>
      <c r="J2951" s="33" t="s">
        <v>40</v>
      </c>
      <c r="K2951" s="33" t="s">
        <v>41</v>
      </c>
    </row>
    <row r="2952" spans="1:11" hidden="1" x14ac:dyDescent="0.3">
      <c r="A2952" s="39">
        <v>46055.700208333335</v>
      </c>
      <c r="B2952" s="33" t="s">
        <v>45</v>
      </c>
      <c r="C2952" s="33">
        <v>4430315826</v>
      </c>
      <c r="E2952" s="33">
        <v>116</v>
      </c>
      <c r="F2952" s="33">
        <v>104</v>
      </c>
      <c r="G2952" s="33" t="s">
        <v>38</v>
      </c>
      <c r="H2952" s="33" t="s">
        <v>6472</v>
      </c>
      <c r="I2952" s="33" t="s">
        <v>46</v>
      </c>
      <c r="J2952" s="33" t="s">
        <v>40</v>
      </c>
    </row>
    <row r="2953" spans="1:11" hidden="1" x14ac:dyDescent="0.3">
      <c r="A2953" s="39">
        <v>46055.699942129628</v>
      </c>
      <c r="B2953" s="33" t="s">
        <v>45</v>
      </c>
      <c r="C2953" s="33">
        <v>4430315826</v>
      </c>
      <c r="E2953" s="33">
        <v>1</v>
      </c>
      <c r="F2953" s="33">
        <v>0</v>
      </c>
      <c r="G2953" s="33" t="s">
        <v>47</v>
      </c>
      <c r="H2953" s="33" t="s">
        <v>6473</v>
      </c>
      <c r="I2953" s="33" t="s">
        <v>46</v>
      </c>
      <c r="J2953" s="33" t="s">
        <v>40</v>
      </c>
    </row>
    <row r="2954" spans="1:11" hidden="1" x14ac:dyDescent="0.3">
      <c r="A2954" s="39">
        <v>46055.699756944443</v>
      </c>
      <c r="B2954" s="33" t="s">
        <v>45</v>
      </c>
      <c r="C2954" s="33">
        <v>4430315826</v>
      </c>
      <c r="E2954" s="33">
        <v>1</v>
      </c>
      <c r="F2954" s="33">
        <v>0</v>
      </c>
      <c r="G2954" s="33" t="s">
        <v>47</v>
      </c>
      <c r="H2954" s="33" t="s">
        <v>6474</v>
      </c>
      <c r="I2954" s="33" t="s">
        <v>46</v>
      </c>
      <c r="J2954" s="33" t="s">
        <v>40</v>
      </c>
    </row>
    <row r="2955" spans="1:11" hidden="1" x14ac:dyDescent="0.3">
      <c r="A2955" s="39">
        <v>46055.698564814818</v>
      </c>
      <c r="B2955" s="33" t="s">
        <v>45</v>
      </c>
      <c r="C2955" s="33">
        <v>4430315826</v>
      </c>
      <c r="E2955" s="33">
        <v>121</v>
      </c>
      <c r="F2955" s="33">
        <v>109</v>
      </c>
      <c r="G2955" s="33" t="s">
        <v>38</v>
      </c>
      <c r="H2955" s="33" t="s">
        <v>6475</v>
      </c>
      <c r="I2955" s="33" t="s">
        <v>46</v>
      </c>
      <c r="J2955" s="33" t="s">
        <v>40</v>
      </c>
    </row>
    <row r="2956" spans="1:11" hidden="1" x14ac:dyDescent="0.3">
      <c r="A2956" s="39">
        <v>46055.696909722225</v>
      </c>
      <c r="B2956" s="33" t="s">
        <v>45</v>
      </c>
      <c r="C2956" s="33">
        <v>4430315826</v>
      </c>
      <c r="E2956" s="33">
        <v>128</v>
      </c>
      <c r="F2956" s="33">
        <v>115</v>
      </c>
      <c r="G2956" s="33" t="s">
        <v>38</v>
      </c>
      <c r="H2956" s="33" t="s">
        <v>6476</v>
      </c>
      <c r="I2956" s="33" t="s">
        <v>46</v>
      </c>
      <c r="J2956" s="33" t="s">
        <v>40</v>
      </c>
    </row>
    <row r="2957" spans="1:11" hidden="1" x14ac:dyDescent="0.3">
      <c r="A2957" s="39">
        <v>46055.696770833332</v>
      </c>
      <c r="B2957" s="33" t="s">
        <v>45</v>
      </c>
      <c r="C2957" s="33">
        <v>4430315826</v>
      </c>
      <c r="E2957" s="33">
        <v>4</v>
      </c>
      <c r="F2957" s="33">
        <v>0</v>
      </c>
      <c r="G2957" s="33" t="s">
        <v>47</v>
      </c>
      <c r="H2957" s="33" t="s">
        <v>6477</v>
      </c>
      <c r="I2957" s="33" t="s">
        <v>46</v>
      </c>
      <c r="J2957" s="33" t="s">
        <v>40</v>
      </c>
    </row>
    <row r="2958" spans="1:11" hidden="1" x14ac:dyDescent="0.3">
      <c r="A2958" s="39">
        <v>46055.696099537039</v>
      </c>
      <c r="B2958" s="33" t="s">
        <v>45</v>
      </c>
      <c r="C2958" s="33">
        <v>4430315826</v>
      </c>
      <c r="E2958" s="33">
        <v>9</v>
      </c>
      <c r="F2958" s="33">
        <v>0</v>
      </c>
      <c r="G2958" s="33" t="s">
        <v>47</v>
      </c>
      <c r="H2958" s="33" t="s">
        <v>6478</v>
      </c>
      <c r="I2958" s="33" t="s">
        <v>46</v>
      </c>
      <c r="J2958" s="33" t="s">
        <v>40</v>
      </c>
    </row>
    <row r="2959" spans="1:11" hidden="1" x14ac:dyDescent="0.3">
      <c r="A2959" s="39">
        <v>46055.694421296299</v>
      </c>
      <c r="B2959" s="33">
        <v>62994086124</v>
      </c>
      <c r="C2959" s="33" t="s">
        <v>48</v>
      </c>
      <c r="D2959" s="33">
        <v>4430265054</v>
      </c>
      <c r="E2959" s="33">
        <v>415</v>
      </c>
      <c r="F2959" s="33">
        <v>315</v>
      </c>
      <c r="G2959" s="33" t="s">
        <v>38</v>
      </c>
      <c r="H2959" s="33" t="s">
        <v>5018</v>
      </c>
      <c r="I2959" s="33" t="s">
        <v>39</v>
      </c>
      <c r="J2959" s="33" t="s">
        <v>40</v>
      </c>
      <c r="K2959" s="33" t="s">
        <v>41</v>
      </c>
    </row>
    <row r="2960" spans="1:11" hidden="1" x14ac:dyDescent="0.3">
      <c r="A2960" s="39">
        <v>46055.694039351853</v>
      </c>
      <c r="B2960" s="33">
        <v>35998295948</v>
      </c>
      <c r="C2960" s="33" t="s">
        <v>37</v>
      </c>
      <c r="D2960" s="33">
        <v>4430265054</v>
      </c>
      <c r="E2960" s="33">
        <v>2635</v>
      </c>
      <c r="F2960" s="33">
        <v>2509</v>
      </c>
      <c r="G2960" s="33" t="s">
        <v>38</v>
      </c>
      <c r="H2960" s="33" t="s">
        <v>5019</v>
      </c>
      <c r="I2960" s="33" t="s">
        <v>39</v>
      </c>
      <c r="J2960" s="33" t="s">
        <v>40</v>
      </c>
      <c r="K2960" s="33" t="s">
        <v>41</v>
      </c>
    </row>
    <row r="2961" spans="1:12" hidden="1" x14ac:dyDescent="0.3">
      <c r="A2961" s="39">
        <v>46055.693344907406</v>
      </c>
      <c r="B2961" s="33">
        <v>6234347959</v>
      </c>
      <c r="C2961" s="33" t="s">
        <v>43</v>
      </c>
      <c r="D2961" s="33">
        <v>4430265054</v>
      </c>
      <c r="E2961" s="33">
        <v>1220</v>
      </c>
      <c r="F2961" s="33">
        <v>1141</v>
      </c>
      <c r="G2961" s="33" t="s">
        <v>38</v>
      </c>
      <c r="H2961" s="33" t="s">
        <v>5020</v>
      </c>
      <c r="I2961" s="33" t="s">
        <v>39</v>
      </c>
      <c r="J2961" s="33" t="s">
        <v>40</v>
      </c>
      <c r="K2961" s="33" t="s">
        <v>41</v>
      </c>
    </row>
    <row r="2962" spans="1:12" hidden="1" x14ac:dyDescent="0.3">
      <c r="A2962" s="39">
        <v>46055.687847222223</v>
      </c>
      <c r="B2962" s="33">
        <v>44998849102</v>
      </c>
      <c r="C2962" s="33" t="s">
        <v>43</v>
      </c>
      <c r="D2962" s="33">
        <v>4430265054</v>
      </c>
      <c r="E2962" s="33">
        <v>406</v>
      </c>
      <c r="F2962" s="33">
        <v>356</v>
      </c>
      <c r="G2962" s="33" t="s">
        <v>38</v>
      </c>
      <c r="H2962" s="33" t="s">
        <v>5021</v>
      </c>
      <c r="I2962" s="33" t="s">
        <v>39</v>
      </c>
      <c r="J2962" s="33" t="s">
        <v>40</v>
      </c>
      <c r="K2962" s="33" t="s">
        <v>41</v>
      </c>
    </row>
    <row r="2963" spans="1:12" hidden="1" x14ac:dyDescent="0.3">
      <c r="A2963" s="39">
        <v>46055.686574074076</v>
      </c>
      <c r="B2963" s="33">
        <v>43999388040</v>
      </c>
      <c r="C2963" s="33">
        <v>4430265054</v>
      </c>
      <c r="D2963" s="33">
        <v>4430265054</v>
      </c>
      <c r="E2963" s="33">
        <v>145</v>
      </c>
      <c r="F2963" s="33">
        <v>145</v>
      </c>
      <c r="G2963" s="33" t="s">
        <v>3449</v>
      </c>
      <c r="H2963" s="33" t="s">
        <v>5022</v>
      </c>
      <c r="I2963" s="33" t="s">
        <v>39</v>
      </c>
      <c r="J2963" s="33" t="s">
        <v>3451</v>
      </c>
      <c r="K2963" s="33" t="s">
        <v>41</v>
      </c>
    </row>
    <row r="2964" spans="1:12" hidden="1" x14ac:dyDescent="0.3">
      <c r="A2964" s="39">
        <v>46055.680810185186</v>
      </c>
      <c r="B2964" s="33" t="s">
        <v>5173</v>
      </c>
      <c r="C2964" s="33">
        <v>4432641415</v>
      </c>
      <c r="E2964" s="33">
        <v>93</v>
      </c>
      <c r="F2964" s="33">
        <v>81</v>
      </c>
      <c r="G2964" s="33" t="s">
        <v>38</v>
      </c>
      <c r="H2964" s="33" t="s">
        <v>6479</v>
      </c>
      <c r="I2964" s="33" t="s">
        <v>46</v>
      </c>
      <c r="J2964" s="33" t="s">
        <v>3629</v>
      </c>
    </row>
    <row r="2965" spans="1:12" hidden="1" x14ac:dyDescent="0.3">
      <c r="A2965" s="39">
        <v>46055.678240740737</v>
      </c>
      <c r="B2965" s="33">
        <v>44991354005</v>
      </c>
      <c r="C2965" s="33" t="s">
        <v>37</v>
      </c>
      <c r="D2965" s="33">
        <v>4430265054</v>
      </c>
      <c r="E2965" s="33">
        <v>1283</v>
      </c>
      <c r="F2965" s="33">
        <v>1196</v>
      </c>
      <c r="G2965" s="33" t="s">
        <v>38</v>
      </c>
      <c r="H2965" s="33" t="s">
        <v>5023</v>
      </c>
      <c r="I2965" s="33" t="s">
        <v>39</v>
      </c>
      <c r="J2965" s="33" t="s">
        <v>40</v>
      </c>
      <c r="K2965" s="33" t="s">
        <v>41</v>
      </c>
    </row>
    <row r="2966" spans="1:12" hidden="1" x14ac:dyDescent="0.3">
      <c r="A2966" s="39">
        <v>46055.676979166667</v>
      </c>
      <c r="B2966" s="33" t="s">
        <v>5173</v>
      </c>
      <c r="C2966" s="33">
        <v>4130760170</v>
      </c>
      <c r="E2966" s="33">
        <v>22</v>
      </c>
      <c r="F2966" s="33">
        <v>0</v>
      </c>
      <c r="G2966" s="33" t="s">
        <v>47</v>
      </c>
      <c r="H2966" s="33" t="s">
        <v>6480</v>
      </c>
      <c r="I2966" s="33" t="s">
        <v>46</v>
      </c>
      <c r="J2966" s="33" t="s">
        <v>3629</v>
      </c>
    </row>
    <row r="2967" spans="1:12" hidden="1" x14ac:dyDescent="0.3">
      <c r="A2967" s="39">
        <v>46055.675925925927</v>
      </c>
      <c r="B2967" s="33" t="s">
        <v>5173</v>
      </c>
      <c r="C2967" s="33">
        <v>4130760170</v>
      </c>
      <c r="E2967" s="33">
        <v>76</v>
      </c>
      <c r="F2967" s="33">
        <v>64</v>
      </c>
      <c r="G2967" s="33" t="s">
        <v>38</v>
      </c>
      <c r="H2967" s="33" t="s">
        <v>6481</v>
      </c>
      <c r="I2967" s="33" t="s">
        <v>46</v>
      </c>
      <c r="J2967" s="33" t="s">
        <v>3629</v>
      </c>
    </row>
    <row r="2968" spans="1:12" hidden="1" x14ac:dyDescent="0.3">
      <c r="A2968" s="39">
        <v>46055.675763888888</v>
      </c>
      <c r="B2968" s="33" t="s">
        <v>5173</v>
      </c>
      <c r="C2968" s="33">
        <v>4430760170</v>
      </c>
      <c r="E2968" s="33">
        <v>0</v>
      </c>
      <c r="F2968" s="33">
        <v>0</v>
      </c>
      <c r="G2968" s="33" t="s">
        <v>47</v>
      </c>
      <c r="H2968" s="33" t="s">
        <v>6482</v>
      </c>
      <c r="I2968" s="33" t="s">
        <v>46</v>
      </c>
      <c r="J2968" s="33" t="s">
        <v>3629</v>
      </c>
    </row>
    <row r="2969" spans="1:12" hidden="1" x14ac:dyDescent="0.3">
      <c r="A2969" s="39">
        <v>46055.672569444447</v>
      </c>
      <c r="B2969" s="33">
        <v>4430145172</v>
      </c>
      <c r="C2969" s="33" t="s">
        <v>42</v>
      </c>
      <c r="D2969" s="33">
        <v>4430265054</v>
      </c>
      <c r="E2969" s="33">
        <v>273</v>
      </c>
      <c r="F2969" s="33">
        <v>233</v>
      </c>
      <c r="G2969" s="33" t="s">
        <v>38</v>
      </c>
      <c r="H2969" s="33" t="s">
        <v>5024</v>
      </c>
      <c r="I2969" s="33" t="s">
        <v>39</v>
      </c>
      <c r="J2969" s="33" t="s">
        <v>40</v>
      </c>
      <c r="K2969" s="33" t="s">
        <v>41</v>
      </c>
    </row>
    <row r="2970" spans="1:12" hidden="1" x14ac:dyDescent="0.3">
      <c r="A2970" s="39">
        <v>46055.671678240738</v>
      </c>
      <c r="B2970" s="33">
        <v>35998295948</v>
      </c>
      <c r="C2970" s="33" t="s">
        <v>44</v>
      </c>
      <c r="D2970" s="33">
        <v>4430265054</v>
      </c>
      <c r="E2970" s="33">
        <v>955</v>
      </c>
      <c r="F2970" s="33">
        <v>899</v>
      </c>
      <c r="G2970" s="33" t="s">
        <v>38</v>
      </c>
      <c r="H2970" s="33" t="s">
        <v>5025</v>
      </c>
      <c r="I2970" s="33" t="s">
        <v>39</v>
      </c>
      <c r="J2970" s="33" t="s">
        <v>40</v>
      </c>
      <c r="K2970" s="33" t="s">
        <v>41</v>
      </c>
    </row>
    <row r="2971" spans="1:12" hidden="1" x14ac:dyDescent="0.3">
      <c r="A2971" s="39">
        <v>46055.667893518519</v>
      </c>
      <c r="B2971" s="33" t="s">
        <v>5173</v>
      </c>
      <c r="C2971" s="33">
        <v>4432321533</v>
      </c>
      <c r="E2971" s="33">
        <v>1</v>
      </c>
      <c r="F2971" s="33">
        <v>0</v>
      </c>
      <c r="G2971" s="33" t="s">
        <v>47</v>
      </c>
      <c r="H2971" s="33" t="s">
        <v>6483</v>
      </c>
      <c r="I2971" s="33" t="s">
        <v>46</v>
      </c>
      <c r="J2971" s="33" t="s">
        <v>3629</v>
      </c>
    </row>
    <row r="2972" spans="1:12" hidden="1" x14ac:dyDescent="0.3">
      <c r="A2972" s="39">
        <v>46055.664722222224</v>
      </c>
      <c r="B2972" s="33">
        <v>4430315826</v>
      </c>
      <c r="C2972" s="33" t="s">
        <v>45</v>
      </c>
      <c r="D2972" s="33">
        <v>4430265054</v>
      </c>
      <c r="E2972" s="33">
        <v>2703</v>
      </c>
      <c r="F2972" s="33">
        <v>2626</v>
      </c>
      <c r="G2972" s="33" t="s">
        <v>38</v>
      </c>
      <c r="H2972" s="33" t="s">
        <v>5026</v>
      </c>
      <c r="I2972" s="33" t="s">
        <v>39</v>
      </c>
      <c r="J2972" s="33" t="s">
        <v>40</v>
      </c>
      <c r="K2972" s="33" t="s">
        <v>41</v>
      </c>
    </row>
    <row r="2973" spans="1:12" hidden="1" x14ac:dyDescent="0.3">
      <c r="A2973" s="39">
        <v>46055.664618055554</v>
      </c>
      <c r="B2973" s="33">
        <v>44997123083</v>
      </c>
      <c r="C2973" s="33" t="s">
        <v>37</v>
      </c>
      <c r="D2973" s="33">
        <v>4430265054</v>
      </c>
      <c r="E2973" s="33">
        <v>915</v>
      </c>
      <c r="F2973" s="33">
        <v>854</v>
      </c>
      <c r="G2973" s="33" t="s">
        <v>38</v>
      </c>
      <c r="H2973" s="33" t="s">
        <v>5027</v>
      </c>
      <c r="I2973" s="33" t="s">
        <v>39</v>
      </c>
      <c r="J2973" s="33" t="s">
        <v>40</v>
      </c>
      <c r="K2973" s="33" t="s">
        <v>41</v>
      </c>
    </row>
    <row r="2974" spans="1:12" hidden="1" x14ac:dyDescent="0.3">
      <c r="A2974" s="39">
        <v>46055.661851851852</v>
      </c>
      <c r="B2974" s="33">
        <v>44997571961</v>
      </c>
      <c r="C2974" s="33" t="s">
        <v>44</v>
      </c>
      <c r="D2974" s="33">
        <v>4430265054</v>
      </c>
      <c r="E2974" s="33">
        <v>733</v>
      </c>
      <c r="F2974" s="33">
        <v>713</v>
      </c>
      <c r="G2974" s="33" t="s">
        <v>38</v>
      </c>
      <c r="H2974" s="33" t="s">
        <v>5028</v>
      </c>
      <c r="I2974" s="33" t="s">
        <v>39</v>
      </c>
      <c r="J2974" s="33" t="s">
        <v>40</v>
      </c>
      <c r="K2974" s="33" t="s">
        <v>41</v>
      </c>
    </row>
    <row r="2975" spans="1:12" hidden="1" x14ac:dyDescent="0.3">
      <c r="A2975" s="39">
        <v>46055.660983796297</v>
      </c>
      <c r="B2975" s="33">
        <v>4430284942</v>
      </c>
      <c r="C2975" s="33" t="s">
        <v>43</v>
      </c>
      <c r="D2975" s="33">
        <v>4430265054</v>
      </c>
      <c r="E2975" s="33">
        <v>1479</v>
      </c>
      <c r="F2975" s="33">
        <v>1407</v>
      </c>
      <c r="G2975" s="33" t="s">
        <v>38</v>
      </c>
      <c r="H2975" s="33" t="s">
        <v>5029</v>
      </c>
      <c r="I2975" s="33" t="s">
        <v>39</v>
      </c>
      <c r="J2975" s="33" t="s">
        <v>40</v>
      </c>
      <c r="K2975" s="33" t="s">
        <v>41</v>
      </c>
    </row>
    <row r="2976" spans="1:12" hidden="1" x14ac:dyDescent="0.3">
      <c r="A2976" s="39">
        <v>46055.65828703704</v>
      </c>
      <c r="B2976" s="33">
        <v>4430315826</v>
      </c>
      <c r="C2976" s="33" t="s">
        <v>37</v>
      </c>
      <c r="D2976" s="33">
        <v>4430265054</v>
      </c>
      <c r="E2976" s="33">
        <v>370</v>
      </c>
      <c r="F2976" s="33">
        <v>346</v>
      </c>
      <c r="G2976" s="33" t="s">
        <v>38</v>
      </c>
      <c r="H2976" s="33" t="s">
        <v>5030</v>
      </c>
      <c r="I2976" s="33" t="s">
        <v>39</v>
      </c>
      <c r="J2976" s="33" t="s">
        <v>40</v>
      </c>
      <c r="K2976" s="33" t="s">
        <v>41</v>
      </c>
      <c r="L2976" s="33">
        <v>5</v>
      </c>
    </row>
    <row r="2977" spans="1:12" hidden="1" x14ac:dyDescent="0.3">
      <c r="A2977" s="39">
        <v>46055.6565625</v>
      </c>
      <c r="B2977" s="33">
        <v>44988303530</v>
      </c>
      <c r="C2977" s="33" t="s">
        <v>45</v>
      </c>
      <c r="D2977" s="33">
        <v>4430265054</v>
      </c>
      <c r="E2977" s="33">
        <v>476</v>
      </c>
      <c r="F2977" s="33">
        <v>402</v>
      </c>
      <c r="G2977" s="33" t="s">
        <v>38</v>
      </c>
      <c r="H2977" s="33" t="s">
        <v>5031</v>
      </c>
      <c r="I2977" s="33" t="s">
        <v>39</v>
      </c>
      <c r="J2977" s="33" t="s">
        <v>40</v>
      </c>
      <c r="K2977" s="33" t="s">
        <v>41</v>
      </c>
    </row>
    <row r="2978" spans="1:12" hidden="1" x14ac:dyDescent="0.3">
      <c r="A2978" s="39">
        <v>46055.652754629627</v>
      </c>
      <c r="B2978" s="33">
        <v>62981535978</v>
      </c>
      <c r="C2978" s="33" t="s">
        <v>37</v>
      </c>
      <c r="D2978" s="33">
        <v>4430265054</v>
      </c>
      <c r="E2978" s="33">
        <v>307</v>
      </c>
      <c r="F2978" s="33">
        <v>245</v>
      </c>
      <c r="G2978" s="33" t="s">
        <v>38</v>
      </c>
      <c r="H2978" s="33" t="s">
        <v>5032</v>
      </c>
      <c r="I2978" s="33" t="s">
        <v>39</v>
      </c>
      <c r="J2978" s="33" t="s">
        <v>40</v>
      </c>
      <c r="K2978" s="33" t="s">
        <v>41</v>
      </c>
      <c r="L2978" s="33">
        <v>5</v>
      </c>
    </row>
    <row r="2979" spans="1:12" hidden="1" x14ac:dyDescent="0.3">
      <c r="A2979" s="39">
        <v>46055.65215277778</v>
      </c>
      <c r="B2979" s="33">
        <v>44991484476</v>
      </c>
      <c r="C2979" s="33" t="s">
        <v>43</v>
      </c>
      <c r="D2979" s="33">
        <v>4430265054</v>
      </c>
      <c r="E2979" s="33">
        <v>608</v>
      </c>
      <c r="F2979" s="33">
        <v>586</v>
      </c>
      <c r="G2979" s="33" t="s">
        <v>38</v>
      </c>
      <c r="H2979" s="33" t="s">
        <v>5033</v>
      </c>
      <c r="I2979" s="33" t="s">
        <v>39</v>
      </c>
      <c r="J2979" s="33" t="s">
        <v>40</v>
      </c>
      <c r="K2979" s="33" t="s">
        <v>41</v>
      </c>
    </row>
    <row r="2980" spans="1:12" hidden="1" x14ac:dyDescent="0.3">
      <c r="A2980" s="39">
        <v>46055.65185185185</v>
      </c>
      <c r="B2980" s="33">
        <v>4430414545</v>
      </c>
      <c r="C2980" s="33" t="s">
        <v>42</v>
      </c>
      <c r="D2980" s="33">
        <v>4430265054</v>
      </c>
      <c r="E2980" s="33">
        <v>1013</v>
      </c>
      <c r="F2980" s="33">
        <v>887</v>
      </c>
      <c r="G2980" s="33" t="s">
        <v>38</v>
      </c>
      <c r="H2980" s="33" t="s">
        <v>5034</v>
      </c>
      <c r="I2980" s="33" t="s">
        <v>39</v>
      </c>
      <c r="J2980" s="33" t="s">
        <v>40</v>
      </c>
      <c r="K2980" s="33" t="s">
        <v>41</v>
      </c>
    </row>
    <row r="2981" spans="1:12" hidden="1" x14ac:dyDescent="0.3">
      <c r="A2981" s="39">
        <v>46055.65111111111</v>
      </c>
      <c r="B2981" s="33">
        <v>4430145172</v>
      </c>
      <c r="C2981" s="33" t="s">
        <v>44</v>
      </c>
      <c r="D2981" s="33">
        <v>4430265054</v>
      </c>
      <c r="E2981" s="33">
        <v>665</v>
      </c>
      <c r="F2981" s="33">
        <v>625</v>
      </c>
      <c r="G2981" s="33" t="s">
        <v>38</v>
      </c>
      <c r="H2981" s="33" t="s">
        <v>5035</v>
      </c>
      <c r="I2981" s="33" t="s">
        <v>39</v>
      </c>
      <c r="J2981" s="33" t="s">
        <v>40</v>
      </c>
      <c r="K2981" s="33" t="s">
        <v>41</v>
      </c>
    </row>
    <row r="2982" spans="1:12" hidden="1" x14ac:dyDescent="0.3">
      <c r="A2982" s="39">
        <v>46055.650023148148</v>
      </c>
      <c r="B2982" s="33">
        <v>93991495484</v>
      </c>
      <c r="C2982" s="33" t="s">
        <v>37</v>
      </c>
      <c r="D2982" s="33">
        <v>4430265054</v>
      </c>
      <c r="E2982" s="33">
        <v>235</v>
      </c>
      <c r="F2982" s="33">
        <v>186</v>
      </c>
      <c r="G2982" s="33" t="s">
        <v>38</v>
      </c>
      <c r="H2982" s="33" t="s">
        <v>5036</v>
      </c>
      <c r="I2982" s="33" t="s">
        <v>39</v>
      </c>
      <c r="J2982" s="33" t="s">
        <v>40</v>
      </c>
      <c r="K2982" s="33" t="s">
        <v>41</v>
      </c>
      <c r="L2982" s="33">
        <v>5</v>
      </c>
    </row>
    <row r="2983" spans="1:12" hidden="1" x14ac:dyDescent="0.3">
      <c r="A2983" s="39">
        <v>46055.649699074071</v>
      </c>
      <c r="B2983" s="33" t="s">
        <v>5173</v>
      </c>
      <c r="C2983" s="33">
        <v>6232822011</v>
      </c>
      <c r="E2983" s="33">
        <v>817</v>
      </c>
      <c r="F2983" s="33">
        <v>805</v>
      </c>
      <c r="G2983" s="33" t="s">
        <v>38</v>
      </c>
      <c r="H2983" s="33" t="s">
        <v>6484</v>
      </c>
      <c r="I2983" s="33" t="s">
        <v>46</v>
      </c>
      <c r="J2983" s="33" t="s">
        <v>3629</v>
      </c>
    </row>
    <row r="2984" spans="1:12" hidden="1" x14ac:dyDescent="0.3">
      <c r="A2984" s="39">
        <v>46055.637465277781</v>
      </c>
      <c r="B2984" s="33" t="s">
        <v>5173</v>
      </c>
      <c r="C2984" s="33">
        <v>4430254650</v>
      </c>
      <c r="E2984" s="33">
        <v>86</v>
      </c>
      <c r="F2984" s="33">
        <v>85</v>
      </c>
      <c r="G2984" s="33" t="s">
        <v>38</v>
      </c>
      <c r="H2984" s="33" t="s">
        <v>6485</v>
      </c>
      <c r="I2984" s="33" t="s">
        <v>46</v>
      </c>
      <c r="J2984" s="33" t="s">
        <v>3629</v>
      </c>
    </row>
    <row r="2985" spans="1:12" hidden="1" x14ac:dyDescent="0.3">
      <c r="A2985" s="39">
        <v>46055.635393518518</v>
      </c>
      <c r="B2985" s="33" t="s">
        <v>5173</v>
      </c>
      <c r="C2985" s="33">
        <v>4436191501</v>
      </c>
      <c r="E2985" s="33">
        <v>1</v>
      </c>
      <c r="F2985" s="33">
        <v>0</v>
      </c>
      <c r="G2985" s="33" t="s">
        <v>47</v>
      </c>
      <c r="H2985" s="33" t="s">
        <v>6486</v>
      </c>
      <c r="I2985" s="33" t="s">
        <v>46</v>
      </c>
      <c r="J2985" s="33" t="s">
        <v>3629</v>
      </c>
    </row>
    <row r="2986" spans="1:12" hidden="1" x14ac:dyDescent="0.3">
      <c r="A2986" s="39">
        <v>46055.635185185187</v>
      </c>
      <c r="B2986" s="33" t="s">
        <v>44</v>
      </c>
      <c r="C2986" s="33">
        <v>1131043888</v>
      </c>
      <c r="E2986" s="33">
        <v>402</v>
      </c>
      <c r="F2986" s="33">
        <v>401</v>
      </c>
      <c r="G2986" s="33" t="s">
        <v>38</v>
      </c>
      <c r="H2986" s="33" t="s">
        <v>6487</v>
      </c>
      <c r="I2986" s="33" t="s">
        <v>46</v>
      </c>
      <c r="J2986" s="33" t="s">
        <v>40</v>
      </c>
    </row>
    <row r="2987" spans="1:12" hidden="1" x14ac:dyDescent="0.3">
      <c r="A2987" s="39">
        <v>46055.633773148147</v>
      </c>
      <c r="B2987" s="33" t="s">
        <v>3627</v>
      </c>
      <c r="C2987" s="33">
        <v>65996786672</v>
      </c>
      <c r="E2987" s="33">
        <v>11</v>
      </c>
      <c r="F2987" s="33">
        <v>0</v>
      </c>
      <c r="G2987" s="33" t="s">
        <v>47</v>
      </c>
      <c r="H2987" s="33" t="s">
        <v>6488</v>
      </c>
      <c r="I2987" s="33" t="s">
        <v>46</v>
      </c>
      <c r="J2987" s="33" t="s">
        <v>3629</v>
      </c>
    </row>
    <row r="2988" spans="1:12" hidden="1" x14ac:dyDescent="0.3">
      <c r="A2988" s="39">
        <v>46055.631354166668</v>
      </c>
      <c r="B2988" s="33" t="s">
        <v>5173</v>
      </c>
      <c r="C2988" s="33">
        <v>4433511515</v>
      </c>
      <c r="E2988" s="33">
        <v>0</v>
      </c>
      <c r="F2988" s="33">
        <v>0</v>
      </c>
      <c r="G2988" s="33" t="s">
        <v>47</v>
      </c>
      <c r="H2988" s="33" t="s">
        <v>6489</v>
      </c>
      <c r="I2988" s="33" t="s">
        <v>46</v>
      </c>
      <c r="J2988" s="33" t="s">
        <v>3629</v>
      </c>
    </row>
    <row r="2989" spans="1:12" hidden="1" x14ac:dyDescent="0.3">
      <c r="A2989" s="39">
        <v>46055.631157407406</v>
      </c>
      <c r="B2989" s="33" t="s">
        <v>3627</v>
      </c>
      <c r="C2989" s="33">
        <v>24993164430</v>
      </c>
      <c r="E2989" s="33">
        <v>14</v>
      </c>
      <c r="F2989" s="33">
        <v>0</v>
      </c>
      <c r="G2989" s="33" t="s">
        <v>47</v>
      </c>
      <c r="H2989" s="33" t="s">
        <v>6490</v>
      </c>
      <c r="I2989" s="33" t="s">
        <v>46</v>
      </c>
      <c r="J2989" s="33" t="s">
        <v>3629</v>
      </c>
    </row>
    <row r="2990" spans="1:12" hidden="1" x14ac:dyDescent="0.3">
      <c r="A2990" s="39">
        <v>46055.628946759258</v>
      </c>
      <c r="B2990" s="33" t="s">
        <v>5173</v>
      </c>
      <c r="C2990" s="33">
        <v>4432541143</v>
      </c>
      <c r="E2990" s="33">
        <v>14</v>
      </c>
      <c r="F2990" s="33">
        <v>0</v>
      </c>
      <c r="G2990" s="33" t="s">
        <v>47</v>
      </c>
      <c r="H2990" s="33" t="s">
        <v>6491</v>
      </c>
      <c r="I2990" s="33" t="s">
        <v>46</v>
      </c>
      <c r="J2990" s="33" t="s">
        <v>3629</v>
      </c>
    </row>
    <row r="2991" spans="1:12" hidden="1" x14ac:dyDescent="0.3">
      <c r="A2991" s="39">
        <v>46055.628101851849</v>
      </c>
      <c r="B2991" s="33">
        <v>2222100098</v>
      </c>
      <c r="C2991" s="33" t="s">
        <v>45</v>
      </c>
      <c r="D2991" s="33">
        <v>4430265054</v>
      </c>
      <c r="E2991" s="33">
        <v>800</v>
      </c>
      <c r="F2991" s="33">
        <v>759</v>
      </c>
      <c r="G2991" s="33" t="s">
        <v>38</v>
      </c>
      <c r="H2991" s="33" t="s">
        <v>5037</v>
      </c>
      <c r="I2991" s="33" t="s">
        <v>39</v>
      </c>
      <c r="J2991" s="33" t="s">
        <v>40</v>
      </c>
      <c r="K2991" s="33" t="s">
        <v>41</v>
      </c>
    </row>
    <row r="2992" spans="1:12" hidden="1" x14ac:dyDescent="0.3">
      <c r="A2992" s="39">
        <v>46055.627754629626</v>
      </c>
      <c r="B2992" s="33" t="s">
        <v>48</v>
      </c>
      <c r="C2992" s="33">
        <v>4430043303</v>
      </c>
      <c r="E2992" s="33">
        <v>60</v>
      </c>
      <c r="F2992" s="33">
        <v>59</v>
      </c>
      <c r="G2992" s="33" t="s">
        <v>38</v>
      </c>
      <c r="H2992" s="33" t="s">
        <v>6492</v>
      </c>
      <c r="I2992" s="33" t="s">
        <v>46</v>
      </c>
      <c r="J2992" s="33" t="s">
        <v>40</v>
      </c>
    </row>
    <row r="2993" spans="1:12" hidden="1" x14ac:dyDescent="0.3">
      <c r="A2993" s="39">
        <v>46055.625324074077</v>
      </c>
      <c r="B2993" s="33" t="s">
        <v>5173</v>
      </c>
      <c r="C2993" s="33">
        <v>4432541200</v>
      </c>
      <c r="E2993" s="33">
        <v>20</v>
      </c>
      <c r="F2993" s="33">
        <v>4</v>
      </c>
      <c r="G2993" s="33" t="s">
        <v>38</v>
      </c>
      <c r="H2993" s="33" t="s">
        <v>6493</v>
      </c>
      <c r="I2993" s="33" t="s">
        <v>46</v>
      </c>
      <c r="J2993" s="33" t="s">
        <v>3629</v>
      </c>
    </row>
    <row r="2994" spans="1:12" hidden="1" x14ac:dyDescent="0.3">
      <c r="A2994" s="39">
        <v>46055.624837962961</v>
      </c>
      <c r="B2994" s="33">
        <v>4121170743</v>
      </c>
      <c r="C2994" s="33">
        <v>4531273168</v>
      </c>
      <c r="D2994" s="33">
        <v>4531273168</v>
      </c>
      <c r="E2994" s="33">
        <v>8</v>
      </c>
      <c r="F2994" s="33">
        <v>8</v>
      </c>
      <c r="G2994" s="33" t="s">
        <v>3449</v>
      </c>
      <c r="H2994" s="33" t="s">
        <v>6494</v>
      </c>
      <c r="I2994" s="33" t="s">
        <v>39</v>
      </c>
      <c r="J2994" s="33" t="s">
        <v>3451</v>
      </c>
    </row>
    <row r="2995" spans="1:12" hidden="1" x14ac:dyDescent="0.3">
      <c r="A2995" s="39">
        <v>46055.623703703706</v>
      </c>
      <c r="B2995" s="33">
        <v>43999388040</v>
      </c>
      <c r="C2995" s="33" t="s">
        <v>37</v>
      </c>
      <c r="D2995" s="33">
        <v>4430265054</v>
      </c>
      <c r="E2995" s="33">
        <v>1277</v>
      </c>
      <c r="F2995" s="33">
        <v>1216</v>
      </c>
      <c r="G2995" s="33" t="s">
        <v>38</v>
      </c>
      <c r="H2995" s="33" t="s">
        <v>5038</v>
      </c>
      <c r="I2995" s="33" t="s">
        <v>39</v>
      </c>
      <c r="J2995" s="33" t="s">
        <v>40</v>
      </c>
      <c r="K2995" s="33" t="s">
        <v>41</v>
      </c>
    </row>
    <row r="2996" spans="1:12" hidden="1" x14ac:dyDescent="0.3">
      <c r="A2996" s="39">
        <v>46055.620868055557</v>
      </c>
      <c r="B2996" s="33" t="s">
        <v>42</v>
      </c>
      <c r="C2996" s="33">
        <v>62994086124</v>
      </c>
      <c r="E2996" s="33">
        <v>2621</v>
      </c>
      <c r="F2996" s="33">
        <v>2610</v>
      </c>
      <c r="G2996" s="33" t="s">
        <v>38</v>
      </c>
      <c r="H2996" s="33" t="s">
        <v>6495</v>
      </c>
      <c r="I2996" s="33" t="s">
        <v>46</v>
      </c>
      <c r="J2996" s="33" t="s">
        <v>40</v>
      </c>
      <c r="L2996" s="33">
        <v>5</v>
      </c>
    </row>
    <row r="2997" spans="1:12" hidden="1" x14ac:dyDescent="0.3">
      <c r="A2997" s="39">
        <v>46055.616157407407</v>
      </c>
      <c r="B2997" s="33">
        <v>44997164698</v>
      </c>
      <c r="C2997" s="33" t="s">
        <v>43</v>
      </c>
      <c r="D2997" s="33">
        <v>4430265054</v>
      </c>
      <c r="E2997" s="33">
        <v>367</v>
      </c>
      <c r="F2997" s="33">
        <v>332</v>
      </c>
      <c r="G2997" s="33" t="s">
        <v>38</v>
      </c>
      <c r="H2997" s="33" t="s">
        <v>5039</v>
      </c>
      <c r="I2997" s="33" t="s">
        <v>39</v>
      </c>
      <c r="J2997" s="33" t="s">
        <v>40</v>
      </c>
      <c r="K2997" s="33" t="s">
        <v>41</v>
      </c>
    </row>
    <row r="2998" spans="1:12" hidden="1" x14ac:dyDescent="0.3">
      <c r="A2998" s="39">
        <v>46055.612430555557</v>
      </c>
      <c r="B2998" s="33">
        <v>4430145172</v>
      </c>
      <c r="C2998" s="33">
        <v>4430265054</v>
      </c>
      <c r="D2998" s="33">
        <v>4430265054</v>
      </c>
      <c r="E2998" s="33">
        <v>66</v>
      </c>
      <c r="F2998" s="33">
        <v>66</v>
      </c>
      <c r="G2998" s="33" t="s">
        <v>3449</v>
      </c>
      <c r="H2998" s="33" t="s">
        <v>5040</v>
      </c>
      <c r="I2998" s="33" t="s">
        <v>39</v>
      </c>
      <c r="J2998" s="33" t="s">
        <v>3451</v>
      </c>
      <c r="K2998" s="33" t="s">
        <v>41</v>
      </c>
    </row>
    <row r="2999" spans="1:12" hidden="1" x14ac:dyDescent="0.3">
      <c r="A2999" s="39">
        <v>46055.611840277779</v>
      </c>
      <c r="B2999" s="33">
        <v>62994086124</v>
      </c>
      <c r="C2999" s="33">
        <v>4430265054</v>
      </c>
      <c r="D2999" s="33">
        <v>4430265054</v>
      </c>
      <c r="E2999" s="33">
        <v>90</v>
      </c>
      <c r="F2999" s="33">
        <v>89</v>
      </c>
      <c r="G2999" s="33" t="s">
        <v>3449</v>
      </c>
      <c r="H2999" s="33" t="s">
        <v>5041</v>
      </c>
      <c r="I2999" s="33" t="s">
        <v>39</v>
      </c>
      <c r="J2999" s="33" t="s">
        <v>3451</v>
      </c>
      <c r="K2999" s="33" t="s">
        <v>41</v>
      </c>
    </row>
    <row r="3000" spans="1:12" hidden="1" x14ac:dyDescent="0.3">
      <c r="A3000" s="39">
        <v>46055.609363425923</v>
      </c>
      <c r="B3000" s="33">
        <v>44988067937</v>
      </c>
      <c r="C3000" s="33" t="s">
        <v>37</v>
      </c>
      <c r="D3000" s="33">
        <v>4430265054</v>
      </c>
      <c r="E3000" s="33">
        <v>215</v>
      </c>
      <c r="F3000" s="33">
        <v>142</v>
      </c>
      <c r="G3000" s="33" t="s">
        <v>38</v>
      </c>
      <c r="H3000" s="33" t="s">
        <v>5042</v>
      </c>
      <c r="I3000" s="33" t="s">
        <v>39</v>
      </c>
      <c r="J3000" s="33" t="s">
        <v>40</v>
      </c>
      <c r="K3000" s="33" t="s">
        <v>41</v>
      </c>
      <c r="L3000" s="33">
        <v>5</v>
      </c>
    </row>
    <row r="3001" spans="1:12" hidden="1" x14ac:dyDescent="0.3">
      <c r="A3001" s="39">
        <v>46055.609340277777</v>
      </c>
      <c r="B3001" s="33" t="s">
        <v>44</v>
      </c>
      <c r="C3001" s="33">
        <v>15997113760</v>
      </c>
      <c r="E3001" s="33">
        <v>757</v>
      </c>
      <c r="F3001" s="33">
        <v>735</v>
      </c>
      <c r="G3001" s="33" t="s">
        <v>38</v>
      </c>
      <c r="H3001" s="33" t="s">
        <v>6496</v>
      </c>
      <c r="I3001" s="33" t="s">
        <v>46</v>
      </c>
      <c r="J3001" s="33" t="s">
        <v>40</v>
      </c>
    </row>
    <row r="3002" spans="1:12" hidden="1" x14ac:dyDescent="0.3">
      <c r="A3002" s="39">
        <v>46055.60769675926</v>
      </c>
      <c r="B3002" s="33" t="s">
        <v>44</v>
      </c>
      <c r="C3002" s="33">
        <v>1131043888</v>
      </c>
      <c r="E3002" s="33">
        <v>60</v>
      </c>
      <c r="F3002" s="33">
        <v>58</v>
      </c>
      <c r="G3002" s="33" t="s">
        <v>38</v>
      </c>
      <c r="H3002" s="33" t="s">
        <v>6497</v>
      </c>
      <c r="I3002" s="33" t="s">
        <v>46</v>
      </c>
      <c r="J3002" s="33" t="s">
        <v>40</v>
      </c>
    </row>
    <row r="3003" spans="1:12" hidden="1" x14ac:dyDescent="0.3">
      <c r="A3003" s="39">
        <v>46055.606689814813</v>
      </c>
      <c r="B3003" s="33" t="s">
        <v>5173</v>
      </c>
      <c r="C3003" s="33">
        <v>4434551197</v>
      </c>
      <c r="E3003" s="33">
        <v>1</v>
      </c>
      <c r="F3003" s="33">
        <v>0</v>
      </c>
      <c r="G3003" s="33" t="s">
        <v>47</v>
      </c>
      <c r="H3003" s="33" t="s">
        <v>6498</v>
      </c>
      <c r="I3003" s="33" t="s">
        <v>46</v>
      </c>
      <c r="J3003" s="33" t="s">
        <v>3629</v>
      </c>
    </row>
    <row r="3004" spans="1:12" hidden="1" x14ac:dyDescent="0.3">
      <c r="A3004" s="39">
        <v>46055.603159722225</v>
      </c>
      <c r="B3004" s="33">
        <v>44997182724</v>
      </c>
      <c r="C3004" s="33">
        <v>4430265054</v>
      </c>
      <c r="D3004" s="33">
        <v>4430265054</v>
      </c>
      <c r="E3004" s="33">
        <v>19</v>
      </c>
      <c r="F3004" s="33">
        <v>18</v>
      </c>
      <c r="G3004" s="33" t="s">
        <v>3449</v>
      </c>
      <c r="H3004" s="33" t="s">
        <v>6499</v>
      </c>
      <c r="I3004" s="33" t="s">
        <v>39</v>
      </c>
      <c r="J3004" s="33" t="s">
        <v>3451</v>
      </c>
    </row>
    <row r="3005" spans="1:12" hidden="1" x14ac:dyDescent="0.3">
      <c r="A3005" s="39">
        <v>46055.597928240742</v>
      </c>
      <c r="B3005" s="33">
        <v>91985176746</v>
      </c>
      <c r="C3005" s="33" t="s">
        <v>45</v>
      </c>
      <c r="D3005" s="33">
        <v>4430265054</v>
      </c>
      <c r="E3005" s="33">
        <v>1650</v>
      </c>
      <c r="F3005" s="33">
        <v>1613</v>
      </c>
      <c r="G3005" s="33" t="s">
        <v>38</v>
      </c>
      <c r="H3005" s="33" t="s">
        <v>5043</v>
      </c>
      <c r="I3005" s="33" t="s">
        <v>39</v>
      </c>
      <c r="J3005" s="33" t="s">
        <v>40</v>
      </c>
      <c r="K3005" s="33" t="s">
        <v>41</v>
      </c>
    </row>
    <row r="3006" spans="1:12" hidden="1" x14ac:dyDescent="0.3">
      <c r="A3006" s="39">
        <v>46055.594895833332</v>
      </c>
      <c r="B3006" s="33">
        <v>44997687156</v>
      </c>
      <c r="C3006" s="33" t="s">
        <v>43</v>
      </c>
      <c r="D3006" s="33">
        <v>4430265054</v>
      </c>
      <c r="E3006" s="33">
        <v>302</v>
      </c>
      <c r="F3006" s="33">
        <v>239</v>
      </c>
      <c r="G3006" s="33" t="s">
        <v>38</v>
      </c>
      <c r="H3006" s="33" t="s">
        <v>5044</v>
      </c>
      <c r="I3006" s="33" t="s">
        <v>39</v>
      </c>
      <c r="J3006" s="33" t="s">
        <v>40</v>
      </c>
      <c r="K3006" s="33" t="s">
        <v>41</v>
      </c>
    </row>
    <row r="3007" spans="1:12" hidden="1" x14ac:dyDescent="0.3">
      <c r="A3007" s="39">
        <v>46055.594467592593</v>
      </c>
      <c r="B3007" s="33" t="s">
        <v>3627</v>
      </c>
      <c r="C3007" s="33">
        <v>63992317810</v>
      </c>
      <c r="E3007" s="33">
        <v>38</v>
      </c>
      <c r="F3007" s="33">
        <v>16</v>
      </c>
      <c r="G3007" s="33" t="s">
        <v>38</v>
      </c>
      <c r="H3007" s="33" t="s">
        <v>6500</v>
      </c>
      <c r="I3007" s="33" t="s">
        <v>46</v>
      </c>
      <c r="J3007" s="33" t="s">
        <v>3629</v>
      </c>
    </row>
    <row r="3008" spans="1:12" hidden="1" x14ac:dyDescent="0.3">
      <c r="A3008" s="39">
        <v>46055.588773148149</v>
      </c>
      <c r="B3008" s="33" t="s">
        <v>3627</v>
      </c>
      <c r="C3008" s="33">
        <v>11997273875</v>
      </c>
      <c r="E3008" s="33">
        <v>40</v>
      </c>
      <c r="F3008" s="33">
        <v>3</v>
      </c>
      <c r="G3008" s="33" t="s">
        <v>38</v>
      </c>
      <c r="H3008" s="33" t="s">
        <v>6501</v>
      </c>
      <c r="I3008" s="33" t="s">
        <v>46</v>
      </c>
      <c r="J3008" s="33" t="s">
        <v>3629</v>
      </c>
    </row>
    <row r="3009" spans="1:13" hidden="1" x14ac:dyDescent="0.3">
      <c r="A3009" s="39">
        <v>46055.587442129632</v>
      </c>
      <c r="B3009" s="33">
        <v>45999211357</v>
      </c>
      <c r="C3009" s="33" t="s">
        <v>42</v>
      </c>
      <c r="D3009" s="33">
        <v>4431268225</v>
      </c>
      <c r="E3009" s="33">
        <v>487</v>
      </c>
      <c r="F3009" s="33">
        <v>466</v>
      </c>
      <c r="G3009" s="33" t="s">
        <v>38</v>
      </c>
      <c r="H3009" s="33" t="s">
        <v>5045</v>
      </c>
      <c r="I3009" s="33" t="s">
        <v>39</v>
      </c>
      <c r="J3009" s="33" t="s">
        <v>40</v>
      </c>
      <c r="K3009" s="33" t="s">
        <v>41</v>
      </c>
      <c r="L3009" s="33">
        <v>5</v>
      </c>
    </row>
    <row r="3010" spans="1:13" hidden="1" x14ac:dyDescent="0.3">
      <c r="A3010" s="39">
        <v>46055.587187500001</v>
      </c>
      <c r="B3010" s="33">
        <v>15997113760</v>
      </c>
      <c r="C3010" s="33" t="s">
        <v>45</v>
      </c>
      <c r="D3010" s="33">
        <v>4431268225</v>
      </c>
      <c r="E3010" s="33">
        <v>117</v>
      </c>
      <c r="F3010" s="33">
        <v>91</v>
      </c>
      <c r="G3010" s="33" t="s">
        <v>38</v>
      </c>
      <c r="H3010" s="33" t="s">
        <v>5046</v>
      </c>
      <c r="I3010" s="33" t="s">
        <v>39</v>
      </c>
      <c r="J3010" s="33" t="s">
        <v>40</v>
      </c>
      <c r="K3010" s="33" t="s">
        <v>41</v>
      </c>
    </row>
    <row r="3011" spans="1:13" hidden="1" x14ac:dyDescent="0.3">
      <c r="A3011" s="39">
        <v>46055.585069444445</v>
      </c>
      <c r="B3011" s="33">
        <v>41999360037</v>
      </c>
      <c r="C3011" s="33">
        <v>4430265054</v>
      </c>
      <c r="D3011" s="33">
        <v>4430265054</v>
      </c>
      <c r="E3011" s="33">
        <v>20</v>
      </c>
      <c r="F3011" s="33">
        <v>19</v>
      </c>
      <c r="G3011" s="33" t="s">
        <v>3449</v>
      </c>
      <c r="H3011" s="33" t="s">
        <v>6502</v>
      </c>
      <c r="I3011" s="33" t="s">
        <v>39</v>
      </c>
      <c r="J3011" s="33" t="s">
        <v>3451</v>
      </c>
    </row>
    <row r="3012" spans="1:13" hidden="1" x14ac:dyDescent="0.3">
      <c r="A3012" s="39">
        <v>46055.583865740744</v>
      </c>
      <c r="B3012" s="33">
        <v>44991486467</v>
      </c>
      <c r="C3012" s="33" t="s">
        <v>44</v>
      </c>
      <c r="D3012" s="33">
        <v>4430265054</v>
      </c>
      <c r="E3012" s="33">
        <v>1192</v>
      </c>
      <c r="F3012" s="33">
        <v>1142</v>
      </c>
      <c r="G3012" s="33" t="s">
        <v>38</v>
      </c>
      <c r="H3012" s="33" t="s">
        <v>5047</v>
      </c>
      <c r="I3012" s="33" t="s">
        <v>39</v>
      </c>
      <c r="J3012" s="33" t="s">
        <v>40</v>
      </c>
      <c r="K3012" s="33" t="s">
        <v>41</v>
      </c>
    </row>
    <row r="3013" spans="1:13" hidden="1" x14ac:dyDescent="0.3">
      <c r="A3013" s="39">
        <v>46055.583078703705</v>
      </c>
      <c r="B3013" s="33">
        <v>91985176746</v>
      </c>
      <c r="C3013" s="33" t="s">
        <v>37</v>
      </c>
      <c r="D3013" s="33">
        <v>4430265054</v>
      </c>
      <c r="E3013" s="33">
        <v>853</v>
      </c>
      <c r="F3013" s="33">
        <v>825</v>
      </c>
      <c r="G3013" s="33" t="s">
        <v>38</v>
      </c>
      <c r="H3013" s="33" t="s">
        <v>5048</v>
      </c>
      <c r="I3013" s="33" t="s">
        <v>39</v>
      </c>
      <c r="J3013" s="33" t="s">
        <v>40</v>
      </c>
      <c r="K3013" s="33" t="s">
        <v>41</v>
      </c>
      <c r="L3013" s="33">
        <v>5</v>
      </c>
    </row>
    <row r="3014" spans="1:13" hidden="1" x14ac:dyDescent="0.3">
      <c r="A3014" s="39">
        <v>46055.577719907407</v>
      </c>
      <c r="B3014" s="33" t="s">
        <v>3627</v>
      </c>
      <c r="C3014" s="33">
        <v>31988342161</v>
      </c>
      <c r="E3014" s="33">
        <v>18</v>
      </c>
      <c r="F3014" s="33">
        <v>0</v>
      </c>
      <c r="G3014" s="33" t="s">
        <v>47</v>
      </c>
      <c r="H3014" s="33" t="s">
        <v>6503</v>
      </c>
      <c r="I3014" s="33" t="s">
        <v>46</v>
      </c>
      <c r="J3014" s="33" t="s">
        <v>3629</v>
      </c>
    </row>
    <row r="3015" spans="1:13" x14ac:dyDescent="0.3">
      <c r="A3015" s="39">
        <v>46055.576562499999</v>
      </c>
      <c r="B3015" s="33">
        <v>44991668902</v>
      </c>
      <c r="C3015" s="33" t="s">
        <v>44</v>
      </c>
      <c r="D3015" s="33">
        <v>4430265054</v>
      </c>
      <c r="E3015" s="33">
        <v>496</v>
      </c>
      <c r="F3015" s="33">
        <v>422</v>
      </c>
      <c r="G3015" s="33" t="s">
        <v>38</v>
      </c>
      <c r="H3015" s="33" t="s">
        <v>5049</v>
      </c>
      <c r="I3015" s="33" t="s">
        <v>39</v>
      </c>
      <c r="J3015" s="33" t="s">
        <v>40</v>
      </c>
      <c r="K3015" s="33" t="s">
        <v>41</v>
      </c>
      <c r="L3015" s="37">
        <v>5</v>
      </c>
      <c r="M3015" s="36" t="s">
        <v>6552</v>
      </c>
    </row>
    <row r="3016" spans="1:13" hidden="1" x14ac:dyDescent="0.3">
      <c r="A3016" s="39">
        <v>46055.576377314814</v>
      </c>
      <c r="B3016" s="33" t="s">
        <v>3627</v>
      </c>
      <c r="C3016" s="33">
        <v>61996945756</v>
      </c>
      <c r="E3016" s="33">
        <v>7</v>
      </c>
      <c r="F3016" s="33">
        <v>3</v>
      </c>
      <c r="G3016" s="33" t="s">
        <v>38</v>
      </c>
      <c r="H3016" s="33" t="s">
        <v>6504</v>
      </c>
      <c r="I3016" s="33" t="s">
        <v>46</v>
      </c>
      <c r="J3016" s="33" t="s">
        <v>3629</v>
      </c>
    </row>
    <row r="3017" spans="1:13" hidden="1" x14ac:dyDescent="0.3">
      <c r="A3017" s="39">
        <v>46055.575694444444</v>
      </c>
      <c r="B3017" s="33">
        <v>43991364602</v>
      </c>
      <c r="C3017" s="33" t="s">
        <v>37</v>
      </c>
      <c r="D3017" s="33">
        <v>4430265054</v>
      </c>
      <c r="E3017" s="33">
        <v>320</v>
      </c>
      <c r="F3017" s="33">
        <v>200</v>
      </c>
      <c r="G3017" s="33" t="s">
        <v>38</v>
      </c>
      <c r="H3017" s="33" t="s">
        <v>5050</v>
      </c>
      <c r="I3017" s="33" t="s">
        <v>39</v>
      </c>
      <c r="J3017" s="33" t="s">
        <v>40</v>
      </c>
      <c r="K3017" s="33" t="s">
        <v>41</v>
      </c>
    </row>
    <row r="3018" spans="1:13" hidden="1" x14ac:dyDescent="0.3">
      <c r="A3018" s="39">
        <v>46055.569872685184</v>
      </c>
      <c r="B3018" s="33" t="s">
        <v>45</v>
      </c>
      <c r="C3018" s="33">
        <v>44999090169</v>
      </c>
      <c r="E3018" s="33">
        <v>119</v>
      </c>
      <c r="F3018" s="33">
        <v>95</v>
      </c>
      <c r="G3018" s="33" t="s">
        <v>38</v>
      </c>
      <c r="H3018" s="33" t="s">
        <v>6505</v>
      </c>
      <c r="I3018" s="33" t="s">
        <v>46</v>
      </c>
      <c r="J3018" s="33" t="s">
        <v>40</v>
      </c>
    </row>
    <row r="3019" spans="1:13" hidden="1" x14ac:dyDescent="0.3">
      <c r="A3019" s="39">
        <v>46055.569085648145</v>
      </c>
      <c r="B3019" s="33" t="s">
        <v>45</v>
      </c>
      <c r="C3019" s="33">
        <v>44999090169</v>
      </c>
      <c r="E3019" s="33">
        <v>36</v>
      </c>
      <c r="F3019" s="33">
        <v>0</v>
      </c>
      <c r="G3019" s="33" t="s">
        <v>47</v>
      </c>
      <c r="H3019" s="33" t="s">
        <v>6506</v>
      </c>
      <c r="I3019" s="33" t="s">
        <v>46</v>
      </c>
      <c r="J3019" s="33" t="s">
        <v>40</v>
      </c>
    </row>
    <row r="3020" spans="1:13" hidden="1" x14ac:dyDescent="0.3">
      <c r="A3020" s="39">
        <v>46055.565868055557</v>
      </c>
      <c r="B3020" s="33" t="s">
        <v>44</v>
      </c>
      <c r="C3020" s="33">
        <v>4430315826</v>
      </c>
      <c r="E3020" s="33">
        <v>127</v>
      </c>
      <c r="F3020" s="33">
        <v>115</v>
      </c>
      <c r="G3020" s="33" t="s">
        <v>38</v>
      </c>
      <c r="H3020" s="33" t="s">
        <v>6507</v>
      </c>
      <c r="I3020" s="33" t="s">
        <v>46</v>
      </c>
      <c r="J3020" s="33" t="s">
        <v>40</v>
      </c>
    </row>
    <row r="3021" spans="1:13" hidden="1" x14ac:dyDescent="0.3">
      <c r="A3021" s="39">
        <v>46055.565798611111</v>
      </c>
      <c r="B3021" s="33" t="s">
        <v>44</v>
      </c>
      <c r="C3021" s="33">
        <v>4430315826</v>
      </c>
      <c r="E3021" s="33">
        <v>5</v>
      </c>
      <c r="F3021" s="33">
        <v>0</v>
      </c>
      <c r="G3021" s="33" t="s">
        <v>47</v>
      </c>
      <c r="H3021" s="33" t="s">
        <v>6508</v>
      </c>
      <c r="I3021" s="33" t="s">
        <v>46</v>
      </c>
      <c r="J3021" s="33" t="s">
        <v>40</v>
      </c>
    </row>
    <row r="3022" spans="1:13" hidden="1" x14ac:dyDescent="0.3">
      <c r="A3022" s="39">
        <v>46055.56417824074</v>
      </c>
      <c r="B3022" s="33" t="s">
        <v>51</v>
      </c>
      <c r="C3022" s="33" t="s">
        <v>5173</v>
      </c>
      <c r="E3022" s="33">
        <v>592</v>
      </c>
      <c r="F3022" s="33">
        <v>578</v>
      </c>
      <c r="G3022" s="33" t="s">
        <v>38</v>
      </c>
      <c r="H3022" s="33" t="s">
        <v>6509</v>
      </c>
      <c r="I3022" s="33" t="s">
        <v>52</v>
      </c>
      <c r="J3022" s="33" t="s">
        <v>3629</v>
      </c>
    </row>
    <row r="3023" spans="1:13" hidden="1" x14ac:dyDescent="0.3">
      <c r="A3023" s="39">
        <v>46055.563981481479</v>
      </c>
      <c r="B3023" s="33">
        <v>4430145172</v>
      </c>
      <c r="C3023" s="33" t="s">
        <v>45</v>
      </c>
      <c r="D3023" s="33">
        <v>4430265054</v>
      </c>
      <c r="E3023" s="33">
        <v>233</v>
      </c>
      <c r="F3023" s="33">
        <v>208</v>
      </c>
      <c r="G3023" s="33" t="s">
        <v>38</v>
      </c>
      <c r="H3023" s="33" t="s">
        <v>5051</v>
      </c>
      <c r="I3023" s="33" t="s">
        <v>39</v>
      </c>
      <c r="J3023" s="33" t="s">
        <v>40</v>
      </c>
      <c r="K3023" s="33" t="s">
        <v>41</v>
      </c>
    </row>
    <row r="3024" spans="1:13" hidden="1" x14ac:dyDescent="0.3">
      <c r="A3024" s="39">
        <v>46055.562175925923</v>
      </c>
      <c r="B3024" s="33">
        <v>4430145172</v>
      </c>
      <c r="C3024" s="33">
        <v>4430265054</v>
      </c>
      <c r="D3024" s="33">
        <v>4430265054</v>
      </c>
      <c r="E3024" s="33">
        <v>18</v>
      </c>
      <c r="F3024" s="33">
        <v>17</v>
      </c>
      <c r="G3024" s="33" t="s">
        <v>3449</v>
      </c>
      <c r="H3024" s="33" t="s">
        <v>6510</v>
      </c>
      <c r="I3024" s="33" t="s">
        <v>39</v>
      </c>
      <c r="J3024" s="33" t="s">
        <v>3451</v>
      </c>
    </row>
    <row r="3025" spans="1:12" hidden="1" x14ac:dyDescent="0.3">
      <c r="A3025" s="39">
        <v>46055.561064814814</v>
      </c>
      <c r="B3025" s="33">
        <v>43991364602</v>
      </c>
      <c r="C3025" s="33">
        <v>4430265054</v>
      </c>
      <c r="D3025" s="33">
        <v>4430265054</v>
      </c>
      <c r="E3025" s="33">
        <v>29</v>
      </c>
      <c r="F3025" s="33">
        <v>28</v>
      </c>
      <c r="G3025" s="33" t="s">
        <v>3449</v>
      </c>
      <c r="H3025" s="33" t="s">
        <v>6511</v>
      </c>
      <c r="I3025" s="33" t="s">
        <v>39</v>
      </c>
      <c r="J3025" s="33" t="s">
        <v>3451</v>
      </c>
    </row>
    <row r="3026" spans="1:12" hidden="1" x14ac:dyDescent="0.3">
      <c r="A3026" s="39">
        <v>46055.499178240738</v>
      </c>
      <c r="B3026" s="33">
        <v>91985176746</v>
      </c>
      <c r="C3026" s="33" t="s">
        <v>37</v>
      </c>
      <c r="D3026" s="33">
        <v>4430265054</v>
      </c>
      <c r="E3026" s="33">
        <v>174</v>
      </c>
      <c r="F3026" s="33">
        <v>6</v>
      </c>
      <c r="G3026" s="33" t="s">
        <v>38</v>
      </c>
      <c r="H3026" s="33" t="s">
        <v>5052</v>
      </c>
      <c r="I3026" s="33" t="s">
        <v>39</v>
      </c>
      <c r="J3026" s="33" t="s">
        <v>40</v>
      </c>
      <c r="K3026" s="33" t="s">
        <v>41</v>
      </c>
    </row>
    <row r="3027" spans="1:12" hidden="1" x14ac:dyDescent="0.3">
      <c r="A3027" s="39">
        <v>46055.492384259262</v>
      </c>
      <c r="B3027" s="33">
        <v>11965990735</v>
      </c>
      <c r="C3027" s="33" t="s">
        <v>45</v>
      </c>
      <c r="D3027" s="33">
        <v>4430265054</v>
      </c>
      <c r="E3027" s="33">
        <v>369</v>
      </c>
      <c r="F3027" s="33">
        <v>311</v>
      </c>
      <c r="G3027" s="33" t="s">
        <v>38</v>
      </c>
      <c r="H3027" s="33" t="s">
        <v>5053</v>
      </c>
      <c r="I3027" s="33" t="s">
        <v>39</v>
      </c>
      <c r="J3027" s="33" t="s">
        <v>40</v>
      </c>
      <c r="K3027" s="33" t="s">
        <v>41</v>
      </c>
      <c r="L3027" s="33">
        <v>5</v>
      </c>
    </row>
    <row r="3028" spans="1:12" hidden="1" x14ac:dyDescent="0.3">
      <c r="A3028" s="39">
        <v>46055.490636574075</v>
      </c>
      <c r="B3028" s="33" t="s">
        <v>44</v>
      </c>
      <c r="C3028" s="33">
        <v>4430315826</v>
      </c>
      <c r="E3028" s="33">
        <v>205</v>
      </c>
      <c r="F3028" s="33">
        <v>193</v>
      </c>
      <c r="G3028" s="33" t="s">
        <v>38</v>
      </c>
      <c r="H3028" s="33" t="s">
        <v>6512</v>
      </c>
      <c r="I3028" s="33" t="s">
        <v>46</v>
      </c>
      <c r="J3028" s="33" t="s">
        <v>40</v>
      </c>
    </row>
    <row r="3029" spans="1:12" hidden="1" x14ac:dyDescent="0.3">
      <c r="A3029" s="39">
        <v>46055.49009259259</v>
      </c>
      <c r="B3029" s="33">
        <v>4330332823</v>
      </c>
      <c r="C3029" s="33" t="s">
        <v>37</v>
      </c>
      <c r="D3029" s="33">
        <v>4430265054</v>
      </c>
      <c r="E3029" s="33">
        <v>170</v>
      </c>
      <c r="F3029" s="33">
        <v>146</v>
      </c>
      <c r="G3029" s="33" t="s">
        <v>38</v>
      </c>
      <c r="H3029" s="33" t="s">
        <v>5054</v>
      </c>
      <c r="I3029" s="33" t="s">
        <v>39</v>
      </c>
      <c r="J3029" s="33" t="s">
        <v>40</v>
      </c>
      <c r="K3029" s="33" t="s">
        <v>41</v>
      </c>
    </row>
    <row r="3030" spans="1:12" hidden="1" x14ac:dyDescent="0.3">
      <c r="A3030" s="39">
        <v>46055.479710648149</v>
      </c>
      <c r="B3030" s="33">
        <v>62994086124</v>
      </c>
      <c r="C3030" s="33" t="s">
        <v>42</v>
      </c>
      <c r="D3030" s="33">
        <v>4430265054</v>
      </c>
      <c r="E3030" s="33">
        <v>1762</v>
      </c>
      <c r="F3030" s="33">
        <v>1733</v>
      </c>
      <c r="G3030" s="33" t="s">
        <v>38</v>
      </c>
      <c r="H3030" s="33" t="s">
        <v>5055</v>
      </c>
      <c r="I3030" s="33" t="s">
        <v>39</v>
      </c>
      <c r="J3030" s="33" t="s">
        <v>40</v>
      </c>
      <c r="K3030" s="33" t="s">
        <v>41</v>
      </c>
    </row>
    <row r="3031" spans="1:12" hidden="1" x14ac:dyDescent="0.3">
      <c r="A3031" s="39">
        <v>46055.477314814816</v>
      </c>
      <c r="B3031" s="33">
        <v>1131043888</v>
      </c>
      <c r="C3031" s="33" t="s">
        <v>44</v>
      </c>
      <c r="D3031" s="33">
        <v>4430265054</v>
      </c>
      <c r="E3031" s="33">
        <v>739</v>
      </c>
      <c r="F3031" s="33">
        <v>698</v>
      </c>
      <c r="G3031" s="33" t="s">
        <v>38</v>
      </c>
      <c r="H3031" s="33" t="s">
        <v>5056</v>
      </c>
      <c r="I3031" s="33" t="s">
        <v>39</v>
      </c>
      <c r="J3031" s="33" t="s">
        <v>40</v>
      </c>
      <c r="K3031" s="33" t="s">
        <v>41</v>
      </c>
    </row>
    <row r="3032" spans="1:12" hidden="1" x14ac:dyDescent="0.3">
      <c r="A3032" s="39">
        <v>46055.477083333331</v>
      </c>
      <c r="B3032" s="33">
        <v>4430346845</v>
      </c>
      <c r="C3032" s="33" t="s">
        <v>43</v>
      </c>
      <c r="D3032" s="33">
        <v>4430265054</v>
      </c>
      <c r="E3032" s="33">
        <v>636</v>
      </c>
      <c r="F3032" s="33">
        <v>595</v>
      </c>
      <c r="G3032" s="33" t="s">
        <v>38</v>
      </c>
      <c r="H3032" s="33" t="s">
        <v>5057</v>
      </c>
      <c r="I3032" s="33" t="s">
        <v>39</v>
      </c>
      <c r="J3032" s="33" t="s">
        <v>40</v>
      </c>
      <c r="K3032" s="33" t="s">
        <v>41</v>
      </c>
    </row>
    <row r="3033" spans="1:12" hidden="1" x14ac:dyDescent="0.3">
      <c r="A3033" s="39">
        <v>46055.475983796299</v>
      </c>
      <c r="B3033" s="33" t="s">
        <v>45</v>
      </c>
      <c r="C3033" s="33">
        <v>44999090169</v>
      </c>
      <c r="E3033" s="33">
        <v>399</v>
      </c>
      <c r="F3033" s="33">
        <v>390</v>
      </c>
      <c r="G3033" s="33" t="s">
        <v>38</v>
      </c>
      <c r="H3033" s="33" t="s">
        <v>6513</v>
      </c>
      <c r="I3033" s="33" t="s">
        <v>46</v>
      </c>
      <c r="J3033" s="33" t="s">
        <v>40</v>
      </c>
    </row>
    <row r="3034" spans="1:12" hidden="1" x14ac:dyDescent="0.3">
      <c r="A3034" s="39">
        <v>46055.471168981479</v>
      </c>
      <c r="B3034" s="33">
        <v>44988255390</v>
      </c>
      <c r="C3034" s="33" t="s">
        <v>37</v>
      </c>
      <c r="D3034" s="33">
        <v>4430265054</v>
      </c>
      <c r="E3034" s="33">
        <v>668</v>
      </c>
      <c r="F3034" s="33">
        <v>634</v>
      </c>
      <c r="G3034" s="33" t="s">
        <v>38</v>
      </c>
      <c r="H3034" s="33" t="s">
        <v>5058</v>
      </c>
      <c r="I3034" s="33" t="s">
        <v>39</v>
      </c>
      <c r="J3034" s="33" t="s">
        <v>40</v>
      </c>
      <c r="K3034" s="33" t="s">
        <v>41</v>
      </c>
    </row>
    <row r="3035" spans="1:12" hidden="1" x14ac:dyDescent="0.3">
      <c r="A3035" s="39">
        <v>46055.467060185183</v>
      </c>
      <c r="B3035" s="33" t="s">
        <v>3627</v>
      </c>
      <c r="C3035" s="33">
        <v>61995621082</v>
      </c>
      <c r="E3035" s="33">
        <v>8</v>
      </c>
      <c r="F3035" s="33">
        <v>4</v>
      </c>
      <c r="G3035" s="33" t="s">
        <v>38</v>
      </c>
      <c r="H3035" s="33" t="s">
        <v>6514</v>
      </c>
      <c r="I3035" s="33" t="s">
        <v>46</v>
      </c>
      <c r="J3035" s="33" t="s">
        <v>3629</v>
      </c>
    </row>
    <row r="3036" spans="1:12" hidden="1" x14ac:dyDescent="0.3">
      <c r="A3036" s="39">
        <v>46055.463518518518</v>
      </c>
      <c r="B3036" s="33">
        <v>44988255390</v>
      </c>
      <c r="C3036" s="33" t="s">
        <v>45</v>
      </c>
      <c r="D3036" s="33">
        <v>4430265054</v>
      </c>
      <c r="E3036" s="33">
        <v>582</v>
      </c>
      <c r="F3036" s="33">
        <v>484</v>
      </c>
      <c r="G3036" s="33" t="s">
        <v>38</v>
      </c>
      <c r="H3036" s="33" t="s">
        <v>5059</v>
      </c>
      <c r="I3036" s="33" t="s">
        <v>39</v>
      </c>
      <c r="J3036" s="33" t="s">
        <v>40</v>
      </c>
      <c r="K3036" s="33" t="s">
        <v>41</v>
      </c>
    </row>
    <row r="3037" spans="1:12" hidden="1" x14ac:dyDescent="0.3">
      <c r="A3037" s="39">
        <v>46055.460625</v>
      </c>
      <c r="B3037" s="33">
        <v>4432264063</v>
      </c>
      <c r="C3037" s="33">
        <v>4430265054</v>
      </c>
      <c r="D3037" s="33">
        <v>4430265054</v>
      </c>
      <c r="E3037" s="33">
        <v>13</v>
      </c>
      <c r="F3037" s="33">
        <v>12</v>
      </c>
      <c r="G3037" s="33" t="s">
        <v>3449</v>
      </c>
      <c r="H3037" s="33" t="s">
        <v>6515</v>
      </c>
      <c r="I3037" s="33" t="s">
        <v>39</v>
      </c>
      <c r="J3037" s="33" t="s">
        <v>3451</v>
      </c>
    </row>
    <row r="3038" spans="1:12" hidden="1" x14ac:dyDescent="0.3">
      <c r="A3038" s="39">
        <v>46055.456273148149</v>
      </c>
      <c r="B3038" s="33">
        <v>4430459001</v>
      </c>
      <c r="C3038" s="33" t="s">
        <v>42</v>
      </c>
      <c r="D3038" s="33">
        <v>4430265054</v>
      </c>
      <c r="E3038" s="33">
        <v>431</v>
      </c>
      <c r="F3038" s="33">
        <v>288</v>
      </c>
      <c r="G3038" s="33" t="s">
        <v>38</v>
      </c>
      <c r="H3038" s="33" t="s">
        <v>5060</v>
      </c>
      <c r="I3038" s="33" t="s">
        <v>39</v>
      </c>
      <c r="J3038" s="33" t="s">
        <v>40</v>
      </c>
      <c r="K3038" s="33" t="s">
        <v>41</v>
      </c>
    </row>
    <row r="3039" spans="1:12" hidden="1" x14ac:dyDescent="0.3">
      <c r="A3039" s="39">
        <v>46055.456064814818</v>
      </c>
      <c r="B3039" s="33">
        <v>44991486467</v>
      </c>
      <c r="C3039" s="33" t="s">
        <v>44</v>
      </c>
      <c r="D3039" s="33">
        <v>4430265054</v>
      </c>
      <c r="E3039" s="33">
        <v>1631</v>
      </c>
      <c r="F3039" s="33">
        <v>1592</v>
      </c>
      <c r="G3039" s="33" t="s">
        <v>38</v>
      </c>
      <c r="H3039" s="33" t="s">
        <v>5061</v>
      </c>
      <c r="I3039" s="33" t="s">
        <v>39</v>
      </c>
      <c r="J3039" s="33" t="s">
        <v>40</v>
      </c>
      <c r="K3039" s="33" t="s">
        <v>41</v>
      </c>
    </row>
    <row r="3040" spans="1:12" hidden="1" x14ac:dyDescent="0.3">
      <c r="A3040" s="39">
        <v>46055.455960648149</v>
      </c>
      <c r="B3040" s="33" t="s">
        <v>42</v>
      </c>
      <c r="C3040" s="33">
        <v>41999501054</v>
      </c>
      <c r="E3040" s="33">
        <v>69</v>
      </c>
      <c r="F3040" s="33">
        <v>31</v>
      </c>
      <c r="G3040" s="33" t="s">
        <v>38</v>
      </c>
      <c r="H3040" s="33" t="s">
        <v>6516</v>
      </c>
      <c r="I3040" s="33" t="s">
        <v>46</v>
      </c>
      <c r="J3040" s="33" t="s">
        <v>40</v>
      </c>
    </row>
    <row r="3041" spans="1:12" hidden="1" x14ac:dyDescent="0.3">
      <c r="A3041" s="39">
        <v>46055.452361111114</v>
      </c>
      <c r="B3041" s="33" t="s">
        <v>44</v>
      </c>
      <c r="C3041" s="33">
        <v>4430315826</v>
      </c>
      <c r="E3041" s="33">
        <v>128</v>
      </c>
      <c r="F3041" s="33">
        <v>115</v>
      </c>
      <c r="G3041" s="33" t="s">
        <v>38</v>
      </c>
      <c r="H3041" s="33" t="s">
        <v>6517</v>
      </c>
      <c r="I3041" s="33" t="s">
        <v>46</v>
      </c>
      <c r="J3041" s="33" t="s">
        <v>40</v>
      </c>
    </row>
    <row r="3042" spans="1:12" hidden="1" x14ac:dyDescent="0.3">
      <c r="A3042" s="39">
        <v>46055.452303240738</v>
      </c>
      <c r="B3042" s="33" t="s">
        <v>44</v>
      </c>
      <c r="C3042" s="33">
        <v>4430315826</v>
      </c>
      <c r="E3042" s="33">
        <v>5</v>
      </c>
      <c r="F3042" s="33">
        <v>0</v>
      </c>
      <c r="G3042" s="33" t="s">
        <v>47</v>
      </c>
      <c r="H3042" s="33" t="s">
        <v>6518</v>
      </c>
      <c r="I3042" s="33" t="s">
        <v>46</v>
      </c>
      <c r="J3042" s="33" t="s">
        <v>40</v>
      </c>
    </row>
    <row r="3043" spans="1:12" hidden="1" x14ac:dyDescent="0.3">
      <c r="A3043" s="39">
        <v>46055.451990740738</v>
      </c>
      <c r="B3043" s="33">
        <v>44991249108</v>
      </c>
      <c r="C3043" s="33" t="s">
        <v>45</v>
      </c>
      <c r="D3043" s="33">
        <v>4430265054</v>
      </c>
      <c r="E3043" s="33">
        <v>645</v>
      </c>
      <c r="F3043" s="33">
        <v>541</v>
      </c>
      <c r="G3043" s="33" t="s">
        <v>38</v>
      </c>
      <c r="H3043" s="33" t="s">
        <v>5062</v>
      </c>
      <c r="I3043" s="33" t="s">
        <v>39</v>
      </c>
      <c r="J3043" s="33" t="s">
        <v>40</v>
      </c>
      <c r="K3043" s="33" t="s">
        <v>41</v>
      </c>
      <c r="L3043" s="33">
        <v>5</v>
      </c>
    </row>
    <row r="3044" spans="1:12" hidden="1" x14ac:dyDescent="0.3">
      <c r="A3044" s="39">
        <v>46055.451666666668</v>
      </c>
      <c r="B3044" s="33">
        <v>1131043888</v>
      </c>
      <c r="C3044" s="33" t="s">
        <v>43</v>
      </c>
      <c r="D3044" s="33">
        <v>4430265054</v>
      </c>
      <c r="E3044" s="33">
        <v>629</v>
      </c>
      <c r="F3044" s="33">
        <v>600</v>
      </c>
      <c r="G3044" s="33" t="s">
        <v>38</v>
      </c>
      <c r="H3044" s="33" t="s">
        <v>5063</v>
      </c>
      <c r="I3044" s="33" t="s">
        <v>39</v>
      </c>
      <c r="J3044" s="33" t="s">
        <v>40</v>
      </c>
      <c r="K3044" s="33" t="s">
        <v>41</v>
      </c>
    </row>
    <row r="3045" spans="1:12" hidden="1" x14ac:dyDescent="0.3">
      <c r="A3045" s="39">
        <v>46055.45144675926</v>
      </c>
      <c r="B3045" s="33">
        <v>1131043888</v>
      </c>
      <c r="C3045" s="33">
        <v>4430265054</v>
      </c>
      <c r="D3045" s="33">
        <v>4430265054</v>
      </c>
      <c r="E3045" s="33">
        <v>11</v>
      </c>
      <c r="F3045" s="33">
        <v>11</v>
      </c>
      <c r="G3045" s="33" t="s">
        <v>3449</v>
      </c>
      <c r="H3045" s="33" t="s">
        <v>6519</v>
      </c>
      <c r="I3045" s="33" t="s">
        <v>39</v>
      </c>
      <c r="J3045" s="33" t="s">
        <v>3451</v>
      </c>
    </row>
    <row r="3046" spans="1:12" hidden="1" x14ac:dyDescent="0.3">
      <c r="A3046" s="39">
        <v>46055.44908564815</v>
      </c>
      <c r="B3046" s="33">
        <v>1131043888</v>
      </c>
      <c r="C3046" s="33" t="s">
        <v>43</v>
      </c>
      <c r="D3046" s="33">
        <v>4430265054</v>
      </c>
      <c r="E3046" s="33">
        <v>101</v>
      </c>
      <c r="F3046" s="33">
        <v>81</v>
      </c>
      <c r="G3046" s="33" t="s">
        <v>38</v>
      </c>
      <c r="H3046" s="33" t="s">
        <v>5064</v>
      </c>
      <c r="I3046" s="33" t="s">
        <v>39</v>
      </c>
      <c r="J3046" s="33" t="s">
        <v>40</v>
      </c>
      <c r="K3046" s="33" t="s">
        <v>41</v>
      </c>
    </row>
    <row r="3047" spans="1:12" hidden="1" x14ac:dyDescent="0.3">
      <c r="A3047" s="39">
        <v>46055.445694444446</v>
      </c>
      <c r="B3047" s="33">
        <v>4430315826</v>
      </c>
      <c r="C3047" s="33" t="s">
        <v>44</v>
      </c>
      <c r="D3047" s="33">
        <v>4430265054</v>
      </c>
      <c r="E3047" s="33">
        <v>236</v>
      </c>
      <c r="F3047" s="33">
        <v>194</v>
      </c>
      <c r="G3047" s="33" t="s">
        <v>38</v>
      </c>
      <c r="H3047" s="33" t="s">
        <v>5065</v>
      </c>
      <c r="I3047" s="33" t="s">
        <v>39</v>
      </c>
      <c r="J3047" s="33" t="s">
        <v>40</v>
      </c>
      <c r="K3047" s="33" t="s">
        <v>41</v>
      </c>
    </row>
    <row r="3048" spans="1:12" hidden="1" x14ac:dyDescent="0.3">
      <c r="A3048" s="39">
        <v>46055.440787037034</v>
      </c>
      <c r="B3048" s="33">
        <v>4436351414</v>
      </c>
      <c r="C3048" s="33" t="s">
        <v>37</v>
      </c>
      <c r="D3048" s="33">
        <v>4430265054</v>
      </c>
      <c r="E3048" s="33">
        <v>2273</v>
      </c>
      <c r="F3048" s="33">
        <v>2254</v>
      </c>
      <c r="G3048" s="33" t="s">
        <v>38</v>
      </c>
      <c r="H3048" s="33" t="s">
        <v>5066</v>
      </c>
      <c r="I3048" s="33" t="s">
        <v>39</v>
      </c>
      <c r="J3048" s="33" t="s">
        <v>40</v>
      </c>
      <c r="K3048" s="33" t="s">
        <v>41</v>
      </c>
    </row>
    <row r="3049" spans="1:12" hidden="1" x14ac:dyDescent="0.3">
      <c r="A3049" s="39">
        <v>46055.439212962963</v>
      </c>
      <c r="B3049" s="33">
        <v>81983567163</v>
      </c>
      <c r="C3049" s="33" t="s">
        <v>45</v>
      </c>
      <c r="D3049" s="33">
        <v>4431268225</v>
      </c>
      <c r="E3049" s="33">
        <v>1189</v>
      </c>
      <c r="F3049" s="33">
        <v>1176</v>
      </c>
      <c r="G3049" s="33" t="s">
        <v>38</v>
      </c>
      <c r="H3049" s="33" t="s">
        <v>5067</v>
      </c>
      <c r="I3049" s="33" t="s">
        <v>39</v>
      </c>
      <c r="J3049" s="33" t="s">
        <v>40</v>
      </c>
      <c r="K3049" s="33" t="s">
        <v>41</v>
      </c>
    </row>
    <row r="3050" spans="1:12" hidden="1" x14ac:dyDescent="0.3">
      <c r="A3050" s="39">
        <v>46055.436354166668</v>
      </c>
      <c r="B3050" s="33" t="s">
        <v>51</v>
      </c>
      <c r="C3050" s="33" t="s">
        <v>5173</v>
      </c>
      <c r="E3050" s="33">
        <v>192</v>
      </c>
      <c r="F3050" s="33">
        <v>188</v>
      </c>
      <c r="G3050" s="33" t="s">
        <v>38</v>
      </c>
      <c r="H3050" s="33" t="s">
        <v>6520</v>
      </c>
      <c r="I3050" s="33" t="s">
        <v>52</v>
      </c>
      <c r="J3050" s="33" t="s">
        <v>3629</v>
      </c>
    </row>
    <row r="3051" spans="1:12" hidden="1" x14ac:dyDescent="0.3">
      <c r="A3051" s="39">
        <v>46055.434745370374</v>
      </c>
      <c r="B3051" s="33">
        <v>4431337559</v>
      </c>
      <c r="C3051" s="33" t="s">
        <v>37</v>
      </c>
      <c r="D3051" s="33">
        <v>4430265054</v>
      </c>
      <c r="E3051" s="33">
        <v>129</v>
      </c>
      <c r="F3051" s="33">
        <v>122</v>
      </c>
      <c r="G3051" s="33" t="s">
        <v>38</v>
      </c>
      <c r="H3051" s="33" t="s">
        <v>5068</v>
      </c>
      <c r="I3051" s="33" t="s">
        <v>39</v>
      </c>
      <c r="J3051" s="33" t="s">
        <v>40</v>
      </c>
      <c r="K3051" s="33" t="s">
        <v>41</v>
      </c>
    </row>
    <row r="3052" spans="1:12" hidden="1" x14ac:dyDescent="0.3">
      <c r="A3052" s="39">
        <v>46055.434340277781</v>
      </c>
      <c r="B3052" s="33" t="s">
        <v>42</v>
      </c>
      <c r="C3052" s="33">
        <v>4431337559</v>
      </c>
      <c r="E3052" s="33">
        <v>3</v>
      </c>
      <c r="F3052" s="33">
        <v>0</v>
      </c>
      <c r="G3052" s="33" t="s">
        <v>47</v>
      </c>
      <c r="H3052" s="33" t="s">
        <v>6521</v>
      </c>
      <c r="I3052" s="33" t="s">
        <v>46</v>
      </c>
      <c r="J3052" s="33" t="s">
        <v>40</v>
      </c>
    </row>
    <row r="3053" spans="1:12" hidden="1" x14ac:dyDescent="0.3">
      <c r="A3053" s="39">
        <v>46055.43378472222</v>
      </c>
      <c r="B3053" s="33">
        <v>4431337559</v>
      </c>
      <c r="C3053" s="33" t="s">
        <v>42</v>
      </c>
      <c r="D3053" s="33">
        <v>4430265054</v>
      </c>
      <c r="E3053" s="33">
        <v>64</v>
      </c>
      <c r="F3053" s="33">
        <v>29</v>
      </c>
      <c r="G3053" s="33" t="s">
        <v>38</v>
      </c>
      <c r="H3053" s="33" t="s">
        <v>5069</v>
      </c>
      <c r="I3053" s="33" t="s">
        <v>39</v>
      </c>
      <c r="J3053" s="33" t="s">
        <v>40</v>
      </c>
      <c r="K3053" s="33" t="s">
        <v>41</v>
      </c>
    </row>
    <row r="3054" spans="1:12" hidden="1" x14ac:dyDescent="0.3">
      <c r="A3054" s="39">
        <v>46055.43136574074</v>
      </c>
      <c r="B3054" s="33" t="s">
        <v>3627</v>
      </c>
      <c r="C3054" s="33">
        <v>27992032386</v>
      </c>
      <c r="E3054" s="33">
        <v>17</v>
      </c>
      <c r="F3054" s="33">
        <v>0</v>
      </c>
      <c r="G3054" s="33" t="s">
        <v>47</v>
      </c>
      <c r="H3054" s="33" t="s">
        <v>6522</v>
      </c>
      <c r="I3054" s="33" t="s">
        <v>46</v>
      </c>
      <c r="J3054" s="33" t="s">
        <v>3629</v>
      </c>
    </row>
    <row r="3055" spans="1:12" hidden="1" x14ac:dyDescent="0.3">
      <c r="A3055" s="39">
        <v>46055.428796296299</v>
      </c>
      <c r="B3055" s="33" t="s">
        <v>3627</v>
      </c>
      <c r="C3055" s="33">
        <v>27988096991</v>
      </c>
      <c r="E3055" s="33">
        <v>19</v>
      </c>
      <c r="F3055" s="33">
        <v>6</v>
      </c>
      <c r="G3055" s="33" t="s">
        <v>38</v>
      </c>
      <c r="H3055" s="33" t="s">
        <v>6523</v>
      </c>
      <c r="I3055" s="33" t="s">
        <v>46</v>
      </c>
      <c r="J3055" s="33" t="s">
        <v>3629</v>
      </c>
    </row>
    <row r="3056" spans="1:12" hidden="1" x14ac:dyDescent="0.3">
      <c r="A3056" s="39">
        <v>46055.420949074076</v>
      </c>
      <c r="B3056" s="33">
        <v>44999497001</v>
      </c>
      <c r="C3056" s="33" t="s">
        <v>42</v>
      </c>
      <c r="D3056" s="33">
        <v>4430265054</v>
      </c>
      <c r="E3056" s="33">
        <v>765</v>
      </c>
      <c r="F3056" s="33">
        <v>752</v>
      </c>
      <c r="G3056" s="33" t="s">
        <v>38</v>
      </c>
      <c r="H3056" s="33" t="s">
        <v>5070</v>
      </c>
      <c r="I3056" s="33" t="s">
        <v>39</v>
      </c>
      <c r="J3056" s="33" t="s">
        <v>40</v>
      </c>
      <c r="K3056" s="33" t="s">
        <v>41</v>
      </c>
    </row>
    <row r="3057" spans="1:12" hidden="1" x14ac:dyDescent="0.3">
      <c r="A3057" s="39">
        <v>46055.420902777776</v>
      </c>
      <c r="B3057" s="33">
        <v>4133491428</v>
      </c>
      <c r="C3057" s="33" t="s">
        <v>43</v>
      </c>
      <c r="D3057" s="33">
        <v>4430265054</v>
      </c>
      <c r="E3057" s="33">
        <v>140</v>
      </c>
      <c r="F3057" s="33">
        <v>104</v>
      </c>
      <c r="G3057" s="33" t="s">
        <v>38</v>
      </c>
      <c r="H3057" s="33" t="s">
        <v>5071</v>
      </c>
      <c r="I3057" s="33" t="s">
        <v>39</v>
      </c>
      <c r="J3057" s="33" t="s">
        <v>40</v>
      </c>
      <c r="K3057" s="33" t="s">
        <v>41</v>
      </c>
    </row>
    <row r="3058" spans="1:12" hidden="1" x14ac:dyDescent="0.3">
      <c r="A3058" s="39">
        <v>46055.419687499998</v>
      </c>
      <c r="B3058" s="33">
        <v>44997400641</v>
      </c>
      <c r="C3058" s="33" t="s">
        <v>44</v>
      </c>
      <c r="D3058" s="33">
        <v>4430265054</v>
      </c>
      <c r="E3058" s="33">
        <v>307</v>
      </c>
      <c r="F3058" s="33">
        <v>273</v>
      </c>
      <c r="G3058" s="33" t="s">
        <v>38</v>
      </c>
      <c r="H3058" s="33" t="s">
        <v>5072</v>
      </c>
      <c r="I3058" s="33" t="s">
        <v>39</v>
      </c>
      <c r="J3058" s="33" t="s">
        <v>40</v>
      </c>
      <c r="K3058" s="33" t="s">
        <v>41</v>
      </c>
    </row>
    <row r="3059" spans="1:12" hidden="1" x14ac:dyDescent="0.3">
      <c r="A3059" s="39">
        <v>46055.416180555556</v>
      </c>
      <c r="B3059" s="33">
        <v>6434534421</v>
      </c>
      <c r="C3059" s="33" t="s">
        <v>42</v>
      </c>
      <c r="D3059" s="33">
        <v>4430265054</v>
      </c>
      <c r="E3059" s="33">
        <v>189</v>
      </c>
      <c r="F3059" s="33">
        <v>167</v>
      </c>
      <c r="G3059" s="33" t="s">
        <v>38</v>
      </c>
      <c r="H3059" s="33" t="s">
        <v>5073</v>
      </c>
      <c r="I3059" s="33" t="s">
        <v>39</v>
      </c>
      <c r="J3059" s="33" t="s">
        <v>40</v>
      </c>
      <c r="K3059" s="33" t="s">
        <v>41</v>
      </c>
      <c r="L3059" s="33">
        <v>5</v>
      </c>
    </row>
    <row r="3060" spans="1:12" hidden="1" x14ac:dyDescent="0.3">
      <c r="A3060" s="39">
        <v>46055.415358796294</v>
      </c>
      <c r="B3060" s="33">
        <v>1131043888</v>
      </c>
      <c r="C3060" s="33">
        <v>4430265054</v>
      </c>
      <c r="D3060" s="33">
        <v>4430265054</v>
      </c>
      <c r="E3060" s="33">
        <v>31</v>
      </c>
      <c r="F3060" s="33">
        <v>30</v>
      </c>
      <c r="G3060" s="33" t="s">
        <v>3449</v>
      </c>
      <c r="H3060" s="33" t="s">
        <v>5074</v>
      </c>
      <c r="I3060" s="33" t="s">
        <v>39</v>
      </c>
      <c r="J3060" s="33" t="s">
        <v>3451</v>
      </c>
      <c r="K3060" s="33" t="s">
        <v>41</v>
      </c>
    </row>
    <row r="3061" spans="1:12" hidden="1" x14ac:dyDescent="0.3">
      <c r="A3061" s="39">
        <v>46055.414722222224</v>
      </c>
      <c r="B3061" s="33">
        <v>44991680978</v>
      </c>
      <c r="C3061" s="33" t="s">
        <v>43</v>
      </c>
      <c r="D3061" s="33">
        <v>4430265054</v>
      </c>
      <c r="E3061" s="33">
        <v>335</v>
      </c>
      <c r="F3061" s="33">
        <v>305</v>
      </c>
      <c r="G3061" s="33" t="s">
        <v>38</v>
      </c>
      <c r="H3061" s="33" t="s">
        <v>5075</v>
      </c>
      <c r="I3061" s="33" t="s">
        <v>39</v>
      </c>
      <c r="J3061" s="33" t="s">
        <v>40</v>
      </c>
      <c r="K3061" s="33" t="s">
        <v>41</v>
      </c>
      <c r="L3061" s="33">
        <v>5</v>
      </c>
    </row>
    <row r="3062" spans="1:12" hidden="1" x14ac:dyDescent="0.3">
      <c r="A3062" s="39">
        <v>46055.412847222222</v>
      </c>
      <c r="B3062" s="33" t="s">
        <v>37</v>
      </c>
      <c r="C3062" s="33">
        <v>3432424736</v>
      </c>
      <c r="E3062" s="33">
        <v>429</v>
      </c>
      <c r="F3062" s="33">
        <v>428</v>
      </c>
      <c r="G3062" s="33" t="s">
        <v>38</v>
      </c>
      <c r="H3062" s="33" t="s">
        <v>6524</v>
      </c>
      <c r="I3062" s="33" t="s">
        <v>46</v>
      </c>
      <c r="J3062" s="33" t="s">
        <v>40</v>
      </c>
    </row>
    <row r="3063" spans="1:12" hidden="1" x14ac:dyDescent="0.3">
      <c r="A3063" s="39">
        <v>46055.412256944444</v>
      </c>
      <c r="B3063" s="33" t="s">
        <v>37</v>
      </c>
      <c r="C3063" s="33">
        <v>34988939632</v>
      </c>
      <c r="E3063" s="33">
        <v>36</v>
      </c>
      <c r="F3063" s="33">
        <v>0</v>
      </c>
      <c r="G3063" s="33" t="s">
        <v>47</v>
      </c>
      <c r="H3063" s="33" t="s">
        <v>6525</v>
      </c>
      <c r="I3063" s="33" t="s">
        <v>46</v>
      </c>
      <c r="J3063" s="33" t="s">
        <v>40</v>
      </c>
    </row>
    <row r="3064" spans="1:12" hidden="1" x14ac:dyDescent="0.3">
      <c r="A3064" s="39">
        <v>46055.411099537036</v>
      </c>
      <c r="B3064" s="33" t="s">
        <v>3627</v>
      </c>
      <c r="C3064" s="33">
        <v>11994533404</v>
      </c>
      <c r="E3064" s="33">
        <v>37</v>
      </c>
      <c r="F3064" s="33">
        <v>0</v>
      </c>
      <c r="G3064" s="33" t="s">
        <v>47</v>
      </c>
      <c r="H3064" s="33" t="s">
        <v>6526</v>
      </c>
      <c r="I3064" s="33" t="s">
        <v>46</v>
      </c>
      <c r="J3064" s="33" t="s">
        <v>3629</v>
      </c>
    </row>
    <row r="3065" spans="1:12" hidden="1" x14ac:dyDescent="0.3">
      <c r="A3065" s="39">
        <v>46055.410162037035</v>
      </c>
      <c r="B3065" s="33" t="s">
        <v>3627</v>
      </c>
      <c r="C3065" s="33">
        <v>3733213841</v>
      </c>
      <c r="E3065" s="33">
        <v>20</v>
      </c>
      <c r="F3065" s="33">
        <v>2</v>
      </c>
      <c r="G3065" s="33" t="s">
        <v>38</v>
      </c>
      <c r="H3065" s="33" t="s">
        <v>6527</v>
      </c>
      <c r="I3065" s="33" t="s">
        <v>46</v>
      </c>
      <c r="J3065" s="33" t="s">
        <v>3629</v>
      </c>
    </row>
    <row r="3066" spans="1:12" hidden="1" x14ac:dyDescent="0.3">
      <c r="A3066" s="39">
        <v>46055.410069444442</v>
      </c>
      <c r="B3066" s="33">
        <v>6234347959</v>
      </c>
      <c r="C3066" s="33" t="s">
        <v>45</v>
      </c>
      <c r="D3066" s="33">
        <v>4430265054</v>
      </c>
      <c r="E3066" s="33">
        <v>1802</v>
      </c>
      <c r="F3066" s="33">
        <v>1767</v>
      </c>
      <c r="G3066" s="33" t="s">
        <v>38</v>
      </c>
      <c r="H3066" s="33" t="s">
        <v>5076</v>
      </c>
      <c r="I3066" s="33" t="s">
        <v>39</v>
      </c>
      <c r="J3066" s="33" t="s">
        <v>40</v>
      </c>
      <c r="K3066" s="33" t="s">
        <v>41</v>
      </c>
    </row>
    <row r="3067" spans="1:12" hidden="1" x14ac:dyDescent="0.3">
      <c r="A3067" s="39">
        <v>46055.409212962964</v>
      </c>
      <c r="B3067" s="33" t="s">
        <v>3627</v>
      </c>
      <c r="C3067" s="33">
        <v>1157778504</v>
      </c>
      <c r="E3067" s="33">
        <v>7</v>
      </c>
      <c r="F3067" s="33">
        <v>0</v>
      </c>
      <c r="G3067" s="33" t="s">
        <v>47</v>
      </c>
      <c r="H3067" s="33" t="s">
        <v>6528</v>
      </c>
      <c r="I3067" s="33" t="s">
        <v>46</v>
      </c>
      <c r="J3067" s="33" t="s">
        <v>3629</v>
      </c>
    </row>
    <row r="3068" spans="1:12" hidden="1" x14ac:dyDescent="0.3">
      <c r="A3068" s="39">
        <v>46055.40902777778</v>
      </c>
      <c r="B3068" s="33" t="s">
        <v>48</v>
      </c>
      <c r="C3068" s="33">
        <v>44984198651</v>
      </c>
      <c r="E3068" s="33">
        <v>936</v>
      </c>
      <c r="F3068" s="33">
        <v>929</v>
      </c>
      <c r="G3068" s="33" t="s">
        <v>38</v>
      </c>
      <c r="H3068" s="33" t="s">
        <v>6529</v>
      </c>
      <c r="I3068" s="33" t="s">
        <v>46</v>
      </c>
      <c r="J3068" s="33" t="s">
        <v>40</v>
      </c>
    </row>
    <row r="3069" spans="1:12" hidden="1" x14ac:dyDescent="0.3">
      <c r="A3069" s="39">
        <v>46055.408194444448</v>
      </c>
      <c r="B3069" s="33" t="s">
        <v>3627</v>
      </c>
      <c r="C3069" s="33">
        <v>32991150087</v>
      </c>
      <c r="E3069" s="33">
        <v>13</v>
      </c>
      <c r="F3069" s="33">
        <v>9</v>
      </c>
      <c r="G3069" s="33" t="s">
        <v>38</v>
      </c>
      <c r="H3069" s="33" t="s">
        <v>6530</v>
      </c>
      <c r="I3069" s="33" t="s">
        <v>46</v>
      </c>
      <c r="J3069" s="33" t="s">
        <v>3629</v>
      </c>
    </row>
    <row r="3070" spans="1:12" hidden="1" x14ac:dyDescent="0.3">
      <c r="A3070" s="39">
        <v>46055.40730324074</v>
      </c>
      <c r="B3070" s="33" t="s">
        <v>3627</v>
      </c>
      <c r="C3070" s="33">
        <v>11943859790</v>
      </c>
      <c r="E3070" s="33">
        <v>1</v>
      </c>
      <c r="F3070" s="33">
        <v>0</v>
      </c>
      <c r="G3070" s="33" t="s">
        <v>47</v>
      </c>
      <c r="H3070" s="33" t="s">
        <v>6531</v>
      </c>
      <c r="I3070" s="33" t="s">
        <v>46</v>
      </c>
      <c r="J3070" s="33" t="s">
        <v>3629</v>
      </c>
    </row>
    <row r="3071" spans="1:12" hidden="1" x14ac:dyDescent="0.3">
      <c r="A3071" s="39">
        <v>46055.405706018515</v>
      </c>
      <c r="B3071" s="33" t="s">
        <v>48</v>
      </c>
      <c r="C3071" s="33">
        <v>44984198651</v>
      </c>
      <c r="E3071" s="33">
        <v>36</v>
      </c>
      <c r="F3071" s="33">
        <v>0</v>
      </c>
      <c r="G3071" s="33" t="s">
        <v>47</v>
      </c>
      <c r="H3071" s="33" t="s">
        <v>6532</v>
      </c>
      <c r="I3071" s="33" t="s">
        <v>46</v>
      </c>
      <c r="J3071" s="33" t="s">
        <v>40</v>
      </c>
    </row>
    <row r="3072" spans="1:12" hidden="1" x14ac:dyDescent="0.3">
      <c r="A3072" s="39">
        <v>46055.404976851853</v>
      </c>
      <c r="B3072" s="33" t="s">
        <v>3627</v>
      </c>
      <c r="C3072" s="33">
        <v>64999049579</v>
      </c>
      <c r="E3072" s="33">
        <v>11</v>
      </c>
      <c r="F3072" s="33">
        <v>4</v>
      </c>
      <c r="G3072" s="33" t="s">
        <v>38</v>
      </c>
      <c r="H3072" s="33" t="s">
        <v>6533</v>
      </c>
      <c r="I3072" s="33" t="s">
        <v>46</v>
      </c>
      <c r="J3072" s="33" t="s">
        <v>3629</v>
      </c>
    </row>
    <row r="3073" spans="1:12" hidden="1" x14ac:dyDescent="0.3">
      <c r="A3073" s="39">
        <v>46055.402928240743</v>
      </c>
      <c r="B3073" s="33" t="s">
        <v>3627</v>
      </c>
      <c r="C3073" s="33">
        <v>61992042483</v>
      </c>
      <c r="E3073" s="33">
        <v>17</v>
      </c>
      <c r="F3073" s="33">
        <v>11</v>
      </c>
      <c r="G3073" s="33" t="s">
        <v>38</v>
      </c>
      <c r="H3073" s="33" t="s">
        <v>6534</v>
      </c>
      <c r="I3073" s="33" t="s">
        <v>46</v>
      </c>
      <c r="J3073" s="33" t="s">
        <v>3629</v>
      </c>
    </row>
    <row r="3074" spans="1:12" hidden="1" x14ac:dyDescent="0.3">
      <c r="A3074" s="39">
        <v>46055.396979166668</v>
      </c>
      <c r="B3074" s="33">
        <v>44991680978</v>
      </c>
      <c r="C3074" s="33" t="s">
        <v>45</v>
      </c>
      <c r="D3074" s="33">
        <v>4430265054</v>
      </c>
      <c r="E3074" s="33">
        <v>578</v>
      </c>
      <c r="F3074" s="33">
        <v>555</v>
      </c>
      <c r="G3074" s="33" t="s">
        <v>38</v>
      </c>
      <c r="H3074" s="33" t="s">
        <v>5077</v>
      </c>
      <c r="I3074" s="33" t="s">
        <v>39</v>
      </c>
      <c r="J3074" s="33" t="s">
        <v>40</v>
      </c>
      <c r="K3074" s="33" t="s">
        <v>41</v>
      </c>
    </row>
    <row r="3075" spans="1:12" hidden="1" x14ac:dyDescent="0.3">
      <c r="A3075" s="39">
        <v>46055.395428240743</v>
      </c>
      <c r="B3075" s="33">
        <v>1438160351</v>
      </c>
      <c r="C3075" s="33">
        <v>4430265054</v>
      </c>
      <c r="D3075" s="33">
        <v>4430265054</v>
      </c>
      <c r="E3075" s="33">
        <v>9</v>
      </c>
      <c r="F3075" s="33">
        <v>9</v>
      </c>
      <c r="G3075" s="33" t="s">
        <v>3449</v>
      </c>
      <c r="H3075" s="33" t="s">
        <v>6535</v>
      </c>
      <c r="I3075" s="33" t="s">
        <v>39</v>
      </c>
      <c r="J3075" s="33" t="s">
        <v>3451</v>
      </c>
    </row>
    <row r="3076" spans="1:12" hidden="1" x14ac:dyDescent="0.3">
      <c r="A3076" s="39">
        <v>46055.393680555557</v>
      </c>
      <c r="B3076" s="33">
        <v>44997608603</v>
      </c>
      <c r="C3076" s="33">
        <v>4430265054</v>
      </c>
      <c r="D3076" s="33">
        <v>4430265054</v>
      </c>
      <c r="E3076" s="33">
        <v>20</v>
      </c>
      <c r="F3076" s="33">
        <v>20</v>
      </c>
      <c r="G3076" s="33" t="s">
        <v>3449</v>
      </c>
      <c r="H3076" s="33" t="s">
        <v>6536</v>
      </c>
      <c r="I3076" s="33" t="s">
        <v>39</v>
      </c>
      <c r="J3076" s="33" t="s">
        <v>3451</v>
      </c>
    </row>
    <row r="3077" spans="1:12" hidden="1" x14ac:dyDescent="0.3">
      <c r="A3077" s="39">
        <v>46055.39335648148</v>
      </c>
      <c r="B3077" s="33" t="s">
        <v>44</v>
      </c>
      <c r="C3077" s="33">
        <v>4433235524</v>
      </c>
      <c r="E3077" s="33">
        <v>1250</v>
      </c>
      <c r="F3077" s="33">
        <v>1241</v>
      </c>
      <c r="G3077" s="33" t="s">
        <v>38</v>
      </c>
      <c r="H3077" s="33" t="s">
        <v>6537</v>
      </c>
      <c r="I3077" s="33" t="s">
        <v>46</v>
      </c>
      <c r="J3077" s="33" t="s">
        <v>40</v>
      </c>
      <c r="L3077" s="33">
        <v>5</v>
      </c>
    </row>
    <row r="3078" spans="1:12" hidden="1" x14ac:dyDescent="0.3">
      <c r="A3078" s="39">
        <v>46055.392905092594</v>
      </c>
      <c r="B3078" s="33">
        <v>44997400641</v>
      </c>
      <c r="C3078" s="33" t="s">
        <v>45</v>
      </c>
      <c r="D3078" s="33">
        <v>4430265054</v>
      </c>
      <c r="E3078" s="33">
        <v>355</v>
      </c>
      <c r="F3078" s="33">
        <v>313</v>
      </c>
      <c r="G3078" s="33" t="s">
        <v>38</v>
      </c>
      <c r="H3078" s="33" t="s">
        <v>5078</v>
      </c>
      <c r="I3078" s="33" t="s">
        <v>39</v>
      </c>
      <c r="J3078" s="33" t="s">
        <v>40</v>
      </c>
      <c r="K3078" s="33" t="s">
        <v>41</v>
      </c>
      <c r="L3078" s="33">
        <v>5</v>
      </c>
    </row>
    <row r="3079" spans="1:12" hidden="1" x14ac:dyDescent="0.3">
      <c r="A3079" s="39">
        <v>46055.38721064815</v>
      </c>
      <c r="B3079" s="33" t="s">
        <v>48</v>
      </c>
      <c r="C3079" s="33">
        <v>44998636008</v>
      </c>
      <c r="E3079" s="33">
        <v>6</v>
      </c>
      <c r="F3079" s="33">
        <v>0</v>
      </c>
      <c r="G3079" s="33" t="s">
        <v>47</v>
      </c>
      <c r="H3079" s="33" t="s">
        <v>6538</v>
      </c>
      <c r="I3079" s="33" t="s">
        <v>46</v>
      </c>
      <c r="J3079" s="33" t="s">
        <v>40</v>
      </c>
    </row>
    <row r="3080" spans="1:12" hidden="1" x14ac:dyDescent="0.3">
      <c r="A3080" s="39">
        <v>46055.386967592596</v>
      </c>
      <c r="B3080" s="33" t="s">
        <v>48</v>
      </c>
      <c r="C3080" s="33">
        <v>44998636008</v>
      </c>
      <c r="E3080" s="33">
        <v>36</v>
      </c>
      <c r="F3080" s="33">
        <v>28</v>
      </c>
      <c r="G3080" s="33" t="s">
        <v>38</v>
      </c>
      <c r="H3080" s="33" t="s">
        <v>6539</v>
      </c>
      <c r="I3080" s="33" t="s">
        <v>46</v>
      </c>
      <c r="J3080" s="33" t="s">
        <v>40</v>
      </c>
    </row>
    <row r="3081" spans="1:12" hidden="1" x14ac:dyDescent="0.3">
      <c r="A3081" s="39">
        <v>46055.386747685188</v>
      </c>
      <c r="B3081" s="33" t="s">
        <v>48</v>
      </c>
      <c r="C3081" s="33">
        <v>44998636008</v>
      </c>
      <c r="E3081" s="33">
        <v>36</v>
      </c>
      <c r="F3081" s="33">
        <v>28</v>
      </c>
      <c r="G3081" s="33" t="s">
        <v>38</v>
      </c>
      <c r="H3081" s="33" t="s">
        <v>6540</v>
      </c>
      <c r="I3081" s="33" t="s">
        <v>46</v>
      </c>
      <c r="J3081" s="33" t="s">
        <v>40</v>
      </c>
    </row>
    <row r="3082" spans="1:12" hidden="1" x14ac:dyDescent="0.3">
      <c r="A3082" s="39">
        <v>46055.386446759258</v>
      </c>
      <c r="B3082" s="33" t="s">
        <v>48</v>
      </c>
      <c r="C3082" s="33">
        <v>44986360008</v>
      </c>
      <c r="E3082" s="33">
        <v>9</v>
      </c>
      <c r="F3082" s="33">
        <v>0</v>
      </c>
      <c r="G3082" s="33" t="s">
        <v>47</v>
      </c>
      <c r="H3082" s="33" t="s">
        <v>6541</v>
      </c>
      <c r="I3082" s="33" t="s">
        <v>46</v>
      </c>
      <c r="J3082" s="33" t="s">
        <v>40</v>
      </c>
    </row>
    <row r="3083" spans="1:12" hidden="1" x14ac:dyDescent="0.3">
      <c r="A3083" s="39">
        <v>46055.384502314817</v>
      </c>
      <c r="B3083" s="33">
        <v>4433016050</v>
      </c>
      <c r="C3083" s="33" t="s">
        <v>43</v>
      </c>
      <c r="D3083" s="33">
        <v>4430265054</v>
      </c>
      <c r="E3083" s="33">
        <v>684</v>
      </c>
      <c r="F3083" s="33">
        <v>660</v>
      </c>
      <c r="G3083" s="33" t="s">
        <v>38</v>
      </c>
      <c r="H3083" s="33" t="s">
        <v>5079</v>
      </c>
      <c r="I3083" s="33" t="s">
        <v>39</v>
      </c>
      <c r="J3083" s="33" t="s">
        <v>40</v>
      </c>
      <c r="K3083" s="33" t="s">
        <v>41</v>
      </c>
    </row>
    <row r="3084" spans="1:12" hidden="1" x14ac:dyDescent="0.3">
      <c r="A3084" s="39">
        <v>46055.380810185183</v>
      </c>
      <c r="B3084" s="33">
        <v>4430315826</v>
      </c>
      <c r="C3084" s="33">
        <v>4430265054</v>
      </c>
      <c r="D3084" s="33">
        <v>4430265054</v>
      </c>
      <c r="E3084" s="33">
        <v>20</v>
      </c>
      <c r="F3084" s="33">
        <v>19</v>
      </c>
      <c r="G3084" s="33" t="s">
        <v>3449</v>
      </c>
      <c r="H3084" s="33" t="s">
        <v>6542</v>
      </c>
      <c r="I3084" s="33" t="s">
        <v>39</v>
      </c>
      <c r="J3084" s="33" t="s">
        <v>3451</v>
      </c>
    </row>
    <row r="3085" spans="1:12" hidden="1" x14ac:dyDescent="0.3">
      <c r="A3085" s="39">
        <v>46055.379791666666</v>
      </c>
      <c r="B3085" s="33">
        <v>4433235524</v>
      </c>
      <c r="C3085" s="33" t="s">
        <v>44</v>
      </c>
      <c r="D3085" s="33">
        <v>4430265054</v>
      </c>
      <c r="E3085" s="33">
        <v>748</v>
      </c>
      <c r="F3085" s="33">
        <v>676</v>
      </c>
      <c r="G3085" s="33" t="s">
        <v>38</v>
      </c>
      <c r="H3085" s="33" t="s">
        <v>5080</v>
      </c>
      <c r="I3085" s="33" t="s">
        <v>39</v>
      </c>
      <c r="J3085" s="33" t="s">
        <v>40</v>
      </c>
      <c r="K3085" s="33" t="s">
        <v>41</v>
      </c>
    </row>
    <row r="3086" spans="1:12" hidden="1" x14ac:dyDescent="0.3">
      <c r="A3086" s="39">
        <v>46055.369490740741</v>
      </c>
      <c r="B3086" s="33" t="s">
        <v>48</v>
      </c>
      <c r="C3086" s="33">
        <v>44998636008</v>
      </c>
      <c r="E3086" s="33">
        <v>67</v>
      </c>
      <c r="F3086" s="33">
        <v>29</v>
      </c>
      <c r="G3086" s="33" t="s">
        <v>38</v>
      </c>
      <c r="H3086" s="33" t="s">
        <v>6543</v>
      </c>
      <c r="I3086" s="33" t="s">
        <v>46</v>
      </c>
      <c r="J3086" s="33" t="s">
        <v>40</v>
      </c>
    </row>
    <row r="3087" spans="1:12" hidden="1" x14ac:dyDescent="0.3">
      <c r="A3087" s="39">
        <v>46055.368275462963</v>
      </c>
      <c r="B3087" s="33" t="s">
        <v>44</v>
      </c>
      <c r="C3087" s="33">
        <v>1732146970</v>
      </c>
      <c r="E3087" s="33">
        <v>262</v>
      </c>
      <c r="F3087" s="33">
        <v>260</v>
      </c>
      <c r="G3087" s="33" t="s">
        <v>38</v>
      </c>
      <c r="H3087" s="33" t="s">
        <v>6544</v>
      </c>
      <c r="I3087" s="33" t="s">
        <v>46</v>
      </c>
      <c r="J3087" s="33" t="s">
        <v>40</v>
      </c>
    </row>
    <row r="3088" spans="1:12" hidden="1" x14ac:dyDescent="0.3">
      <c r="A3088" s="39">
        <v>46055.368171296293</v>
      </c>
      <c r="B3088" s="33">
        <v>44997123083</v>
      </c>
      <c r="C3088" s="33" t="s">
        <v>43</v>
      </c>
      <c r="D3088" s="33">
        <v>4430265054</v>
      </c>
      <c r="E3088" s="33">
        <v>513</v>
      </c>
      <c r="F3088" s="33">
        <v>478</v>
      </c>
      <c r="G3088" s="33" t="s">
        <v>38</v>
      </c>
      <c r="H3088" s="33" t="s">
        <v>5081</v>
      </c>
      <c r="I3088" s="33" t="s">
        <v>39</v>
      </c>
      <c r="J3088" s="33" t="s">
        <v>40</v>
      </c>
      <c r="K3088" s="33" t="s">
        <v>41</v>
      </c>
      <c r="L3088" s="33">
        <v>5</v>
      </c>
    </row>
    <row r="3089" spans="1:12" hidden="1" x14ac:dyDescent="0.3">
      <c r="A3089" s="39">
        <v>46055.3669212963</v>
      </c>
      <c r="B3089" s="33" t="s">
        <v>48</v>
      </c>
      <c r="C3089" s="33">
        <v>44999863600</v>
      </c>
      <c r="E3089" s="33">
        <v>31</v>
      </c>
      <c r="F3089" s="33">
        <v>21</v>
      </c>
      <c r="G3089" s="33" t="s">
        <v>38</v>
      </c>
      <c r="H3089" s="33" t="s">
        <v>6545</v>
      </c>
      <c r="I3089" s="33" t="s">
        <v>46</v>
      </c>
      <c r="J3089" s="33" t="s">
        <v>40</v>
      </c>
    </row>
    <row r="3090" spans="1:12" hidden="1" x14ac:dyDescent="0.3">
      <c r="A3090" s="39">
        <v>46055.36650462963</v>
      </c>
      <c r="B3090" s="33" t="s">
        <v>48</v>
      </c>
      <c r="C3090" s="33">
        <v>44999863600</v>
      </c>
      <c r="E3090" s="33">
        <v>32</v>
      </c>
      <c r="F3090" s="33">
        <v>17</v>
      </c>
      <c r="G3090" s="33" t="s">
        <v>38</v>
      </c>
      <c r="H3090" s="33" t="s">
        <v>6546</v>
      </c>
      <c r="I3090" s="33" t="s">
        <v>46</v>
      </c>
      <c r="J3090" s="33" t="s">
        <v>40</v>
      </c>
    </row>
    <row r="3091" spans="1:12" hidden="1" x14ac:dyDescent="0.3">
      <c r="A3091" s="39">
        <v>46055.366307870368</v>
      </c>
      <c r="B3091" s="33" t="s">
        <v>48</v>
      </c>
      <c r="C3091" s="33">
        <v>4430450100</v>
      </c>
      <c r="E3091" s="33">
        <v>1</v>
      </c>
      <c r="F3091" s="33">
        <v>0</v>
      </c>
      <c r="G3091" s="33" t="s">
        <v>47</v>
      </c>
      <c r="H3091" s="33" t="s">
        <v>6547</v>
      </c>
      <c r="I3091" s="33" t="s">
        <v>46</v>
      </c>
      <c r="J3091" s="33" t="s">
        <v>40</v>
      </c>
    </row>
    <row r="3092" spans="1:12" hidden="1" x14ac:dyDescent="0.3">
      <c r="A3092" s="39">
        <v>46055.366249999999</v>
      </c>
      <c r="B3092" s="33" t="s">
        <v>48</v>
      </c>
      <c r="C3092" s="33">
        <v>4430450100</v>
      </c>
      <c r="E3092" s="33">
        <v>4</v>
      </c>
      <c r="F3092" s="33">
        <v>0</v>
      </c>
      <c r="G3092" s="33" t="s">
        <v>47</v>
      </c>
      <c r="H3092" s="33" t="s">
        <v>6548</v>
      </c>
      <c r="I3092" s="33" t="s">
        <v>46</v>
      </c>
      <c r="J3092" s="33" t="s">
        <v>40</v>
      </c>
    </row>
    <row r="3093" spans="1:12" hidden="1" x14ac:dyDescent="0.3">
      <c r="A3093" s="39">
        <v>46055.362592592595</v>
      </c>
      <c r="B3093" s="33">
        <v>44991680978</v>
      </c>
      <c r="C3093" s="33" t="s">
        <v>42</v>
      </c>
      <c r="D3093" s="33">
        <v>4430265054</v>
      </c>
      <c r="E3093" s="33">
        <v>1582</v>
      </c>
      <c r="F3093" s="33">
        <v>1520</v>
      </c>
      <c r="G3093" s="33" t="s">
        <v>38</v>
      </c>
      <c r="H3093" s="33" t="s">
        <v>5082</v>
      </c>
      <c r="I3093" s="33" t="s">
        <v>39</v>
      </c>
      <c r="J3093" s="33" t="s">
        <v>40</v>
      </c>
      <c r="K3093" s="33" t="s">
        <v>41</v>
      </c>
      <c r="L3093" s="33">
        <v>5</v>
      </c>
    </row>
    <row r="3094" spans="1:12" hidden="1" x14ac:dyDescent="0.3">
      <c r="A3094" s="39">
        <v>46055.362083333333</v>
      </c>
      <c r="B3094" s="33">
        <v>1732146970</v>
      </c>
      <c r="C3094" s="33" t="s">
        <v>43</v>
      </c>
      <c r="D3094" s="33">
        <v>4431268225</v>
      </c>
      <c r="E3094" s="33">
        <v>90</v>
      </c>
      <c r="F3094" s="33">
        <v>55</v>
      </c>
      <c r="G3094" s="33" t="s">
        <v>38</v>
      </c>
      <c r="H3094" s="33" t="s">
        <v>5083</v>
      </c>
      <c r="I3094" s="33" t="s">
        <v>39</v>
      </c>
      <c r="J3094" s="33" t="s">
        <v>40</v>
      </c>
      <c r="K3094" s="33" t="s">
        <v>41</v>
      </c>
    </row>
    <row r="3095" spans="1:12" x14ac:dyDescent="0.3">
      <c r="A3095" s="39">
        <v>46055.358900462961</v>
      </c>
      <c r="B3095" s="33">
        <v>44991116911</v>
      </c>
      <c r="C3095" s="33" t="s">
        <v>44</v>
      </c>
      <c r="D3095" s="33">
        <v>4430265054</v>
      </c>
      <c r="E3095" s="33">
        <v>545</v>
      </c>
      <c r="F3095" s="33">
        <v>479</v>
      </c>
      <c r="G3095" s="33" t="s">
        <v>38</v>
      </c>
      <c r="H3095" s="33" t="s">
        <v>5084</v>
      </c>
      <c r="I3095" s="33" t="s">
        <v>39</v>
      </c>
      <c r="J3095" s="33" t="s">
        <v>40</v>
      </c>
      <c r="K3095" s="33" t="s">
        <v>41</v>
      </c>
      <c r="L3095" s="33">
        <v>5</v>
      </c>
    </row>
    <row r="3096" spans="1:12" hidden="1" x14ac:dyDescent="0.3">
      <c r="A3096" s="39">
        <v>46055.357986111114</v>
      </c>
      <c r="B3096" s="33">
        <v>4430282545</v>
      </c>
      <c r="C3096" s="33" t="s">
        <v>37</v>
      </c>
      <c r="D3096" s="33">
        <v>4430265054</v>
      </c>
      <c r="E3096" s="33">
        <v>2200</v>
      </c>
      <c r="F3096" s="33">
        <v>2100</v>
      </c>
      <c r="G3096" s="33" t="s">
        <v>38</v>
      </c>
      <c r="H3096" s="33" t="s">
        <v>5085</v>
      </c>
      <c r="I3096" s="33" t="s">
        <v>39</v>
      </c>
      <c r="J3096" s="33" t="s">
        <v>40</v>
      </c>
      <c r="K3096" s="33" t="s">
        <v>41</v>
      </c>
    </row>
    <row r="3097" spans="1:12" hidden="1" x14ac:dyDescent="0.3">
      <c r="A3097" s="39">
        <v>46055.35601851852</v>
      </c>
      <c r="B3097" s="33">
        <v>44997134514</v>
      </c>
      <c r="C3097" s="33">
        <v>4430265054</v>
      </c>
      <c r="D3097" s="33">
        <v>4430265054</v>
      </c>
      <c r="E3097" s="33">
        <v>112</v>
      </c>
      <c r="F3097" s="33">
        <v>112</v>
      </c>
      <c r="G3097" s="33" t="s">
        <v>3449</v>
      </c>
      <c r="H3097" s="33" t="s">
        <v>5086</v>
      </c>
      <c r="I3097" s="33" t="s">
        <v>39</v>
      </c>
      <c r="J3097" s="33" t="s">
        <v>3451</v>
      </c>
      <c r="K3097" s="33" t="s">
        <v>41</v>
      </c>
    </row>
    <row r="3098" spans="1:12" hidden="1" x14ac:dyDescent="0.3">
      <c r="A3098" s="39">
        <v>46055.345763888887</v>
      </c>
      <c r="B3098" s="33">
        <v>44997123083</v>
      </c>
      <c r="C3098" s="33">
        <v>4430265054</v>
      </c>
      <c r="D3098" s="33">
        <v>4430265054</v>
      </c>
      <c r="E3098" s="33">
        <v>24</v>
      </c>
      <c r="F3098" s="33">
        <v>24</v>
      </c>
      <c r="G3098" s="33" t="s">
        <v>3449</v>
      </c>
      <c r="H3098" s="33" t="s">
        <v>6549</v>
      </c>
      <c r="I3098" s="33" t="s">
        <v>39</v>
      </c>
      <c r="J3098" s="33" t="s">
        <v>3451</v>
      </c>
    </row>
    <row r="3099" spans="1:12" hidden="1" x14ac:dyDescent="0.3">
      <c r="A3099" s="39">
        <v>46055.345451388886</v>
      </c>
      <c r="B3099" s="33">
        <v>44997123083</v>
      </c>
      <c r="C3099" s="33">
        <v>4430265054</v>
      </c>
      <c r="D3099" s="33">
        <v>4430265054</v>
      </c>
      <c r="E3099" s="33">
        <v>23</v>
      </c>
      <c r="F3099" s="33">
        <v>22</v>
      </c>
      <c r="G3099" s="33" t="s">
        <v>3449</v>
      </c>
      <c r="H3099" s="33" t="s">
        <v>6550</v>
      </c>
      <c r="I3099" s="33" t="s">
        <v>39</v>
      </c>
      <c r="J3099" s="33" t="s">
        <v>3451</v>
      </c>
    </row>
    <row r="3100" spans="1:12" hidden="1" x14ac:dyDescent="0.3">
      <c r="A3100" s="39">
        <v>46055.333356481482</v>
      </c>
      <c r="B3100" s="33">
        <v>44997134514</v>
      </c>
      <c r="C3100" s="33">
        <v>4430265054</v>
      </c>
      <c r="D3100" s="33">
        <v>4430265054</v>
      </c>
      <c r="E3100" s="33">
        <v>19</v>
      </c>
      <c r="F3100" s="33">
        <v>19</v>
      </c>
      <c r="G3100" s="33" t="s">
        <v>3449</v>
      </c>
      <c r="H3100" s="33" t="s">
        <v>6551</v>
      </c>
      <c r="I3100" s="33" t="s">
        <v>39</v>
      </c>
      <c r="J3100" s="33" t="s">
        <v>3451</v>
      </c>
    </row>
  </sheetData>
  <autoFilter ref="A1:L3100" xr:uid="{1925E673-B92D-4842-81BB-10C01394CAF3}">
    <filterColumn colId="2">
      <filters>
        <filter val="PSYSTEM_1013"/>
      </filters>
    </filterColumn>
    <filterColumn colId="4">
      <customFilters>
        <customFilter operator="greaterThan" val="100"/>
      </customFilters>
    </filterColumn>
    <filterColumn colId="6">
      <filters>
        <filter val="ANSWERED"/>
      </filters>
    </filterColumn>
    <filterColumn colId="1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21A8-5F40-4F9B-A64D-5D3C6F8057B5}">
  <dimension ref="A1:E129"/>
  <sheetViews>
    <sheetView zoomScale="81" workbookViewId="0">
      <pane ySplit="1" topLeftCell="A44" activePane="bottomLeft" state="frozen"/>
      <selection activeCell="L27" sqref="L27:L3095"/>
      <selection pane="bottomLeft" activeCell="E2" sqref="E2:E76"/>
    </sheetView>
  </sheetViews>
  <sheetFormatPr defaultRowHeight="14.4" x14ac:dyDescent="0.3"/>
  <cols>
    <col min="1" max="1" width="16.88671875" style="33" bestFit="1" customWidth="1"/>
    <col min="2" max="2" width="14.109375" style="33" bestFit="1" customWidth="1"/>
    <col min="3" max="4" width="15.5546875" style="33" bestFit="1" customWidth="1"/>
    <col min="5" max="5" width="17" style="33" bestFit="1" customWidth="1"/>
    <col min="6" max="16384" width="8.88671875" style="33"/>
  </cols>
  <sheetData>
    <row r="1" spans="1:5" x14ac:dyDescent="0.3">
      <c r="A1" s="30" t="s">
        <v>20</v>
      </c>
      <c r="B1" s="30" t="s">
        <v>19</v>
      </c>
      <c r="C1" s="30" t="s">
        <v>21</v>
      </c>
      <c r="D1" s="30" t="s">
        <v>32</v>
      </c>
      <c r="E1" s="30" t="s">
        <v>22</v>
      </c>
    </row>
    <row r="2" spans="1:5" x14ac:dyDescent="0.3">
      <c r="A2" s="33">
        <v>5</v>
      </c>
      <c r="B2" s="33">
        <v>5</v>
      </c>
      <c r="C2" s="33">
        <v>5</v>
      </c>
      <c r="D2" s="33">
        <v>5</v>
      </c>
      <c r="E2" s="33">
        <v>5</v>
      </c>
    </row>
    <row r="3" spans="1:5" x14ac:dyDescent="0.3">
      <c r="A3" s="33">
        <v>5</v>
      </c>
      <c r="B3" s="33">
        <v>5</v>
      </c>
      <c r="C3" s="33">
        <v>5</v>
      </c>
      <c r="D3" s="33">
        <v>5</v>
      </c>
      <c r="E3" s="33">
        <v>5</v>
      </c>
    </row>
    <row r="4" spans="1:5" x14ac:dyDescent="0.3">
      <c r="A4" s="33">
        <v>5</v>
      </c>
      <c r="B4" s="33">
        <v>5</v>
      </c>
      <c r="C4" s="33">
        <v>5</v>
      </c>
      <c r="D4" s="33">
        <v>5</v>
      </c>
      <c r="E4" s="33">
        <v>5</v>
      </c>
    </row>
    <row r="5" spans="1:5" x14ac:dyDescent="0.3">
      <c r="A5" s="33">
        <v>5</v>
      </c>
      <c r="B5" s="33">
        <v>5</v>
      </c>
      <c r="C5" s="33">
        <v>5</v>
      </c>
      <c r="D5" s="33">
        <v>5</v>
      </c>
      <c r="E5" s="33">
        <v>5</v>
      </c>
    </row>
    <row r="6" spans="1:5" x14ac:dyDescent="0.3">
      <c r="A6" s="33">
        <v>5</v>
      </c>
      <c r="B6" s="33">
        <v>5</v>
      </c>
      <c r="C6" s="33">
        <v>5</v>
      </c>
      <c r="D6" s="33">
        <v>5</v>
      </c>
      <c r="E6" s="33">
        <v>5</v>
      </c>
    </row>
    <row r="7" spans="1:5" x14ac:dyDescent="0.3">
      <c r="A7" s="33">
        <v>5</v>
      </c>
      <c r="B7" s="33">
        <v>5</v>
      </c>
      <c r="C7" s="33">
        <v>5</v>
      </c>
      <c r="D7" s="33">
        <v>5</v>
      </c>
      <c r="E7" s="33">
        <v>5</v>
      </c>
    </row>
    <row r="8" spans="1:5" x14ac:dyDescent="0.3">
      <c r="A8" s="33">
        <v>5</v>
      </c>
      <c r="B8" s="33">
        <v>5</v>
      </c>
      <c r="C8" s="33">
        <v>5</v>
      </c>
      <c r="D8" s="33">
        <v>5</v>
      </c>
      <c r="E8" s="33">
        <v>5</v>
      </c>
    </row>
    <row r="9" spans="1:5" x14ac:dyDescent="0.3">
      <c r="A9" s="33">
        <v>5</v>
      </c>
      <c r="B9" s="33">
        <v>5</v>
      </c>
      <c r="C9" s="33">
        <v>5</v>
      </c>
      <c r="D9" s="33">
        <v>5</v>
      </c>
      <c r="E9" s="33">
        <v>5</v>
      </c>
    </row>
    <row r="10" spans="1:5" x14ac:dyDescent="0.3">
      <c r="A10" s="33">
        <v>5</v>
      </c>
      <c r="B10" s="33">
        <v>5</v>
      </c>
      <c r="C10" s="33">
        <v>5</v>
      </c>
      <c r="D10" s="33">
        <v>5</v>
      </c>
      <c r="E10" s="33">
        <v>5</v>
      </c>
    </row>
    <row r="11" spans="1:5" x14ac:dyDescent="0.3">
      <c r="A11" s="33">
        <v>5</v>
      </c>
      <c r="B11" s="33">
        <v>5</v>
      </c>
      <c r="C11" s="33">
        <v>5</v>
      </c>
      <c r="D11" s="33">
        <v>5</v>
      </c>
      <c r="E11" s="33">
        <v>5</v>
      </c>
    </row>
    <row r="12" spans="1:5" x14ac:dyDescent="0.3">
      <c r="A12" s="33">
        <v>5</v>
      </c>
      <c r="B12" s="33">
        <v>5</v>
      </c>
      <c r="C12" s="33">
        <v>5</v>
      </c>
      <c r="D12" s="33">
        <v>5</v>
      </c>
      <c r="E12" s="33">
        <v>5</v>
      </c>
    </row>
    <row r="13" spans="1:5" x14ac:dyDescent="0.3">
      <c r="A13" s="33">
        <v>5</v>
      </c>
      <c r="B13" s="33">
        <v>5</v>
      </c>
      <c r="C13" s="33">
        <v>5</v>
      </c>
      <c r="D13" s="33">
        <v>5</v>
      </c>
      <c r="E13" s="33">
        <v>5</v>
      </c>
    </row>
    <row r="14" spans="1:5" x14ac:dyDescent="0.3">
      <c r="A14" s="33">
        <v>5</v>
      </c>
      <c r="B14" s="33">
        <v>5</v>
      </c>
      <c r="C14" s="33">
        <v>5</v>
      </c>
      <c r="D14" s="33">
        <v>5</v>
      </c>
      <c r="E14" s="33">
        <v>5</v>
      </c>
    </row>
    <row r="15" spans="1:5" x14ac:dyDescent="0.3">
      <c r="A15" s="33">
        <v>5</v>
      </c>
      <c r="B15" s="33">
        <v>5</v>
      </c>
      <c r="C15" s="33">
        <v>5</v>
      </c>
      <c r="D15" s="33">
        <v>5</v>
      </c>
      <c r="E15" s="33">
        <v>5</v>
      </c>
    </row>
    <row r="16" spans="1:5" x14ac:dyDescent="0.3">
      <c r="A16" s="33">
        <v>4</v>
      </c>
      <c r="B16" s="33">
        <v>5</v>
      </c>
      <c r="C16" s="33">
        <v>5</v>
      </c>
      <c r="D16" s="33">
        <v>5</v>
      </c>
      <c r="E16" s="33">
        <v>5</v>
      </c>
    </row>
    <row r="17" spans="1:5" x14ac:dyDescent="0.3">
      <c r="A17" s="33">
        <v>3</v>
      </c>
      <c r="B17" s="33">
        <v>5</v>
      </c>
      <c r="C17" s="33">
        <v>5</v>
      </c>
      <c r="D17" s="33">
        <v>5</v>
      </c>
      <c r="E17" s="33">
        <v>5</v>
      </c>
    </row>
    <row r="18" spans="1:5" x14ac:dyDescent="0.3">
      <c r="A18" s="33">
        <v>5</v>
      </c>
      <c r="B18" s="33">
        <v>5</v>
      </c>
      <c r="C18" s="33">
        <v>5</v>
      </c>
      <c r="D18" s="33">
        <v>5</v>
      </c>
      <c r="E18" s="33">
        <v>5</v>
      </c>
    </row>
    <row r="19" spans="1:5" x14ac:dyDescent="0.3">
      <c r="A19" s="33">
        <v>5</v>
      </c>
      <c r="B19" s="33">
        <v>5</v>
      </c>
      <c r="C19" s="33">
        <v>5</v>
      </c>
      <c r="D19" s="33">
        <v>5</v>
      </c>
      <c r="E19" s="33">
        <v>5</v>
      </c>
    </row>
    <row r="20" spans="1:5" x14ac:dyDescent="0.3">
      <c r="A20" s="33">
        <v>5</v>
      </c>
      <c r="B20" s="33">
        <v>5</v>
      </c>
      <c r="C20" s="33">
        <v>5</v>
      </c>
      <c r="D20" s="33">
        <v>5</v>
      </c>
      <c r="E20" s="33">
        <v>5</v>
      </c>
    </row>
    <row r="21" spans="1:5" x14ac:dyDescent="0.3">
      <c r="A21" s="33">
        <v>5</v>
      </c>
      <c r="B21" s="33">
        <v>5</v>
      </c>
      <c r="C21" s="33">
        <v>5</v>
      </c>
      <c r="D21" s="33">
        <v>5</v>
      </c>
      <c r="E21" s="33">
        <v>5</v>
      </c>
    </row>
    <row r="22" spans="1:5" x14ac:dyDescent="0.3">
      <c r="A22" s="33">
        <v>5</v>
      </c>
      <c r="B22" s="33">
        <v>5</v>
      </c>
      <c r="C22" s="33">
        <v>5</v>
      </c>
      <c r="D22" s="33">
        <v>5</v>
      </c>
      <c r="E22" s="33">
        <v>5</v>
      </c>
    </row>
    <row r="23" spans="1:5" x14ac:dyDescent="0.3">
      <c r="A23" s="33">
        <v>5</v>
      </c>
      <c r="B23" s="33">
        <v>5</v>
      </c>
      <c r="C23" s="33">
        <v>5</v>
      </c>
      <c r="D23" s="33">
        <v>5</v>
      </c>
      <c r="E23" s="33">
        <v>5</v>
      </c>
    </row>
    <row r="24" spans="1:5" x14ac:dyDescent="0.3">
      <c r="A24" s="33">
        <v>5</v>
      </c>
      <c r="B24" s="33">
        <v>5</v>
      </c>
      <c r="C24" s="33">
        <v>5</v>
      </c>
      <c r="D24" s="33">
        <v>5</v>
      </c>
      <c r="E24" s="33">
        <v>5</v>
      </c>
    </row>
    <row r="25" spans="1:5" x14ac:dyDescent="0.3">
      <c r="A25" s="33">
        <v>5</v>
      </c>
      <c r="B25" s="33">
        <v>5</v>
      </c>
      <c r="C25" s="33">
        <v>3</v>
      </c>
      <c r="D25" s="33">
        <v>5</v>
      </c>
      <c r="E25" s="33">
        <v>5</v>
      </c>
    </row>
    <row r="26" spans="1:5" x14ac:dyDescent="0.3">
      <c r="A26" s="33">
        <v>4</v>
      </c>
      <c r="B26" s="33">
        <v>5</v>
      </c>
      <c r="C26" s="33">
        <v>5</v>
      </c>
      <c r="D26" s="33">
        <v>5</v>
      </c>
      <c r="E26" s="33">
        <v>5</v>
      </c>
    </row>
    <row r="27" spans="1:5" x14ac:dyDescent="0.3">
      <c r="A27" s="33">
        <v>5</v>
      </c>
      <c r="B27" s="33">
        <v>5</v>
      </c>
      <c r="C27" s="33">
        <v>5</v>
      </c>
      <c r="D27" s="33">
        <v>5</v>
      </c>
      <c r="E27" s="33">
        <v>5</v>
      </c>
    </row>
    <row r="28" spans="1:5" x14ac:dyDescent="0.3">
      <c r="A28" s="33">
        <v>5</v>
      </c>
      <c r="B28" s="33">
        <v>5</v>
      </c>
      <c r="C28" s="33">
        <v>5</v>
      </c>
      <c r="D28" s="33">
        <v>5</v>
      </c>
      <c r="E28" s="33">
        <v>5</v>
      </c>
    </row>
    <row r="29" spans="1:5" x14ac:dyDescent="0.3">
      <c r="A29" s="33">
        <v>5</v>
      </c>
      <c r="B29" s="33">
        <v>5</v>
      </c>
      <c r="C29" s="33">
        <v>5</v>
      </c>
      <c r="D29" s="33">
        <v>5</v>
      </c>
      <c r="E29" s="33">
        <v>5</v>
      </c>
    </row>
    <row r="30" spans="1:5" x14ac:dyDescent="0.3">
      <c r="A30" s="33">
        <v>5</v>
      </c>
      <c r="B30" s="33">
        <v>5</v>
      </c>
      <c r="C30" s="33">
        <v>5</v>
      </c>
      <c r="D30" s="33">
        <v>5</v>
      </c>
      <c r="E30" s="33">
        <v>5</v>
      </c>
    </row>
    <row r="31" spans="1:5" x14ac:dyDescent="0.3">
      <c r="A31" s="33">
        <v>5</v>
      </c>
      <c r="B31" s="33">
        <v>5</v>
      </c>
      <c r="C31" s="33">
        <v>5</v>
      </c>
      <c r="D31" s="33">
        <v>5</v>
      </c>
      <c r="E31" s="33">
        <v>5</v>
      </c>
    </row>
    <row r="32" spans="1:5" x14ac:dyDescent="0.3">
      <c r="A32" s="33">
        <v>5</v>
      </c>
      <c r="B32" s="33">
        <v>5</v>
      </c>
      <c r="C32" s="33">
        <v>5</v>
      </c>
      <c r="D32" s="33">
        <v>5</v>
      </c>
      <c r="E32" s="33">
        <v>5</v>
      </c>
    </row>
    <row r="33" spans="1:5" x14ac:dyDescent="0.3">
      <c r="A33" s="33">
        <v>5</v>
      </c>
      <c r="B33" s="33">
        <v>5</v>
      </c>
      <c r="C33" s="33">
        <v>5</v>
      </c>
      <c r="D33" s="33">
        <v>5</v>
      </c>
      <c r="E33" s="33">
        <v>5</v>
      </c>
    </row>
    <row r="34" spans="1:5" x14ac:dyDescent="0.3">
      <c r="A34" s="33">
        <v>5</v>
      </c>
      <c r="B34" s="33">
        <v>5</v>
      </c>
      <c r="C34" s="33">
        <v>5</v>
      </c>
      <c r="D34" s="33">
        <v>5</v>
      </c>
      <c r="E34" s="33">
        <v>5</v>
      </c>
    </row>
    <row r="35" spans="1:5" x14ac:dyDescent="0.3">
      <c r="A35" s="33">
        <v>5</v>
      </c>
      <c r="B35" s="33">
        <v>5</v>
      </c>
      <c r="C35" s="33">
        <v>5</v>
      </c>
      <c r="D35" s="33">
        <v>5</v>
      </c>
      <c r="E35" s="33">
        <v>5</v>
      </c>
    </row>
    <row r="36" spans="1:5" x14ac:dyDescent="0.3">
      <c r="A36" s="33">
        <v>5</v>
      </c>
      <c r="B36" s="33">
        <v>5</v>
      </c>
      <c r="C36" s="33">
        <v>5</v>
      </c>
      <c r="D36" s="33">
        <v>5</v>
      </c>
      <c r="E36" s="33">
        <v>5</v>
      </c>
    </row>
    <row r="37" spans="1:5" x14ac:dyDescent="0.3">
      <c r="A37" s="33">
        <v>5</v>
      </c>
      <c r="B37" s="33">
        <v>5</v>
      </c>
      <c r="C37" s="33">
        <v>4</v>
      </c>
      <c r="D37" s="33">
        <v>5</v>
      </c>
      <c r="E37" s="33">
        <v>5</v>
      </c>
    </row>
    <row r="38" spans="1:5" x14ac:dyDescent="0.3">
      <c r="A38" s="33">
        <v>5</v>
      </c>
      <c r="B38" s="33">
        <v>5</v>
      </c>
      <c r="C38" s="33">
        <v>5</v>
      </c>
      <c r="D38" s="33">
        <v>5</v>
      </c>
      <c r="E38" s="33">
        <v>5</v>
      </c>
    </row>
    <row r="39" spans="1:5" x14ac:dyDescent="0.3">
      <c r="A39" s="33">
        <v>5</v>
      </c>
      <c r="B39" s="33">
        <v>5</v>
      </c>
      <c r="C39" s="33">
        <v>5</v>
      </c>
      <c r="D39" s="33">
        <v>4</v>
      </c>
      <c r="E39" s="33">
        <v>5</v>
      </c>
    </row>
    <row r="40" spans="1:5" x14ac:dyDescent="0.3">
      <c r="A40" s="33">
        <v>5</v>
      </c>
      <c r="B40" s="33">
        <v>5</v>
      </c>
      <c r="C40" s="33">
        <v>5</v>
      </c>
      <c r="D40" s="33">
        <v>5</v>
      </c>
      <c r="E40" s="33">
        <v>5</v>
      </c>
    </row>
    <row r="41" spans="1:5" x14ac:dyDescent="0.3">
      <c r="A41" s="33">
        <v>5</v>
      </c>
      <c r="B41" s="33">
        <v>5</v>
      </c>
      <c r="C41" s="33">
        <v>5</v>
      </c>
      <c r="D41" s="33">
        <v>5</v>
      </c>
      <c r="E41" s="33">
        <v>5</v>
      </c>
    </row>
    <row r="42" spans="1:5" x14ac:dyDescent="0.3">
      <c r="A42" s="33">
        <v>5</v>
      </c>
      <c r="B42" s="33">
        <v>5</v>
      </c>
      <c r="C42" s="33">
        <v>5</v>
      </c>
      <c r="D42" s="33">
        <v>5</v>
      </c>
      <c r="E42" s="33">
        <v>5</v>
      </c>
    </row>
    <row r="43" spans="1:5" x14ac:dyDescent="0.3">
      <c r="A43" s="33">
        <v>5</v>
      </c>
      <c r="B43" s="33">
        <v>5</v>
      </c>
      <c r="C43" s="33">
        <v>5</v>
      </c>
      <c r="D43" s="33">
        <v>5</v>
      </c>
      <c r="E43" s="33">
        <v>5</v>
      </c>
    </row>
    <row r="44" spans="1:5" x14ac:dyDescent="0.3">
      <c r="A44" s="33">
        <v>5</v>
      </c>
      <c r="B44" s="33">
        <v>5</v>
      </c>
      <c r="C44" s="33">
        <v>5</v>
      </c>
      <c r="D44" s="33">
        <v>5</v>
      </c>
      <c r="E44" s="33">
        <v>5</v>
      </c>
    </row>
    <row r="45" spans="1:5" x14ac:dyDescent="0.3">
      <c r="A45" s="33">
        <v>5</v>
      </c>
      <c r="B45" s="33">
        <v>5</v>
      </c>
      <c r="C45" s="33">
        <v>3</v>
      </c>
      <c r="D45" s="33">
        <v>5</v>
      </c>
      <c r="E45" s="33">
        <v>5</v>
      </c>
    </row>
    <row r="46" spans="1:5" x14ac:dyDescent="0.3">
      <c r="A46" s="33">
        <v>5</v>
      </c>
      <c r="B46" s="33">
        <v>5</v>
      </c>
      <c r="C46" s="33">
        <v>5</v>
      </c>
      <c r="D46" s="33">
        <v>5</v>
      </c>
      <c r="E46" s="33">
        <v>5</v>
      </c>
    </row>
    <row r="47" spans="1:5" x14ac:dyDescent="0.3">
      <c r="A47" s="33">
        <v>5</v>
      </c>
      <c r="B47" s="33">
        <v>5</v>
      </c>
      <c r="C47" s="33">
        <v>5</v>
      </c>
      <c r="D47" s="33">
        <v>5</v>
      </c>
      <c r="E47" s="33">
        <v>5</v>
      </c>
    </row>
    <row r="48" spans="1:5" x14ac:dyDescent="0.3">
      <c r="A48" s="33">
        <v>5</v>
      </c>
      <c r="B48" s="33">
        <v>5</v>
      </c>
      <c r="C48" s="33">
        <v>5</v>
      </c>
      <c r="D48" s="33">
        <v>5</v>
      </c>
      <c r="E48" s="33">
        <v>5</v>
      </c>
    </row>
    <row r="49" spans="1:5" x14ac:dyDescent="0.3">
      <c r="A49" s="33">
        <v>5</v>
      </c>
      <c r="B49" s="33">
        <v>5</v>
      </c>
      <c r="C49" s="33">
        <v>5</v>
      </c>
      <c r="D49" s="33">
        <v>5</v>
      </c>
      <c r="E49" s="33">
        <v>5</v>
      </c>
    </row>
    <row r="50" spans="1:5" x14ac:dyDescent="0.3">
      <c r="A50" s="33">
        <v>5</v>
      </c>
      <c r="B50" s="33">
        <v>5</v>
      </c>
      <c r="C50" s="33">
        <v>5</v>
      </c>
      <c r="D50" s="33">
        <v>5</v>
      </c>
      <c r="E50" s="33">
        <v>5</v>
      </c>
    </row>
    <row r="51" spans="1:5" x14ac:dyDescent="0.3">
      <c r="A51" s="33">
        <v>5</v>
      </c>
      <c r="B51" s="33">
        <v>4</v>
      </c>
      <c r="C51" s="33">
        <v>5</v>
      </c>
      <c r="D51" s="33">
        <v>5</v>
      </c>
      <c r="E51" s="33">
        <v>5</v>
      </c>
    </row>
    <row r="52" spans="1:5" x14ac:dyDescent="0.3">
      <c r="A52" s="33">
        <v>5</v>
      </c>
      <c r="B52" s="33">
        <v>4</v>
      </c>
      <c r="C52" s="33">
        <v>5</v>
      </c>
      <c r="D52" s="33">
        <v>5</v>
      </c>
      <c r="E52" s="33">
        <v>5</v>
      </c>
    </row>
    <row r="53" spans="1:5" x14ac:dyDescent="0.3">
      <c r="A53" s="33">
        <v>5</v>
      </c>
      <c r="B53" s="33">
        <v>5</v>
      </c>
      <c r="C53" s="33">
        <v>5</v>
      </c>
      <c r="D53" s="33">
        <v>5</v>
      </c>
      <c r="E53" s="33">
        <v>5</v>
      </c>
    </row>
    <row r="54" spans="1:5" x14ac:dyDescent="0.3">
      <c r="A54" s="33">
        <v>4</v>
      </c>
      <c r="B54" s="33">
        <v>5</v>
      </c>
      <c r="C54" s="33">
        <v>5</v>
      </c>
      <c r="D54" s="33">
        <v>5</v>
      </c>
      <c r="E54" s="33">
        <v>5</v>
      </c>
    </row>
    <row r="55" spans="1:5" x14ac:dyDescent="0.3">
      <c r="A55" s="33">
        <v>5</v>
      </c>
      <c r="B55" s="33">
        <v>5</v>
      </c>
      <c r="C55" s="33">
        <v>5</v>
      </c>
      <c r="D55" s="33">
        <v>5</v>
      </c>
      <c r="E55" s="33">
        <v>5</v>
      </c>
    </row>
    <row r="56" spans="1:5" x14ac:dyDescent="0.3">
      <c r="A56" s="33">
        <v>5</v>
      </c>
      <c r="B56" s="33">
        <v>5</v>
      </c>
      <c r="C56" s="33">
        <v>5</v>
      </c>
      <c r="D56" s="33">
        <v>5</v>
      </c>
      <c r="E56" s="33">
        <v>5</v>
      </c>
    </row>
    <row r="57" spans="1:5" x14ac:dyDescent="0.3">
      <c r="A57" s="33">
        <v>5</v>
      </c>
      <c r="B57" s="33">
        <v>5</v>
      </c>
      <c r="C57" s="33">
        <v>5</v>
      </c>
      <c r="D57" s="33">
        <v>5</v>
      </c>
      <c r="E57" s="33">
        <v>5</v>
      </c>
    </row>
    <row r="58" spans="1:5" x14ac:dyDescent="0.3">
      <c r="A58" s="33">
        <v>5</v>
      </c>
      <c r="B58" s="33">
        <v>3</v>
      </c>
      <c r="C58" s="33">
        <v>5</v>
      </c>
      <c r="D58" s="33">
        <v>5</v>
      </c>
      <c r="E58" s="33">
        <v>5</v>
      </c>
    </row>
    <row r="59" spans="1:5" x14ac:dyDescent="0.3">
      <c r="A59" s="33">
        <v>5</v>
      </c>
      <c r="B59" s="33">
        <v>4</v>
      </c>
      <c r="C59" s="33">
        <v>5</v>
      </c>
      <c r="D59" s="33">
        <v>5</v>
      </c>
      <c r="E59" s="33">
        <v>5</v>
      </c>
    </row>
    <row r="60" spans="1:5" x14ac:dyDescent="0.3">
      <c r="A60" s="33">
        <v>5</v>
      </c>
      <c r="B60" s="33">
        <v>5</v>
      </c>
      <c r="C60" s="33">
        <v>5</v>
      </c>
      <c r="D60" s="33">
        <v>5</v>
      </c>
      <c r="E60" s="33">
        <v>5</v>
      </c>
    </row>
    <row r="61" spans="1:5" x14ac:dyDescent="0.3">
      <c r="A61" s="33">
        <v>5</v>
      </c>
      <c r="B61" s="33">
        <v>5</v>
      </c>
      <c r="C61" s="33">
        <v>5</v>
      </c>
      <c r="D61" s="33">
        <v>5</v>
      </c>
      <c r="E61" s="33">
        <v>5</v>
      </c>
    </row>
    <row r="62" spans="1:5" x14ac:dyDescent="0.3">
      <c r="A62" s="33">
        <v>5</v>
      </c>
      <c r="B62" s="33">
        <v>5</v>
      </c>
      <c r="C62" s="33">
        <v>5</v>
      </c>
      <c r="D62" s="37">
        <v>5</v>
      </c>
      <c r="E62" s="33">
        <v>5</v>
      </c>
    </row>
    <row r="63" spans="1:5" x14ac:dyDescent="0.3">
      <c r="A63" s="33">
        <v>5</v>
      </c>
      <c r="B63" s="33">
        <v>5</v>
      </c>
      <c r="C63" s="33">
        <v>5</v>
      </c>
      <c r="D63" s="33">
        <v>5</v>
      </c>
      <c r="E63" s="33">
        <v>5</v>
      </c>
    </row>
    <row r="64" spans="1:5" x14ac:dyDescent="0.3">
      <c r="A64" s="33">
        <v>5</v>
      </c>
      <c r="B64" s="33">
        <v>5</v>
      </c>
      <c r="C64" s="33">
        <v>5</v>
      </c>
      <c r="E64" s="33">
        <v>5</v>
      </c>
    </row>
    <row r="65" spans="1:5" x14ac:dyDescent="0.3">
      <c r="A65" s="33">
        <v>5</v>
      </c>
      <c r="B65" s="33">
        <v>5</v>
      </c>
      <c r="C65" s="33">
        <v>5</v>
      </c>
      <c r="E65" s="33">
        <v>5</v>
      </c>
    </row>
    <row r="66" spans="1:5" x14ac:dyDescent="0.3">
      <c r="A66" s="33">
        <v>5</v>
      </c>
      <c r="B66" s="33">
        <v>5</v>
      </c>
      <c r="C66" s="33">
        <v>5</v>
      </c>
      <c r="E66" s="33">
        <v>5</v>
      </c>
    </row>
    <row r="67" spans="1:5" x14ac:dyDescent="0.3">
      <c r="A67" s="33">
        <v>5</v>
      </c>
      <c r="B67" s="33">
        <v>5</v>
      </c>
      <c r="E67" s="33">
        <v>5</v>
      </c>
    </row>
    <row r="68" spans="1:5" x14ac:dyDescent="0.3">
      <c r="A68" s="33">
        <v>5</v>
      </c>
      <c r="B68" s="33">
        <v>5</v>
      </c>
      <c r="E68" s="33">
        <v>5</v>
      </c>
    </row>
    <row r="69" spans="1:5" x14ac:dyDescent="0.3">
      <c r="A69" s="33">
        <v>5</v>
      </c>
      <c r="B69" s="33">
        <v>3</v>
      </c>
      <c r="E69" s="33">
        <v>5</v>
      </c>
    </row>
    <row r="70" spans="1:5" x14ac:dyDescent="0.3">
      <c r="A70" s="33">
        <v>5</v>
      </c>
      <c r="B70" s="33">
        <v>5</v>
      </c>
      <c r="E70" s="33">
        <v>5</v>
      </c>
    </row>
    <row r="71" spans="1:5" x14ac:dyDescent="0.3">
      <c r="A71" s="33">
        <v>5</v>
      </c>
      <c r="B71" s="33">
        <v>4</v>
      </c>
      <c r="E71" s="33">
        <v>5</v>
      </c>
    </row>
    <row r="72" spans="1:5" x14ac:dyDescent="0.3">
      <c r="A72" s="33">
        <v>5</v>
      </c>
      <c r="B72" s="33">
        <v>5</v>
      </c>
      <c r="E72" s="33">
        <v>5</v>
      </c>
    </row>
    <row r="73" spans="1:5" x14ac:dyDescent="0.3">
      <c r="A73" s="33">
        <v>5</v>
      </c>
      <c r="B73" s="33">
        <v>5</v>
      </c>
      <c r="E73" s="33">
        <v>5</v>
      </c>
    </row>
    <row r="74" spans="1:5" x14ac:dyDescent="0.3">
      <c r="A74" s="33">
        <v>5</v>
      </c>
      <c r="B74" s="33">
        <v>5</v>
      </c>
      <c r="E74" s="33">
        <v>5</v>
      </c>
    </row>
    <row r="75" spans="1:5" x14ac:dyDescent="0.3">
      <c r="A75" s="33">
        <v>5</v>
      </c>
      <c r="B75" s="33">
        <v>5</v>
      </c>
      <c r="E75" s="33">
        <v>5</v>
      </c>
    </row>
    <row r="76" spans="1:5" x14ac:dyDescent="0.3">
      <c r="A76" s="33">
        <v>5</v>
      </c>
      <c r="B76" s="33">
        <v>5</v>
      </c>
      <c r="E76" s="33">
        <v>5</v>
      </c>
    </row>
    <row r="77" spans="1:5" x14ac:dyDescent="0.3">
      <c r="A77" s="33">
        <v>5</v>
      </c>
      <c r="B77" s="33">
        <v>5</v>
      </c>
    </row>
    <row r="78" spans="1:5" x14ac:dyDescent="0.3">
      <c r="A78" s="33">
        <v>5</v>
      </c>
      <c r="B78" s="33">
        <v>5</v>
      </c>
    </row>
    <row r="79" spans="1:5" x14ac:dyDescent="0.3">
      <c r="A79" s="33">
        <v>5</v>
      </c>
      <c r="B79" s="33">
        <v>5</v>
      </c>
    </row>
    <row r="80" spans="1:5" x14ac:dyDescent="0.3">
      <c r="A80" s="33">
        <v>5</v>
      </c>
      <c r="B80" s="33">
        <v>5</v>
      </c>
    </row>
    <row r="81" spans="1:2" x14ac:dyDescent="0.3">
      <c r="A81" s="33">
        <v>5</v>
      </c>
      <c r="B81" s="33">
        <v>5</v>
      </c>
    </row>
    <row r="82" spans="1:2" x14ac:dyDescent="0.3">
      <c r="A82" s="33">
        <v>5</v>
      </c>
      <c r="B82" s="33">
        <v>5</v>
      </c>
    </row>
    <row r="83" spans="1:2" x14ac:dyDescent="0.3">
      <c r="A83" s="33">
        <v>5</v>
      </c>
      <c r="B83" s="33">
        <v>5</v>
      </c>
    </row>
    <row r="84" spans="1:2" x14ac:dyDescent="0.3">
      <c r="A84" s="33">
        <v>5</v>
      </c>
      <c r="B84" s="33">
        <v>5</v>
      </c>
    </row>
    <row r="85" spans="1:2" x14ac:dyDescent="0.3">
      <c r="A85" s="33">
        <v>5</v>
      </c>
      <c r="B85" s="33">
        <v>5</v>
      </c>
    </row>
    <row r="86" spans="1:2" x14ac:dyDescent="0.3">
      <c r="A86" s="33">
        <v>5</v>
      </c>
      <c r="B86" s="33">
        <v>4</v>
      </c>
    </row>
    <row r="87" spans="1:2" x14ac:dyDescent="0.3">
      <c r="A87" s="33">
        <v>5</v>
      </c>
      <c r="B87" s="33">
        <v>5</v>
      </c>
    </row>
    <row r="88" spans="1:2" x14ac:dyDescent="0.3">
      <c r="A88" s="33">
        <v>5</v>
      </c>
      <c r="B88" s="33">
        <v>5</v>
      </c>
    </row>
    <row r="89" spans="1:2" x14ac:dyDescent="0.3">
      <c r="A89" s="33">
        <v>5</v>
      </c>
      <c r="B89" s="33">
        <v>5</v>
      </c>
    </row>
    <row r="90" spans="1:2" x14ac:dyDescent="0.3">
      <c r="A90" s="33">
        <v>5</v>
      </c>
      <c r="B90" s="33">
        <v>5</v>
      </c>
    </row>
    <row r="91" spans="1:2" x14ac:dyDescent="0.3">
      <c r="A91" s="33">
        <v>3</v>
      </c>
      <c r="B91" s="33">
        <v>5</v>
      </c>
    </row>
    <row r="92" spans="1:2" x14ac:dyDescent="0.3">
      <c r="A92" s="33">
        <v>5</v>
      </c>
      <c r="B92" s="33">
        <v>5</v>
      </c>
    </row>
    <row r="93" spans="1:2" x14ac:dyDescent="0.3">
      <c r="A93" s="33">
        <v>5</v>
      </c>
      <c r="B93" s="33">
        <v>5</v>
      </c>
    </row>
    <row r="94" spans="1:2" x14ac:dyDescent="0.3">
      <c r="A94" s="33">
        <v>5</v>
      </c>
      <c r="B94" s="33">
        <v>5</v>
      </c>
    </row>
    <row r="95" spans="1:2" x14ac:dyDescent="0.3">
      <c r="A95" s="33">
        <v>5</v>
      </c>
      <c r="B95" s="33">
        <v>5</v>
      </c>
    </row>
    <row r="96" spans="1:2" x14ac:dyDescent="0.3">
      <c r="A96" s="33">
        <v>5</v>
      </c>
      <c r="B96" s="33">
        <v>5</v>
      </c>
    </row>
    <row r="97" spans="1:2" x14ac:dyDescent="0.3">
      <c r="A97" s="33">
        <v>4</v>
      </c>
      <c r="B97" s="33">
        <v>5</v>
      </c>
    </row>
    <row r="98" spans="1:2" x14ac:dyDescent="0.3">
      <c r="A98" s="33">
        <v>5</v>
      </c>
      <c r="B98" s="33">
        <v>5</v>
      </c>
    </row>
    <row r="99" spans="1:2" x14ac:dyDescent="0.3">
      <c r="A99" s="33">
        <v>5</v>
      </c>
      <c r="B99" s="33">
        <v>5</v>
      </c>
    </row>
    <row r="100" spans="1:2" x14ac:dyDescent="0.3">
      <c r="A100" s="33">
        <v>5</v>
      </c>
      <c r="B100" s="33">
        <v>5</v>
      </c>
    </row>
    <row r="101" spans="1:2" x14ac:dyDescent="0.3">
      <c r="A101" s="33">
        <v>5</v>
      </c>
      <c r="B101" s="33">
        <v>5</v>
      </c>
    </row>
    <row r="102" spans="1:2" x14ac:dyDescent="0.3">
      <c r="A102" s="33">
        <v>5</v>
      </c>
      <c r="B102" s="33">
        <v>5</v>
      </c>
    </row>
    <row r="103" spans="1:2" x14ac:dyDescent="0.3">
      <c r="A103" s="33">
        <v>5</v>
      </c>
      <c r="B103" s="33">
        <v>5</v>
      </c>
    </row>
    <row r="104" spans="1:2" x14ac:dyDescent="0.3">
      <c r="A104" s="33">
        <v>5</v>
      </c>
      <c r="B104" s="33">
        <v>5</v>
      </c>
    </row>
    <row r="105" spans="1:2" x14ac:dyDescent="0.3">
      <c r="A105" s="33">
        <v>5</v>
      </c>
      <c r="B105" s="33">
        <v>5</v>
      </c>
    </row>
    <row r="106" spans="1:2" x14ac:dyDescent="0.3">
      <c r="A106" s="33">
        <v>5</v>
      </c>
      <c r="B106" s="33">
        <v>5</v>
      </c>
    </row>
    <row r="107" spans="1:2" x14ac:dyDescent="0.3">
      <c r="A107" s="33">
        <v>5</v>
      </c>
      <c r="B107" s="33">
        <v>5</v>
      </c>
    </row>
    <row r="108" spans="1:2" x14ac:dyDescent="0.3">
      <c r="A108" s="33">
        <v>5</v>
      </c>
      <c r="B108" s="33">
        <v>5</v>
      </c>
    </row>
    <row r="109" spans="1:2" x14ac:dyDescent="0.3">
      <c r="A109" s="33">
        <v>5</v>
      </c>
      <c r="B109" s="33">
        <v>5</v>
      </c>
    </row>
    <row r="110" spans="1:2" x14ac:dyDescent="0.3">
      <c r="A110" s="33">
        <v>5</v>
      </c>
      <c r="B110" s="33">
        <v>5</v>
      </c>
    </row>
    <row r="111" spans="1:2" x14ac:dyDescent="0.3">
      <c r="A111" s="33">
        <v>5</v>
      </c>
      <c r="B111" s="33">
        <v>5</v>
      </c>
    </row>
    <row r="112" spans="1:2" x14ac:dyDescent="0.3">
      <c r="A112" s="33">
        <v>5</v>
      </c>
      <c r="B112" s="33">
        <v>5</v>
      </c>
    </row>
    <row r="113" spans="1:2" x14ac:dyDescent="0.3">
      <c r="A113" s="33">
        <v>5</v>
      </c>
      <c r="B113" s="33">
        <v>5</v>
      </c>
    </row>
    <row r="114" spans="1:2" x14ac:dyDescent="0.3">
      <c r="A114" s="33">
        <v>5</v>
      </c>
      <c r="B114" s="33">
        <v>5</v>
      </c>
    </row>
    <row r="115" spans="1:2" x14ac:dyDescent="0.3">
      <c r="A115" s="33">
        <v>4</v>
      </c>
      <c r="B115" s="33">
        <v>5</v>
      </c>
    </row>
    <row r="116" spans="1:2" x14ac:dyDescent="0.3">
      <c r="A116" s="33">
        <v>5</v>
      </c>
      <c r="B116" s="33">
        <v>4</v>
      </c>
    </row>
    <row r="117" spans="1:2" x14ac:dyDescent="0.3">
      <c r="A117" s="33">
        <v>5</v>
      </c>
      <c r="B117" s="33">
        <v>5</v>
      </c>
    </row>
    <row r="118" spans="1:2" x14ac:dyDescent="0.3">
      <c r="A118" s="33">
        <v>5</v>
      </c>
      <c r="B118" s="33">
        <v>5</v>
      </c>
    </row>
    <row r="119" spans="1:2" x14ac:dyDescent="0.3">
      <c r="A119" s="33">
        <v>4</v>
      </c>
      <c r="B119" s="33">
        <v>5</v>
      </c>
    </row>
    <row r="120" spans="1:2" x14ac:dyDescent="0.3">
      <c r="A120" s="33">
        <v>5</v>
      </c>
      <c r="B120" s="33">
        <v>5</v>
      </c>
    </row>
    <row r="121" spans="1:2" x14ac:dyDescent="0.3">
      <c r="A121" s="33">
        <v>5</v>
      </c>
      <c r="B121" s="33">
        <v>5</v>
      </c>
    </row>
    <row r="122" spans="1:2" x14ac:dyDescent="0.3">
      <c r="A122" s="33">
        <v>5</v>
      </c>
      <c r="B122" s="33">
        <v>5</v>
      </c>
    </row>
    <row r="123" spans="1:2" x14ac:dyDescent="0.3">
      <c r="A123" s="33">
        <v>5</v>
      </c>
    </row>
    <row r="124" spans="1:2" x14ac:dyDescent="0.3">
      <c r="A124" s="33">
        <v>5</v>
      </c>
    </row>
    <row r="125" spans="1:2" x14ac:dyDescent="0.3">
      <c r="A125" s="33">
        <v>5</v>
      </c>
    </row>
    <row r="126" spans="1:2" x14ac:dyDescent="0.3">
      <c r="A126" s="33">
        <v>5</v>
      </c>
    </row>
    <row r="127" spans="1:2" x14ac:dyDescent="0.3">
      <c r="A127" s="33">
        <v>5</v>
      </c>
    </row>
    <row r="128" spans="1:2" x14ac:dyDescent="0.3">
      <c r="A128" s="33">
        <v>5</v>
      </c>
    </row>
    <row r="129" spans="1:1" x14ac:dyDescent="0.3">
      <c r="A129" s="33">
        <v>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C4C6-5065-4D33-9132-55A9B25804A2}">
  <dimension ref="A1:I24"/>
  <sheetViews>
    <sheetView tabSelected="1" zoomScale="81" zoomScaleNormal="115" workbookViewId="0">
      <selection activeCell="A15" sqref="A15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453</v>
      </c>
      <c r="C2" s="20">
        <f>B15+C15</f>
        <v>137</v>
      </c>
      <c r="D2" s="21">
        <f>C2/B2</f>
        <v>0.30242825607064017</v>
      </c>
      <c r="E2" s="27">
        <f>AVERAGE('Notas Fev'!$A$2:$A$200)</f>
        <v>4.921875</v>
      </c>
      <c r="F2" s="27"/>
      <c r="G2" s="31">
        <f>E2-F2</f>
        <v>4.921875</v>
      </c>
      <c r="H2" s="1"/>
      <c r="I2" s="23">
        <f>G2*C2</f>
        <v>674.296875</v>
      </c>
    </row>
    <row r="3" spans="1:9" x14ac:dyDescent="0.3">
      <c r="A3" s="5" t="s">
        <v>19</v>
      </c>
      <c r="B3" s="6">
        <f>D16+E16+F16</f>
        <v>361</v>
      </c>
      <c r="C3" s="6">
        <f>B16+C16</f>
        <v>129</v>
      </c>
      <c r="D3" s="35">
        <f>C3/B3</f>
        <v>0.35734072022160662</v>
      </c>
      <c r="E3" s="8">
        <f>AVERAGE('Notas Fev'!$B$2:$B$200)</f>
        <v>4.9173553719008263</v>
      </c>
      <c r="F3" s="8"/>
      <c r="G3" s="32">
        <f t="shared" ref="G3:G6" si="0">E3-F3</f>
        <v>4.9173553719008263</v>
      </c>
      <c r="H3" s="1"/>
      <c r="I3" s="38">
        <f>G3*C3</f>
        <v>634.3388429752066</v>
      </c>
    </row>
    <row r="4" spans="1:9" x14ac:dyDescent="0.3">
      <c r="A4" s="19" t="s">
        <v>21</v>
      </c>
      <c r="B4" s="20">
        <f t="shared" ref="B4:B6" si="1">D17+E17+F17</f>
        <v>414</v>
      </c>
      <c r="C4" s="20">
        <f>B17+C17</f>
        <v>76</v>
      </c>
      <c r="D4" s="21">
        <f>C4/B4</f>
        <v>0.18357487922705315</v>
      </c>
      <c r="E4" s="27">
        <f>AVERAGE('Notas Fev'!$C$2:$C$200)</f>
        <v>4.9230769230769234</v>
      </c>
      <c r="F4" s="27"/>
      <c r="G4" s="31">
        <f t="shared" si="0"/>
        <v>4.9230769230769234</v>
      </c>
      <c r="H4" s="1"/>
      <c r="I4" s="38">
        <f t="shared" ref="I4:I6" si="2">G4*C4</f>
        <v>374.15384615384619</v>
      </c>
    </row>
    <row r="5" spans="1:9" x14ac:dyDescent="0.3">
      <c r="A5" s="5" t="s">
        <v>32</v>
      </c>
      <c r="B5" s="6">
        <f t="shared" si="1"/>
        <v>397</v>
      </c>
      <c r="C5" s="6">
        <f>B18+C18</f>
        <v>79</v>
      </c>
      <c r="D5" s="35">
        <f>C5/B5</f>
        <v>0.19899244332493704</v>
      </c>
      <c r="E5" s="8">
        <f>AVERAGE('Notas Fev'!$D$2:$D$200)</f>
        <v>4.9838709677419351</v>
      </c>
      <c r="F5" s="8"/>
      <c r="G5" s="32">
        <f t="shared" si="0"/>
        <v>4.9838709677419351</v>
      </c>
      <c r="H5" s="1"/>
      <c r="I5" s="38">
        <f t="shared" si="2"/>
        <v>393.72580645161287</v>
      </c>
    </row>
    <row r="6" spans="1:9" x14ac:dyDescent="0.3">
      <c r="A6" s="19" t="s">
        <v>22</v>
      </c>
      <c r="B6" s="20">
        <f t="shared" si="1"/>
        <v>396</v>
      </c>
      <c r="C6" s="20">
        <f>B19+C19</f>
        <v>93</v>
      </c>
      <c r="D6" s="21">
        <f>C6/B6</f>
        <v>0.23484848484848486</v>
      </c>
      <c r="E6" s="27">
        <f>AVERAGE('Notas Fev'!$E$2:$E$200)</f>
        <v>5</v>
      </c>
      <c r="F6" s="27"/>
      <c r="G6" s="31">
        <f t="shared" si="0"/>
        <v>5</v>
      </c>
      <c r="H6" s="1"/>
      <c r="I6" s="38">
        <f t="shared" si="2"/>
        <v>465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8"/>
    </row>
    <row r="8" spans="1:9" x14ac:dyDescent="0.3">
      <c r="A8" s="1"/>
      <c r="B8" s="1"/>
      <c r="C8" s="1"/>
      <c r="D8" s="9"/>
      <c r="E8" s="1"/>
      <c r="F8" s="28"/>
      <c r="G8" s="13"/>
      <c r="H8" s="1"/>
      <c r="I8" s="1"/>
    </row>
    <row r="9" spans="1:9" x14ac:dyDescent="0.3">
      <c r="A9" s="14" t="s">
        <v>16</v>
      </c>
      <c r="B9" s="14">
        <f>SUM(B2:B7)</f>
        <v>2021</v>
      </c>
      <c r="C9" s="14">
        <f>SUM(C2:C7)</f>
        <v>514</v>
      </c>
      <c r="D9" s="15">
        <f>C9/B9</f>
        <v>0.25432953983176643</v>
      </c>
      <c r="E9" s="16">
        <f>AVERAGE(E2:E7)</f>
        <v>4.9492356525439369</v>
      </c>
      <c r="F9" s="16"/>
      <c r="G9" s="17">
        <f>E9-F9</f>
        <v>4.9492356525439369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COUNTIFS(Fev!$B$2:$B$4000,"PSYSTEM_1005",Fev!$E$2:$E$4000,"&gt;100",Fev!$L$2:$L$4000,"&gt;0")</f>
        <v>16</v>
      </c>
      <c r="C15" s="1">
        <f>COUNTIFS(Fev!$C$2:$C$4000,"PSYSTEM_1005",Fev!$E$2:$E$4000,"&gt;100",Fev!$L$2:$L$4000,"&gt;0")+G15</f>
        <v>121</v>
      </c>
      <c r="D15" s="1">
        <f>COUNTIFS(Fev!$B$2:$B$4000,"PSYSTEM_1005",Fev!$E$2:$E$4000,"&gt;100")</f>
        <v>76</v>
      </c>
      <c r="E15" s="1">
        <f>COUNTIFS(Fev!$C$2:$C$4000,"PSYSTEM_1005",Fev!$E$2:$E$4000,"&gt;100")</f>
        <v>303</v>
      </c>
      <c r="F15" s="1">
        <v>74</v>
      </c>
      <c r="G15" s="33">
        <v>9</v>
      </c>
    </row>
    <row r="16" spans="1:9" x14ac:dyDescent="0.3">
      <c r="A16" s="5" t="s">
        <v>19</v>
      </c>
      <c r="B16" s="1">
        <f>COUNTIFS(Fev!$B$2:$B$4000,"PSYSTEM_1002",Fev!$E$2:$E$4000,"&gt;100",Fev!$L$2:$L$4000,"&gt;0")</f>
        <v>16</v>
      </c>
      <c r="C16" s="1">
        <f>COUNTIFS(Fev!$C$2:$C$4000,"PSYSTEM_1002",Fev!$E$2:$E$4000,"&gt;100",Fev!$L$2:$L$4000,"&gt;0")+G16</f>
        <v>113</v>
      </c>
      <c r="D16" s="1">
        <f>COUNTIFS(Fev!$B$2:$B$4000,"PSYSTEM_1002",Fev!$E$2:$E$4000,"&gt;100")</f>
        <v>49</v>
      </c>
      <c r="E16" s="1">
        <f>COUNTIFS(Fev!$C$2:$C$4000,"PSYSTEM_1002",Fev!$E$2:$E$4000,"&gt;100")</f>
        <v>237</v>
      </c>
      <c r="F16" s="33">
        <v>75</v>
      </c>
      <c r="G16" s="33">
        <v>8</v>
      </c>
    </row>
    <row r="17" spans="1:9" x14ac:dyDescent="0.3">
      <c r="A17" s="19" t="s">
        <v>21</v>
      </c>
      <c r="B17" s="1">
        <f>COUNTIFS(Fev!$B$2:$B$4000,"PSYSTEM_1004",Fev!$E$2:$E$4000,"&gt;100",Fev!$L$2:$L$4000,"&gt;0")</f>
        <v>3</v>
      </c>
      <c r="C17" s="1">
        <f>COUNTIFS(Fev!$C$2:$C$4000,"PSYSTEM_1004",Fev!$E$2:$E$4000,"&gt;100",Fev!$L$2:$L$4000,"&gt;0")+G17</f>
        <v>73</v>
      </c>
      <c r="D17" s="1">
        <f>COUNTIFS(Fev!$B$2:$B$4000,"PSYSTEM_1004",Fev!$E$2:$E$4000,"&gt;100")</f>
        <v>41</v>
      </c>
      <c r="E17" s="1">
        <f>COUNTIFS(Fev!$C$2:$C$4000,"PSYSTEM_1004",Fev!$E$2:$E$4000,"&gt;100")</f>
        <v>299</v>
      </c>
      <c r="F17" s="1">
        <v>74</v>
      </c>
      <c r="G17" s="33">
        <v>11</v>
      </c>
    </row>
    <row r="18" spans="1:9" x14ac:dyDescent="0.3">
      <c r="A18" s="5" t="s">
        <v>32</v>
      </c>
      <c r="B18" s="1">
        <f>COUNTIFS(Fev!$B$2:$B$4000,"PSYSTEM_1013",Fev!$E$2:$E$4000,"&gt;100",Fev!$L$2:$L$4000,"&gt;0")</f>
        <v>7</v>
      </c>
      <c r="C18" s="1">
        <f>COUNTIFS(Fev!$C$2:$C$4000,"PSYSTEM_1013",Fev!$E$2:$E$4000,"&gt;100",Fev!$L$2:$L$4000,"&gt;0")+G18</f>
        <v>72</v>
      </c>
      <c r="D18" s="1">
        <f>COUNTIFS(Fev!$B$2:$B$4000,"PSYSTEM_1013",Fev!$E$2:$E$4000,"&gt;100")</f>
        <v>40</v>
      </c>
      <c r="E18" s="1">
        <f>COUNTIFS(Fev!$C$2:$C$4000,"PSYSTEM_1013",Fev!$E$2:$E$4000,"&gt;100")</f>
        <v>245</v>
      </c>
      <c r="F18" s="1">
        <v>112</v>
      </c>
      <c r="G18" s="1">
        <v>17</v>
      </c>
      <c r="H18" s="1"/>
      <c r="I18" s="1"/>
    </row>
    <row r="19" spans="1:9" x14ac:dyDescent="0.3">
      <c r="A19" s="19" t="s">
        <v>22</v>
      </c>
      <c r="B19" s="1">
        <f>COUNTIFS(Fev!$B$2:$B$4000,"PSYSTEM_1001",Fev!$E$2:$E$4000,"&gt;100",Fev!$L$2:$L$4000,"&gt;0")</f>
        <v>7</v>
      </c>
      <c r="C19" s="1">
        <f>COUNTIFS(Fev!$C$2:$C$4000,"PSYSTEM_1001",Fev!$E$2:$E$4000,"&gt;100",Fev!$L$2:$L$4000,"&gt;0")+G19</f>
        <v>86</v>
      </c>
      <c r="D19" s="1">
        <f>COUNTIFS(Fev!$B$2:$B$4000,"PSYSTEM_1001",Fev!$E$2:$E$4000,"&gt;100")</f>
        <v>38</v>
      </c>
      <c r="E19" s="1">
        <f>COUNTIFS(Fev!$C$2:$C$4000,"PSYSTEM_1001",Fev!$E$2:$E$4000,"&gt;100")</f>
        <v>235</v>
      </c>
      <c r="F19" s="1">
        <v>123</v>
      </c>
      <c r="G19" s="1">
        <v>18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66E3-D533-40D0-81FE-F82945330872}">
  <sheetPr filterMode="1"/>
  <dimension ref="A1:M2935"/>
  <sheetViews>
    <sheetView topLeftCell="A1327" zoomScale="79" workbookViewId="0">
      <selection activeCell="L158" sqref="L158:L2889"/>
    </sheetView>
  </sheetViews>
  <sheetFormatPr defaultColWidth="8.88671875" defaultRowHeight="14.4" x14ac:dyDescent="0.3"/>
  <cols>
    <col min="1" max="1" width="23.109375" style="33" customWidth="1"/>
    <col min="2" max="2" width="18.44140625" style="33" bestFit="1" customWidth="1"/>
    <col min="3" max="3" width="13.44140625" style="33" bestFit="1" customWidth="1"/>
    <col min="4" max="4" width="11" style="33" bestFit="1" customWidth="1"/>
    <col min="5" max="5" width="14" style="33" bestFit="1" customWidth="1"/>
    <col min="6" max="6" width="9.6640625" style="33" bestFit="1" customWidth="1"/>
    <col min="7" max="7" width="12.109375" style="33" bestFit="1" customWidth="1"/>
    <col min="8" max="8" width="25.33203125" style="33" bestFit="1" customWidth="1"/>
    <col min="9" max="9" width="14.5546875" style="33" bestFit="1" customWidth="1"/>
    <col min="10" max="10" width="26.109375" style="33" bestFit="1" customWidth="1"/>
    <col min="11" max="11" width="19.5546875" style="33" bestFit="1" customWidth="1"/>
    <col min="12" max="12" width="9.6640625" style="33" bestFit="1" customWidth="1"/>
    <col min="13" max="13" width="93" style="36" customWidth="1"/>
    <col min="14" max="16384" width="8.88671875" style="33"/>
  </cols>
  <sheetData>
    <row r="1" spans="1:13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</row>
    <row r="2" spans="1:13" hidden="1" x14ac:dyDescent="0.3">
      <c r="A2" s="39">
        <v>46112.7262962963</v>
      </c>
      <c r="B2" s="33">
        <v>44999680829</v>
      </c>
      <c r="C2" s="33" t="s">
        <v>37</v>
      </c>
      <c r="D2" s="33">
        <v>4431268225</v>
      </c>
      <c r="E2" s="33">
        <v>392</v>
      </c>
      <c r="F2" s="33">
        <v>227</v>
      </c>
      <c r="G2" s="33" t="s">
        <v>38</v>
      </c>
      <c r="H2" s="33" t="s">
        <v>6553</v>
      </c>
      <c r="I2" s="33" t="s">
        <v>39</v>
      </c>
      <c r="J2" s="33" t="s">
        <v>40</v>
      </c>
      <c r="K2" s="33" t="s">
        <v>41</v>
      </c>
      <c r="L2" s="33">
        <v>5</v>
      </c>
      <c r="M2" s="33"/>
    </row>
    <row r="3" spans="1:13" hidden="1" x14ac:dyDescent="0.3">
      <c r="A3" s="39">
        <v>46112.723391203705</v>
      </c>
      <c r="B3" s="33">
        <v>4330333542</v>
      </c>
      <c r="C3" s="33" t="s">
        <v>45</v>
      </c>
      <c r="D3" s="33">
        <v>4430265054</v>
      </c>
      <c r="E3" s="33">
        <v>1566</v>
      </c>
      <c r="F3" s="33">
        <v>1485</v>
      </c>
      <c r="G3" s="33" t="s">
        <v>38</v>
      </c>
      <c r="H3" s="33" t="s">
        <v>6554</v>
      </c>
      <c r="I3" s="33" t="s">
        <v>39</v>
      </c>
      <c r="J3" s="33" t="s">
        <v>40</v>
      </c>
      <c r="K3" s="33" t="s">
        <v>41</v>
      </c>
      <c r="L3" s="33">
        <v>5</v>
      </c>
      <c r="M3" s="33"/>
    </row>
    <row r="4" spans="1:13" hidden="1" x14ac:dyDescent="0.3">
      <c r="A4" s="39">
        <v>46112.718298611115</v>
      </c>
      <c r="B4" s="33">
        <v>77999014770</v>
      </c>
      <c r="C4" s="33" t="s">
        <v>42</v>
      </c>
      <c r="D4" s="33">
        <v>4430265054</v>
      </c>
      <c r="E4" s="33">
        <v>574</v>
      </c>
      <c r="F4" s="33">
        <v>509</v>
      </c>
      <c r="G4" s="33" t="s">
        <v>38</v>
      </c>
      <c r="H4" s="33" t="s">
        <v>6555</v>
      </c>
      <c r="I4" s="33" t="s">
        <v>39</v>
      </c>
      <c r="J4" s="33" t="s">
        <v>40</v>
      </c>
      <c r="K4" s="33" t="s">
        <v>41</v>
      </c>
      <c r="M4" s="33"/>
    </row>
    <row r="5" spans="1:13" hidden="1" x14ac:dyDescent="0.3">
      <c r="A5" s="39">
        <v>46112.713090277779</v>
      </c>
      <c r="B5" s="33">
        <v>44988255390</v>
      </c>
      <c r="C5" s="33" t="s">
        <v>45</v>
      </c>
      <c r="D5" s="33">
        <v>4430265054</v>
      </c>
      <c r="E5" s="33">
        <v>592</v>
      </c>
      <c r="F5" s="33">
        <v>472</v>
      </c>
      <c r="G5" s="33" t="s">
        <v>38</v>
      </c>
      <c r="H5" s="33" t="s">
        <v>6556</v>
      </c>
      <c r="I5" s="33" t="s">
        <v>39</v>
      </c>
      <c r="J5" s="33" t="s">
        <v>40</v>
      </c>
      <c r="K5" s="33" t="s">
        <v>41</v>
      </c>
      <c r="M5" s="33"/>
    </row>
    <row r="6" spans="1:13" hidden="1" x14ac:dyDescent="0.3">
      <c r="A6" s="39">
        <v>46112.707939814813</v>
      </c>
      <c r="B6" s="33">
        <v>91985176746</v>
      </c>
      <c r="C6" s="33" t="s">
        <v>43</v>
      </c>
      <c r="D6" s="33">
        <v>4430265054</v>
      </c>
      <c r="E6" s="33">
        <v>523</v>
      </c>
      <c r="F6" s="33">
        <v>479</v>
      </c>
      <c r="G6" s="33" t="s">
        <v>38</v>
      </c>
      <c r="H6" s="33" t="s">
        <v>6557</v>
      </c>
      <c r="I6" s="33" t="s">
        <v>39</v>
      </c>
      <c r="J6" s="33" t="s">
        <v>40</v>
      </c>
      <c r="K6" s="33" t="s">
        <v>41</v>
      </c>
      <c r="L6" s="33">
        <v>5</v>
      </c>
      <c r="M6" s="33"/>
    </row>
    <row r="7" spans="1:13" hidden="1" x14ac:dyDescent="0.3">
      <c r="A7" s="39">
        <v>46112.70548611111</v>
      </c>
      <c r="B7" s="33">
        <v>43984996095</v>
      </c>
      <c r="C7" s="33" t="s">
        <v>37</v>
      </c>
      <c r="D7" s="33">
        <v>4430265054</v>
      </c>
      <c r="E7" s="33">
        <v>1105</v>
      </c>
      <c r="F7" s="33">
        <v>947</v>
      </c>
      <c r="G7" s="33" t="s">
        <v>38</v>
      </c>
      <c r="H7" s="33" t="s">
        <v>6558</v>
      </c>
      <c r="I7" s="33" t="s">
        <v>39</v>
      </c>
      <c r="J7" s="33" t="s">
        <v>40</v>
      </c>
      <c r="K7" s="33" t="s">
        <v>41</v>
      </c>
      <c r="M7" s="33"/>
    </row>
    <row r="8" spans="1:13" hidden="1" x14ac:dyDescent="0.3">
      <c r="A8" s="39">
        <v>46112.701863425929</v>
      </c>
      <c r="B8" s="33" t="s">
        <v>45</v>
      </c>
      <c r="C8" s="33">
        <v>44999647912</v>
      </c>
      <c r="E8" s="33">
        <v>82</v>
      </c>
      <c r="F8" s="33">
        <v>77</v>
      </c>
      <c r="G8" s="33" t="s">
        <v>38</v>
      </c>
      <c r="H8" s="33" t="s">
        <v>6559</v>
      </c>
      <c r="I8" s="33" t="s">
        <v>46</v>
      </c>
      <c r="J8" s="33" t="s">
        <v>40</v>
      </c>
      <c r="M8" s="33"/>
    </row>
    <row r="9" spans="1:13" hidden="1" x14ac:dyDescent="0.3">
      <c r="A9" s="39">
        <v>46112.701666666668</v>
      </c>
      <c r="B9" s="33" t="s">
        <v>45</v>
      </c>
      <c r="C9" s="33">
        <v>44999647912</v>
      </c>
      <c r="E9" s="33">
        <v>25</v>
      </c>
      <c r="F9" s="33">
        <v>25</v>
      </c>
      <c r="G9" s="33" t="s">
        <v>38</v>
      </c>
      <c r="H9" s="33" t="s">
        <v>6560</v>
      </c>
      <c r="I9" s="33" t="s">
        <v>46</v>
      </c>
      <c r="J9" s="33" t="s">
        <v>40</v>
      </c>
      <c r="M9" s="33"/>
    </row>
    <row r="10" spans="1:13" hidden="1" x14ac:dyDescent="0.3">
      <c r="A10" s="39">
        <v>46112.69872685185</v>
      </c>
      <c r="B10" s="33">
        <v>44999647912</v>
      </c>
      <c r="C10" s="33" t="s">
        <v>45</v>
      </c>
      <c r="D10" s="33">
        <v>4430265054</v>
      </c>
      <c r="E10" s="33">
        <v>147</v>
      </c>
      <c r="F10" s="33">
        <v>104</v>
      </c>
      <c r="G10" s="33" t="s">
        <v>38</v>
      </c>
      <c r="H10" s="33" t="s">
        <v>6561</v>
      </c>
      <c r="I10" s="33" t="s">
        <v>39</v>
      </c>
      <c r="J10" s="33" t="s">
        <v>40</v>
      </c>
      <c r="K10" s="33" t="s">
        <v>41</v>
      </c>
      <c r="M10" s="33"/>
    </row>
    <row r="11" spans="1:13" hidden="1" x14ac:dyDescent="0.3">
      <c r="A11" s="39">
        <v>46112.698125000003</v>
      </c>
      <c r="B11" s="33">
        <v>4121410323</v>
      </c>
      <c r="C11" s="33" t="s">
        <v>45</v>
      </c>
      <c r="D11" s="33">
        <v>4531273168</v>
      </c>
      <c r="E11" s="33">
        <v>47</v>
      </c>
      <c r="F11" s="33">
        <v>11</v>
      </c>
      <c r="G11" s="33" t="s">
        <v>38</v>
      </c>
      <c r="H11" s="33" t="s">
        <v>6562</v>
      </c>
      <c r="I11" s="33" t="s">
        <v>39</v>
      </c>
      <c r="J11" s="33" t="s">
        <v>40</v>
      </c>
      <c r="K11" s="33" t="s">
        <v>41</v>
      </c>
      <c r="M11" s="33"/>
    </row>
    <row r="12" spans="1:13" hidden="1" x14ac:dyDescent="0.3">
      <c r="A12" s="39">
        <v>46112.688634259262</v>
      </c>
      <c r="B12" s="33">
        <v>4133491428</v>
      </c>
      <c r="C12" s="33" t="s">
        <v>42</v>
      </c>
      <c r="D12" s="33">
        <v>4430265054</v>
      </c>
      <c r="E12" s="33">
        <v>678</v>
      </c>
      <c r="F12" s="33">
        <v>639</v>
      </c>
      <c r="G12" s="33" t="s">
        <v>38</v>
      </c>
      <c r="H12" s="33" t="s">
        <v>6563</v>
      </c>
      <c r="I12" s="33" t="s">
        <v>39</v>
      </c>
      <c r="J12" s="33" t="s">
        <v>40</v>
      </c>
      <c r="K12" s="33" t="s">
        <v>41</v>
      </c>
      <c r="M12" s="33"/>
    </row>
    <row r="13" spans="1:13" hidden="1" x14ac:dyDescent="0.3">
      <c r="A13" s="39">
        <v>46112.685752314814</v>
      </c>
      <c r="B13" s="33">
        <v>4432321232</v>
      </c>
      <c r="C13" s="33" t="s">
        <v>45</v>
      </c>
      <c r="D13" s="33">
        <v>4430265054</v>
      </c>
      <c r="E13" s="33">
        <v>487</v>
      </c>
      <c r="F13" s="33">
        <v>459</v>
      </c>
      <c r="G13" s="33" t="s">
        <v>38</v>
      </c>
      <c r="H13" s="33" t="s">
        <v>6564</v>
      </c>
      <c r="I13" s="33" t="s">
        <v>39</v>
      </c>
      <c r="J13" s="33" t="s">
        <v>40</v>
      </c>
      <c r="K13" s="33" t="s">
        <v>41</v>
      </c>
      <c r="L13" s="33">
        <v>5</v>
      </c>
      <c r="M13" s="33"/>
    </row>
    <row r="14" spans="1:13" hidden="1" x14ac:dyDescent="0.3">
      <c r="A14" s="39">
        <v>46112.682372685187</v>
      </c>
      <c r="B14" s="33" t="s">
        <v>37</v>
      </c>
      <c r="C14" s="33">
        <v>4436351414</v>
      </c>
      <c r="E14" s="33">
        <v>171</v>
      </c>
      <c r="F14" s="33">
        <v>160</v>
      </c>
      <c r="G14" s="33" t="s">
        <v>38</v>
      </c>
      <c r="H14" s="33" t="s">
        <v>6565</v>
      </c>
      <c r="I14" s="33" t="s">
        <v>46</v>
      </c>
      <c r="J14" s="33" t="s">
        <v>40</v>
      </c>
      <c r="M14" s="33"/>
    </row>
    <row r="15" spans="1:13" hidden="1" x14ac:dyDescent="0.3">
      <c r="A15" s="39">
        <v>46112.678240740737</v>
      </c>
      <c r="B15" s="33" t="s">
        <v>44</v>
      </c>
      <c r="C15" s="33">
        <v>44998782223</v>
      </c>
      <c r="E15" s="33">
        <v>271</v>
      </c>
      <c r="F15" s="33">
        <v>256</v>
      </c>
      <c r="G15" s="33" t="s">
        <v>38</v>
      </c>
      <c r="H15" s="33" t="s">
        <v>6566</v>
      </c>
      <c r="I15" s="33" t="s">
        <v>46</v>
      </c>
      <c r="J15" s="33" t="s">
        <v>40</v>
      </c>
      <c r="M15" s="33"/>
    </row>
    <row r="16" spans="1:13" hidden="1" x14ac:dyDescent="0.3">
      <c r="A16" s="39">
        <v>46112.678182870368</v>
      </c>
      <c r="B16" s="33" t="s">
        <v>44</v>
      </c>
      <c r="C16" s="33">
        <v>44998782223</v>
      </c>
      <c r="E16" s="33">
        <v>25</v>
      </c>
      <c r="F16" s="33">
        <v>25</v>
      </c>
      <c r="G16" s="33" t="s">
        <v>38</v>
      </c>
      <c r="H16" s="33" t="s">
        <v>6567</v>
      </c>
      <c r="I16" s="33" t="s">
        <v>46</v>
      </c>
      <c r="J16" s="33" t="s">
        <v>40</v>
      </c>
      <c r="M16" s="33"/>
    </row>
    <row r="17" spans="1:11" s="33" customFormat="1" hidden="1" x14ac:dyDescent="0.3">
      <c r="A17" s="39">
        <v>46112.677939814814</v>
      </c>
      <c r="B17" s="33" t="s">
        <v>45</v>
      </c>
      <c r="C17" s="33">
        <v>44999147706</v>
      </c>
      <c r="E17" s="33">
        <v>63</v>
      </c>
      <c r="F17" s="33">
        <v>37</v>
      </c>
      <c r="G17" s="33" t="s">
        <v>38</v>
      </c>
      <c r="H17" s="33" t="s">
        <v>6568</v>
      </c>
      <c r="I17" s="33" t="s">
        <v>46</v>
      </c>
      <c r="J17" s="33" t="s">
        <v>40</v>
      </c>
    </row>
    <row r="18" spans="1:11" s="33" customFormat="1" hidden="1" x14ac:dyDescent="0.3">
      <c r="A18" s="39">
        <v>46112.677708333336</v>
      </c>
      <c r="B18" s="33" t="s">
        <v>45</v>
      </c>
      <c r="C18" s="33">
        <v>44999147706</v>
      </c>
      <c r="E18" s="33">
        <v>18</v>
      </c>
      <c r="F18" s="33">
        <v>0</v>
      </c>
      <c r="G18" s="33" t="s">
        <v>47</v>
      </c>
      <c r="H18" s="33" t="s">
        <v>6569</v>
      </c>
      <c r="I18" s="33" t="s">
        <v>46</v>
      </c>
      <c r="J18" s="33" t="s">
        <v>40</v>
      </c>
    </row>
    <row r="19" spans="1:11" s="33" customFormat="1" hidden="1" x14ac:dyDescent="0.3">
      <c r="A19" s="39">
        <v>46112.676736111112</v>
      </c>
      <c r="B19" s="33" t="s">
        <v>45</v>
      </c>
      <c r="C19" s="33">
        <v>44999488286</v>
      </c>
      <c r="E19" s="33">
        <v>44</v>
      </c>
      <c r="F19" s="33">
        <v>38</v>
      </c>
      <c r="G19" s="33" t="s">
        <v>38</v>
      </c>
      <c r="H19" s="33" t="s">
        <v>6570</v>
      </c>
      <c r="I19" s="33" t="s">
        <v>46</v>
      </c>
      <c r="J19" s="33" t="s">
        <v>40</v>
      </c>
    </row>
    <row r="20" spans="1:11" s="33" customFormat="1" hidden="1" x14ac:dyDescent="0.3">
      <c r="A20" s="39">
        <v>46112.671458333331</v>
      </c>
      <c r="B20" s="33" t="s">
        <v>44</v>
      </c>
      <c r="C20" s="33">
        <v>44998782223</v>
      </c>
      <c r="E20" s="33">
        <v>26</v>
      </c>
      <c r="F20" s="33">
        <v>25</v>
      </c>
      <c r="G20" s="33" t="s">
        <v>38</v>
      </c>
      <c r="H20" s="33" t="s">
        <v>6571</v>
      </c>
      <c r="I20" s="33" t="s">
        <v>46</v>
      </c>
      <c r="J20" s="33" t="s">
        <v>40</v>
      </c>
    </row>
    <row r="21" spans="1:11" s="33" customFormat="1" hidden="1" x14ac:dyDescent="0.3">
      <c r="A21" s="39">
        <v>46112.670335648145</v>
      </c>
      <c r="B21" s="33">
        <v>44999743444</v>
      </c>
      <c r="C21" s="33" t="s">
        <v>42</v>
      </c>
      <c r="D21" s="33">
        <v>4430265054</v>
      </c>
      <c r="E21" s="33">
        <v>264</v>
      </c>
      <c r="F21" s="33">
        <v>164</v>
      </c>
      <c r="G21" s="33" t="s">
        <v>38</v>
      </c>
      <c r="H21" s="33" t="s">
        <v>6572</v>
      </c>
      <c r="I21" s="33" t="s">
        <v>39</v>
      </c>
      <c r="J21" s="33" t="s">
        <v>40</v>
      </c>
      <c r="K21" s="33" t="s">
        <v>41</v>
      </c>
    </row>
    <row r="22" spans="1:11" s="33" customFormat="1" hidden="1" x14ac:dyDescent="0.3">
      <c r="A22" s="39">
        <v>46112.66609953704</v>
      </c>
      <c r="B22" s="33" t="s">
        <v>5173</v>
      </c>
      <c r="C22" s="33">
        <v>4334232912</v>
      </c>
      <c r="E22" s="33">
        <v>129</v>
      </c>
      <c r="F22" s="33">
        <v>117</v>
      </c>
      <c r="G22" s="33" t="s">
        <v>38</v>
      </c>
      <c r="H22" s="33" t="s">
        <v>6573</v>
      </c>
      <c r="I22" s="33" t="s">
        <v>46</v>
      </c>
      <c r="J22" s="33" t="s">
        <v>3629</v>
      </c>
    </row>
    <row r="23" spans="1:11" s="33" customFormat="1" hidden="1" x14ac:dyDescent="0.3">
      <c r="A23" s="39">
        <v>46112.664988425924</v>
      </c>
      <c r="B23" s="33" t="s">
        <v>43</v>
      </c>
      <c r="C23" s="33">
        <v>44997235101</v>
      </c>
      <c r="E23" s="33">
        <v>17</v>
      </c>
      <c r="F23" s="33">
        <v>0</v>
      </c>
      <c r="G23" s="33" t="s">
        <v>47</v>
      </c>
      <c r="H23" s="33" t="s">
        <v>6574</v>
      </c>
      <c r="I23" s="33" t="s">
        <v>46</v>
      </c>
      <c r="J23" s="33" t="s">
        <v>40</v>
      </c>
    </row>
    <row r="24" spans="1:11" s="33" customFormat="1" hidden="1" x14ac:dyDescent="0.3">
      <c r="A24" s="39">
        <v>46112.663101851853</v>
      </c>
      <c r="B24" s="33">
        <v>44998782223</v>
      </c>
      <c r="C24" s="33" t="s">
        <v>37</v>
      </c>
      <c r="D24" s="33">
        <v>4430265054</v>
      </c>
      <c r="E24" s="33">
        <v>969</v>
      </c>
      <c r="F24" s="33">
        <v>733</v>
      </c>
      <c r="G24" s="33" t="s">
        <v>38</v>
      </c>
      <c r="H24" s="33" t="s">
        <v>6575</v>
      </c>
      <c r="I24" s="33" t="s">
        <v>39</v>
      </c>
      <c r="J24" s="33" t="s">
        <v>40</v>
      </c>
      <c r="K24" s="33" t="s">
        <v>41</v>
      </c>
    </row>
    <row r="25" spans="1:11" s="33" customFormat="1" hidden="1" x14ac:dyDescent="0.3">
      <c r="A25" s="39">
        <v>46112.661423611113</v>
      </c>
      <c r="B25" s="33" t="s">
        <v>3627</v>
      </c>
      <c r="C25" s="33">
        <v>6530267073</v>
      </c>
      <c r="E25" s="33">
        <v>20</v>
      </c>
      <c r="F25" s="33">
        <v>16</v>
      </c>
      <c r="G25" s="33" t="s">
        <v>38</v>
      </c>
      <c r="H25" s="33" t="s">
        <v>6576</v>
      </c>
      <c r="I25" s="33" t="s">
        <v>46</v>
      </c>
      <c r="J25" s="33" t="s">
        <v>3629</v>
      </c>
    </row>
    <row r="26" spans="1:11" s="33" customFormat="1" hidden="1" x14ac:dyDescent="0.3">
      <c r="A26" s="39">
        <v>46112.660717592589</v>
      </c>
      <c r="B26" s="33" t="s">
        <v>3627</v>
      </c>
      <c r="C26" s="33">
        <v>43991039853</v>
      </c>
      <c r="E26" s="33">
        <v>14</v>
      </c>
      <c r="F26" s="33">
        <v>0</v>
      </c>
      <c r="G26" s="33" t="s">
        <v>47</v>
      </c>
      <c r="H26" s="33" t="s">
        <v>6577</v>
      </c>
      <c r="I26" s="33" t="s">
        <v>46</v>
      </c>
      <c r="J26" s="33" t="s">
        <v>3629</v>
      </c>
    </row>
    <row r="27" spans="1:11" s="33" customFormat="1" hidden="1" x14ac:dyDescent="0.3">
      <c r="A27" s="39">
        <v>46112.66033564815</v>
      </c>
      <c r="B27" s="33" t="s">
        <v>3627</v>
      </c>
      <c r="C27" s="33">
        <v>61993321670</v>
      </c>
      <c r="E27" s="33">
        <v>15</v>
      </c>
      <c r="F27" s="33">
        <v>6</v>
      </c>
      <c r="G27" s="33" t="s">
        <v>38</v>
      </c>
      <c r="H27" s="33" t="s">
        <v>6578</v>
      </c>
      <c r="I27" s="33" t="s">
        <v>46</v>
      </c>
      <c r="J27" s="33" t="s">
        <v>3629</v>
      </c>
    </row>
    <row r="28" spans="1:11" s="33" customFormat="1" hidden="1" x14ac:dyDescent="0.3">
      <c r="A28" s="39">
        <v>46112.660196759258</v>
      </c>
      <c r="B28" s="33">
        <v>44997235101</v>
      </c>
      <c r="C28" s="33" t="s">
        <v>43</v>
      </c>
      <c r="D28" s="33">
        <v>4430265054</v>
      </c>
      <c r="E28" s="33">
        <v>441</v>
      </c>
      <c r="F28" s="33">
        <v>397</v>
      </c>
      <c r="G28" s="33" t="s">
        <v>38</v>
      </c>
      <c r="H28" s="33" t="s">
        <v>6579</v>
      </c>
      <c r="I28" s="33" t="s">
        <v>39</v>
      </c>
      <c r="J28" s="33" t="s">
        <v>40</v>
      </c>
      <c r="K28" s="33" t="s">
        <v>41</v>
      </c>
    </row>
    <row r="29" spans="1:11" s="33" customFormat="1" hidden="1" x14ac:dyDescent="0.3">
      <c r="A29" s="39">
        <v>46112.658483796295</v>
      </c>
      <c r="B29" s="33" t="s">
        <v>3627</v>
      </c>
      <c r="C29" s="33">
        <v>73999255838</v>
      </c>
      <c r="E29" s="33">
        <v>34</v>
      </c>
      <c r="F29" s="33">
        <v>13</v>
      </c>
      <c r="G29" s="33" t="s">
        <v>38</v>
      </c>
      <c r="H29" s="33" t="s">
        <v>6580</v>
      </c>
      <c r="I29" s="33" t="s">
        <v>46</v>
      </c>
      <c r="J29" s="33" t="s">
        <v>3629</v>
      </c>
    </row>
    <row r="30" spans="1:11" s="33" customFormat="1" hidden="1" x14ac:dyDescent="0.3">
      <c r="A30" s="39">
        <v>46112.65729166667</v>
      </c>
      <c r="B30" s="33" t="s">
        <v>3627</v>
      </c>
      <c r="C30" s="33">
        <v>67998227628</v>
      </c>
      <c r="E30" s="33">
        <v>9</v>
      </c>
      <c r="F30" s="33">
        <v>2</v>
      </c>
      <c r="G30" s="33" t="s">
        <v>38</v>
      </c>
      <c r="H30" s="33" t="s">
        <v>6581</v>
      </c>
      <c r="I30" s="33" t="s">
        <v>46</v>
      </c>
      <c r="J30" s="33" t="s">
        <v>3629</v>
      </c>
    </row>
    <row r="31" spans="1:11" s="33" customFormat="1" hidden="1" x14ac:dyDescent="0.3">
      <c r="A31" s="39">
        <v>46112.656469907408</v>
      </c>
      <c r="B31" s="33" t="s">
        <v>3627</v>
      </c>
      <c r="C31" s="33">
        <v>51995665376</v>
      </c>
      <c r="E31" s="33">
        <v>17</v>
      </c>
      <c r="F31" s="33">
        <v>0</v>
      </c>
      <c r="G31" s="33" t="s">
        <v>47</v>
      </c>
      <c r="H31" s="33" t="s">
        <v>6582</v>
      </c>
      <c r="I31" s="33" t="s">
        <v>46</v>
      </c>
      <c r="J31" s="33" t="s">
        <v>3629</v>
      </c>
    </row>
    <row r="32" spans="1:11" s="33" customFormat="1" hidden="1" x14ac:dyDescent="0.3">
      <c r="A32" s="39">
        <v>46112.654918981483</v>
      </c>
      <c r="B32" s="33" t="s">
        <v>3627</v>
      </c>
      <c r="C32" s="33">
        <v>63991078032</v>
      </c>
      <c r="E32" s="33">
        <v>10</v>
      </c>
      <c r="F32" s="33">
        <v>0</v>
      </c>
      <c r="G32" s="33" t="s">
        <v>47</v>
      </c>
      <c r="H32" s="33" t="s">
        <v>6583</v>
      </c>
      <c r="I32" s="33" t="s">
        <v>46</v>
      </c>
      <c r="J32" s="33" t="s">
        <v>3629</v>
      </c>
    </row>
    <row r="33" spans="1:12" s="33" customFormat="1" hidden="1" x14ac:dyDescent="0.3">
      <c r="A33" s="39">
        <v>46112.652337962965</v>
      </c>
      <c r="B33" s="33">
        <v>1128787060</v>
      </c>
      <c r="C33" s="33" t="s">
        <v>43</v>
      </c>
      <c r="D33" s="33">
        <v>4430265054</v>
      </c>
      <c r="E33" s="33">
        <v>467</v>
      </c>
      <c r="F33" s="33">
        <v>440</v>
      </c>
      <c r="G33" s="33" t="s">
        <v>38</v>
      </c>
      <c r="H33" s="33" t="s">
        <v>6584</v>
      </c>
      <c r="I33" s="33" t="s">
        <v>39</v>
      </c>
      <c r="J33" s="33" t="s">
        <v>40</v>
      </c>
      <c r="K33" s="33" t="s">
        <v>50</v>
      </c>
    </row>
    <row r="34" spans="1:12" s="33" customFormat="1" hidden="1" x14ac:dyDescent="0.3">
      <c r="A34" s="39">
        <v>46112.651377314818</v>
      </c>
      <c r="B34" s="33">
        <v>44998782223</v>
      </c>
      <c r="C34" s="33" t="s">
        <v>44</v>
      </c>
      <c r="D34" s="33">
        <v>4430265054</v>
      </c>
      <c r="E34" s="33">
        <v>990</v>
      </c>
      <c r="F34" s="33">
        <v>895</v>
      </c>
      <c r="G34" s="33" t="s">
        <v>38</v>
      </c>
      <c r="H34" s="33" t="s">
        <v>6585</v>
      </c>
      <c r="I34" s="33" t="s">
        <v>39</v>
      </c>
      <c r="J34" s="33" t="s">
        <v>40</v>
      </c>
      <c r="K34" s="33" t="s">
        <v>41</v>
      </c>
    </row>
    <row r="35" spans="1:12" s="33" customFormat="1" hidden="1" x14ac:dyDescent="0.3">
      <c r="A35" s="39">
        <v>46112.648206018515</v>
      </c>
      <c r="B35" s="33">
        <v>4432226677</v>
      </c>
      <c r="C35" s="33" t="s">
        <v>48</v>
      </c>
      <c r="D35" s="33">
        <v>4430265054</v>
      </c>
      <c r="E35" s="33">
        <v>150</v>
      </c>
      <c r="F35" s="33">
        <v>100</v>
      </c>
      <c r="G35" s="33" t="s">
        <v>38</v>
      </c>
      <c r="H35" s="33" t="s">
        <v>6586</v>
      </c>
      <c r="I35" s="33" t="s">
        <v>39</v>
      </c>
      <c r="J35" s="33" t="s">
        <v>40</v>
      </c>
      <c r="K35" s="33" t="s">
        <v>41</v>
      </c>
    </row>
    <row r="36" spans="1:12" s="33" customFormat="1" hidden="1" x14ac:dyDescent="0.3">
      <c r="A36" s="39">
        <v>46112.647048611114</v>
      </c>
      <c r="B36" s="33">
        <v>44999844110</v>
      </c>
      <c r="C36" s="33" t="s">
        <v>43</v>
      </c>
      <c r="D36" s="33">
        <v>4430265054</v>
      </c>
      <c r="E36" s="33">
        <v>504</v>
      </c>
      <c r="F36" s="33">
        <v>456</v>
      </c>
      <c r="G36" s="33" t="s">
        <v>38</v>
      </c>
      <c r="H36" s="33" t="s">
        <v>6587</v>
      </c>
      <c r="I36" s="33" t="s">
        <v>39</v>
      </c>
      <c r="J36" s="33" t="s">
        <v>40</v>
      </c>
      <c r="K36" s="33" t="s">
        <v>41</v>
      </c>
    </row>
    <row r="37" spans="1:12" s="33" customFormat="1" hidden="1" x14ac:dyDescent="0.3">
      <c r="A37" s="39">
        <v>46112.646157407406</v>
      </c>
      <c r="B37" s="33">
        <v>44988255390</v>
      </c>
      <c r="C37" s="33" t="s">
        <v>45</v>
      </c>
      <c r="D37" s="33">
        <v>4430265054</v>
      </c>
      <c r="E37" s="33">
        <v>1095</v>
      </c>
      <c r="F37" s="33">
        <v>1043</v>
      </c>
      <c r="G37" s="33" t="s">
        <v>38</v>
      </c>
      <c r="H37" s="33" t="s">
        <v>6588</v>
      </c>
      <c r="I37" s="33" t="s">
        <v>39</v>
      </c>
      <c r="J37" s="33" t="s">
        <v>40</v>
      </c>
      <c r="K37" s="33" t="s">
        <v>41</v>
      </c>
    </row>
    <row r="38" spans="1:12" s="33" customFormat="1" hidden="1" x14ac:dyDescent="0.3">
      <c r="A38" s="39">
        <v>46112.646018518521</v>
      </c>
      <c r="B38" s="33">
        <v>4430414545</v>
      </c>
      <c r="C38" s="33" t="s">
        <v>42</v>
      </c>
      <c r="D38" s="33">
        <v>4430265054</v>
      </c>
      <c r="E38" s="33">
        <v>1117</v>
      </c>
      <c r="F38" s="33">
        <v>1099</v>
      </c>
      <c r="G38" s="33" t="s">
        <v>38</v>
      </c>
      <c r="H38" s="33" t="s">
        <v>6589</v>
      </c>
      <c r="I38" s="33" t="s">
        <v>39</v>
      </c>
      <c r="J38" s="33" t="s">
        <v>40</v>
      </c>
      <c r="K38" s="33" t="s">
        <v>41</v>
      </c>
    </row>
    <row r="39" spans="1:12" s="33" customFormat="1" hidden="1" x14ac:dyDescent="0.3">
      <c r="A39" s="39">
        <v>46112.643460648149</v>
      </c>
      <c r="B39" s="33">
        <v>44988255390</v>
      </c>
      <c r="C39" s="33">
        <v>4430265054</v>
      </c>
      <c r="D39" s="33">
        <v>4430265054</v>
      </c>
      <c r="E39" s="33">
        <v>52</v>
      </c>
      <c r="F39" s="33">
        <v>52</v>
      </c>
      <c r="G39" s="33" t="s">
        <v>3449</v>
      </c>
      <c r="H39" s="33" t="s">
        <v>6590</v>
      </c>
      <c r="I39" s="33" t="s">
        <v>39</v>
      </c>
      <c r="J39" s="33" t="s">
        <v>3451</v>
      </c>
      <c r="K39" s="33" t="s">
        <v>41</v>
      </c>
    </row>
    <row r="40" spans="1:12" s="33" customFormat="1" hidden="1" x14ac:dyDescent="0.3">
      <c r="A40" s="39">
        <v>46112.639791666668</v>
      </c>
      <c r="B40" s="33">
        <v>4121418115</v>
      </c>
      <c r="C40" s="33" t="s">
        <v>45</v>
      </c>
      <c r="D40" s="33">
        <v>4531273158</v>
      </c>
      <c r="E40" s="33">
        <v>45</v>
      </c>
      <c r="F40" s="33">
        <v>9</v>
      </c>
      <c r="G40" s="33" t="s">
        <v>38</v>
      </c>
      <c r="H40" s="33" t="s">
        <v>6591</v>
      </c>
      <c r="I40" s="33" t="s">
        <v>39</v>
      </c>
      <c r="J40" s="33" t="s">
        <v>40</v>
      </c>
      <c r="K40" s="33" t="s">
        <v>41</v>
      </c>
    </row>
    <row r="41" spans="1:12" s="33" customFormat="1" hidden="1" x14ac:dyDescent="0.3">
      <c r="A41" s="39">
        <v>46112.635798611111</v>
      </c>
      <c r="B41" s="33">
        <v>41999195082</v>
      </c>
      <c r="C41" s="33" t="s">
        <v>37</v>
      </c>
      <c r="D41" s="33">
        <v>4430265054</v>
      </c>
      <c r="E41" s="33">
        <v>1795</v>
      </c>
      <c r="F41" s="33">
        <v>1767</v>
      </c>
      <c r="G41" s="33" t="s">
        <v>38</v>
      </c>
      <c r="H41" s="33" t="s">
        <v>6592</v>
      </c>
      <c r="I41" s="33" t="s">
        <v>39</v>
      </c>
      <c r="J41" s="33" t="s">
        <v>40</v>
      </c>
      <c r="K41" s="33" t="s">
        <v>41</v>
      </c>
      <c r="L41" s="33">
        <v>5</v>
      </c>
    </row>
    <row r="42" spans="1:12" s="33" customFormat="1" hidden="1" x14ac:dyDescent="0.3">
      <c r="A42" s="39">
        <v>46112.633113425924</v>
      </c>
      <c r="B42" s="33">
        <v>4121410323</v>
      </c>
      <c r="C42" s="33" t="s">
        <v>45</v>
      </c>
      <c r="D42" s="33">
        <v>4531273153</v>
      </c>
      <c r="E42" s="33">
        <v>47</v>
      </c>
      <c r="F42" s="33">
        <v>12</v>
      </c>
      <c r="G42" s="33" t="s">
        <v>38</v>
      </c>
      <c r="H42" s="33" t="s">
        <v>6593</v>
      </c>
      <c r="I42" s="33" t="s">
        <v>39</v>
      </c>
      <c r="J42" s="33" t="s">
        <v>40</v>
      </c>
      <c r="K42" s="33" t="s">
        <v>41</v>
      </c>
    </row>
    <row r="43" spans="1:12" s="33" customFormat="1" hidden="1" x14ac:dyDescent="0.3">
      <c r="A43" s="39">
        <v>46112.62841435185</v>
      </c>
      <c r="B43" s="33">
        <v>4121413772</v>
      </c>
      <c r="C43" s="33">
        <v>4531273164</v>
      </c>
      <c r="D43" s="33">
        <v>4531273164</v>
      </c>
      <c r="E43" s="33">
        <v>47</v>
      </c>
      <c r="F43" s="33">
        <v>47</v>
      </c>
      <c r="G43" s="33" t="s">
        <v>3449</v>
      </c>
      <c r="H43" s="33" t="s">
        <v>6594</v>
      </c>
      <c r="I43" s="33" t="s">
        <v>39</v>
      </c>
      <c r="J43" s="33" t="s">
        <v>3451</v>
      </c>
      <c r="K43" s="33" t="s">
        <v>41</v>
      </c>
    </row>
    <row r="44" spans="1:12" s="33" customFormat="1" hidden="1" x14ac:dyDescent="0.3">
      <c r="A44" s="39">
        <v>46112.628020833334</v>
      </c>
      <c r="B44" s="33">
        <v>44934314519</v>
      </c>
      <c r="C44" s="33">
        <v>4430265054</v>
      </c>
      <c r="D44" s="33">
        <v>4430265054</v>
      </c>
      <c r="E44" s="33">
        <v>6</v>
      </c>
      <c r="F44" s="33">
        <v>5</v>
      </c>
      <c r="G44" s="33" t="s">
        <v>3449</v>
      </c>
      <c r="H44" s="33" t="s">
        <v>6595</v>
      </c>
      <c r="I44" s="33" t="s">
        <v>39</v>
      </c>
      <c r="J44" s="33" t="s">
        <v>3451</v>
      </c>
    </row>
    <row r="45" spans="1:12" s="33" customFormat="1" hidden="1" x14ac:dyDescent="0.3">
      <c r="A45" s="39">
        <v>46112.621516203704</v>
      </c>
      <c r="B45" s="33">
        <v>6434534421</v>
      </c>
      <c r="C45" s="33" t="s">
        <v>44</v>
      </c>
      <c r="D45" s="33">
        <v>4430265054</v>
      </c>
      <c r="E45" s="33">
        <v>2543</v>
      </c>
      <c r="F45" s="33">
        <v>2495</v>
      </c>
      <c r="G45" s="33" t="s">
        <v>38</v>
      </c>
      <c r="H45" s="33" t="s">
        <v>6596</v>
      </c>
      <c r="I45" s="33" t="s">
        <v>39</v>
      </c>
      <c r="J45" s="33" t="s">
        <v>40</v>
      </c>
      <c r="K45" s="33" t="s">
        <v>41</v>
      </c>
      <c r="L45" s="33">
        <v>5</v>
      </c>
    </row>
    <row r="46" spans="1:12" s="33" customFormat="1" hidden="1" x14ac:dyDescent="0.3">
      <c r="A46" s="39">
        <v>46112.611909722225</v>
      </c>
      <c r="B46" s="33">
        <v>44999550006</v>
      </c>
      <c r="C46" s="33" t="s">
        <v>45</v>
      </c>
      <c r="D46" s="33">
        <v>4430265054</v>
      </c>
      <c r="E46" s="33">
        <v>281</v>
      </c>
      <c r="F46" s="33">
        <v>265</v>
      </c>
      <c r="G46" s="33" t="s">
        <v>38</v>
      </c>
      <c r="H46" s="33" t="s">
        <v>6597</v>
      </c>
      <c r="I46" s="33" t="s">
        <v>39</v>
      </c>
      <c r="J46" s="33" t="s">
        <v>40</v>
      </c>
      <c r="K46" s="33" t="s">
        <v>41</v>
      </c>
    </row>
    <row r="47" spans="1:12" s="33" customFormat="1" hidden="1" x14ac:dyDescent="0.3">
      <c r="A47" s="39">
        <v>46112.611631944441</v>
      </c>
      <c r="B47" s="33">
        <v>4432462382</v>
      </c>
      <c r="C47" s="33" t="s">
        <v>42</v>
      </c>
      <c r="D47" s="33">
        <v>4430265054</v>
      </c>
      <c r="E47" s="33">
        <v>259</v>
      </c>
      <c r="F47" s="33">
        <v>240</v>
      </c>
      <c r="G47" s="33" t="s">
        <v>38</v>
      </c>
      <c r="H47" s="33" t="s">
        <v>6598</v>
      </c>
      <c r="I47" s="33" t="s">
        <v>39</v>
      </c>
      <c r="J47" s="33" t="s">
        <v>40</v>
      </c>
      <c r="K47" s="33" t="s">
        <v>41</v>
      </c>
    </row>
    <row r="48" spans="1:12" s="33" customFormat="1" hidden="1" x14ac:dyDescent="0.3">
      <c r="A48" s="39">
        <v>46112.609212962961</v>
      </c>
      <c r="B48" s="33">
        <v>4433235524</v>
      </c>
      <c r="C48" s="33" t="s">
        <v>43</v>
      </c>
      <c r="D48" s="33">
        <v>4430265054</v>
      </c>
      <c r="E48" s="33">
        <v>1575</v>
      </c>
      <c r="F48" s="33">
        <v>1502</v>
      </c>
      <c r="G48" s="33" t="s">
        <v>38</v>
      </c>
      <c r="H48" s="33" t="s">
        <v>6599</v>
      </c>
      <c r="I48" s="33" t="s">
        <v>39</v>
      </c>
      <c r="J48" s="33" t="s">
        <v>40</v>
      </c>
      <c r="K48" s="33" t="s">
        <v>41</v>
      </c>
    </row>
    <row r="49" spans="1:12" s="33" customFormat="1" hidden="1" x14ac:dyDescent="0.3">
      <c r="A49" s="39">
        <v>46112.59542824074</v>
      </c>
      <c r="B49" s="33" t="s">
        <v>45</v>
      </c>
      <c r="C49" s="33">
        <v>11941045323</v>
      </c>
      <c r="E49" s="33">
        <v>39</v>
      </c>
      <c r="F49" s="33">
        <v>0</v>
      </c>
      <c r="G49" s="33" t="s">
        <v>47</v>
      </c>
      <c r="H49" s="33" t="s">
        <v>6600</v>
      </c>
      <c r="I49" s="33" t="s">
        <v>46</v>
      </c>
      <c r="J49" s="33" t="s">
        <v>40</v>
      </c>
    </row>
    <row r="50" spans="1:12" s="33" customFormat="1" hidden="1" x14ac:dyDescent="0.3">
      <c r="A50" s="39">
        <v>46112.593472222223</v>
      </c>
      <c r="B50" s="33">
        <v>44997735525</v>
      </c>
      <c r="C50" s="33" t="s">
        <v>37</v>
      </c>
      <c r="D50" s="33">
        <v>4430265054</v>
      </c>
      <c r="E50" s="33">
        <v>1961</v>
      </c>
      <c r="F50" s="33">
        <v>1938</v>
      </c>
      <c r="G50" s="33" t="s">
        <v>38</v>
      </c>
      <c r="H50" s="33" t="s">
        <v>6601</v>
      </c>
      <c r="I50" s="33" t="s">
        <v>39</v>
      </c>
      <c r="J50" s="33" t="s">
        <v>40</v>
      </c>
      <c r="K50" s="33" t="s">
        <v>41</v>
      </c>
      <c r="L50" s="33">
        <v>5</v>
      </c>
    </row>
    <row r="51" spans="1:12" s="33" customFormat="1" hidden="1" x14ac:dyDescent="0.3">
      <c r="A51" s="39">
        <v>46112.592499999999</v>
      </c>
      <c r="B51" s="33">
        <v>4436249360</v>
      </c>
      <c r="C51" s="33" t="s">
        <v>42</v>
      </c>
      <c r="D51" s="33">
        <v>4430265054</v>
      </c>
      <c r="E51" s="33">
        <v>289</v>
      </c>
      <c r="F51" s="33">
        <v>248</v>
      </c>
      <c r="G51" s="33" t="s">
        <v>38</v>
      </c>
      <c r="H51" s="33" t="s">
        <v>6602</v>
      </c>
      <c r="I51" s="33" t="s">
        <v>39</v>
      </c>
      <c r="J51" s="33" t="s">
        <v>40</v>
      </c>
      <c r="K51" s="33" t="s">
        <v>41</v>
      </c>
    </row>
    <row r="52" spans="1:12" s="33" customFormat="1" hidden="1" x14ac:dyDescent="0.3">
      <c r="A52" s="39">
        <v>46112.591192129628</v>
      </c>
      <c r="B52" s="33">
        <v>4432522019</v>
      </c>
      <c r="C52" s="33" t="s">
        <v>45</v>
      </c>
      <c r="D52" s="33">
        <v>4430265054</v>
      </c>
      <c r="E52" s="33">
        <v>213</v>
      </c>
      <c r="F52" s="33">
        <v>113</v>
      </c>
      <c r="G52" s="33" t="s">
        <v>38</v>
      </c>
      <c r="H52" s="33" t="s">
        <v>6603</v>
      </c>
      <c r="I52" s="33" t="s">
        <v>39</v>
      </c>
      <c r="J52" s="33" t="s">
        <v>40</v>
      </c>
      <c r="K52" s="33" t="s">
        <v>41</v>
      </c>
    </row>
    <row r="53" spans="1:12" s="33" customFormat="1" hidden="1" x14ac:dyDescent="0.3">
      <c r="A53" s="39">
        <v>46112.58935185185</v>
      </c>
      <c r="B53" s="33">
        <v>4436351835</v>
      </c>
      <c r="C53" s="33" t="s">
        <v>43</v>
      </c>
      <c r="D53" s="33">
        <v>4430265054</v>
      </c>
      <c r="E53" s="33">
        <v>372</v>
      </c>
      <c r="F53" s="33">
        <v>311</v>
      </c>
      <c r="G53" s="33" t="s">
        <v>38</v>
      </c>
      <c r="H53" s="33" t="s">
        <v>6604</v>
      </c>
      <c r="I53" s="33" t="s">
        <v>39</v>
      </c>
      <c r="J53" s="33" t="s">
        <v>40</v>
      </c>
      <c r="K53" s="33" t="s">
        <v>41</v>
      </c>
      <c r="L53" s="33">
        <v>5</v>
      </c>
    </row>
    <row r="54" spans="1:12" s="33" customFormat="1" hidden="1" x14ac:dyDescent="0.3">
      <c r="A54" s="39">
        <v>46112.586458333331</v>
      </c>
      <c r="B54" s="33">
        <v>4430562296</v>
      </c>
      <c r="C54" s="33" t="s">
        <v>43</v>
      </c>
      <c r="D54" s="33">
        <v>4430265054</v>
      </c>
      <c r="E54" s="33">
        <v>125</v>
      </c>
      <c r="F54" s="33">
        <v>10</v>
      </c>
      <c r="G54" s="33" t="s">
        <v>38</v>
      </c>
      <c r="H54" s="33" t="s">
        <v>6605</v>
      </c>
      <c r="I54" s="33" t="s">
        <v>39</v>
      </c>
      <c r="J54" s="33" t="s">
        <v>40</v>
      </c>
      <c r="K54" s="33" t="s">
        <v>41</v>
      </c>
    </row>
    <row r="55" spans="1:12" s="33" customFormat="1" hidden="1" x14ac:dyDescent="0.3">
      <c r="A55" s="39">
        <v>46112.583252314813</v>
      </c>
      <c r="B55" s="33" t="s">
        <v>37</v>
      </c>
      <c r="C55" s="33">
        <v>44991395073</v>
      </c>
      <c r="E55" s="33">
        <v>57</v>
      </c>
      <c r="F55" s="33">
        <v>31</v>
      </c>
      <c r="G55" s="33" t="s">
        <v>38</v>
      </c>
      <c r="H55" s="33" t="s">
        <v>6606</v>
      </c>
      <c r="I55" s="33" t="s">
        <v>46</v>
      </c>
      <c r="J55" s="33" t="s">
        <v>40</v>
      </c>
    </row>
    <row r="56" spans="1:12" s="33" customFormat="1" hidden="1" x14ac:dyDescent="0.3">
      <c r="A56" s="39">
        <v>46112.580937500003</v>
      </c>
      <c r="B56" s="33" t="s">
        <v>37</v>
      </c>
      <c r="C56" s="33">
        <v>44991395073</v>
      </c>
      <c r="E56" s="33">
        <v>4</v>
      </c>
      <c r="F56" s="33">
        <v>0</v>
      </c>
      <c r="G56" s="33" t="s">
        <v>47</v>
      </c>
      <c r="H56" s="33" t="s">
        <v>6607</v>
      </c>
      <c r="I56" s="33" t="s">
        <v>46</v>
      </c>
      <c r="J56" s="33" t="s">
        <v>40</v>
      </c>
    </row>
    <row r="57" spans="1:12" s="33" customFormat="1" hidden="1" x14ac:dyDescent="0.3">
      <c r="A57" s="39">
        <v>46112.580474537041</v>
      </c>
      <c r="B57" s="33" t="s">
        <v>37</v>
      </c>
      <c r="C57" s="33">
        <v>44991395073</v>
      </c>
      <c r="E57" s="33">
        <v>58</v>
      </c>
      <c r="F57" s="33">
        <v>32</v>
      </c>
      <c r="G57" s="33" t="s">
        <v>38</v>
      </c>
      <c r="H57" s="33" t="s">
        <v>6608</v>
      </c>
      <c r="I57" s="33" t="s">
        <v>46</v>
      </c>
      <c r="J57" s="33" t="s">
        <v>40</v>
      </c>
    </row>
    <row r="58" spans="1:12" s="33" customFormat="1" hidden="1" x14ac:dyDescent="0.3">
      <c r="A58" s="39">
        <v>46112.578043981484</v>
      </c>
      <c r="B58" s="33" t="s">
        <v>37</v>
      </c>
      <c r="C58" s="33">
        <v>4430459032</v>
      </c>
      <c r="E58" s="33">
        <v>4</v>
      </c>
      <c r="F58" s="33">
        <v>0</v>
      </c>
      <c r="G58" s="33" t="s">
        <v>47</v>
      </c>
      <c r="H58" s="33" t="s">
        <v>6609</v>
      </c>
      <c r="I58" s="33" t="s">
        <v>46</v>
      </c>
      <c r="J58" s="33" t="s">
        <v>40</v>
      </c>
    </row>
    <row r="59" spans="1:12" s="33" customFormat="1" hidden="1" x14ac:dyDescent="0.3">
      <c r="A59" s="39">
        <v>46112.577962962961</v>
      </c>
      <c r="B59" s="33" t="s">
        <v>37</v>
      </c>
      <c r="C59" s="33">
        <v>4430459032</v>
      </c>
      <c r="E59" s="33">
        <v>26</v>
      </c>
      <c r="F59" s="33">
        <v>25</v>
      </c>
      <c r="G59" s="33" t="s">
        <v>38</v>
      </c>
      <c r="H59" s="33" t="s">
        <v>6610</v>
      </c>
      <c r="I59" s="33" t="s">
        <v>46</v>
      </c>
      <c r="J59" s="33" t="s">
        <v>40</v>
      </c>
    </row>
    <row r="60" spans="1:12" s="33" customFormat="1" hidden="1" x14ac:dyDescent="0.3">
      <c r="A60" s="39">
        <v>46112.576782407406</v>
      </c>
      <c r="B60" s="33" t="s">
        <v>44</v>
      </c>
      <c r="C60" s="33">
        <v>4334226481</v>
      </c>
      <c r="E60" s="33">
        <v>213</v>
      </c>
      <c r="F60" s="33">
        <v>202</v>
      </c>
      <c r="G60" s="33" t="s">
        <v>38</v>
      </c>
      <c r="H60" s="33" t="s">
        <v>6611</v>
      </c>
      <c r="I60" s="33" t="s">
        <v>46</v>
      </c>
      <c r="J60" s="33" t="s">
        <v>40</v>
      </c>
    </row>
    <row r="61" spans="1:12" s="33" customFormat="1" hidden="1" x14ac:dyDescent="0.3">
      <c r="A61" s="39">
        <v>46112.576701388891</v>
      </c>
      <c r="B61" s="33" t="s">
        <v>43</v>
      </c>
      <c r="C61" s="33">
        <v>1131043888</v>
      </c>
      <c r="E61" s="33">
        <v>373</v>
      </c>
      <c r="F61" s="33">
        <v>372</v>
      </c>
      <c r="G61" s="33" t="s">
        <v>38</v>
      </c>
      <c r="H61" s="33" t="s">
        <v>6612</v>
      </c>
      <c r="I61" s="33" t="s">
        <v>46</v>
      </c>
      <c r="J61" s="33" t="s">
        <v>40</v>
      </c>
    </row>
    <row r="62" spans="1:12" s="33" customFormat="1" hidden="1" x14ac:dyDescent="0.3">
      <c r="A62" s="39">
        <v>46112.576388888891</v>
      </c>
      <c r="B62" s="33" t="s">
        <v>43</v>
      </c>
      <c r="C62" s="33">
        <v>1131043888</v>
      </c>
      <c r="E62" s="33">
        <v>54</v>
      </c>
      <c r="F62" s="33">
        <v>52</v>
      </c>
      <c r="G62" s="33" t="s">
        <v>38</v>
      </c>
      <c r="H62" s="33" t="s">
        <v>6613</v>
      </c>
      <c r="I62" s="33" t="s">
        <v>46</v>
      </c>
      <c r="J62" s="33" t="s">
        <v>40</v>
      </c>
    </row>
    <row r="63" spans="1:12" s="33" customFormat="1" hidden="1" x14ac:dyDescent="0.3">
      <c r="A63" s="39">
        <v>46112.575972222221</v>
      </c>
      <c r="B63" s="33" t="s">
        <v>43</v>
      </c>
      <c r="C63" s="33">
        <v>1131043888</v>
      </c>
      <c r="E63" s="33">
        <v>31</v>
      </c>
      <c r="F63" s="33">
        <v>30</v>
      </c>
      <c r="G63" s="33" t="s">
        <v>38</v>
      </c>
      <c r="H63" s="33" t="s">
        <v>6614</v>
      </c>
      <c r="I63" s="33" t="s">
        <v>46</v>
      </c>
      <c r="J63" s="33" t="s">
        <v>40</v>
      </c>
    </row>
    <row r="64" spans="1:12" s="33" customFormat="1" hidden="1" x14ac:dyDescent="0.3">
      <c r="A64" s="39">
        <v>46112.575659722221</v>
      </c>
      <c r="B64" s="33">
        <v>44999676986</v>
      </c>
      <c r="C64" s="33">
        <v>4430265054</v>
      </c>
      <c r="D64" s="33">
        <v>4430265054</v>
      </c>
      <c r="E64" s="33">
        <v>94</v>
      </c>
      <c r="F64" s="33">
        <v>93</v>
      </c>
      <c r="G64" s="33" t="s">
        <v>3449</v>
      </c>
      <c r="H64" s="33" t="s">
        <v>6615</v>
      </c>
      <c r="I64" s="33" t="s">
        <v>39</v>
      </c>
      <c r="J64" s="33" t="s">
        <v>3451</v>
      </c>
      <c r="K64" s="33" t="s">
        <v>41</v>
      </c>
    </row>
    <row r="65" spans="1:12" s="33" customFormat="1" hidden="1" x14ac:dyDescent="0.3">
      <c r="A65" s="39">
        <v>46112.575300925928</v>
      </c>
      <c r="B65" s="33" t="s">
        <v>43</v>
      </c>
      <c r="C65" s="33">
        <v>1131043888</v>
      </c>
      <c r="E65" s="33">
        <v>74</v>
      </c>
      <c r="F65" s="33">
        <v>73</v>
      </c>
      <c r="G65" s="33" t="s">
        <v>38</v>
      </c>
      <c r="H65" s="33" t="s">
        <v>6616</v>
      </c>
      <c r="I65" s="33" t="s">
        <v>46</v>
      </c>
      <c r="J65" s="33" t="s">
        <v>40</v>
      </c>
    </row>
    <row r="66" spans="1:12" s="33" customFormat="1" hidden="1" x14ac:dyDescent="0.3">
      <c r="A66" s="39">
        <v>46112.575127314813</v>
      </c>
      <c r="B66" s="33">
        <v>4436731134</v>
      </c>
      <c r="C66" s="33" t="s">
        <v>45</v>
      </c>
      <c r="D66" s="33">
        <v>4430265054</v>
      </c>
      <c r="E66" s="33">
        <v>576</v>
      </c>
      <c r="F66" s="33">
        <v>538</v>
      </c>
      <c r="G66" s="33" t="s">
        <v>38</v>
      </c>
      <c r="H66" s="33" t="s">
        <v>6617</v>
      </c>
      <c r="I66" s="33" t="s">
        <v>39</v>
      </c>
      <c r="J66" s="33" t="s">
        <v>40</v>
      </c>
      <c r="K66" s="33" t="s">
        <v>41</v>
      </c>
    </row>
    <row r="67" spans="1:12" s="33" customFormat="1" hidden="1" x14ac:dyDescent="0.3">
      <c r="A67" s="39">
        <v>46112.57471064815</v>
      </c>
      <c r="B67" s="33" t="s">
        <v>43</v>
      </c>
      <c r="C67" s="33">
        <v>4330333542</v>
      </c>
      <c r="E67" s="33">
        <v>27</v>
      </c>
      <c r="F67" s="33">
        <v>21</v>
      </c>
      <c r="G67" s="33" t="s">
        <v>38</v>
      </c>
      <c r="H67" s="33" t="s">
        <v>6618</v>
      </c>
      <c r="I67" s="33" t="s">
        <v>46</v>
      </c>
      <c r="J67" s="33" t="s">
        <v>40</v>
      </c>
    </row>
    <row r="68" spans="1:12" s="33" customFormat="1" hidden="1" x14ac:dyDescent="0.3">
      <c r="A68" s="39">
        <v>46112.572187500002</v>
      </c>
      <c r="B68" s="33">
        <v>44997400641</v>
      </c>
      <c r="C68" s="33" t="s">
        <v>45</v>
      </c>
      <c r="D68" s="33">
        <v>4430265054</v>
      </c>
      <c r="E68" s="33">
        <v>298</v>
      </c>
      <c r="F68" s="33">
        <v>260</v>
      </c>
      <c r="G68" s="33" t="s">
        <v>38</v>
      </c>
      <c r="H68" s="33" t="s">
        <v>6619</v>
      </c>
      <c r="I68" s="33" t="s">
        <v>39</v>
      </c>
      <c r="J68" s="33" t="s">
        <v>40</v>
      </c>
      <c r="K68" s="33" t="s">
        <v>41</v>
      </c>
      <c r="L68" s="33">
        <v>5</v>
      </c>
    </row>
    <row r="69" spans="1:12" s="33" customFormat="1" hidden="1" x14ac:dyDescent="0.3">
      <c r="A69" s="39">
        <v>46112.567152777781</v>
      </c>
      <c r="B69" s="33">
        <v>4430562296</v>
      </c>
      <c r="C69" s="33" t="s">
        <v>44</v>
      </c>
      <c r="D69" s="33">
        <v>4430265054</v>
      </c>
      <c r="E69" s="33">
        <v>664</v>
      </c>
      <c r="F69" s="33">
        <v>625</v>
      </c>
      <c r="G69" s="33" t="s">
        <v>38</v>
      </c>
      <c r="H69" s="33" t="s">
        <v>6620</v>
      </c>
      <c r="I69" s="33" t="s">
        <v>39</v>
      </c>
      <c r="J69" s="33" t="s">
        <v>40</v>
      </c>
      <c r="K69" s="33" t="s">
        <v>41</v>
      </c>
    </row>
    <row r="70" spans="1:12" s="33" customFormat="1" hidden="1" x14ac:dyDescent="0.3">
      <c r="A70" s="39">
        <v>46112.564108796294</v>
      </c>
      <c r="B70" s="33">
        <v>4121413772</v>
      </c>
      <c r="C70" s="33" t="s">
        <v>45</v>
      </c>
      <c r="D70" s="33">
        <v>4531273165</v>
      </c>
      <c r="E70" s="33">
        <v>47</v>
      </c>
      <c r="F70" s="33">
        <v>11</v>
      </c>
      <c r="G70" s="33" t="s">
        <v>38</v>
      </c>
      <c r="H70" s="33" t="s">
        <v>6621</v>
      </c>
      <c r="I70" s="33" t="s">
        <v>39</v>
      </c>
      <c r="J70" s="33" t="s">
        <v>40</v>
      </c>
      <c r="K70" s="33" t="s">
        <v>41</v>
      </c>
    </row>
    <row r="71" spans="1:12" s="33" customFormat="1" hidden="1" x14ac:dyDescent="0.3">
      <c r="A71" s="39">
        <v>46112.546863425923</v>
      </c>
      <c r="B71" s="33">
        <v>4121418115</v>
      </c>
      <c r="C71" s="33">
        <v>4531273159</v>
      </c>
      <c r="D71" s="33">
        <v>4531273159</v>
      </c>
      <c r="E71" s="33">
        <v>29</v>
      </c>
      <c r="F71" s="33">
        <v>28</v>
      </c>
      <c r="G71" s="33" t="s">
        <v>3449</v>
      </c>
      <c r="H71" s="33" t="s">
        <v>6622</v>
      </c>
      <c r="I71" s="33" t="s">
        <v>39</v>
      </c>
      <c r="J71" s="33" t="s">
        <v>3451</v>
      </c>
    </row>
    <row r="72" spans="1:12" s="33" customFormat="1" hidden="1" x14ac:dyDescent="0.3">
      <c r="A72" s="39">
        <v>46112.534537037034</v>
      </c>
      <c r="B72" s="33">
        <v>11990144272</v>
      </c>
      <c r="C72" s="33">
        <v>4431268225</v>
      </c>
      <c r="D72" s="33">
        <v>4431268225</v>
      </c>
      <c r="E72" s="33">
        <v>13</v>
      </c>
      <c r="F72" s="33">
        <v>13</v>
      </c>
      <c r="G72" s="33" t="s">
        <v>3449</v>
      </c>
      <c r="H72" s="33" t="s">
        <v>6623</v>
      </c>
      <c r="I72" s="33" t="s">
        <v>39</v>
      </c>
      <c r="J72" s="33" t="s">
        <v>3451</v>
      </c>
    </row>
    <row r="73" spans="1:12" s="33" customFormat="1" hidden="1" x14ac:dyDescent="0.3">
      <c r="A73" s="39">
        <v>46112.533831018518</v>
      </c>
      <c r="B73" s="33">
        <v>11990144272</v>
      </c>
      <c r="C73" s="33">
        <v>4431268225</v>
      </c>
      <c r="D73" s="33">
        <v>4431268225</v>
      </c>
      <c r="E73" s="33">
        <v>28</v>
      </c>
      <c r="F73" s="33">
        <v>28</v>
      </c>
      <c r="G73" s="33" t="s">
        <v>3449</v>
      </c>
      <c r="H73" s="33" t="s">
        <v>6624</v>
      </c>
      <c r="I73" s="33" t="s">
        <v>39</v>
      </c>
      <c r="J73" s="33" t="s">
        <v>3451</v>
      </c>
    </row>
    <row r="74" spans="1:12" s="33" customFormat="1" hidden="1" x14ac:dyDescent="0.3">
      <c r="A74" s="39">
        <v>46112.498101851852</v>
      </c>
      <c r="B74" s="33">
        <v>73982188717</v>
      </c>
      <c r="C74" s="33">
        <v>4430265054</v>
      </c>
      <c r="D74" s="33">
        <v>4430265054</v>
      </c>
      <c r="E74" s="33">
        <v>4</v>
      </c>
      <c r="F74" s="33">
        <v>3</v>
      </c>
      <c r="G74" s="33" t="s">
        <v>3449</v>
      </c>
      <c r="H74" s="33" t="s">
        <v>6625</v>
      </c>
      <c r="I74" s="33" t="s">
        <v>39</v>
      </c>
      <c r="J74" s="33" t="s">
        <v>3451</v>
      </c>
    </row>
    <row r="75" spans="1:12" s="33" customFormat="1" hidden="1" x14ac:dyDescent="0.3">
      <c r="A75" s="39">
        <v>46112.487129629626</v>
      </c>
      <c r="B75" s="33">
        <v>1128787060</v>
      </c>
      <c r="C75" s="33">
        <v>3000</v>
      </c>
      <c r="D75" s="33">
        <v>4430265054</v>
      </c>
      <c r="E75" s="33">
        <v>145</v>
      </c>
      <c r="F75" s="33">
        <v>127</v>
      </c>
      <c r="G75" s="33" t="s">
        <v>38</v>
      </c>
      <c r="H75" s="33" t="s">
        <v>6626</v>
      </c>
      <c r="I75" s="33" t="s">
        <v>39</v>
      </c>
      <c r="J75" s="33" t="s">
        <v>3451</v>
      </c>
      <c r="K75" s="33" t="s">
        <v>41</v>
      </c>
    </row>
    <row r="76" spans="1:12" s="33" customFormat="1" hidden="1" x14ac:dyDescent="0.3">
      <c r="A76" s="39">
        <v>46112.486863425926</v>
      </c>
      <c r="B76" s="33">
        <v>4430315826</v>
      </c>
      <c r="C76" s="33" t="s">
        <v>42</v>
      </c>
      <c r="D76" s="33">
        <v>4430265054</v>
      </c>
      <c r="E76" s="33">
        <v>1254</v>
      </c>
      <c r="F76" s="33">
        <v>1223</v>
      </c>
      <c r="G76" s="33" t="s">
        <v>38</v>
      </c>
      <c r="H76" s="33" t="s">
        <v>6627</v>
      </c>
      <c r="I76" s="33" t="s">
        <v>39</v>
      </c>
      <c r="J76" s="33" t="s">
        <v>40</v>
      </c>
      <c r="K76" s="33" t="s">
        <v>41</v>
      </c>
    </row>
    <row r="77" spans="1:12" s="33" customFormat="1" hidden="1" x14ac:dyDescent="0.3">
      <c r="A77" s="39">
        <v>46112.486018518517</v>
      </c>
      <c r="B77" s="33" t="s">
        <v>42</v>
      </c>
      <c r="C77" s="33">
        <v>4430315826</v>
      </c>
      <c r="E77" s="33">
        <v>1</v>
      </c>
      <c r="F77" s="33">
        <v>0</v>
      </c>
      <c r="G77" s="33" t="s">
        <v>47</v>
      </c>
      <c r="H77" s="33" t="s">
        <v>6628</v>
      </c>
      <c r="I77" s="33" t="s">
        <v>46</v>
      </c>
      <c r="J77" s="33" t="s">
        <v>40</v>
      </c>
    </row>
    <row r="78" spans="1:12" s="33" customFormat="1" hidden="1" x14ac:dyDescent="0.3">
      <c r="A78" s="39">
        <v>46112.485879629632</v>
      </c>
      <c r="B78" s="33" t="s">
        <v>42</v>
      </c>
      <c r="C78" s="33">
        <v>4430315826</v>
      </c>
      <c r="E78" s="33">
        <v>1</v>
      </c>
      <c r="F78" s="33">
        <v>0</v>
      </c>
      <c r="G78" s="33" t="s">
        <v>47</v>
      </c>
      <c r="H78" s="33" t="s">
        <v>6629</v>
      </c>
      <c r="I78" s="33" t="s">
        <v>46</v>
      </c>
      <c r="J78" s="33" t="s">
        <v>40</v>
      </c>
    </row>
    <row r="79" spans="1:12" s="33" customFormat="1" hidden="1" x14ac:dyDescent="0.3">
      <c r="A79" s="39">
        <v>46112.485833333332</v>
      </c>
      <c r="B79" s="33" t="s">
        <v>42</v>
      </c>
      <c r="C79" s="33">
        <v>4430315826</v>
      </c>
      <c r="E79" s="33">
        <v>1</v>
      </c>
      <c r="F79" s="33">
        <v>0</v>
      </c>
      <c r="G79" s="33" t="s">
        <v>47</v>
      </c>
      <c r="H79" s="33" t="s">
        <v>6630</v>
      </c>
      <c r="I79" s="33" t="s">
        <v>46</v>
      </c>
      <c r="J79" s="33" t="s">
        <v>40</v>
      </c>
    </row>
    <row r="80" spans="1:12" s="33" customFormat="1" hidden="1" x14ac:dyDescent="0.3">
      <c r="A80" s="39">
        <v>46112.485729166663</v>
      </c>
      <c r="B80" s="33" t="s">
        <v>42</v>
      </c>
      <c r="C80" s="33">
        <v>4430315826</v>
      </c>
      <c r="E80" s="33">
        <v>1</v>
      </c>
      <c r="F80" s="33">
        <v>0</v>
      </c>
      <c r="G80" s="33" t="s">
        <v>47</v>
      </c>
      <c r="H80" s="33" t="s">
        <v>6631</v>
      </c>
      <c r="I80" s="33" t="s">
        <v>46</v>
      </c>
      <c r="J80" s="33" t="s">
        <v>40</v>
      </c>
    </row>
    <row r="81" spans="1:12" s="33" customFormat="1" hidden="1" x14ac:dyDescent="0.3">
      <c r="A81" s="39">
        <v>46112.483113425929</v>
      </c>
      <c r="B81" s="33" t="s">
        <v>42</v>
      </c>
      <c r="C81" s="33">
        <v>4430315826</v>
      </c>
      <c r="E81" s="33">
        <v>251</v>
      </c>
      <c r="F81" s="33">
        <v>239</v>
      </c>
      <c r="G81" s="33" t="s">
        <v>38</v>
      </c>
      <c r="H81" s="33" t="s">
        <v>6632</v>
      </c>
      <c r="I81" s="33" t="s">
        <v>46</v>
      </c>
      <c r="J81" s="33" t="s">
        <v>40</v>
      </c>
    </row>
    <row r="82" spans="1:12" s="33" customFormat="1" hidden="1" x14ac:dyDescent="0.3">
      <c r="A82" s="39">
        <v>46112.482442129629</v>
      </c>
      <c r="B82" s="33">
        <v>4431337559</v>
      </c>
      <c r="C82" s="33" t="s">
        <v>37</v>
      </c>
      <c r="D82" s="33">
        <v>4430265054</v>
      </c>
      <c r="E82" s="33">
        <v>358</v>
      </c>
      <c r="F82" s="33">
        <v>325</v>
      </c>
      <c r="G82" s="33" t="s">
        <v>38</v>
      </c>
      <c r="H82" s="33" t="s">
        <v>6633</v>
      </c>
      <c r="I82" s="33" t="s">
        <v>39</v>
      </c>
      <c r="J82" s="33" t="s">
        <v>40</v>
      </c>
      <c r="K82" s="33" t="s">
        <v>41</v>
      </c>
    </row>
    <row r="83" spans="1:12" s="33" customFormat="1" hidden="1" x14ac:dyDescent="0.3">
      <c r="A83" s="39">
        <v>46112.480034722219</v>
      </c>
      <c r="B83" s="33" t="s">
        <v>44</v>
      </c>
      <c r="C83" s="33">
        <v>4334226481</v>
      </c>
      <c r="E83" s="33">
        <v>54</v>
      </c>
      <c r="F83" s="33">
        <v>41</v>
      </c>
      <c r="G83" s="33" t="s">
        <v>38</v>
      </c>
      <c r="H83" s="33" t="s">
        <v>6634</v>
      </c>
      <c r="I83" s="33" t="s">
        <v>46</v>
      </c>
      <c r="J83" s="33" t="s">
        <v>40</v>
      </c>
    </row>
    <row r="84" spans="1:12" s="33" customFormat="1" hidden="1" x14ac:dyDescent="0.3">
      <c r="A84" s="39">
        <v>46112.472986111112</v>
      </c>
      <c r="B84" s="33">
        <v>91985176746</v>
      </c>
      <c r="C84" s="33" t="s">
        <v>43</v>
      </c>
      <c r="D84" s="33">
        <v>4430265054</v>
      </c>
      <c r="E84" s="33">
        <v>556</v>
      </c>
      <c r="F84" s="33">
        <v>474</v>
      </c>
      <c r="G84" s="33" t="s">
        <v>38</v>
      </c>
      <c r="H84" s="33" t="s">
        <v>6635</v>
      </c>
      <c r="I84" s="33" t="s">
        <v>39</v>
      </c>
      <c r="J84" s="33" t="s">
        <v>40</v>
      </c>
      <c r="K84" s="33" t="s">
        <v>41</v>
      </c>
    </row>
    <row r="85" spans="1:12" s="33" customFormat="1" hidden="1" x14ac:dyDescent="0.3">
      <c r="A85" s="39">
        <v>46112.470879629633</v>
      </c>
      <c r="B85" s="33">
        <v>35998295948</v>
      </c>
      <c r="C85" s="33" t="s">
        <v>45</v>
      </c>
      <c r="D85" s="33">
        <v>4430265054</v>
      </c>
      <c r="E85" s="33">
        <v>399</v>
      </c>
      <c r="F85" s="33">
        <v>358</v>
      </c>
      <c r="G85" s="33" t="s">
        <v>38</v>
      </c>
      <c r="H85" s="33" t="s">
        <v>6636</v>
      </c>
      <c r="I85" s="33" t="s">
        <v>39</v>
      </c>
      <c r="J85" s="33" t="s">
        <v>40</v>
      </c>
      <c r="K85" s="33" t="s">
        <v>41</v>
      </c>
    </row>
    <row r="86" spans="1:12" s="33" customFormat="1" hidden="1" x14ac:dyDescent="0.3">
      <c r="A86" s="39">
        <v>46112.464050925926</v>
      </c>
      <c r="B86" s="33">
        <v>44988255390</v>
      </c>
      <c r="C86" s="33" t="s">
        <v>45</v>
      </c>
      <c r="D86" s="33">
        <v>4430265054</v>
      </c>
      <c r="E86" s="33">
        <v>221</v>
      </c>
      <c r="F86" s="33">
        <v>169</v>
      </c>
      <c r="G86" s="33" t="s">
        <v>38</v>
      </c>
      <c r="H86" s="33" t="s">
        <v>6637</v>
      </c>
      <c r="I86" s="33" t="s">
        <v>39</v>
      </c>
      <c r="J86" s="33" t="s">
        <v>40</v>
      </c>
      <c r="K86" s="33" t="s">
        <v>41</v>
      </c>
    </row>
    <row r="87" spans="1:12" s="33" customFormat="1" hidden="1" x14ac:dyDescent="0.3">
      <c r="A87" s="39">
        <v>46112.460717592592</v>
      </c>
      <c r="B87" s="33" t="s">
        <v>43</v>
      </c>
      <c r="C87" s="33">
        <v>1131043888</v>
      </c>
      <c r="E87" s="33">
        <v>458</v>
      </c>
      <c r="F87" s="33">
        <v>457</v>
      </c>
      <c r="G87" s="33" t="s">
        <v>38</v>
      </c>
      <c r="H87" s="33" t="s">
        <v>6638</v>
      </c>
      <c r="I87" s="33" t="s">
        <v>46</v>
      </c>
      <c r="J87" s="33" t="s">
        <v>40</v>
      </c>
    </row>
    <row r="88" spans="1:12" s="33" customFormat="1" hidden="1" x14ac:dyDescent="0.3">
      <c r="A88" s="39">
        <v>46112.457256944443</v>
      </c>
      <c r="B88" s="33">
        <v>44997134514</v>
      </c>
      <c r="C88" s="33" t="s">
        <v>37</v>
      </c>
      <c r="D88" s="33">
        <v>4430265054</v>
      </c>
      <c r="E88" s="33">
        <v>807</v>
      </c>
      <c r="F88" s="33">
        <v>730</v>
      </c>
      <c r="G88" s="33" t="s">
        <v>38</v>
      </c>
      <c r="H88" s="33" t="s">
        <v>6639</v>
      </c>
      <c r="I88" s="33" t="s">
        <v>39</v>
      </c>
      <c r="J88" s="33" t="s">
        <v>40</v>
      </c>
      <c r="K88" s="33" t="s">
        <v>41</v>
      </c>
    </row>
    <row r="89" spans="1:12" s="33" customFormat="1" hidden="1" x14ac:dyDescent="0.3">
      <c r="A89" s="39">
        <v>46112.455057870371</v>
      </c>
      <c r="B89" s="33">
        <v>4430414545</v>
      </c>
      <c r="C89" s="33" t="s">
        <v>45</v>
      </c>
      <c r="D89" s="33">
        <v>4430265054</v>
      </c>
      <c r="E89" s="33">
        <v>352</v>
      </c>
      <c r="F89" s="33">
        <v>279</v>
      </c>
      <c r="G89" s="33" t="s">
        <v>38</v>
      </c>
      <c r="H89" s="33" t="s">
        <v>6640</v>
      </c>
      <c r="I89" s="33" t="s">
        <v>39</v>
      </c>
      <c r="J89" s="33" t="s">
        <v>40</v>
      </c>
      <c r="K89" s="33" t="s">
        <v>41</v>
      </c>
    </row>
    <row r="90" spans="1:12" s="33" customFormat="1" hidden="1" x14ac:dyDescent="0.3">
      <c r="A90" s="39">
        <v>46112.451701388891</v>
      </c>
      <c r="B90" s="33">
        <v>91981481202</v>
      </c>
      <c r="C90" s="33">
        <v>4430265054</v>
      </c>
      <c r="D90" s="33">
        <v>4430265054</v>
      </c>
      <c r="E90" s="33">
        <v>66</v>
      </c>
      <c r="F90" s="33">
        <v>65</v>
      </c>
      <c r="G90" s="33" t="s">
        <v>3449</v>
      </c>
      <c r="H90" s="33" t="s">
        <v>6641</v>
      </c>
      <c r="I90" s="33" t="s">
        <v>39</v>
      </c>
      <c r="J90" s="33" t="s">
        <v>3451</v>
      </c>
      <c r="K90" s="33" t="s">
        <v>41</v>
      </c>
    </row>
    <row r="91" spans="1:12" s="33" customFormat="1" hidden="1" x14ac:dyDescent="0.3">
      <c r="A91" s="39">
        <v>46112.447743055556</v>
      </c>
      <c r="B91" s="33">
        <v>4431337559</v>
      </c>
      <c r="C91" s="33" t="s">
        <v>42</v>
      </c>
      <c r="D91" s="33">
        <v>4430265054</v>
      </c>
      <c r="E91" s="33">
        <v>201</v>
      </c>
      <c r="F91" s="33">
        <v>110</v>
      </c>
      <c r="G91" s="33" t="s">
        <v>38</v>
      </c>
      <c r="H91" s="33" t="s">
        <v>6642</v>
      </c>
      <c r="I91" s="33" t="s">
        <v>39</v>
      </c>
      <c r="J91" s="33" t="s">
        <v>40</v>
      </c>
      <c r="K91" s="33" t="s">
        <v>41</v>
      </c>
    </row>
    <row r="92" spans="1:12" s="33" customFormat="1" hidden="1" x14ac:dyDescent="0.3">
      <c r="A92" s="39">
        <v>46112.446516203701</v>
      </c>
      <c r="B92" s="33">
        <v>44984361000</v>
      </c>
      <c r="C92" s="33" t="s">
        <v>43</v>
      </c>
      <c r="D92" s="33">
        <v>4430265054</v>
      </c>
      <c r="E92" s="33">
        <v>301</v>
      </c>
      <c r="F92" s="33">
        <v>229</v>
      </c>
      <c r="G92" s="33" t="s">
        <v>38</v>
      </c>
      <c r="H92" s="33" t="s">
        <v>6643</v>
      </c>
      <c r="I92" s="33" t="s">
        <v>39</v>
      </c>
      <c r="J92" s="33" t="s">
        <v>40</v>
      </c>
      <c r="K92" s="33" t="s">
        <v>41</v>
      </c>
      <c r="L92" s="33">
        <v>5</v>
      </c>
    </row>
    <row r="93" spans="1:12" s="33" customFormat="1" hidden="1" x14ac:dyDescent="0.3">
      <c r="A93" s="39">
        <v>46112.446319444447</v>
      </c>
      <c r="B93" s="33">
        <v>35998295948</v>
      </c>
      <c r="C93" s="33" t="s">
        <v>45</v>
      </c>
      <c r="D93" s="33">
        <v>4430265054</v>
      </c>
      <c r="E93" s="33">
        <v>554</v>
      </c>
      <c r="F93" s="33">
        <v>532</v>
      </c>
      <c r="G93" s="33" t="s">
        <v>38</v>
      </c>
      <c r="H93" s="33" t="s">
        <v>6644</v>
      </c>
      <c r="I93" s="33" t="s">
        <v>39</v>
      </c>
      <c r="J93" s="33" t="s">
        <v>40</v>
      </c>
      <c r="K93" s="33" t="s">
        <v>41</v>
      </c>
    </row>
    <row r="94" spans="1:12" s="33" customFormat="1" hidden="1" x14ac:dyDescent="0.3">
      <c r="A94" s="39">
        <v>46112.443148148152</v>
      </c>
      <c r="B94" s="33">
        <v>41999865917</v>
      </c>
      <c r="C94" s="33" t="s">
        <v>3627</v>
      </c>
      <c r="D94" s="33">
        <v>4431268225</v>
      </c>
      <c r="E94" s="33">
        <v>53</v>
      </c>
      <c r="F94" s="33">
        <v>32</v>
      </c>
      <c r="G94" s="33" t="s">
        <v>38</v>
      </c>
      <c r="H94" s="33" t="s">
        <v>6645</v>
      </c>
      <c r="I94" s="33" t="s">
        <v>39</v>
      </c>
      <c r="J94" s="33" t="s">
        <v>3629</v>
      </c>
      <c r="K94" s="33" t="s">
        <v>50</v>
      </c>
    </row>
    <row r="95" spans="1:12" s="33" customFormat="1" hidden="1" x14ac:dyDescent="0.3">
      <c r="A95" s="39">
        <v>46112.439317129632</v>
      </c>
      <c r="B95" s="33">
        <v>44997134514</v>
      </c>
      <c r="C95" s="33" t="s">
        <v>37</v>
      </c>
      <c r="D95" s="33">
        <v>4430265054</v>
      </c>
      <c r="E95" s="33">
        <v>1435</v>
      </c>
      <c r="F95" s="33">
        <v>1333</v>
      </c>
      <c r="G95" s="33" t="s">
        <v>38</v>
      </c>
      <c r="H95" s="33" t="s">
        <v>6646</v>
      </c>
      <c r="I95" s="33" t="s">
        <v>39</v>
      </c>
      <c r="J95" s="33" t="s">
        <v>40</v>
      </c>
      <c r="K95" s="33" t="s">
        <v>41</v>
      </c>
    </row>
    <row r="96" spans="1:12" s="33" customFormat="1" hidden="1" x14ac:dyDescent="0.3">
      <c r="A96" s="39">
        <v>46112.438958333332</v>
      </c>
      <c r="B96" s="33">
        <v>44999844110</v>
      </c>
      <c r="C96" s="33" t="s">
        <v>43</v>
      </c>
      <c r="D96" s="33">
        <v>4430265054</v>
      </c>
      <c r="E96" s="33">
        <v>329</v>
      </c>
      <c r="F96" s="33">
        <v>188</v>
      </c>
      <c r="G96" s="33" t="s">
        <v>38</v>
      </c>
      <c r="H96" s="33" t="s">
        <v>6647</v>
      </c>
      <c r="I96" s="33" t="s">
        <v>39</v>
      </c>
      <c r="J96" s="33" t="s">
        <v>40</v>
      </c>
      <c r="K96" s="33" t="s">
        <v>41</v>
      </c>
    </row>
    <row r="97" spans="1:12" s="33" customFormat="1" hidden="1" x14ac:dyDescent="0.3">
      <c r="A97" s="39">
        <v>46112.438148148147</v>
      </c>
      <c r="B97" s="33">
        <v>4334226481</v>
      </c>
      <c r="C97" s="33" t="s">
        <v>44</v>
      </c>
      <c r="D97" s="33">
        <v>4430265054</v>
      </c>
      <c r="E97" s="33">
        <v>555</v>
      </c>
      <c r="F97" s="33">
        <v>357</v>
      </c>
      <c r="G97" s="33" t="s">
        <v>38</v>
      </c>
      <c r="H97" s="33" t="s">
        <v>6648</v>
      </c>
      <c r="I97" s="33" t="s">
        <v>39</v>
      </c>
      <c r="J97" s="33" t="s">
        <v>40</v>
      </c>
      <c r="K97" s="33" t="s">
        <v>41</v>
      </c>
    </row>
    <row r="98" spans="1:12" s="33" customFormat="1" hidden="1" x14ac:dyDescent="0.3">
      <c r="A98" s="39">
        <v>46112.418020833335</v>
      </c>
      <c r="B98" s="33">
        <v>44991814587</v>
      </c>
      <c r="C98" s="33" t="s">
        <v>45</v>
      </c>
      <c r="D98" s="33">
        <v>4430265054</v>
      </c>
      <c r="E98" s="33">
        <v>232</v>
      </c>
      <c r="F98" s="33">
        <v>191</v>
      </c>
      <c r="G98" s="33" t="s">
        <v>38</v>
      </c>
      <c r="H98" s="33" t="s">
        <v>6649</v>
      </c>
      <c r="I98" s="33" t="s">
        <v>39</v>
      </c>
      <c r="J98" s="33" t="s">
        <v>40</v>
      </c>
      <c r="K98" s="33" t="s">
        <v>41</v>
      </c>
    </row>
    <row r="99" spans="1:12" s="33" customFormat="1" hidden="1" x14ac:dyDescent="0.3">
      <c r="A99" s="39">
        <v>46112.408321759256</v>
      </c>
      <c r="B99" s="33">
        <v>43991519887</v>
      </c>
      <c r="C99" s="33" t="s">
        <v>37</v>
      </c>
      <c r="D99" s="33">
        <v>4430265054</v>
      </c>
      <c r="E99" s="33">
        <v>673</v>
      </c>
      <c r="F99" s="33">
        <v>593</v>
      </c>
      <c r="G99" s="33" t="s">
        <v>38</v>
      </c>
      <c r="H99" s="33" t="s">
        <v>6650</v>
      </c>
      <c r="I99" s="33" t="s">
        <v>39</v>
      </c>
      <c r="J99" s="33" t="s">
        <v>40</v>
      </c>
      <c r="K99" s="33" t="s">
        <v>41</v>
      </c>
      <c r="L99" s="33">
        <v>5</v>
      </c>
    </row>
    <row r="100" spans="1:12" s="33" customFormat="1" hidden="1" x14ac:dyDescent="0.3">
      <c r="A100" s="39">
        <v>46112.40185185185</v>
      </c>
      <c r="B100" s="33">
        <v>6434538540</v>
      </c>
      <c r="C100" s="33" t="s">
        <v>43</v>
      </c>
      <c r="D100" s="33">
        <v>4430265054</v>
      </c>
      <c r="E100" s="33">
        <v>1571</v>
      </c>
      <c r="F100" s="33">
        <v>1544</v>
      </c>
      <c r="G100" s="33" t="s">
        <v>38</v>
      </c>
      <c r="H100" s="33" t="s">
        <v>6651</v>
      </c>
      <c r="I100" s="33" t="s">
        <v>39</v>
      </c>
      <c r="J100" s="33" t="s">
        <v>40</v>
      </c>
      <c r="K100" s="33" t="s">
        <v>41</v>
      </c>
      <c r="L100" s="33">
        <v>4</v>
      </c>
    </row>
    <row r="101" spans="1:12" s="33" customFormat="1" hidden="1" x14ac:dyDescent="0.3">
      <c r="A101" s="39">
        <v>46112.398136574076</v>
      </c>
      <c r="B101" s="33">
        <v>45999211357</v>
      </c>
      <c r="C101" s="33" t="s">
        <v>45</v>
      </c>
      <c r="D101" s="33">
        <v>4431268225</v>
      </c>
      <c r="E101" s="33">
        <v>601</v>
      </c>
      <c r="F101" s="33">
        <v>478</v>
      </c>
      <c r="G101" s="33" t="s">
        <v>38</v>
      </c>
      <c r="H101" s="33" t="s">
        <v>6652</v>
      </c>
      <c r="I101" s="33" t="s">
        <v>39</v>
      </c>
      <c r="J101" s="33" t="s">
        <v>40</v>
      </c>
      <c r="K101" s="33" t="s">
        <v>41</v>
      </c>
    </row>
    <row r="102" spans="1:12" s="33" customFormat="1" hidden="1" x14ac:dyDescent="0.3">
      <c r="A102" s="39">
        <v>46112.397986111115</v>
      </c>
      <c r="B102" s="33" t="s">
        <v>42</v>
      </c>
      <c r="C102" s="33">
        <v>4430315826</v>
      </c>
      <c r="E102" s="33">
        <v>71</v>
      </c>
      <c r="F102" s="33">
        <v>58</v>
      </c>
      <c r="G102" s="33" t="s">
        <v>38</v>
      </c>
      <c r="H102" s="33" t="s">
        <v>6653</v>
      </c>
      <c r="I102" s="33" t="s">
        <v>46</v>
      </c>
      <c r="J102" s="33" t="s">
        <v>40</v>
      </c>
    </row>
    <row r="103" spans="1:12" s="33" customFormat="1" hidden="1" x14ac:dyDescent="0.3">
      <c r="A103" s="39">
        <v>46112.397349537037</v>
      </c>
      <c r="B103" s="33">
        <v>4540639075</v>
      </c>
      <c r="C103" s="33" t="s">
        <v>3873</v>
      </c>
      <c r="D103" s="33">
        <v>4430265054</v>
      </c>
      <c r="E103" s="33">
        <v>243</v>
      </c>
      <c r="F103" s="33">
        <v>200</v>
      </c>
      <c r="G103" s="33" t="s">
        <v>38</v>
      </c>
      <c r="H103" s="33" t="s">
        <v>6654</v>
      </c>
      <c r="I103" s="33" t="s">
        <v>39</v>
      </c>
      <c r="J103" s="33" t="s">
        <v>3451</v>
      </c>
      <c r="K103" s="33" t="s">
        <v>41</v>
      </c>
    </row>
    <row r="104" spans="1:12" s="33" customFormat="1" hidden="1" x14ac:dyDescent="0.3">
      <c r="A104" s="39">
        <v>46112.390474537038</v>
      </c>
      <c r="B104" s="33" t="s">
        <v>42</v>
      </c>
      <c r="C104" s="33">
        <v>4434230642</v>
      </c>
      <c r="E104" s="33">
        <v>407</v>
      </c>
      <c r="F104" s="33">
        <v>398</v>
      </c>
      <c r="G104" s="33" t="s">
        <v>38</v>
      </c>
      <c r="H104" s="33" t="s">
        <v>6655</v>
      </c>
      <c r="I104" s="33" t="s">
        <v>46</v>
      </c>
      <c r="J104" s="33" t="s">
        <v>40</v>
      </c>
    </row>
    <row r="105" spans="1:12" s="33" customFormat="1" hidden="1" x14ac:dyDescent="0.3">
      <c r="A105" s="39">
        <v>46112.390439814815</v>
      </c>
      <c r="B105" s="33" t="s">
        <v>42</v>
      </c>
      <c r="C105" s="33">
        <v>4434230642</v>
      </c>
      <c r="E105" s="33">
        <v>1</v>
      </c>
      <c r="F105" s="33">
        <v>0</v>
      </c>
      <c r="G105" s="33" t="s">
        <v>47</v>
      </c>
      <c r="H105" s="33" t="s">
        <v>6656</v>
      </c>
      <c r="I105" s="33" t="s">
        <v>46</v>
      </c>
      <c r="J105" s="33" t="s">
        <v>40</v>
      </c>
    </row>
    <row r="106" spans="1:12" s="33" customFormat="1" hidden="1" x14ac:dyDescent="0.3">
      <c r="A106" s="39">
        <v>46112.390405092592</v>
      </c>
      <c r="B106" s="33" t="s">
        <v>42</v>
      </c>
      <c r="C106" s="33">
        <v>4434230642</v>
      </c>
      <c r="E106" s="33">
        <v>1</v>
      </c>
      <c r="F106" s="33">
        <v>0</v>
      </c>
      <c r="G106" s="33" t="s">
        <v>47</v>
      </c>
      <c r="H106" s="33" t="s">
        <v>6657</v>
      </c>
      <c r="I106" s="33" t="s">
        <v>46</v>
      </c>
      <c r="J106" s="33" t="s">
        <v>40</v>
      </c>
    </row>
    <row r="107" spans="1:12" s="33" customFormat="1" hidden="1" x14ac:dyDescent="0.3">
      <c r="A107" s="39">
        <v>46112.390185185184</v>
      </c>
      <c r="B107" s="33" t="s">
        <v>42</v>
      </c>
      <c r="C107" s="33">
        <v>4434230642</v>
      </c>
      <c r="E107" s="33">
        <v>1</v>
      </c>
      <c r="F107" s="33">
        <v>0</v>
      </c>
      <c r="G107" s="33" t="s">
        <v>47</v>
      </c>
      <c r="H107" s="33" t="s">
        <v>6658</v>
      </c>
      <c r="I107" s="33" t="s">
        <v>46</v>
      </c>
      <c r="J107" s="33" t="s">
        <v>40</v>
      </c>
    </row>
    <row r="108" spans="1:12" s="33" customFormat="1" hidden="1" x14ac:dyDescent="0.3">
      <c r="A108" s="39">
        <v>46112.390150462961</v>
      </c>
      <c r="B108" s="33" t="s">
        <v>42</v>
      </c>
      <c r="C108" s="33">
        <v>4434230642</v>
      </c>
      <c r="E108" s="33">
        <v>1</v>
      </c>
      <c r="F108" s="33">
        <v>0</v>
      </c>
      <c r="G108" s="33" t="s">
        <v>47</v>
      </c>
      <c r="H108" s="33" t="s">
        <v>6659</v>
      </c>
      <c r="I108" s="33" t="s">
        <v>46</v>
      </c>
      <c r="J108" s="33" t="s">
        <v>40</v>
      </c>
    </row>
    <row r="109" spans="1:12" s="33" customFormat="1" hidden="1" x14ac:dyDescent="0.3">
      <c r="A109" s="39">
        <v>46112.390115740738</v>
      </c>
      <c r="B109" s="33" t="s">
        <v>42</v>
      </c>
      <c r="C109" s="33">
        <v>4434230642</v>
      </c>
      <c r="E109" s="33">
        <v>1</v>
      </c>
      <c r="F109" s="33">
        <v>0</v>
      </c>
      <c r="G109" s="33" t="s">
        <v>47</v>
      </c>
      <c r="H109" s="33" t="s">
        <v>6660</v>
      </c>
      <c r="I109" s="33" t="s">
        <v>46</v>
      </c>
      <c r="J109" s="33" t="s">
        <v>40</v>
      </c>
    </row>
    <row r="110" spans="1:12" s="33" customFormat="1" hidden="1" x14ac:dyDescent="0.3">
      <c r="A110" s="39">
        <v>46112.390092592592</v>
      </c>
      <c r="B110" s="33" t="s">
        <v>42</v>
      </c>
      <c r="C110" s="33">
        <v>4434230642</v>
      </c>
      <c r="E110" s="33">
        <v>0</v>
      </c>
      <c r="F110" s="33">
        <v>0</v>
      </c>
      <c r="G110" s="33" t="s">
        <v>47</v>
      </c>
      <c r="H110" s="33" t="s">
        <v>6661</v>
      </c>
      <c r="I110" s="33" t="s">
        <v>46</v>
      </c>
      <c r="J110" s="33" t="s">
        <v>40</v>
      </c>
    </row>
    <row r="111" spans="1:12" s="33" customFormat="1" hidden="1" x14ac:dyDescent="0.3">
      <c r="A111" s="39">
        <v>46112.390046296299</v>
      </c>
      <c r="B111" s="33" t="s">
        <v>42</v>
      </c>
      <c r="C111" s="33">
        <v>4434230642</v>
      </c>
      <c r="E111" s="33">
        <v>1</v>
      </c>
      <c r="F111" s="33">
        <v>0</v>
      </c>
      <c r="G111" s="33" t="s">
        <v>47</v>
      </c>
      <c r="H111" s="33" t="s">
        <v>6662</v>
      </c>
      <c r="I111" s="33" t="s">
        <v>46</v>
      </c>
      <c r="J111" s="33" t="s">
        <v>40</v>
      </c>
    </row>
    <row r="112" spans="1:12" s="33" customFormat="1" hidden="1" x14ac:dyDescent="0.3">
      <c r="A112" s="39">
        <v>46112.390011574076</v>
      </c>
      <c r="B112" s="33" t="s">
        <v>42</v>
      </c>
      <c r="C112" s="33">
        <v>4434230642</v>
      </c>
      <c r="E112" s="33">
        <v>2</v>
      </c>
      <c r="F112" s="33">
        <v>0</v>
      </c>
      <c r="G112" s="33" t="s">
        <v>47</v>
      </c>
      <c r="H112" s="33" t="s">
        <v>6663</v>
      </c>
      <c r="I112" s="33" t="s">
        <v>46</v>
      </c>
      <c r="J112" s="33" t="s">
        <v>40</v>
      </c>
    </row>
    <row r="113" spans="1:12" s="33" customFormat="1" hidden="1" x14ac:dyDescent="0.3">
      <c r="A113" s="39">
        <v>46112.389965277776</v>
      </c>
      <c r="B113" s="33" t="s">
        <v>42</v>
      </c>
      <c r="C113" s="33">
        <v>4434230642</v>
      </c>
      <c r="E113" s="33">
        <v>2</v>
      </c>
      <c r="F113" s="33">
        <v>0</v>
      </c>
      <c r="G113" s="33" t="s">
        <v>47</v>
      </c>
      <c r="H113" s="33" t="s">
        <v>6664</v>
      </c>
      <c r="I113" s="33" t="s">
        <v>46</v>
      </c>
      <c r="J113" s="33" t="s">
        <v>40</v>
      </c>
    </row>
    <row r="114" spans="1:12" s="33" customFormat="1" hidden="1" x14ac:dyDescent="0.3">
      <c r="A114" s="39">
        <v>46112.389652777776</v>
      </c>
      <c r="B114" s="33" t="s">
        <v>42</v>
      </c>
      <c r="C114" s="33">
        <v>4434230642</v>
      </c>
      <c r="E114" s="33">
        <v>22</v>
      </c>
      <c r="F114" s="33">
        <v>12</v>
      </c>
      <c r="G114" s="33" t="s">
        <v>38</v>
      </c>
      <c r="H114" s="33" t="s">
        <v>6665</v>
      </c>
      <c r="I114" s="33" t="s">
        <v>46</v>
      </c>
      <c r="J114" s="33" t="s">
        <v>40</v>
      </c>
    </row>
    <row r="115" spans="1:12" s="33" customFormat="1" hidden="1" x14ac:dyDescent="0.3">
      <c r="A115" s="39">
        <v>46112.389467592591</v>
      </c>
      <c r="B115" s="33" t="s">
        <v>42</v>
      </c>
      <c r="C115" s="33">
        <v>4434230642</v>
      </c>
      <c r="E115" s="33">
        <v>26</v>
      </c>
      <c r="F115" s="33">
        <v>25</v>
      </c>
      <c r="G115" s="33" t="s">
        <v>38</v>
      </c>
      <c r="H115" s="33" t="s">
        <v>6666</v>
      </c>
      <c r="I115" s="33" t="s">
        <v>46</v>
      </c>
      <c r="J115" s="33" t="s">
        <v>40</v>
      </c>
    </row>
    <row r="116" spans="1:12" s="33" customFormat="1" hidden="1" x14ac:dyDescent="0.3">
      <c r="A116" s="39">
        <v>46112.382962962962</v>
      </c>
      <c r="B116" s="33">
        <v>4135007070</v>
      </c>
      <c r="C116" s="33">
        <v>4430265054</v>
      </c>
      <c r="D116" s="33">
        <v>4430265054</v>
      </c>
      <c r="E116" s="33">
        <v>6</v>
      </c>
      <c r="F116" s="33">
        <v>5</v>
      </c>
      <c r="G116" s="33" t="s">
        <v>3449</v>
      </c>
      <c r="H116" s="33" t="s">
        <v>6667</v>
      </c>
      <c r="I116" s="33" t="s">
        <v>39</v>
      </c>
      <c r="J116" s="33" t="s">
        <v>3451</v>
      </c>
    </row>
    <row r="117" spans="1:12" s="33" customFormat="1" hidden="1" x14ac:dyDescent="0.3">
      <c r="A117" s="39">
        <v>46112.379872685182</v>
      </c>
      <c r="B117" s="33">
        <v>4430317020</v>
      </c>
      <c r="C117" s="33" t="s">
        <v>37</v>
      </c>
      <c r="D117" s="33">
        <v>4430265054</v>
      </c>
      <c r="E117" s="33">
        <v>266</v>
      </c>
      <c r="F117" s="33">
        <v>101</v>
      </c>
      <c r="G117" s="33" t="s">
        <v>38</v>
      </c>
      <c r="H117" s="33" t="s">
        <v>6668</v>
      </c>
      <c r="I117" s="33" t="s">
        <v>39</v>
      </c>
      <c r="J117" s="33" t="s">
        <v>40</v>
      </c>
      <c r="K117" s="33" t="s">
        <v>41</v>
      </c>
    </row>
    <row r="118" spans="1:12" s="33" customFormat="1" hidden="1" x14ac:dyDescent="0.3">
      <c r="A118" s="39">
        <v>46112.363263888888</v>
      </c>
      <c r="B118" s="33">
        <v>44991041123</v>
      </c>
      <c r="C118" s="33" t="s">
        <v>37</v>
      </c>
      <c r="D118" s="33">
        <v>4430265054</v>
      </c>
      <c r="E118" s="33">
        <v>227</v>
      </c>
      <c r="F118" s="33">
        <v>196</v>
      </c>
      <c r="G118" s="33" t="s">
        <v>38</v>
      </c>
      <c r="H118" s="33" t="s">
        <v>6669</v>
      </c>
      <c r="I118" s="33" t="s">
        <v>39</v>
      </c>
      <c r="J118" s="33" t="s">
        <v>40</v>
      </c>
      <c r="K118" s="33" t="s">
        <v>41</v>
      </c>
    </row>
    <row r="119" spans="1:12" s="33" customFormat="1" hidden="1" x14ac:dyDescent="0.3">
      <c r="A119" s="39">
        <v>46112.359768518516</v>
      </c>
      <c r="B119" s="33" t="s">
        <v>42</v>
      </c>
      <c r="C119" s="33">
        <v>4430315826</v>
      </c>
      <c r="E119" s="33">
        <v>91</v>
      </c>
      <c r="F119" s="33">
        <v>79</v>
      </c>
      <c r="G119" s="33" t="s">
        <v>38</v>
      </c>
      <c r="H119" s="33" t="s">
        <v>6670</v>
      </c>
      <c r="I119" s="33" t="s">
        <v>46</v>
      </c>
      <c r="J119" s="33" t="s">
        <v>40</v>
      </c>
    </row>
    <row r="120" spans="1:12" s="33" customFormat="1" hidden="1" x14ac:dyDescent="0.3">
      <c r="A120" s="39">
        <v>46112.359629629631</v>
      </c>
      <c r="B120" s="33" t="s">
        <v>42</v>
      </c>
      <c r="C120" s="33">
        <v>4430315826</v>
      </c>
      <c r="E120" s="33">
        <v>25</v>
      </c>
      <c r="F120" s="33">
        <v>25</v>
      </c>
      <c r="G120" s="33" t="s">
        <v>38</v>
      </c>
      <c r="H120" s="33" t="s">
        <v>6671</v>
      </c>
      <c r="I120" s="33" t="s">
        <v>46</v>
      </c>
      <c r="J120" s="33" t="s">
        <v>40</v>
      </c>
    </row>
    <row r="121" spans="1:12" s="33" customFormat="1" hidden="1" x14ac:dyDescent="0.3">
      <c r="A121" s="39">
        <v>46112.358807870369</v>
      </c>
      <c r="B121" s="33">
        <v>4430315826</v>
      </c>
      <c r="C121" s="33">
        <v>4430265054</v>
      </c>
      <c r="D121" s="33">
        <v>4430265054</v>
      </c>
      <c r="E121" s="33">
        <v>59</v>
      </c>
      <c r="F121" s="33">
        <v>58</v>
      </c>
      <c r="G121" s="33" t="s">
        <v>3449</v>
      </c>
      <c r="H121" s="33" t="s">
        <v>6672</v>
      </c>
      <c r="I121" s="33" t="s">
        <v>39</v>
      </c>
      <c r="J121" s="33" t="s">
        <v>3451</v>
      </c>
      <c r="K121" s="33" t="s">
        <v>41</v>
      </c>
    </row>
    <row r="122" spans="1:12" s="33" customFormat="1" hidden="1" x14ac:dyDescent="0.3">
      <c r="A122" s="39">
        <v>46112.345972222225</v>
      </c>
      <c r="B122" s="33" t="s">
        <v>45</v>
      </c>
      <c r="C122" s="33">
        <v>44991484476</v>
      </c>
      <c r="E122" s="33">
        <v>61</v>
      </c>
      <c r="F122" s="33">
        <v>36</v>
      </c>
      <c r="G122" s="33" t="s">
        <v>38</v>
      </c>
      <c r="H122" s="33" t="s">
        <v>6673</v>
      </c>
      <c r="I122" s="33" t="s">
        <v>46</v>
      </c>
      <c r="J122" s="33" t="s">
        <v>40</v>
      </c>
    </row>
    <row r="123" spans="1:12" s="33" customFormat="1" hidden="1" x14ac:dyDescent="0.3">
      <c r="A123" s="39">
        <v>46112.345879629633</v>
      </c>
      <c r="B123" s="33" t="s">
        <v>45</v>
      </c>
      <c r="C123" s="33">
        <v>44991484476</v>
      </c>
      <c r="E123" s="33">
        <v>26</v>
      </c>
      <c r="F123" s="33">
        <v>25</v>
      </c>
      <c r="G123" s="33" t="s">
        <v>38</v>
      </c>
      <c r="H123" s="33" t="s">
        <v>6674</v>
      </c>
      <c r="I123" s="33" t="s">
        <v>46</v>
      </c>
      <c r="J123" s="33" t="s">
        <v>40</v>
      </c>
    </row>
    <row r="124" spans="1:12" s="33" customFormat="1" hidden="1" x14ac:dyDescent="0.3">
      <c r="A124" s="39">
        <v>46111.740960648145</v>
      </c>
      <c r="B124" s="33">
        <v>4430262188</v>
      </c>
      <c r="C124" s="33" t="s">
        <v>43</v>
      </c>
      <c r="D124" s="33">
        <v>4430265054</v>
      </c>
      <c r="E124" s="33">
        <v>465</v>
      </c>
      <c r="F124" s="33">
        <v>387</v>
      </c>
      <c r="G124" s="33" t="s">
        <v>38</v>
      </c>
      <c r="H124" s="33" t="s">
        <v>6675</v>
      </c>
      <c r="I124" s="33" t="s">
        <v>39</v>
      </c>
      <c r="J124" s="33" t="s">
        <v>40</v>
      </c>
      <c r="K124" s="33" t="s">
        <v>41</v>
      </c>
      <c r="L124" s="33">
        <v>5</v>
      </c>
    </row>
    <row r="125" spans="1:12" s="33" customFormat="1" hidden="1" x14ac:dyDescent="0.3">
      <c r="A125" s="39">
        <v>46111.726840277777</v>
      </c>
      <c r="B125" s="33">
        <v>44998620323</v>
      </c>
      <c r="C125" s="33" t="s">
        <v>37</v>
      </c>
      <c r="D125" s="33">
        <v>4430265054</v>
      </c>
      <c r="E125" s="33">
        <v>316</v>
      </c>
      <c r="F125" s="33">
        <v>198</v>
      </c>
      <c r="G125" s="33" t="s">
        <v>38</v>
      </c>
      <c r="H125" s="33" t="s">
        <v>6676</v>
      </c>
      <c r="I125" s="33" t="s">
        <v>39</v>
      </c>
      <c r="J125" s="33" t="s">
        <v>40</v>
      </c>
      <c r="K125" s="33" t="s">
        <v>41</v>
      </c>
    </row>
    <row r="126" spans="1:12" s="33" customFormat="1" hidden="1" x14ac:dyDescent="0.3">
      <c r="A126" s="39">
        <v>46111.723726851851</v>
      </c>
      <c r="B126" s="33" t="s">
        <v>48</v>
      </c>
      <c r="C126" s="33">
        <v>44999770237</v>
      </c>
      <c r="E126" s="33">
        <v>154</v>
      </c>
      <c r="F126" s="33">
        <v>151</v>
      </c>
      <c r="G126" s="33" t="s">
        <v>38</v>
      </c>
      <c r="H126" s="33" t="s">
        <v>6677</v>
      </c>
      <c r="I126" s="33" t="s">
        <v>46</v>
      </c>
      <c r="J126" s="33" t="s">
        <v>40</v>
      </c>
    </row>
    <row r="127" spans="1:12" s="33" customFormat="1" hidden="1" x14ac:dyDescent="0.3">
      <c r="A127" s="39">
        <v>46111.723541666666</v>
      </c>
      <c r="B127" s="33" t="s">
        <v>48</v>
      </c>
      <c r="C127" s="33">
        <v>44999770237</v>
      </c>
      <c r="E127" s="33">
        <v>16</v>
      </c>
      <c r="F127" s="33">
        <v>13</v>
      </c>
      <c r="G127" s="33" t="s">
        <v>38</v>
      </c>
      <c r="H127" s="33" t="s">
        <v>6678</v>
      </c>
      <c r="I127" s="33" t="s">
        <v>46</v>
      </c>
      <c r="J127" s="33" t="s">
        <v>40</v>
      </c>
    </row>
    <row r="128" spans="1:12" s="33" customFormat="1" hidden="1" x14ac:dyDescent="0.3">
      <c r="A128" s="39">
        <v>46111.720532407409</v>
      </c>
      <c r="B128" s="33" t="s">
        <v>44</v>
      </c>
      <c r="C128" s="33">
        <v>4430141533</v>
      </c>
      <c r="E128" s="33">
        <v>103</v>
      </c>
      <c r="F128" s="33">
        <v>95</v>
      </c>
      <c r="G128" s="33" t="s">
        <v>38</v>
      </c>
      <c r="H128" s="33" t="s">
        <v>6679</v>
      </c>
      <c r="I128" s="33" t="s">
        <v>46</v>
      </c>
      <c r="J128" s="33" t="s">
        <v>40</v>
      </c>
    </row>
    <row r="129" spans="1:11" s="33" customFormat="1" hidden="1" x14ac:dyDescent="0.3">
      <c r="A129" s="39">
        <v>46111.720208333332</v>
      </c>
      <c r="B129" s="33" t="s">
        <v>44</v>
      </c>
      <c r="C129" s="33">
        <v>4430141533</v>
      </c>
      <c r="E129" s="33">
        <v>7</v>
      </c>
      <c r="F129" s="33">
        <v>0</v>
      </c>
      <c r="G129" s="33" t="s">
        <v>47</v>
      </c>
      <c r="H129" s="33" t="s">
        <v>6680</v>
      </c>
      <c r="I129" s="33" t="s">
        <v>46</v>
      </c>
      <c r="J129" s="33" t="s">
        <v>40</v>
      </c>
    </row>
    <row r="130" spans="1:11" s="33" customFormat="1" hidden="1" x14ac:dyDescent="0.3">
      <c r="A130" s="39">
        <v>46111.718726851854</v>
      </c>
      <c r="B130" s="33" t="s">
        <v>48</v>
      </c>
      <c r="C130" s="33">
        <v>4436291629</v>
      </c>
      <c r="E130" s="33">
        <v>369</v>
      </c>
      <c r="F130" s="33">
        <v>343</v>
      </c>
      <c r="G130" s="33" t="s">
        <v>38</v>
      </c>
      <c r="H130" s="33" t="s">
        <v>6681</v>
      </c>
      <c r="I130" s="33" t="s">
        <v>46</v>
      </c>
      <c r="J130" s="33" t="s">
        <v>40</v>
      </c>
    </row>
    <row r="131" spans="1:11" s="33" customFormat="1" hidden="1" x14ac:dyDescent="0.3">
      <c r="A131" s="39">
        <v>46111.716284722221</v>
      </c>
      <c r="B131" s="33" t="s">
        <v>48</v>
      </c>
      <c r="C131" s="33">
        <v>4436291629</v>
      </c>
      <c r="E131" s="33">
        <v>26</v>
      </c>
      <c r="F131" s="33">
        <v>7</v>
      </c>
      <c r="G131" s="33" t="s">
        <v>38</v>
      </c>
      <c r="H131" s="33" t="s">
        <v>6682</v>
      </c>
      <c r="I131" s="33" t="s">
        <v>46</v>
      </c>
      <c r="J131" s="33" t="s">
        <v>40</v>
      </c>
    </row>
    <row r="132" spans="1:11" s="33" customFormat="1" hidden="1" x14ac:dyDescent="0.3">
      <c r="A132" s="39">
        <v>46111.716226851851</v>
      </c>
      <c r="B132" s="33" t="s">
        <v>48</v>
      </c>
      <c r="C132" s="33">
        <v>4436291629</v>
      </c>
      <c r="E132" s="33">
        <v>26</v>
      </c>
      <c r="F132" s="33">
        <v>25</v>
      </c>
      <c r="G132" s="33" t="s">
        <v>38</v>
      </c>
      <c r="H132" s="33" t="s">
        <v>6683</v>
      </c>
      <c r="I132" s="33" t="s">
        <v>46</v>
      </c>
      <c r="J132" s="33" t="s">
        <v>40</v>
      </c>
    </row>
    <row r="133" spans="1:11" s="33" customFormat="1" hidden="1" x14ac:dyDescent="0.3">
      <c r="A133" s="39">
        <v>46111.716157407405</v>
      </c>
      <c r="B133" s="33" t="s">
        <v>48</v>
      </c>
      <c r="C133" s="33">
        <v>4436291629</v>
      </c>
      <c r="E133" s="33">
        <v>25</v>
      </c>
      <c r="F133" s="33">
        <v>25</v>
      </c>
      <c r="G133" s="33" t="s">
        <v>38</v>
      </c>
      <c r="H133" s="33" t="s">
        <v>6684</v>
      </c>
      <c r="I133" s="33" t="s">
        <v>46</v>
      </c>
      <c r="J133" s="33" t="s">
        <v>40</v>
      </c>
    </row>
    <row r="134" spans="1:11" s="33" customFormat="1" hidden="1" x14ac:dyDescent="0.3">
      <c r="A134" s="39">
        <v>46111.715451388889</v>
      </c>
      <c r="B134" s="33" t="s">
        <v>44</v>
      </c>
      <c r="C134" s="33">
        <v>4430141533</v>
      </c>
      <c r="E134" s="33">
        <v>112</v>
      </c>
      <c r="F134" s="33">
        <v>101</v>
      </c>
      <c r="G134" s="33" t="s">
        <v>38</v>
      </c>
      <c r="H134" s="33" t="s">
        <v>6685</v>
      </c>
      <c r="I134" s="33" t="s">
        <v>46</v>
      </c>
      <c r="J134" s="33" t="s">
        <v>40</v>
      </c>
    </row>
    <row r="135" spans="1:11" s="33" customFormat="1" hidden="1" x14ac:dyDescent="0.3">
      <c r="A135" s="39">
        <v>46111.710057870368</v>
      </c>
      <c r="B135" s="33">
        <v>6234347959</v>
      </c>
      <c r="C135" s="33" t="s">
        <v>42</v>
      </c>
      <c r="D135" s="33">
        <v>4430265054</v>
      </c>
      <c r="E135" s="33">
        <v>452</v>
      </c>
      <c r="F135" s="33">
        <v>345</v>
      </c>
      <c r="G135" s="33" t="s">
        <v>38</v>
      </c>
      <c r="H135" s="33" t="s">
        <v>6686</v>
      </c>
      <c r="I135" s="33" t="s">
        <v>39</v>
      </c>
      <c r="J135" s="33" t="s">
        <v>40</v>
      </c>
      <c r="K135" s="33" t="s">
        <v>41</v>
      </c>
    </row>
    <row r="136" spans="1:11" s="33" customFormat="1" hidden="1" x14ac:dyDescent="0.3">
      <c r="A136" s="39">
        <v>46111.704826388886</v>
      </c>
      <c r="B136" s="33">
        <v>44998454020</v>
      </c>
      <c r="C136" s="33" t="s">
        <v>37</v>
      </c>
      <c r="D136" s="33">
        <v>4430265054</v>
      </c>
      <c r="E136" s="33">
        <v>852</v>
      </c>
      <c r="F136" s="33">
        <v>807</v>
      </c>
      <c r="G136" s="33" t="s">
        <v>38</v>
      </c>
      <c r="H136" s="33" t="s">
        <v>6687</v>
      </c>
      <c r="I136" s="33" t="s">
        <v>39</v>
      </c>
      <c r="J136" s="33" t="s">
        <v>40</v>
      </c>
      <c r="K136" s="33" t="s">
        <v>41</v>
      </c>
    </row>
    <row r="137" spans="1:11" s="33" customFormat="1" hidden="1" x14ac:dyDescent="0.3">
      <c r="A137" s="39">
        <v>46111.703553240739</v>
      </c>
      <c r="B137" s="33">
        <v>4121410323</v>
      </c>
      <c r="C137" s="33" t="s">
        <v>45</v>
      </c>
      <c r="D137" s="33">
        <v>4531273168</v>
      </c>
      <c r="E137" s="33">
        <v>53</v>
      </c>
      <c r="F137" s="33">
        <v>19</v>
      </c>
      <c r="G137" s="33" t="s">
        <v>38</v>
      </c>
      <c r="H137" s="33" t="s">
        <v>6688</v>
      </c>
      <c r="I137" s="33" t="s">
        <v>39</v>
      </c>
      <c r="J137" s="33" t="s">
        <v>40</v>
      </c>
      <c r="K137" s="33" t="s">
        <v>41</v>
      </c>
    </row>
    <row r="138" spans="1:11" s="33" customFormat="1" hidden="1" x14ac:dyDescent="0.3">
      <c r="A138" s="39">
        <v>46111.693090277775</v>
      </c>
      <c r="B138" s="33">
        <v>4121418115</v>
      </c>
      <c r="C138" s="33" t="s">
        <v>45</v>
      </c>
      <c r="D138" s="33">
        <v>4531273158</v>
      </c>
      <c r="E138" s="33">
        <v>47</v>
      </c>
      <c r="F138" s="33">
        <v>11</v>
      </c>
      <c r="G138" s="33" t="s">
        <v>38</v>
      </c>
      <c r="H138" s="33" t="s">
        <v>6689</v>
      </c>
      <c r="I138" s="33" t="s">
        <v>39</v>
      </c>
      <c r="J138" s="33" t="s">
        <v>40</v>
      </c>
      <c r="K138" s="33" t="s">
        <v>41</v>
      </c>
    </row>
    <row r="139" spans="1:11" s="33" customFormat="1" hidden="1" x14ac:dyDescent="0.3">
      <c r="A139" s="39">
        <v>46111.689247685186</v>
      </c>
      <c r="B139" s="33">
        <v>1128897100</v>
      </c>
      <c r="C139" s="33" t="s">
        <v>43</v>
      </c>
      <c r="D139" s="33">
        <v>4430265054</v>
      </c>
      <c r="E139" s="33">
        <v>911</v>
      </c>
      <c r="F139" s="33">
        <v>885</v>
      </c>
      <c r="G139" s="33" t="s">
        <v>38</v>
      </c>
      <c r="H139" s="33" t="s">
        <v>6690</v>
      </c>
      <c r="I139" s="33" t="s">
        <v>39</v>
      </c>
      <c r="J139" s="33" t="s">
        <v>40</v>
      </c>
      <c r="K139" s="33" t="s">
        <v>50</v>
      </c>
    </row>
    <row r="140" spans="1:11" s="33" customFormat="1" hidden="1" x14ac:dyDescent="0.3">
      <c r="A140" s="39">
        <v>46111.688854166663</v>
      </c>
      <c r="B140" s="33">
        <v>4121410323</v>
      </c>
      <c r="C140" s="33" t="s">
        <v>45</v>
      </c>
      <c r="D140" s="33">
        <v>4531273164</v>
      </c>
      <c r="E140" s="33">
        <v>45</v>
      </c>
      <c r="F140" s="33">
        <v>10</v>
      </c>
      <c r="G140" s="33" t="s">
        <v>38</v>
      </c>
      <c r="H140" s="33" t="s">
        <v>6691</v>
      </c>
      <c r="I140" s="33" t="s">
        <v>39</v>
      </c>
      <c r="J140" s="33" t="s">
        <v>40</v>
      </c>
      <c r="K140" s="33" t="s">
        <v>41</v>
      </c>
    </row>
    <row r="141" spans="1:11" s="33" customFormat="1" hidden="1" x14ac:dyDescent="0.3">
      <c r="A141" s="39">
        <v>46111.687592592592</v>
      </c>
      <c r="B141" s="33" t="s">
        <v>51</v>
      </c>
      <c r="C141" s="33" t="s">
        <v>5173</v>
      </c>
      <c r="E141" s="33">
        <v>128</v>
      </c>
      <c r="F141" s="33">
        <v>123</v>
      </c>
      <c r="G141" s="33" t="s">
        <v>38</v>
      </c>
      <c r="H141" s="33" t="s">
        <v>6692</v>
      </c>
      <c r="I141" s="33" t="s">
        <v>52</v>
      </c>
      <c r="J141" s="33" t="s">
        <v>3629</v>
      </c>
    </row>
    <row r="142" spans="1:11" s="33" customFormat="1" hidden="1" x14ac:dyDescent="0.3">
      <c r="A142" s="39">
        <v>46111.687337962961</v>
      </c>
      <c r="B142" s="33" t="s">
        <v>45</v>
      </c>
      <c r="C142" s="33">
        <v>44991484476</v>
      </c>
      <c r="E142" s="33">
        <v>68</v>
      </c>
      <c r="F142" s="33">
        <v>44</v>
      </c>
      <c r="G142" s="33" t="s">
        <v>38</v>
      </c>
      <c r="H142" s="33" t="s">
        <v>6693</v>
      </c>
      <c r="I142" s="33" t="s">
        <v>46</v>
      </c>
      <c r="J142" s="33" t="s">
        <v>40</v>
      </c>
    </row>
    <row r="143" spans="1:11" s="33" customFormat="1" hidden="1" x14ac:dyDescent="0.3">
      <c r="A143" s="39">
        <v>46111.687245370369</v>
      </c>
      <c r="B143" s="33" t="s">
        <v>45</v>
      </c>
      <c r="C143" s="33">
        <v>44991484476</v>
      </c>
      <c r="E143" s="33">
        <v>26</v>
      </c>
      <c r="F143" s="33">
        <v>25</v>
      </c>
      <c r="G143" s="33" t="s">
        <v>38</v>
      </c>
      <c r="H143" s="33" t="s">
        <v>6694</v>
      </c>
      <c r="I143" s="33" t="s">
        <v>46</v>
      </c>
      <c r="J143" s="33" t="s">
        <v>40</v>
      </c>
    </row>
    <row r="144" spans="1:11" s="33" customFormat="1" hidden="1" x14ac:dyDescent="0.3">
      <c r="A144" s="39">
        <v>46111.685300925928</v>
      </c>
      <c r="B144" s="33">
        <v>4121410323</v>
      </c>
      <c r="C144" s="33" t="s">
        <v>37</v>
      </c>
      <c r="D144" s="33">
        <v>4531273155</v>
      </c>
      <c r="E144" s="33">
        <v>46</v>
      </c>
      <c r="F144" s="33">
        <v>13</v>
      </c>
      <c r="G144" s="33" t="s">
        <v>38</v>
      </c>
      <c r="H144" s="33" t="s">
        <v>6695</v>
      </c>
      <c r="I144" s="33" t="s">
        <v>39</v>
      </c>
      <c r="J144" s="33" t="s">
        <v>40</v>
      </c>
      <c r="K144" s="33" t="s">
        <v>41</v>
      </c>
    </row>
    <row r="145" spans="1:12" s="33" customFormat="1" hidden="1" x14ac:dyDescent="0.3">
      <c r="A145" s="39">
        <v>46111.684606481482</v>
      </c>
      <c r="B145" s="33" t="s">
        <v>44</v>
      </c>
      <c r="C145" s="33">
        <v>4430141533</v>
      </c>
      <c r="E145" s="33">
        <v>1</v>
      </c>
      <c r="F145" s="33">
        <v>0</v>
      </c>
      <c r="G145" s="33" t="s">
        <v>47</v>
      </c>
      <c r="H145" s="33" t="s">
        <v>6696</v>
      </c>
      <c r="I145" s="33" t="s">
        <v>46</v>
      </c>
      <c r="J145" s="33" t="s">
        <v>40</v>
      </c>
    </row>
    <row r="146" spans="1:12" s="33" customFormat="1" hidden="1" x14ac:dyDescent="0.3">
      <c r="A146" s="39">
        <v>46111.684594907405</v>
      </c>
      <c r="B146" s="33" t="s">
        <v>45</v>
      </c>
      <c r="C146" s="33">
        <v>44999689445</v>
      </c>
      <c r="E146" s="33">
        <v>87</v>
      </c>
      <c r="F146" s="33">
        <v>79</v>
      </c>
      <c r="G146" s="33" t="s">
        <v>38</v>
      </c>
      <c r="H146" s="33" t="s">
        <v>6697</v>
      </c>
      <c r="I146" s="33" t="s">
        <v>46</v>
      </c>
      <c r="J146" s="33" t="s">
        <v>40</v>
      </c>
    </row>
    <row r="147" spans="1:12" s="33" customFormat="1" hidden="1" x14ac:dyDescent="0.3">
      <c r="A147" s="39">
        <v>46111.684513888889</v>
      </c>
      <c r="B147" s="33" t="s">
        <v>45</v>
      </c>
      <c r="C147" s="33">
        <v>44999689445</v>
      </c>
      <c r="E147" s="33">
        <v>26</v>
      </c>
      <c r="F147" s="33">
        <v>25</v>
      </c>
      <c r="G147" s="33" t="s">
        <v>38</v>
      </c>
      <c r="H147" s="33" t="s">
        <v>6698</v>
      </c>
      <c r="I147" s="33" t="s">
        <v>46</v>
      </c>
      <c r="J147" s="33" t="s">
        <v>40</v>
      </c>
    </row>
    <row r="148" spans="1:12" s="33" customFormat="1" hidden="1" x14ac:dyDescent="0.3">
      <c r="A148" s="39">
        <v>46111.68445601852</v>
      </c>
      <c r="B148" s="33" t="s">
        <v>44</v>
      </c>
      <c r="C148" s="33">
        <v>4430141533</v>
      </c>
      <c r="E148" s="33">
        <v>1</v>
      </c>
      <c r="F148" s="33">
        <v>0</v>
      </c>
      <c r="G148" s="33" t="s">
        <v>47</v>
      </c>
      <c r="H148" s="33" t="s">
        <v>6699</v>
      </c>
      <c r="I148" s="33" t="s">
        <v>46</v>
      </c>
      <c r="J148" s="33" t="s">
        <v>40</v>
      </c>
    </row>
    <row r="149" spans="1:12" s="33" customFormat="1" hidden="1" x14ac:dyDescent="0.3">
      <c r="A149" s="39">
        <v>46111.684363425928</v>
      </c>
      <c r="B149" s="33" t="s">
        <v>44</v>
      </c>
      <c r="C149" s="33">
        <v>4430141533</v>
      </c>
      <c r="E149" s="33">
        <v>1</v>
      </c>
      <c r="F149" s="33">
        <v>0</v>
      </c>
      <c r="G149" s="33" t="s">
        <v>47</v>
      </c>
      <c r="H149" s="33" t="s">
        <v>6700</v>
      </c>
      <c r="I149" s="33" t="s">
        <v>46</v>
      </c>
      <c r="J149" s="33" t="s">
        <v>40</v>
      </c>
    </row>
    <row r="150" spans="1:12" s="33" customFormat="1" hidden="1" x14ac:dyDescent="0.3">
      <c r="A150" s="39">
        <v>46111.684212962966</v>
      </c>
      <c r="B150" s="33" t="s">
        <v>44</v>
      </c>
      <c r="C150" s="33">
        <v>4430141533</v>
      </c>
      <c r="E150" s="33">
        <v>25</v>
      </c>
      <c r="F150" s="33">
        <v>25</v>
      </c>
      <c r="G150" s="33" t="s">
        <v>38</v>
      </c>
      <c r="H150" s="33" t="s">
        <v>6701</v>
      </c>
      <c r="I150" s="33" t="s">
        <v>46</v>
      </c>
      <c r="J150" s="33" t="s">
        <v>40</v>
      </c>
    </row>
    <row r="151" spans="1:12" s="33" customFormat="1" hidden="1" x14ac:dyDescent="0.3">
      <c r="A151" s="39">
        <v>46111.684166666666</v>
      </c>
      <c r="B151" s="33" t="s">
        <v>45</v>
      </c>
      <c r="C151" s="33">
        <v>4436281154</v>
      </c>
      <c r="E151" s="33">
        <v>1</v>
      </c>
      <c r="F151" s="33">
        <v>0</v>
      </c>
      <c r="G151" s="33" t="s">
        <v>47</v>
      </c>
      <c r="H151" s="33" t="s">
        <v>6702</v>
      </c>
      <c r="I151" s="33" t="s">
        <v>46</v>
      </c>
      <c r="J151" s="33" t="s">
        <v>40</v>
      </c>
    </row>
    <row r="152" spans="1:12" s="33" customFormat="1" hidden="1" x14ac:dyDescent="0.3">
      <c r="A152" s="39">
        <v>46111.684155092589</v>
      </c>
      <c r="B152" s="33" t="s">
        <v>44</v>
      </c>
      <c r="C152" s="33">
        <v>4430141533</v>
      </c>
      <c r="E152" s="33">
        <v>0</v>
      </c>
      <c r="F152" s="33">
        <v>0</v>
      </c>
      <c r="G152" s="33" t="s">
        <v>47</v>
      </c>
      <c r="H152" s="33" t="s">
        <v>6703</v>
      </c>
      <c r="I152" s="33" t="s">
        <v>46</v>
      </c>
      <c r="J152" s="33" t="s">
        <v>40</v>
      </c>
    </row>
    <row r="153" spans="1:12" s="33" customFormat="1" hidden="1" x14ac:dyDescent="0.3">
      <c r="A153" s="39">
        <v>46111.68408564815</v>
      </c>
      <c r="B153" s="33" t="s">
        <v>44</v>
      </c>
      <c r="C153" s="33">
        <v>4430141533</v>
      </c>
      <c r="E153" s="33">
        <v>1</v>
      </c>
      <c r="F153" s="33">
        <v>0</v>
      </c>
      <c r="G153" s="33" t="s">
        <v>47</v>
      </c>
      <c r="H153" s="33" t="s">
        <v>6704</v>
      </c>
      <c r="I153" s="33" t="s">
        <v>46</v>
      </c>
      <c r="J153" s="33" t="s">
        <v>40</v>
      </c>
    </row>
    <row r="154" spans="1:12" s="33" customFormat="1" hidden="1" x14ac:dyDescent="0.3">
      <c r="A154" s="39">
        <v>46111.684062499997</v>
      </c>
      <c r="B154" s="33">
        <v>4121413772</v>
      </c>
      <c r="C154" s="33">
        <v>4430265054</v>
      </c>
      <c r="D154" s="33">
        <v>4430265054</v>
      </c>
      <c r="E154" s="33">
        <v>46</v>
      </c>
      <c r="F154" s="33">
        <v>46</v>
      </c>
      <c r="G154" s="33" t="s">
        <v>3449</v>
      </c>
      <c r="H154" s="33" t="s">
        <v>6705</v>
      </c>
      <c r="I154" s="33" t="s">
        <v>39</v>
      </c>
      <c r="J154" s="33" t="s">
        <v>3451</v>
      </c>
      <c r="K154" s="33" t="s">
        <v>41</v>
      </c>
    </row>
    <row r="155" spans="1:12" s="33" customFormat="1" hidden="1" x14ac:dyDescent="0.3">
      <c r="A155" s="39">
        <v>46111.684039351851</v>
      </c>
      <c r="B155" s="33" t="s">
        <v>45</v>
      </c>
      <c r="C155" s="33">
        <v>4436281154</v>
      </c>
      <c r="E155" s="33">
        <v>26</v>
      </c>
      <c r="F155" s="33">
        <v>25</v>
      </c>
      <c r="G155" s="33" t="s">
        <v>38</v>
      </c>
      <c r="H155" s="33" t="s">
        <v>6706</v>
      </c>
      <c r="I155" s="33" t="s">
        <v>46</v>
      </c>
      <c r="J155" s="33" t="s">
        <v>40</v>
      </c>
    </row>
    <row r="156" spans="1:12" s="33" customFormat="1" hidden="1" x14ac:dyDescent="0.3">
      <c r="A156" s="39">
        <v>46111.684027777781</v>
      </c>
      <c r="B156" s="33" t="s">
        <v>44</v>
      </c>
      <c r="C156" s="33">
        <v>4430141533</v>
      </c>
      <c r="E156" s="33">
        <v>1</v>
      </c>
      <c r="F156" s="33">
        <v>0</v>
      </c>
      <c r="G156" s="33" t="s">
        <v>47</v>
      </c>
      <c r="H156" s="33" t="s">
        <v>6707</v>
      </c>
      <c r="I156" s="33" t="s">
        <v>46</v>
      </c>
      <c r="J156" s="33" t="s">
        <v>40</v>
      </c>
    </row>
    <row r="157" spans="1:12" s="33" customFormat="1" hidden="1" x14ac:dyDescent="0.3">
      <c r="A157" s="39">
        <v>46111.683865740742</v>
      </c>
      <c r="B157" s="33" t="s">
        <v>44</v>
      </c>
      <c r="C157" s="33">
        <v>4430141533</v>
      </c>
      <c r="E157" s="33">
        <v>25</v>
      </c>
      <c r="F157" s="33">
        <v>25</v>
      </c>
      <c r="G157" s="33" t="s">
        <v>38</v>
      </c>
      <c r="H157" s="33" t="s">
        <v>6708</v>
      </c>
      <c r="I157" s="33" t="s">
        <v>46</v>
      </c>
      <c r="J157" s="33" t="s">
        <v>40</v>
      </c>
    </row>
    <row r="158" spans="1:12" s="33" customFormat="1" x14ac:dyDescent="0.3">
      <c r="A158" s="39">
        <v>46111.68277777778</v>
      </c>
      <c r="B158" s="33">
        <v>4532541802</v>
      </c>
      <c r="C158" s="33" t="s">
        <v>42</v>
      </c>
      <c r="D158" s="33">
        <v>4430265054</v>
      </c>
      <c r="E158" s="33">
        <v>618</v>
      </c>
      <c r="F158" s="33">
        <v>486</v>
      </c>
      <c r="G158" s="33" t="s">
        <v>38</v>
      </c>
      <c r="H158" s="33" t="s">
        <v>6709</v>
      </c>
      <c r="I158" s="33" t="s">
        <v>39</v>
      </c>
      <c r="J158" s="33" t="s">
        <v>40</v>
      </c>
      <c r="K158" s="33" t="s">
        <v>41</v>
      </c>
      <c r="L158" s="33">
        <v>5</v>
      </c>
    </row>
    <row r="159" spans="1:12" s="33" customFormat="1" hidden="1" x14ac:dyDescent="0.3">
      <c r="A159" s="39">
        <v>46111.679074074076</v>
      </c>
      <c r="B159" s="33" t="s">
        <v>43</v>
      </c>
      <c r="C159" s="33">
        <v>4434212150</v>
      </c>
      <c r="E159" s="33">
        <v>82</v>
      </c>
      <c r="F159" s="33">
        <v>76</v>
      </c>
      <c r="G159" s="33" t="s">
        <v>38</v>
      </c>
      <c r="H159" s="33" t="s">
        <v>6710</v>
      </c>
      <c r="I159" s="33" t="s">
        <v>46</v>
      </c>
      <c r="J159" s="33" t="s">
        <v>40</v>
      </c>
    </row>
    <row r="160" spans="1:12" s="33" customFormat="1" hidden="1" x14ac:dyDescent="0.3">
      <c r="A160" s="39">
        <v>46111.678888888891</v>
      </c>
      <c r="B160" s="33" t="s">
        <v>43</v>
      </c>
      <c r="C160" s="33">
        <v>4434212150</v>
      </c>
      <c r="E160" s="33">
        <v>26</v>
      </c>
      <c r="F160" s="33">
        <v>24</v>
      </c>
      <c r="G160" s="33" t="s">
        <v>38</v>
      </c>
      <c r="H160" s="33" t="s">
        <v>6711</v>
      </c>
      <c r="I160" s="33" t="s">
        <v>46</v>
      </c>
      <c r="J160" s="33" t="s">
        <v>40</v>
      </c>
    </row>
    <row r="161" spans="1:13" hidden="1" x14ac:dyDescent="0.3">
      <c r="A161" s="39">
        <v>46111.670590277776</v>
      </c>
      <c r="B161" s="33">
        <v>4121413772</v>
      </c>
      <c r="C161" s="33">
        <v>4531273165</v>
      </c>
      <c r="D161" s="33">
        <v>4531273165</v>
      </c>
      <c r="E161" s="33">
        <v>46</v>
      </c>
      <c r="F161" s="33">
        <v>46</v>
      </c>
      <c r="G161" s="33" t="s">
        <v>3449</v>
      </c>
      <c r="H161" s="33" t="s">
        <v>6712</v>
      </c>
      <c r="I161" s="33" t="s">
        <v>39</v>
      </c>
      <c r="J161" s="33" t="s">
        <v>3451</v>
      </c>
      <c r="K161" s="33" t="s">
        <v>41</v>
      </c>
      <c r="M161" s="33"/>
    </row>
    <row r="162" spans="1:13" hidden="1" x14ac:dyDescent="0.3">
      <c r="A162" s="39">
        <v>46111.669976851852</v>
      </c>
      <c r="B162" s="33">
        <v>4121413772</v>
      </c>
      <c r="C162" s="33">
        <v>4531273153</v>
      </c>
      <c r="D162" s="33">
        <v>4531273153</v>
      </c>
      <c r="E162" s="33">
        <v>46</v>
      </c>
      <c r="F162" s="33">
        <v>46</v>
      </c>
      <c r="G162" s="33" t="s">
        <v>3449</v>
      </c>
      <c r="H162" s="33" t="s">
        <v>6713</v>
      </c>
      <c r="I162" s="33" t="s">
        <v>39</v>
      </c>
      <c r="J162" s="33" t="s">
        <v>3451</v>
      </c>
      <c r="K162" s="33" t="s">
        <v>41</v>
      </c>
      <c r="M162" s="33"/>
    </row>
    <row r="163" spans="1:13" hidden="1" x14ac:dyDescent="0.3">
      <c r="A163" s="39">
        <v>46111.669016203705</v>
      </c>
      <c r="B163" s="33">
        <v>1128787060</v>
      </c>
      <c r="C163" s="33" t="s">
        <v>44</v>
      </c>
      <c r="D163" s="33">
        <v>4430265054</v>
      </c>
      <c r="E163" s="33">
        <v>468</v>
      </c>
      <c r="F163" s="33">
        <v>441</v>
      </c>
      <c r="G163" s="33" t="s">
        <v>38</v>
      </c>
      <c r="H163" s="33" t="s">
        <v>6714</v>
      </c>
      <c r="I163" s="33" t="s">
        <v>39</v>
      </c>
      <c r="J163" s="33" t="s">
        <v>40</v>
      </c>
      <c r="K163" s="33" t="s">
        <v>50</v>
      </c>
      <c r="M163" s="33"/>
    </row>
    <row r="164" spans="1:13" hidden="1" x14ac:dyDescent="0.3">
      <c r="A164" s="39">
        <v>46111.667696759258</v>
      </c>
      <c r="B164" s="33">
        <v>44991484476</v>
      </c>
      <c r="C164" s="33" t="s">
        <v>45</v>
      </c>
      <c r="D164" s="33">
        <v>4430265054</v>
      </c>
      <c r="E164" s="33">
        <v>159</v>
      </c>
      <c r="F164" s="33">
        <v>139</v>
      </c>
      <c r="G164" s="33" t="s">
        <v>38</v>
      </c>
      <c r="H164" s="33" t="s">
        <v>6715</v>
      </c>
      <c r="I164" s="33" t="s">
        <v>39</v>
      </c>
      <c r="J164" s="33" t="s">
        <v>40</v>
      </c>
      <c r="K164" s="33" t="s">
        <v>41</v>
      </c>
      <c r="M164" s="33"/>
    </row>
    <row r="165" spans="1:13" hidden="1" x14ac:dyDescent="0.3">
      <c r="A165" s="39">
        <v>46111.666377314818</v>
      </c>
      <c r="B165" s="33">
        <v>4436291629</v>
      </c>
      <c r="C165" s="33" t="s">
        <v>48</v>
      </c>
      <c r="D165" s="33">
        <v>4430265054</v>
      </c>
      <c r="E165" s="33">
        <v>382</v>
      </c>
      <c r="F165" s="33">
        <v>381</v>
      </c>
      <c r="G165" s="33" t="s">
        <v>38</v>
      </c>
      <c r="H165" s="33" t="s">
        <v>6716</v>
      </c>
      <c r="I165" s="33" t="s">
        <v>39</v>
      </c>
      <c r="J165" s="33" t="s">
        <v>40</v>
      </c>
      <c r="K165" s="33" t="s">
        <v>41</v>
      </c>
      <c r="M165" s="33"/>
    </row>
    <row r="166" spans="1:13" hidden="1" x14ac:dyDescent="0.3">
      <c r="A166" s="39">
        <v>46111.666064814817</v>
      </c>
      <c r="B166" s="33">
        <v>4430191928</v>
      </c>
      <c r="C166" s="33">
        <v>4430265054</v>
      </c>
      <c r="D166" s="33">
        <v>4430265054</v>
      </c>
      <c r="E166" s="33">
        <v>14</v>
      </c>
      <c r="F166" s="33">
        <v>13</v>
      </c>
      <c r="G166" s="33" t="s">
        <v>3449</v>
      </c>
      <c r="H166" s="33" t="s">
        <v>6717</v>
      </c>
      <c r="I166" s="33" t="s">
        <v>39</v>
      </c>
      <c r="J166" s="33" t="s">
        <v>3451</v>
      </c>
      <c r="M166" s="33"/>
    </row>
    <row r="167" spans="1:13" hidden="1" x14ac:dyDescent="0.3">
      <c r="A167" s="39">
        <v>46111.665891203702</v>
      </c>
      <c r="B167" s="33">
        <v>1128897100</v>
      </c>
      <c r="C167" s="33" t="s">
        <v>43</v>
      </c>
      <c r="D167" s="33">
        <v>4430265054</v>
      </c>
      <c r="E167" s="33">
        <v>261</v>
      </c>
      <c r="F167" s="33">
        <v>239</v>
      </c>
      <c r="G167" s="33" t="s">
        <v>38</v>
      </c>
      <c r="H167" s="33" t="s">
        <v>6718</v>
      </c>
      <c r="I167" s="33" t="s">
        <v>39</v>
      </c>
      <c r="J167" s="33" t="s">
        <v>40</v>
      </c>
      <c r="K167" s="33" t="s">
        <v>50</v>
      </c>
      <c r="M167" s="33"/>
    </row>
    <row r="168" spans="1:13" hidden="1" x14ac:dyDescent="0.3">
      <c r="A168" s="39">
        <v>46111.658726851849</v>
      </c>
      <c r="B168" s="33" t="s">
        <v>37</v>
      </c>
      <c r="C168" s="33">
        <v>44999670264</v>
      </c>
      <c r="E168" s="33">
        <v>1953</v>
      </c>
      <c r="F168" s="33">
        <v>1941</v>
      </c>
      <c r="G168" s="33" t="s">
        <v>38</v>
      </c>
      <c r="H168" s="33" t="s">
        <v>6719</v>
      </c>
      <c r="I168" s="33" t="s">
        <v>46</v>
      </c>
      <c r="J168" s="33" t="s">
        <v>40</v>
      </c>
      <c r="L168" s="33">
        <v>5</v>
      </c>
      <c r="M168" s="33"/>
    </row>
    <row r="169" spans="1:13" hidden="1" x14ac:dyDescent="0.3">
      <c r="A169" s="39">
        <v>46111.658449074072</v>
      </c>
      <c r="B169" s="33">
        <v>62994086124</v>
      </c>
      <c r="C169" s="33" t="s">
        <v>45</v>
      </c>
      <c r="D169" s="33">
        <v>4430265054</v>
      </c>
      <c r="E169" s="33">
        <v>212</v>
      </c>
      <c r="F169" s="33">
        <v>169</v>
      </c>
      <c r="G169" s="33" t="s">
        <v>38</v>
      </c>
      <c r="H169" s="33" t="s">
        <v>6720</v>
      </c>
      <c r="I169" s="33" t="s">
        <v>39</v>
      </c>
      <c r="J169" s="33" t="s">
        <v>40</v>
      </c>
      <c r="K169" s="33" t="s">
        <v>41</v>
      </c>
      <c r="L169" s="37">
        <v>5</v>
      </c>
      <c r="M169" s="36" t="s">
        <v>9493</v>
      </c>
    </row>
    <row r="170" spans="1:13" hidden="1" x14ac:dyDescent="0.3">
      <c r="A170" s="39">
        <v>46111.65697916667</v>
      </c>
      <c r="B170" s="33" t="s">
        <v>42</v>
      </c>
      <c r="C170" s="33">
        <v>4430315826</v>
      </c>
      <c r="E170" s="33">
        <v>105</v>
      </c>
      <c r="F170" s="33">
        <v>93</v>
      </c>
      <c r="G170" s="33" t="s">
        <v>38</v>
      </c>
      <c r="H170" s="33" t="s">
        <v>6721</v>
      </c>
      <c r="I170" s="33" t="s">
        <v>46</v>
      </c>
      <c r="J170" s="33" t="s">
        <v>40</v>
      </c>
      <c r="M170" s="33"/>
    </row>
    <row r="171" spans="1:13" hidden="1" x14ac:dyDescent="0.3">
      <c r="A171" s="39">
        <v>46111.656863425924</v>
      </c>
      <c r="B171" s="33">
        <v>62994086124</v>
      </c>
      <c r="C171" s="33" t="s">
        <v>37</v>
      </c>
      <c r="D171" s="33">
        <v>4430265054</v>
      </c>
      <c r="E171" s="33">
        <v>129</v>
      </c>
      <c r="F171" s="33">
        <v>8</v>
      </c>
      <c r="G171" s="33" t="s">
        <v>38</v>
      </c>
      <c r="H171" s="33" t="s">
        <v>6722</v>
      </c>
      <c r="I171" s="33" t="s">
        <v>39</v>
      </c>
      <c r="J171" s="33" t="s">
        <v>40</v>
      </c>
      <c r="K171" s="33" t="s">
        <v>41</v>
      </c>
      <c r="M171" s="33"/>
    </row>
    <row r="172" spans="1:13" hidden="1" x14ac:dyDescent="0.3">
      <c r="A172" s="39">
        <v>46111.656805555554</v>
      </c>
      <c r="B172" s="33" t="s">
        <v>42</v>
      </c>
      <c r="C172" s="33">
        <v>4430315826</v>
      </c>
      <c r="E172" s="33">
        <v>1</v>
      </c>
      <c r="F172" s="33">
        <v>0</v>
      </c>
      <c r="G172" s="33" t="s">
        <v>47</v>
      </c>
      <c r="H172" s="33" t="s">
        <v>6723</v>
      </c>
      <c r="I172" s="33" t="s">
        <v>46</v>
      </c>
      <c r="J172" s="33" t="s">
        <v>40</v>
      </c>
      <c r="M172" s="33"/>
    </row>
    <row r="173" spans="1:13" hidden="1" x14ac:dyDescent="0.3">
      <c r="A173" s="39">
        <v>46111.656747685185</v>
      </c>
      <c r="B173" s="33" t="s">
        <v>42</v>
      </c>
      <c r="C173" s="33">
        <v>4430315826</v>
      </c>
      <c r="E173" s="33">
        <v>1</v>
      </c>
      <c r="F173" s="33">
        <v>0</v>
      </c>
      <c r="G173" s="33" t="s">
        <v>47</v>
      </c>
      <c r="H173" s="33" t="s">
        <v>6724</v>
      </c>
      <c r="I173" s="33" t="s">
        <v>46</v>
      </c>
      <c r="J173" s="33" t="s">
        <v>40</v>
      </c>
      <c r="M173" s="33"/>
    </row>
    <row r="174" spans="1:13" hidden="1" x14ac:dyDescent="0.3">
      <c r="A174" s="39">
        <v>46111.656689814816</v>
      </c>
      <c r="B174" s="33" t="s">
        <v>42</v>
      </c>
      <c r="C174" s="33">
        <v>4430315826</v>
      </c>
      <c r="E174" s="33">
        <v>1</v>
      </c>
      <c r="F174" s="33">
        <v>0</v>
      </c>
      <c r="G174" s="33" t="s">
        <v>47</v>
      </c>
      <c r="H174" s="33" t="s">
        <v>6725</v>
      </c>
      <c r="I174" s="33" t="s">
        <v>46</v>
      </c>
      <c r="J174" s="33" t="s">
        <v>40</v>
      </c>
      <c r="M174" s="33"/>
    </row>
    <row r="175" spans="1:13" hidden="1" x14ac:dyDescent="0.3">
      <c r="A175" s="39">
        <v>46111.655497685184</v>
      </c>
      <c r="B175" s="33" t="s">
        <v>42</v>
      </c>
      <c r="C175" s="33">
        <v>4430315826</v>
      </c>
      <c r="E175" s="33">
        <v>128</v>
      </c>
      <c r="F175" s="33">
        <v>114</v>
      </c>
      <c r="G175" s="33" t="s">
        <v>38</v>
      </c>
      <c r="H175" s="33" t="s">
        <v>6726</v>
      </c>
      <c r="I175" s="33" t="s">
        <v>46</v>
      </c>
      <c r="J175" s="33" t="s">
        <v>40</v>
      </c>
      <c r="M175" s="33"/>
    </row>
    <row r="176" spans="1:13" hidden="1" x14ac:dyDescent="0.3">
      <c r="A176" s="39">
        <v>46111.655243055553</v>
      </c>
      <c r="B176" s="33" t="s">
        <v>42</v>
      </c>
      <c r="C176" s="33">
        <v>44999457840</v>
      </c>
      <c r="E176" s="33">
        <v>34</v>
      </c>
      <c r="F176" s="33">
        <v>25</v>
      </c>
      <c r="G176" s="33" t="s">
        <v>38</v>
      </c>
      <c r="H176" s="33" t="s">
        <v>6727</v>
      </c>
      <c r="I176" s="33" t="s">
        <v>46</v>
      </c>
      <c r="J176" s="33" t="s">
        <v>40</v>
      </c>
      <c r="M176" s="33"/>
    </row>
    <row r="177" spans="1:12" s="33" customFormat="1" hidden="1" x14ac:dyDescent="0.3">
      <c r="A177" s="39">
        <v>46111.655092592591</v>
      </c>
      <c r="B177" s="33" t="s">
        <v>42</v>
      </c>
      <c r="C177" s="33">
        <v>44999457840</v>
      </c>
      <c r="E177" s="33">
        <v>26</v>
      </c>
      <c r="F177" s="33">
        <v>25</v>
      </c>
      <c r="G177" s="33" t="s">
        <v>38</v>
      </c>
      <c r="H177" s="33" t="s">
        <v>6728</v>
      </c>
      <c r="I177" s="33" t="s">
        <v>46</v>
      </c>
      <c r="J177" s="33" t="s">
        <v>40</v>
      </c>
    </row>
    <row r="178" spans="1:12" s="33" customFormat="1" hidden="1" x14ac:dyDescent="0.3">
      <c r="A178" s="39">
        <v>46111.653865740744</v>
      </c>
      <c r="B178" s="33">
        <v>4430191617</v>
      </c>
      <c r="C178" s="33">
        <v>4430265054</v>
      </c>
      <c r="D178" s="33">
        <v>4430265054</v>
      </c>
      <c r="E178" s="33">
        <v>81</v>
      </c>
      <c r="F178" s="33">
        <v>80</v>
      </c>
      <c r="G178" s="33" t="s">
        <v>3449</v>
      </c>
      <c r="H178" s="33" t="s">
        <v>6729</v>
      </c>
      <c r="I178" s="33" t="s">
        <v>39</v>
      </c>
      <c r="J178" s="33" t="s">
        <v>3451</v>
      </c>
      <c r="K178" s="33" t="s">
        <v>41</v>
      </c>
    </row>
    <row r="179" spans="1:12" s="33" customFormat="1" hidden="1" x14ac:dyDescent="0.3">
      <c r="A179" s="39">
        <v>46111.647129629629</v>
      </c>
      <c r="B179" s="33">
        <v>44997687156</v>
      </c>
      <c r="C179" s="33">
        <v>4430265054</v>
      </c>
      <c r="D179" s="33">
        <v>4430265054</v>
      </c>
      <c r="E179" s="33">
        <v>9</v>
      </c>
      <c r="F179" s="33">
        <v>8</v>
      </c>
      <c r="G179" s="33" t="s">
        <v>3449</v>
      </c>
      <c r="H179" s="33" t="s">
        <v>6730</v>
      </c>
      <c r="I179" s="33" t="s">
        <v>39</v>
      </c>
      <c r="J179" s="33" t="s">
        <v>3451</v>
      </c>
    </row>
    <row r="180" spans="1:12" s="33" customFormat="1" hidden="1" x14ac:dyDescent="0.3">
      <c r="A180" s="39">
        <v>46111.640543981484</v>
      </c>
      <c r="B180" s="33">
        <v>44991388221</v>
      </c>
      <c r="C180" s="33" t="s">
        <v>44</v>
      </c>
      <c r="D180" s="33">
        <v>4430265054</v>
      </c>
      <c r="E180" s="33">
        <v>196</v>
      </c>
      <c r="F180" s="33">
        <v>134</v>
      </c>
      <c r="G180" s="33" t="s">
        <v>38</v>
      </c>
      <c r="H180" s="33" t="s">
        <v>6731</v>
      </c>
      <c r="I180" s="33" t="s">
        <v>39</v>
      </c>
      <c r="J180" s="33" t="s">
        <v>40</v>
      </c>
      <c r="K180" s="33" t="s">
        <v>41</v>
      </c>
    </row>
    <row r="181" spans="1:12" s="33" customFormat="1" hidden="1" x14ac:dyDescent="0.3">
      <c r="A181" s="39">
        <v>46111.640277777777</v>
      </c>
      <c r="B181" s="33">
        <v>4436291629</v>
      </c>
      <c r="C181" s="33" t="s">
        <v>45</v>
      </c>
      <c r="D181" s="33">
        <v>4430265054</v>
      </c>
      <c r="E181" s="33">
        <v>106</v>
      </c>
      <c r="F181" s="33">
        <v>34</v>
      </c>
      <c r="G181" s="33" t="s">
        <v>38</v>
      </c>
      <c r="H181" s="33" t="s">
        <v>6732</v>
      </c>
      <c r="I181" s="33" t="s">
        <v>39</v>
      </c>
      <c r="J181" s="33" t="s">
        <v>40</v>
      </c>
      <c r="K181" s="33" t="s">
        <v>41</v>
      </c>
    </row>
    <row r="182" spans="1:12" s="33" customFormat="1" hidden="1" x14ac:dyDescent="0.3">
      <c r="A182" s="39">
        <v>46111.638437499998</v>
      </c>
      <c r="B182" s="33">
        <v>11990144272</v>
      </c>
      <c r="C182" s="33" t="s">
        <v>43</v>
      </c>
      <c r="D182" s="33">
        <v>4431268225</v>
      </c>
      <c r="E182" s="33">
        <v>1199</v>
      </c>
      <c r="F182" s="33">
        <v>1162</v>
      </c>
      <c r="G182" s="33" t="s">
        <v>38</v>
      </c>
      <c r="H182" s="33" t="s">
        <v>6733</v>
      </c>
      <c r="I182" s="33" t="s">
        <v>39</v>
      </c>
      <c r="J182" s="33" t="s">
        <v>40</v>
      </c>
      <c r="K182" s="33" t="s">
        <v>41</v>
      </c>
    </row>
    <row r="183" spans="1:12" s="33" customFormat="1" x14ac:dyDescent="0.3">
      <c r="A183" s="39">
        <v>46111.631608796299</v>
      </c>
      <c r="B183" s="33">
        <v>43999317663</v>
      </c>
      <c r="C183" s="33" t="s">
        <v>42</v>
      </c>
      <c r="D183" s="33">
        <v>4430265054</v>
      </c>
      <c r="E183" s="33">
        <v>831</v>
      </c>
      <c r="F183" s="33">
        <v>648</v>
      </c>
      <c r="G183" s="33" t="s">
        <v>38</v>
      </c>
      <c r="H183" s="33" t="s">
        <v>6734</v>
      </c>
      <c r="I183" s="33" t="s">
        <v>39</v>
      </c>
      <c r="J183" s="33" t="s">
        <v>40</v>
      </c>
      <c r="K183" s="33" t="s">
        <v>41</v>
      </c>
      <c r="L183" s="33">
        <v>5</v>
      </c>
    </row>
    <row r="184" spans="1:12" s="33" customFormat="1" hidden="1" x14ac:dyDescent="0.3">
      <c r="A184" s="39">
        <v>46111.624907407408</v>
      </c>
      <c r="B184" s="33">
        <v>4334726613</v>
      </c>
      <c r="C184" s="33">
        <v>4430265054</v>
      </c>
      <c r="D184" s="33">
        <v>4430265054</v>
      </c>
      <c r="E184" s="33">
        <v>10</v>
      </c>
      <c r="F184" s="33">
        <v>9</v>
      </c>
      <c r="G184" s="33" t="s">
        <v>3449</v>
      </c>
      <c r="H184" s="33" t="s">
        <v>6735</v>
      </c>
      <c r="I184" s="33" t="s">
        <v>39</v>
      </c>
      <c r="J184" s="33" t="s">
        <v>3451</v>
      </c>
    </row>
    <row r="185" spans="1:12" s="33" customFormat="1" hidden="1" x14ac:dyDescent="0.3">
      <c r="A185" s="39">
        <v>46111.622685185182</v>
      </c>
      <c r="B185" s="33">
        <v>4135007070</v>
      </c>
      <c r="C185" s="33">
        <v>4430265054</v>
      </c>
      <c r="D185" s="33">
        <v>4430265054</v>
      </c>
      <c r="E185" s="33">
        <v>7</v>
      </c>
      <c r="F185" s="33">
        <v>6</v>
      </c>
      <c r="G185" s="33" t="s">
        <v>3449</v>
      </c>
      <c r="H185" s="33" t="s">
        <v>6736</v>
      </c>
      <c r="I185" s="33" t="s">
        <v>39</v>
      </c>
      <c r="J185" s="33" t="s">
        <v>3451</v>
      </c>
    </row>
    <row r="186" spans="1:12" s="33" customFormat="1" hidden="1" x14ac:dyDescent="0.3">
      <c r="A186" s="39">
        <v>46111.619872685187</v>
      </c>
      <c r="B186" s="33">
        <v>44984241715</v>
      </c>
      <c r="C186" s="33" t="s">
        <v>43</v>
      </c>
      <c r="D186" s="33">
        <v>4430265054</v>
      </c>
      <c r="E186" s="33">
        <v>333</v>
      </c>
      <c r="F186" s="33">
        <v>194</v>
      </c>
      <c r="G186" s="33" t="s">
        <v>38</v>
      </c>
      <c r="H186" s="33" t="s">
        <v>6737</v>
      </c>
      <c r="I186" s="33" t="s">
        <v>39</v>
      </c>
      <c r="J186" s="33" t="s">
        <v>40</v>
      </c>
      <c r="K186" s="33" t="s">
        <v>41</v>
      </c>
    </row>
    <row r="187" spans="1:12" s="33" customFormat="1" hidden="1" x14ac:dyDescent="0.3">
      <c r="A187" s="39">
        <v>46111.61917824074</v>
      </c>
      <c r="B187" s="33">
        <v>43999746069</v>
      </c>
      <c r="C187" s="33" t="s">
        <v>45</v>
      </c>
      <c r="D187" s="33">
        <v>4430265054</v>
      </c>
      <c r="E187" s="33">
        <v>465</v>
      </c>
      <c r="F187" s="33">
        <v>422</v>
      </c>
      <c r="G187" s="33" t="s">
        <v>38</v>
      </c>
      <c r="H187" s="33" t="s">
        <v>6738</v>
      </c>
      <c r="I187" s="33" t="s">
        <v>39</v>
      </c>
      <c r="J187" s="33" t="s">
        <v>40</v>
      </c>
      <c r="K187" s="33" t="s">
        <v>41</v>
      </c>
      <c r="L187" s="33">
        <v>5</v>
      </c>
    </row>
    <row r="188" spans="1:12" s="33" customFormat="1" hidden="1" x14ac:dyDescent="0.3">
      <c r="A188" s="39">
        <v>46111.613576388889</v>
      </c>
      <c r="B188" s="33">
        <v>4330333558</v>
      </c>
      <c r="C188" s="33">
        <v>4430265054</v>
      </c>
      <c r="D188" s="33">
        <v>4430265054</v>
      </c>
      <c r="E188" s="33">
        <v>47</v>
      </c>
      <c r="F188" s="33">
        <v>46</v>
      </c>
      <c r="G188" s="33" t="s">
        <v>3449</v>
      </c>
      <c r="H188" s="33" t="s">
        <v>6739</v>
      </c>
      <c r="I188" s="33" t="s">
        <v>39</v>
      </c>
      <c r="J188" s="33" t="s">
        <v>3451</v>
      </c>
      <c r="K188" s="33" t="s">
        <v>41</v>
      </c>
    </row>
    <row r="189" spans="1:12" s="33" customFormat="1" hidden="1" x14ac:dyDescent="0.3">
      <c r="A189" s="39">
        <v>46111.613240740742</v>
      </c>
      <c r="B189" s="33">
        <v>45999773578</v>
      </c>
      <c r="C189" s="33" t="s">
        <v>45</v>
      </c>
      <c r="D189" s="33">
        <v>4430265054</v>
      </c>
      <c r="E189" s="33">
        <v>446</v>
      </c>
      <c r="F189" s="33">
        <v>398</v>
      </c>
      <c r="G189" s="33" t="s">
        <v>38</v>
      </c>
      <c r="H189" s="33" t="s">
        <v>6740</v>
      </c>
      <c r="I189" s="33" t="s">
        <v>39</v>
      </c>
      <c r="J189" s="33" t="s">
        <v>40</v>
      </c>
      <c r="K189" s="33" t="s">
        <v>41</v>
      </c>
    </row>
    <row r="190" spans="1:12" s="33" customFormat="1" hidden="1" x14ac:dyDescent="0.3">
      <c r="A190" s="39">
        <v>46111.608935185184</v>
      </c>
      <c r="B190" s="33" t="s">
        <v>45</v>
      </c>
      <c r="C190" s="33">
        <v>44998437682</v>
      </c>
      <c r="E190" s="33">
        <v>449</v>
      </c>
      <c r="F190" s="33">
        <v>431</v>
      </c>
      <c r="G190" s="33" t="s">
        <v>38</v>
      </c>
      <c r="H190" s="33" t="s">
        <v>6741</v>
      </c>
      <c r="I190" s="33" t="s">
        <v>46</v>
      </c>
      <c r="J190" s="33" t="s">
        <v>40</v>
      </c>
      <c r="L190" s="33">
        <v>5</v>
      </c>
    </row>
    <row r="191" spans="1:12" s="33" customFormat="1" hidden="1" x14ac:dyDescent="0.3">
      <c r="A191" s="39">
        <v>46111.608796296299</v>
      </c>
      <c r="B191" s="33" t="s">
        <v>45</v>
      </c>
      <c r="C191" s="33">
        <v>44998437682</v>
      </c>
      <c r="E191" s="33">
        <v>25</v>
      </c>
      <c r="F191" s="33">
        <v>25</v>
      </c>
      <c r="G191" s="33" t="s">
        <v>38</v>
      </c>
      <c r="H191" s="33" t="s">
        <v>6742</v>
      </c>
      <c r="I191" s="33" t="s">
        <v>46</v>
      </c>
      <c r="J191" s="33" t="s">
        <v>40</v>
      </c>
    </row>
    <row r="192" spans="1:12" s="33" customFormat="1" hidden="1" x14ac:dyDescent="0.3">
      <c r="A192" s="39">
        <v>46111.606574074074</v>
      </c>
      <c r="B192" s="33">
        <v>44999457840</v>
      </c>
      <c r="C192" s="33" t="s">
        <v>42</v>
      </c>
      <c r="D192" s="33">
        <v>4430265054</v>
      </c>
      <c r="E192" s="33">
        <v>1013</v>
      </c>
      <c r="F192" s="33">
        <v>892</v>
      </c>
      <c r="G192" s="33" t="s">
        <v>38</v>
      </c>
      <c r="H192" s="33" t="s">
        <v>6743</v>
      </c>
      <c r="I192" s="33" t="s">
        <v>39</v>
      </c>
      <c r="J192" s="33" t="s">
        <v>40</v>
      </c>
      <c r="K192" s="33" t="s">
        <v>41</v>
      </c>
    </row>
    <row r="193" spans="1:12" s="33" customFormat="1" hidden="1" x14ac:dyDescent="0.3">
      <c r="A193" s="39">
        <v>46111.604861111111</v>
      </c>
      <c r="B193" s="33" t="s">
        <v>45</v>
      </c>
      <c r="C193" s="33">
        <v>45999773578</v>
      </c>
      <c r="E193" s="33">
        <v>37</v>
      </c>
      <c r="F193" s="33">
        <v>0</v>
      </c>
      <c r="G193" s="33" t="s">
        <v>47</v>
      </c>
      <c r="H193" s="33" t="s">
        <v>6744</v>
      </c>
      <c r="I193" s="33" t="s">
        <v>46</v>
      </c>
      <c r="J193" s="33" t="s">
        <v>40</v>
      </c>
    </row>
    <row r="194" spans="1:12" s="33" customFormat="1" hidden="1" x14ac:dyDescent="0.3">
      <c r="A194" s="39">
        <v>46111.60423611111</v>
      </c>
      <c r="B194" s="33" t="s">
        <v>45</v>
      </c>
      <c r="C194" s="33">
        <v>45999773578</v>
      </c>
      <c r="E194" s="33">
        <v>50</v>
      </c>
      <c r="F194" s="33">
        <v>0</v>
      </c>
      <c r="G194" s="33" t="s">
        <v>47</v>
      </c>
      <c r="H194" s="33" t="s">
        <v>6745</v>
      </c>
      <c r="I194" s="33" t="s">
        <v>46</v>
      </c>
      <c r="J194" s="33" t="s">
        <v>40</v>
      </c>
    </row>
    <row r="195" spans="1:12" s="33" customFormat="1" hidden="1" x14ac:dyDescent="0.3">
      <c r="A195" s="39">
        <v>46111.601203703707</v>
      </c>
      <c r="B195" s="33" t="s">
        <v>5173</v>
      </c>
      <c r="C195" s="33">
        <v>4334232912</v>
      </c>
      <c r="E195" s="33">
        <v>530</v>
      </c>
      <c r="F195" s="33">
        <v>518</v>
      </c>
      <c r="G195" s="33" t="s">
        <v>38</v>
      </c>
      <c r="H195" s="33" t="s">
        <v>6746</v>
      </c>
      <c r="I195" s="33" t="s">
        <v>46</v>
      </c>
      <c r="J195" s="33" t="s">
        <v>3629</v>
      </c>
    </row>
    <row r="196" spans="1:12" s="33" customFormat="1" x14ac:dyDescent="0.3">
      <c r="A196" s="39">
        <v>46111.59547453704</v>
      </c>
      <c r="B196" s="33">
        <v>4331622700</v>
      </c>
      <c r="C196" s="33" t="s">
        <v>42</v>
      </c>
      <c r="D196" s="33">
        <v>4430265054</v>
      </c>
      <c r="E196" s="33">
        <v>653</v>
      </c>
      <c r="F196" s="33">
        <v>637</v>
      </c>
      <c r="G196" s="33" t="s">
        <v>38</v>
      </c>
      <c r="H196" s="33" t="s">
        <v>6747</v>
      </c>
      <c r="I196" s="33" t="s">
        <v>39</v>
      </c>
      <c r="J196" s="33" t="s">
        <v>40</v>
      </c>
      <c r="K196" s="33" t="s">
        <v>41</v>
      </c>
      <c r="L196" s="33">
        <v>5</v>
      </c>
    </row>
    <row r="197" spans="1:12" s="33" customFormat="1" hidden="1" x14ac:dyDescent="0.3">
      <c r="A197" s="39">
        <v>46111.589745370373</v>
      </c>
      <c r="B197" s="33">
        <v>44991814587</v>
      </c>
      <c r="C197" s="33" t="s">
        <v>37</v>
      </c>
      <c r="D197" s="33">
        <v>4430265054</v>
      </c>
      <c r="E197" s="33">
        <v>1033</v>
      </c>
      <c r="F197" s="33">
        <v>803</v>
      </c>
      <c r="G197" s="33" t="s">
        <v>38</v>
      </c>
      <c r="H197" s="33" t="s">
        <v>6748</v>
      </c>
      <c r="I197" s="33" t="s">
        <v>39</v>
      </c>
      <c r="J197" s="33" t="s">
        <v>40</v>
      </c>
      <c r="K197" s="33" t="s">
        <v>41</v>
      </c>
    </row>
    <row r="198" spans="1:12" s="33" customFormat="1" hidden="1" x14ac:dyDescent="0.3">
      <c r="A198" s="39">
        <v>46111.589166666665</v>
      </c>
      <c r="B198" s="33">
        <v>41996631918</v>
      </c>
      <c r="C198" s="33" t="s">
        <v>44</v>
      </c>
      <c r="D198" s="33">
        <v>4430265054</v>
      </c>
      <c r="E198" s="33">
        <v>863</v>
      </c>
      <c r="F198" s="33">
        <v>819</v>
      </c>
      <c r="G198" s="33" t="s">
        <v>38</v>
      </c>
      <c r="H198" s="33" t="s">
        <v>6749</v>
      </c>
      <c r="I198" s="33" t="s">
        <v>39</v>
      </c>
      <c r="J198" s="33" t="s">
        <v>40</v>
      </c>
      <c r="K198" s="33" t="s">
        <v>41</v>
      </c>
    </row>
    <row r="199" spans="1:12" s="33" customFormat="1" hidden="1" x14ac:dyDescent="0.3">
      <c r="A199" s="39">
        <v>46111.585694444446</v>
      </c>
      <c r="B199" s="33">
        <v>4331622700</v>
      </c>
      <c r="C199" s="33" t="s">
        <v>43</v>
      </c>
      <c r="D199" s="33">
        <v>4430265054</v>
      </c>
      <c r="E199" s="33">
        <v>212</v>
      </c>
      <c r="F199" s="33">
        <v>166</v>
      </c>
      <c r="G199" s="33" t="s">
        <v>38</v>
      </c>
      <c r="H199" s="33" t="s">
        <v>6750</v>
      </c>
      <c r="I199" s="33" t="s">
        <v>39</v>
      </c>
      <c r="J199" s="33" t="s">
        <v>40</v>
      </c>
      <c r="K199" s="33" t="s">
        <v>41</v>
      </c>
    </row>
    <row r="200" spans="1:12" s="33" customFormat="1" hidden="1" x14ac:dyDescent="0.3">
      <c r="A200" s="39">
        <v>46111.585231481484</v>
      </c>
      <c r="B200" s="33">
        <v>44999646909</v>
      </c>
      <c r="C200" s="33" t="s">
        <v>42</v>
      </c>
      <c r="D200" s="33">
        <v>4430265054</v>
      </c>
      <c r="E200" s="33">
        <v>739</v>
      </c>
      <c r="F200" s="33">
        <v>716</v>
      </c>
      <c r="G200" s="33" t="s">
        <v>38</v>
      </c>
      <c r="H200" s="33" t="s">
        <v>6751</v>
      </c>
      <c r="I200" s="33" t="s">
        <v>39</v>
      </c>
      <c r="J200" s="33" t="s">
        <v>40</v>
      </c>
      <c r="K200" s="33" t="s">
        <v>41</v>
      </c>
    </row>
    <row r="201" spans="1:12" s="33" customFormat="1" hidden="1" x14ac:dyDescent="0.3">
      <c r="A201" s="39">
        <v>46111.578356481485</v>
      </c>
      <c r="B201" s="33" t="s">
        <v>42</v>
      </c>
      <c r="C201" s="33">
        <v>4331622700</v>
      </c>
      <c r="E201" s="33">
        <v>68</v>
      </c>
      <c r="F201" s="33">
        <v>65</v>
      </c>
      <c r="G201" s="33" t="s">
        <v>38</v>
      </c>
      <c r="H201" s="33" t="s">
        <v>6752</v>
      </c>
      <c r="I201" s="33" t="s">
        <v>46</v>
      </c>
      <c r="J201" s="33" t="s">
        <v>40</v>
      </c>
    </row>
    <row r="202" spans="1:12" s="33" customFormat="1" hidden="1" x14ac:dyDescent="0.3">
      <c r="A202" s="39">
        <v>46111.578310185185</v>
      </c>
      <c r="B202" s="33" t="s">
        <v>42</v>
      </c>
      <c r="C202" s="33">
        <v>45999773578</v>
      </c>
      <c r="E202" s="33">
        <v>1</v>
      </c>
      <c r="F202" s="33">
        <v>0</v>
      </c>
      <c r="G202" s="33" t="s">
        <v>47</v>
      </c>
      <c r="H202" s="33" t="s">
        <v>6753</v>
      </c>
      <c r="I202" s="33" t="s">
        <v>46</v>
      </c>
      <c r="J202" s="33" t="s">
        <v>40</v>
      </c>
    </row>
    <row r="203" spans="1:12" s="33" customFormat="1" hidden="1" x14ac:dyDescent="0.3">
      <c r="A203" s="39">
        <v>46111.577986111108</v>
      </c>
      <c r="B203" s="33">
        <v>45999773578</v>
      </c>
      <c r="C203" s="33" t="s">
        <v>45</v>
      </c>
      <c r="D203" s="33">
        <v>4430265054</v>
      </c>
      <c r="E203" s="33">
        <v>1554</v>
      </c>
      <c r="F203" s="33">
        <v>1527</v>
      </c>
      <c r="G203" s="33" t="s">
        <v>38</v>
      </c>
      <c r="H203" s="33" t="s">
        <v>6754</v>
      </c>
      <c r="I203" s="33" t="s">
        <v>39</v>
      </c>
      <c r="J203" s="33" t="s">
        <v>40</v>
      </c>
      <c r="K203" s="33" t="s">
        <v>41</v>
      </c>
    </row>
    <row r="204" spans="1:12" s="33" customFormat="1" hidden="1" x14ac:dyDescent="0.3">
      <c r="A204" s="39">
        <v>46111.577372685184</v>
      </c>
      <c r="B204" s="33" t="s">
        <v>42</v>
      </c>
      <c r="C204" s="33">
        <v>4331622700</v>
      </c>
      <c r="E204" s="33">
        <v>68</v>
      </c>
      <c r="F204" s="33">
        <v>64</v>
      </c>
      <c r="G204" s="33" t="s">
        <v>38</v>
      </c>
      <c r="H204" s="33" t="s">
        <v>6755</v>
      </c>
      <c r="I204" s="33" t="s">
        <v>46</v>
      </c>
      <c r="J204" s="33" t="s">
        <v>40</v>
      </c>
    </row>
    <row r="205" spans="1:12" s="33" customFormat="1" hidden="1" x14ac:dyDescent="0.3">
      <c r="A205" s="39">
        <v>46111.574641203704</v>
      </c>
      <c r="B205" s="33" t="s">
        <v>42</v>
      </c>
      <c r="C205" s="33">
        <v>43999192800</v>
      </c>
      <c r="E205" s="33">
        <v>20</v>
      </c>
      <c r="F205" s="33">
        <v>0</v>
      </c>
      <c r="G205" s="33" t="s">
        <v>47</v>
      </c>
      <c r="H205" s="33" t="s">
        <v>6756</v>
      </c>
      <c r="I205" s="33" t="s">
        <v>46</v>
      </c>
      <c r="J205" s="33" t="s">
        <v>40</v>
      </c>
    </row>
    <row r="206" spans="1:12" s="33" customFormat="1" hidden="1" x14ac:dyDescent="0.3">
      <c r="A206" s="39">
        <v>46111.573738425926</v>
      </c>
      <c r="B206" s="33">
        <v>4430141533</v>
      </c>
      <c r="C206" s="33" t="s">
        <v>44</v>
      </c>
      <c r="D206" s="33">
        <v>4430265054</v>
      </c>
      <c r="E206" s="33">
        <v>367</v>
      </c>
      <c r="F206" s="33">
        <v>326</v>
      </c>
      <c r="G206" s="33" t="s">
        <v>38</v>
      </c>
      <c r="H206" s="33" t="s">
        <v>6757</v>
      </c>
      <c r="I206" s="33" t="s">
        <v>39</v>
      </c>
      <c r="J206" s="33" t="s">
        <v>40</v>
      </c>
      <c r="K206" s="33" t="s">
        <v>41</v>
      </c>
    </row>
    <row r="207" spans="1:12" s="33" customFormat="1" hidden="1" x14ac:dyDescent="0.3">
      <c r="A207" s="39">
        <v>46111.567962962959</v>
      </c>
      <c r="B207" s="33">
        <v>35998295948</v>
      </c>
      <c r="C207" s="33" t="s">
        <v>37</v>
      </c>
      <c r="D207" s="33">
        <v>4430265054</v>
      </c>
      <c r="E207" s="33">
        <v>555</v>
      </c>
      <c r="F207" s="33">
        <v>496</v>
      </c>
      <c r="G207" s="33" t="s">
        <v>38</v>
      </c>
      <c r="H207" s="33" t="s">
        <v>6758</v>
      </c>
      <c r="I207" s="33" t="s">
        <v>39</v>
      </c>
      <c r="J207" s="33" t="s">
        <v>40</v>
      </c>
      <c r="K207" s="33" t="s">
        <v>41</v>
      </c>
    </row>
    <row r="208" spans="1:12" s="33" customFormat="1" hidden="1" x14ac:dyDescent="0.3">
      <c r="A208" s="39">
        <v>46111.564756944441</v>
      </c>
      <c r="B208" s="33" t="s">
        <v>44</v>
      </c>
      <c r="C208" s="33">
        <v>41996631918</v>
      </c>
      <c r="E208" s="33">
        <v>46</v>
      </c>
      <c r="F208" s="33">
        <v>34</v>
      </c>
      <c r="G208" s="33" t="s">
        <v>38</v>
      </c>
      <c r="H208" s="33" t="s">
        <v>6759</v>
      </c>
      <c r="I208" s="33" t="s">
        <v>46</v>
      </c>
      <c r="J208" s="33" t="s">
        <v>40</v>
      </c>
    </row>
    <row r="209" spans="1:12" s="33" customFormat="1" hidden="1" x14ac:dyDescent="0.3">
      <c r="A209" s="39">
        <v>46111.557534722226</v>
      </c>
      <c r="B209" s="33" t="s">
        <v>45</v>
      </c>
      <c r="C209" s="33">
        <v>1131043888</v>
      </c>
      <c r="E209" s="33">
        <v>143</v>
      </c>
      <c r="F209" s="33">
        <v>142</v>
      </c>
      <c r="G209" s="33" t="s">
        <v>38</v>
      </c>
      <c r="H209" s="33" t="s">
        <v>6760</v>
      </c>
      <c r="I209" s="33" t="s">
        <v>46</v>
      </c>
      <c r="J209" s="33" t="s">
        <v>40</v>
      </c>
    </row>
    <row r="210" spans="1:12" s="33" customFormat="1" hidden="1" x14ac:dyDescent="0.3">
      <c r="A210" s="39">
        <v>46111.542673611111</v>
      </c>
      <c r="B210" s="33">
        <v>11971872964</v>
      </c>
      <c r="C210" s="33">
        <v>4430265054</v>
      </c>
      <c r="D210" s="33">
        <v>4430265054</v>
      </c>
      <c r="E210" s="33">
        <v>14</v>
      </c>
      <c r="F210" s="33">
        <v>14</v>
      </c>
      <c r="G210" s="33" t="s">
        <v>3449</v>
      </c>
      <c r="H210" s="33" t="s">
        <v>6761</v>
      </c>
      <c r="I210" s="33" t="s">
        <v>39</v>
      </c>
      <c r="J210" s="33" t="s">
        <v>3451</v>
      </c>
    </row>
    <row r="211" spans="1:12" s="33" customFormat="1" hidden="1" x14ac:dyDescent="0.3">
      <c r="A211" s="39">
        <v>46111.495937500003</v>
      </c>
      <c r="B211" s="33">
        <v>41996631918</v>
      </c>
      <c r="C211" s="33" t="s">
        <v>44</v>
      </c>
      <c r="D211" s="33">
        <v>4430265054</v>
      </c>
      <c r="E211" s="33">
        <v>412</v>
      </c>
      <c r="F211" s="33">
        <v>288</v>
      </c>
      <c r="G211" s="33" t="s">
        <v>38</v>
      </c>
      <c r="H211" s="33" t="s">
        <v>6762</v>
      </c>
      <c r="I211" s="33" t="s">
        <v>39</v>
      </c>
      <c r="J211" s="33" t="s">
        <v>40</v>
      </c>
      <c r="K211" s="33" t="s">
        <v>41</v>
      </c>
      <c r="L211" s="33">
        <v>5</v>
      </c>
    </row>
    <row r="212" spans="1:12" s="33" customFormat="1" hidden="1" x14ac:dyDescent="0.3">
      <c r="A212" s="39">
        <v>46111.486979166664</v>
      </c>
      <c r="B212" s="33">
        <v>44988255390</v>
      </c>
      <c r="C212" s="33" t="s">
        <v>37</v>
      </c>
      <c r="D212" s="33">
        <v>4430265054</v>
      </c>
      <c r="E212" s="33">
        <v>407</v>
      </c>
      <c r="F212" s="33">
        <v>330</v>
      </c>
      <c r="G212" s="33" t="s">
        <v>38</v>
      </c>
      <c r="H212" s="33" t="s">
        <v>6763</v>
      </c>
      <c r="I212" s="33" t="s">
        <v>39</v>
      </c>
      <c r="J212" s="33" t="s">
        <v>40</v>
      </c>
      <c r="K212" s="33" t="s">
        <v>41</v>
      </c>
    </row>
    <row r="213" spans="1:12" s="33" customFormat="1" hidden="1" x14ac:dyDescent="0.3">
      <c r="A213" s="39">
        <v>46111.485763888886</v>
      </c>
      <c r="B213" s="33">
        <v>1131043888</v>
      </c>
      <c r="C213" s="33" t="s">
        <v>43</v>
      </c>
      <c r="D213" s="33">
        <v>4430265054</v>
      </c>
      <c r="E213" s="33">
        <v>553</v>
      </c>
      <c r="F213" s="33">
        <v>515</v>
      </c>
      <c r="G213" s="33" t="s">
        <v>38</v>
      </c>
      <c r="H213" s="33" t="s">
        <v>6764</v>
      </c>
      <c r="I213" s="33" t="s">
        <v>39</v>
      </c>
      <c r="J213" s="33" t="s">
        <v>40</v>
      </c>
      <c r="K213" s="33" t="s">
        <v>41</v>
      </c>
      <c r="L213" s="33">
        <v>5</v>
      </c>
    </row>
    <row r="214" spans="1:12" s="33" customFormat="1" hidden="1" x14ac:dyDescent="0.3">
      <c r="A214" s="39">
        <v>46111.484942129631</v>
      </c>
      <c r="B214" s="33" t="s">
        <v>45</v>
      </c>
      <c r="C214" s="33">
        <v>11998030658</v>
      </c>
      <c r="E214" s="33">
        <v>389</v>
      </c>
      <c r="F214" s="33">
        <v>374</v>
      </c>
      <c r="G214" s="33" t="s">
        <v>38</v>
      </c>
      <c r="H214" s="33" t="s">
        <v>6765</v>
      </c>
      <c r="I214" s="33" t="s">
        <v>46</v>
      </c>
      <c r="J214" s="33" t="s">
        <v>40</v>
      </c>
    </row>
    <row r="215" spans="1:12" s="33" customFormat="1" hidden="1" x14ac:dyDescent="0.3">
      <c r="A215" s="39">
        <v>46111.483287037037</v>
      </c>
      <c r="B215" s="33">
        <v>1131043888</v>
      </c>
      <c r="C215" s="33" t="s">
        <v>42</v>
      </c>
      <c r="D215" s="33">
        <v>4430265054</v>
      </c>
      <c r="E215" s="33">
        <v>187</v>
      </c>
      <c r="F215" s="33">
        <v>12</v>
      </c>
      <c r="G215" s="33" t="s">
        <v>38</v>
      </c>
      <c r="H215" s="33" t="s">
        <v>6766</v>
      </c>
      <c r="I215" s="33" t="s">
        <v>39</v>
      </c>
      <c r="J215" s="33" t="s">
        <v>40</v>
      </c>
      <c r="K215" s="33" t="s">
        <v>41</v>
      </c>
    </row>
    <row r="216" spans="1:12" s="33" customFormat="1" hidden="1" x14ac:dyDescent="0.3">
      <c r="A216" s="39">
        <v>46111.475115740737</v>
      </c>
      <c r="B216" s="33">
        <v>44988255390</v>
      </c>
      <c r="C216" s="33" t="s">
        <v>45</v>
      </c>
      <c r="D216" s="33">
        <v>4430265054</v>
      </c>
      <c r="E216" s="33">
        <v>576</v>
      </c>
      <c r="F216" s="33">
        <v>505</v>
      </c>
      <c r="G216" s="33" t="s">
        <v>38</v>
      </c>
      <c r="H216" s="33" t="s">
        <v>6767</v>
      </c>
      <c r="I216" s="33" t="s">
        <v>39</v>
      </c>
      <c r="J216" s="33" t="s">
        <v>40</v>
      </c>
      <c r="K216" s="33" t="s">
        <v>41</v>
      </c>
    </row>
    <row r="217" spans="1:12" s="33" customFormat="1" hidden="1" x14ac:dyDescent="0.3">
      <c r="A217" s="39">
        <v>46111.47074074074</v>
      </c>
      <c r="B217" s="33">
        <v>44998039090</v>
      </c>
      <c r="C217" s="33" t="s">
        <v>42</v>
      </c>
      <c r="D217" s="33">
        <v>4430265054</v>
      </c>
      <c r="E217" s="33">
        <v>1259</v>
      </c>
      <c r="F217" s="33">
        <v>1118</v>
      </c>
      <c r="G217" s="33" t="s">
        <v>38</v>
      </c>
      <c r="H217" s="33" t="s">
        <v>6768</v>
      </c>
      <c r="I217" s="33" t="s">
        <v>39</v>
      </c>
      <c r="J217" s="33" t="s">
        <v>40</v>
      </c>
      <c r="K217" s="33" t="s">
        <v>41</v>
      </c>
    </row>
    <row r="218" spans="1:12" s="33" customFormat="1" hidden="1" x14ac:dyDescent="0.3">
      <c r="A218" s="39">
        <v>46111.457777777781</v>
      </c>
      <c r="B218" s="33">
        <v>1128787060</v>
      </c>
      <c r="C218" s="33">
        <v>4430265054</v>
      </c>
      <c r="D218" s="33">
        <v>4430265054</v>
      </c>
      <c r="E218" s="33">
        <v>27</v>
      </c>
      <c r="F218" s="33">
        <v>27</v>
      </c>
      <c r="G218" s="33" t="s">
        <v>3449</v>
      </c>
      <c r="H218" s="33" t="s">
        <v>6769</v>
      </c>
      <c r="I218" s="33" t="s">
        <v>39</v>
      </c>
      <c r="J218" s="33" t="s">
        <v>3451</v>
      </c>
    </row>
    <row r="219" spans="1:12" s="33" customFormat="1" hidden="1" x14ac:dyDescent="0.3">
      <c r="A219" s="39">
        <v>46111.457638888889</v>
      </c>
      <c r="B219" s="33">
        <v>16997190170</v>
      </c>
      <c r="C219" s="33" t="s">
        <v>43</v>
      </c>
      <c r="D219" s="33">
        <v>4430265054</v>
      </c>
      <c r="E219" s="33">
        <v>915</v>
      </c>
      <c r="F219" s="33">
        <v>773</v>
      </c>
      <c r="G219" s="33" t="s">
        <v>38</v>
      </c>
      <c r="H219" s="33" t="s">
        <v>6770</v>
      </c>
      <c r="I219" s="33" t="s">
        <v>39</v>
      </c>
      <c r="J219" s="33" t="s">
        <v>40</v>
      </c>
      <c r="K219" s="33" t="s">
        <v>41</v>
      </c>
    </row>
    <row r="220" spans="1:12" s="33" customFormat="1" hidden="1" x14ac:dyDescent="0.3">
      <c r="A220" s="39">
        <v>46111.45584490741</v>
      </c>
      <c r="B220" s="33">
        <v>42984113245</v>
      </c>
      <c r="C220" s="33">
        <v>4430265054</v>
      </c>
      <c r="D220" s="33">
        <v>4430265054</v>
      </c>
      <c r="E220" s="33">
        <v>8</v>
      </c>
      <c r="F220" s="33">
        <v>8</v>
      </c>
      <c r="G220" s="33" t="s">
        <v>3449</v>
      </c>
      <c r="H220" s="33" t="s">
        <v>6771</v>
      </c>
      <c r="I220" s="33" t="s">
        <v>39</v>
      </c>
      <c r="J220" s="33" t="s">
        <v>3451</v>
      </c>
    </row>
    <row r="221" spans="1:12" s="33" customFormat="1" hidden="1" x14ac:dyDescent="0.3">
      <c r="A221" s="39">
        <v>46111.450925925928</v>
      </c>
      <c r="B221" s="33">
        <v>44991484476</v>
      </c>
      <c r="C221" s="33" t="s">
        <v>42</v>
      </c>
      <c r="D221" s="33">
        <v>4430265054</v>
      </c>
      <c r="E221" s="33">
        <v>285</v>
      </c>
      <c r="F221" s="33">
        <v>227</v>
      </c>
      <c r="G221" s="33" t="s">
        <v>38</v>
      </c>
      <c r="H221" s="33" t="s">
        <v>6772</v>
      </c>
      <c r="I221" s="33" t="s">
        <v>39</v>
      </c>
      <c r="J221" s="33" t="s">
        <v>40</v>
      </c>
      <c r="K221" s="33" t="s">
        <v>41</v>
      </c>
    </row>
    <row r="222" spans="1:12" s="33" customFormat="1" hidden="1" x14ac:dyDescent="0.3">
      <c r="A222" s="39">
        <v>46111.441030092596</v>
      </c>
      <c r="B222" s="33">
        <v>44999647912</v>
      </c>
      <c r="C222" s="33" t="s">
        <v>37</v>
      </c>
      <c r="D222" s="33">
        <v>4430265054</v>
      </c>
      <c r="E222" s="33">
        <v>1090</v>
      </c>
      <c r="F222" s="33">
        <v>962</v>
      </c>
      <c r="G222" s="33" t="s">
        <v>38</v>
      </c>
      <c r="H222" s="33" t="s">
        <v>6773</v>
      </c>
      <c r="I222" s="33" t="s">
        <v>39</v>
      </c>
      <c r="J222" s="33" t="s">
        <v>40</v>
      </c>
      <c r="K222" s="33" t="s">
        <v>41</v>
      </c>
      <c r="L222" s="33">
        <v>5</v>
      </c>
    </row>
    <row r="223" spans="1:12" s="33" customFormat="1" hidden="1" x14ac:dyDescent="0.3">
      <c r="A223" s="39">
        <v>46111.435694444444</v>
      </c>
      <c r="B223" s="33">
        <v>44999670264</v>
      </c>
      <c r="C223" s="33" t="s">
        <v>45</v>
      </c>
      <c r="D223" s="33">
        <v>4430265054</v>
      </c>
      <c r="E223" s="33">
        <v>676</v>
      </c>
      <c r="F223" s="33">
        <v>561</v>
      </c>
      <c r="G223" s="33" t="s">
        <v>38</v>
      </c>
      <c r="H223" s="33" t="s">
        <v>6774</v>
      </c>
      <c r="I223" s="33" t="s">
        <v>39</v>
      </c>
      <c r="J223" s="33" t="s">
        <v>40</v>
      </c>
      <c r="K223" s="33" t="s">
        <v>41</v>
      </c>
      <c r="L223" s="33">
        <v>5</v>
      </c>
    </row>
    <row r="224" spans="1:12" s="33" customFormat="1" hidden="1" x14ac:dyDescent="0.3">
      <c r="A224" s="39">
        <v>46111.432812500003</v>
      </c>
      <c r="B224" s="33">
        <v>44999451200</v>
      </c>
      <c r="C224" s="33" t="s">
        <v>5173</v>
      </c>
      <c r="D224" s="33">
        <v>4430265054</v>
      </c>
      <c r="E224" s="33">
        <v>134</v>
      </c>
      <c r="F224" s="33">
        <v>95</v>
      </c>
      <c r="G224" s="33" t="s">
        <v>38</v>
      </c>
      <c r="H224" s="33" t="s">
        <v>6775</v>
      </c>
      <c r="I224" s="33" t="s">
        <v>39</v>
      </c>
      <c r="J224" s="33" t="s">
        <v>3629</v>
      </c>
      <c r="K224" s="33" t="s">
        <v>50</v>
      </c>
    </row>
    <row r="225" spans="1:12" s="33" customFormat="1" hidden="1" x14ac:dyDescent="0.3">
      <c r="A225" s="39">
        <v>46111.425451388888</v>
      </c>
      <c r="B225" s="33" t="s">
        <v>45</v>
      </c>
      <c r="C225" s="33">
        <v>1131043888</v>
      </c>
      <c r="E225" s="33">
        <v>426</v>
      </c>
      <c r="F225" s="33">
        <v>425</v>
      </c>
      <c r="G225" s="33" t="s">
        <v>38</v>
      </c>
      <c r="H225" s="33" t="s">
        <v>6776</v>
      </c>
      <c r="I225" s="33" t="s">
        <v>46</v>
      </c>
      <c r="J225" s="33" t="s">
        <v>40</v>
      </c>
    </row>
    <row r="226" spans="1:12" s="33" customFormat="1" hidden="1" x14ac:dyDescent="0.3">
      <c r="A226" s="39">
        <v>46111.420648148145</v>
      </c>
      <c r="B226" s="33" t="s">
        <v>37</v>
      </c>
      <c r="C226" s="33">
        <v>44991062548</v>
      </c>
      <c r="E226" s="33">
        <v>57</v>
      </c>
      <c r="F226" s="33">
        <v>31</v>
      </c>
      <c r="G226" s="33" t="s">
        <v>38</v>
      </c>
      <c r="H226" s="33" t="s">
        <v>6777</v>
      </c>
      <c r="I226" s="33" t="s">
        <v>46</v>
      </c>
      <c r="J226" s="33" t="s">
        <v>40</v>
      </c>
    </row>
    <row r="227" spans="1:12" s="33" customFormat="1" hidden="1" x14ac:dyDescent="0.3">
      <c r="A227" s="39">
        <v>46111.41946759259</v>
      </c>
      <c r="B227" s="33" t="s">
        <v>37</v>
      </c>
      <c r="C227" s="33">
        <v>44991062548</v>
      </c>
      <c r="E227" s="33">
        <v>58</v>
      </c>
      <c r="F227" s="33">
        <v>33</v>
      </c>
      <c r="G227" s="33" t="s">
        <v>38</v>
      </c>
      <c r="H227" s="33" t="s">
        <v>6778</v>
      </c>
      <c r="I227" s="33" t="s">
        <v>46</v>
      </c>
      <c r="J227" s="33" t="s">
        <v>40</v>
      </c>
    </row>
    <row r="228" spans="1:12" s="33" customFormat="1" hidden="1" x14ac:dyDescent="0.3">
      <c r="A228" s="39">
        <v>46111.419340277775</v>
      </c>
      <c r="B228" s="33" t="s">
        <v>37</v>
      </c>
      <c r="C228" s="33">
        <v>44991062548</v>
      </c>
      <c r="E228" s="33">
        <v>26</v>
      </c>
      <c r="F228" s="33">
        <v>25</v>
      </c>
      <c r="G228" s="33" t="s">
        <v>38</v>
      </c>
      <c r="H228" s="33" t="s">
        <v>6779</v>
      </c>
      <c r="I228" s="33" t="s">
        <v>46</v>
      </c>
      <c r="J228" s="33" t="s">
        <v>40</v>
      </c>
    </row>
    <row r="229" spans="1:12" s="33" customFormat="1" hidden="1" x14ac:dyDescent="0.3">
      <c r="A229" s="39">
        <v>46111.418981481482</v>
      </c>
      <c r="B229" s="33" t="s">
        <v>37</v>
      </c>
      <c r="C229" s="33">
        <v>44999647912</v>
      </c>
      <c r="E229" s="33">
        <v>29</v>
      </c>
      <c r="F229" s="33">
        <v>19</v>
      </c>
      <c r="G229" s="33" t="s">
        <v>38</v>
      </c>
      <c r="H229" s="33" t="s">
        <v>6780</v>
      </c>
      <c r="I229" s="33" t="s">
        <v>46</v>
      </c>
      <c r="J229" s="33" t="s">
        <v>40</v>
      </c>
    </row>
    <row r="230" spans="1:12" s="33" customFormat="1" hidden="1" x14ac:dyDescent="0.3">
      <c r="A230" s="39">
        <v>46111.418877314813</v>
      </c>
      <c r="B230" s="33" t="s">
        <v>37</v>
      </c>
      <c r="C230" s="33">
        <v>44999647912</v>
      </c>
      <c r="E230" s="33">
        <v>25</v>
      </c>
      <c r="F230" s="33">
        <v>25</v>
      </c>
      <c r="G230" s="33" t="s">
        <v>38</v>
      </c>
      <c r="H230" s="33" t="s">
        <v>6781</v>
      </c>
      <c r="I230" s="33" t="s">
        <v>46</v>
      </c>
      <c r="J230" s="33" t="s">
        <v>40</v>
      </c>
    </row>
    <row r="231" spans="1:12" s="33" customFormat="1" hidden="1" x14ac:dyDescent="0.3">
      <c r="A231" s="39">
        <v>46111.405914351853</v>
      </c>
      <c r="B231" s="33">
        <v>6234347959</v>
      </c>
      <c r="C231" s="33" t="s">
        <v>5173</v>
      </c>
      <c r="D231" s="33">
        <v>4430265054</v>
      </c>
      <c r="E231" s="33">
        <v>205</v>
      </c>
      <c r="F231" s="33">
        <v>182</v>
      </c>
      <c r="G231" s="33" t="s">
        <v>38</v>
      </c>
      <c r="H231" s="33" t="s">
        <v>6782</v>
      </c>
      <c r="I231" s="33" t="s">
        <v>39</v>
      </c>
      <c r="J231" s="33" t="s">
        <v>3629</v>
      </c>
      <c r="K231" s="33" t="s">
        <v>50</v>
      </c>
    </row>
    <row r="232" spans="1:12" s="33" customFormat="1" hidden="1" x14ac:dyDescent="0.3">
      <c r="A232" s="39">
        <v>46111.405891203707</v>
      </c>
      <c r="B232" s="33">
        <v>44999647912</v>
      </c>
      <c r="C232" s="33" t="s">
        <v>37</v>
      </c>
      <c r="D232" s="33">
        <v>4430265054</v>
      </c>
      <c r="E232" s="33">
        <v>349</v>
      </c>
      <c r="F232" s="33">
        <v>237</v>
      </c>
      <c r="G232" s="33" t="s">
        <v>38</v>
      </c>
      <c r="H232" s="33" t="s">
        <v>6783</v>
      </c>
      <c r="I232" s="33" t="s">
        <v>39</v>
      </c>
      <c r="J232" s="33" t="s">
        <v>40</v>
      </c>
      <c r="K232" s="33" t="s">
        <v>41</v>
      </c>
      <c r="L232" s="33">
        <v>5</v>
      </c>
    </row>
    <row r="233" spans="1:12" s="33" customFormat="1" hidden="1" x14ac:dyDescent="0.3">
      <c r="A233" s="39">
        <v>46111.398506944446</v>
      </c>
      <c r="B233" s="33" t="s">
        <v>51</v>
      </c>
      <c r="C233" s="33">
        <v>42998373210</v>
      </c>
      <c r="E233" s="33">
        <v>103</v>
      </c>
      <c r="F233" s="33">
        <v>88</v>
      </c>
      <c r="G233" s="33" t="s">
        <v>38</v>
      </c>
      <c r="H233" s="33" t="s">
        <v>6784</v>
      </c>
      <c r="I233" s="33" t="s">
        <v>46</v>
      </c>
      <c r="J233" s="33" t="s">
        <v>3629</v>
      </c>
    </row>
    <row r="234" spans="1:12" s="33" customFormat="1" hidden="1" x14ac:dyDescent="0.3">
      <c r="A234" s="39">
        <v>46111.395173611112</v>
      </c>
      <c r="B234" s="33" t="s">
        <v>42</v>
      </c>
      <c r="C234" s="33">
        <v>4430284942</v>
      </c>
      <c r="E234" s="33">
        <v>134</v>
      </c>
      <c r="F234" s="33">
        <v>126</v>
      </c>
      <c r="G234" s="33" t="s">
        <v>38</v>
      </c>
      <c r="H234" s="33" t="s">
        <v>6785</v>
      </c>
      <c r="I234" s="33" t="s">
        <v>46</v>
      </c>
      <c r="J234" s="33" t="s">
        <v>40</v>
      </c>
    </row>
    <row r="235" spans="1:12" s="33" customFormat="1" hidden="1" x14ac:dyDescent="0.3">
      <c r="A235" s="39">
        <v>46111.393750000003</v>
      </c>
      <c r="B235" s="33" t="s">
        <v>45</v>
      </c>
      <c r="C235" s="33">
        <v>11998030658</v>
      </c>
      <c r="E235" s="33">
        <v>899</v>
      </c>
      <c r="F235" s="33">
        <v>893</v>
      </c>
      <c r="G235" s="33" t="s">
        <v>38</v>
      </c>
      <c r="H235" s="33" t="s">
        <v>6786</v>
      </c>
      <c r="I235" s="33" t="s">
        <v>46</v>
      </c>
      <c r="J235" s="33" t="s">
        <v>40</v>
      </c>
    </row>
    <row r="236" spans="1:12" s="33" customFormat="1" hidden="1" x14ac:dyDescent="0.3">
      <c r="A236" s="39">
        <v>46111.392060185186</v>
      </c>
      <c r="B236" s="33">
        <v>4330333542</v>
      </c>
      <c r="C236" s="33" t="s">
        <v>43</v>
      </c>
      <c r="D236" s="33">
        <v>4430265054</v>
      </c>
      <c r="E236" s="33">
        <v>583</v>
      </c>
      <c r="F236" s="33">
        <v>559</v>
      </c>
      <c r="G236" s="33" t="s">
        <v>38</v>
      </c>
      <c r="H236" s="33" t="s">
        <v>6787</v>
      </c>
      <c r="I236" s="33" t="s">
        <v>39</v>
      </c>
      <c r="J236" s="33" t="s">
        <v>40</v>
      </c>
      <c r="K236" s="33" t="s">
        <v>41</v>
      </c>
    </row>
    <row r="237" spans="1:12" s="33" customFormat="1" hidden="1" x14ac:dyDescent="0.3">
      <c r="A237" s="39">
        <v>46111.384166666663</v>
      </c>
      <c r="B237" s="33">
        <v>44991062548</v>
      </c>
      <c r="C237" s="33" t="s">
        <v>37</v>
      </c>
      <c r="D237" s="33">
        <v>4430265054</v>
      </c>
      <c r="E237" s="33">
        <v>445</v>
      </c>
      <c r="F237" s="33">
        <v>400</v>
      </c>
      <c r="G237" s="33" t="s">
        <v>38</v>
      </c>
      <c r="H237" s="33" t="s">
        <v>6788</v>
      </c>
      <c r="I237" s="33" t="s">
        <v>39</v>
      </c>
      <c r="J237" s="33" t="s">
        <v>40</v>
      </c>
      <c r="K237" s="33" t="s">
        <v>41</v>
      </c>
    </row>
    <row r="238" spans="1:12" s="33" customFormat="1" hidden="1" x14ac:dyDescent="0.3">
      <c r="A238" s="39">
        <v>46111.383229166669</v>
      </c>
      <c r="B238" s="33">
        <v>44991062548</v>
      </c>
      <c r="C238" s="33">
        <v>4430265054</v>
      </c>
      <c r="D238" s="33">
        <v>4430265054</v>
      </c>
      <c r="E238" s="33">
        <v>10</v>
      </c>
      <c r="F238" s="33">
        <v>9</v>
      </c>
      <c r="G238" s="33" t="s">
        <v>3449</v>
      </c>
      <c r="H238" s="33" t="s">
        <v>6789</v>
      </c>
      <c r="I238" s="33" t="s">
        <v>39</v>
      </c>
      <c r="J238" s="33" t="s">
        <v>3451</v>
      </c>
    </row>
    <row r="239" spans="1:12" s="33" customFormat="1" hidden="1" x14ac:dyDescent="0.3">
      <c r="A239" s="39">
        <v>46111.362025462964</v>
      </c>
      <c r="B239" s="33">
        <v>11998030658</v>
      </c>
      <c r="C239" s="33" t="s">
        <v>45</v>
      </c>
      <c r="D239" s="33">
        <v>4430265054</v>
      </c>
      <c r="E239" s="33">
        <v>2700</v>
      </c>
      <c r="F239" s="33">
        <v>2641</v>
      </c>
      <c r="G239" s="33" t="s">
        <v>38</v>
      </c>
      <c r="H239" s="33" t="s">
        <v>6790</v>
      </c>
      <c r="I239" s="33" t="s">
        <v>39</v>
      </c>
      <c r="J239" s="33" t="s">
        <v>40</v>
      </c>
      <c r="K239" s="33" t="s">
        <v>41</v>
      </c>
    </row>
    <row r="240" spans="1:12" s="33" customFormat="1" hidden="1" x14ac:dyDescent="0.3">
      <c r="A240" s="39">
        <v>46111.360277777778</v>
      </c>
      <c r="B240" s="33">
        <v>44999647912</v>
      </c>
      <c r="C240" s="33" t="s">
        <v>44</v>
      </c>
      <c r="D240" s="33">
        <v>4430265054</v>
      </c>
      <c r="E240" s="33">
        <v>328</v>
      </c>
      <c r="F240" s="33">
        <v>303</v>
      </c>
      <c r="G240" s="33" t="s">
        <v>38</v>
      </c>
      <c r="H240" s="33" t="s">
        <v>6791</v>
      </c>
      <c r="I240" s="33" t="s">
        <v>39</v>
      </c>
      <c r="J240" s="33" t="s">
        <v>40</v>
      </c>
      <c r="K240" s="33" t="s">
        <v>41</v>
      </c>
      <c r="L240" s="33">
        <v>4</v>
      </c>
    </row>
    <row r="241" spans="1:11" s="33" customFormat="1" hidden="1" x14ac:dyDescent="0.3">
      <c r="A241" s="39">
        <v>46111.355902777781</v>
      </c>
      <c r="B241" s="33">
        <v>44999647912</v>
      </c>
      <c r="C241" s="33">
        <v>4430265054</v>
      </c>
      <c r="D241" s="33">
        <v>4430265054</v>
      </c>
      <c r="E241" s="33">
        <v>72</v>
      </c>
      <c r="F241" s="33">
        <v>71</v>
      </c>
      <c r="G241" s="33" t="s">
        <v>3449</v>
      </c>
      <c r="H241" s="33" t="s">
        <v>6792</v>
      </c>
      <c r="I241" s="33" t="s">
        <v>39</v>
      </c>
      <c r="J241" s="33" t="s">
        <v>3451</v>
      </c>
      <c r="K241" s="33" t="s">
        <v>41</v>
      </c>
    </row>
    <row r="242" spans="1:11" s="33" customFormat="1" hidden="1" x14ac:dyDescent="0.3">
      <c r="A242" s="39">
        <v>46111.349872685183</v>
      </c>
      <c r="B242" s="33" t="s">
        <v>5173</v>
      </c>
      <c r="C242" s="33">
        <v>82982002503</v>
      </c>
      <c r="E242" s="33">
        <v>563</v>
      </c>
      <c r="F242" s="33">
        <v>557</v>
      </c>
      <c r="G242" s="33" t="s">
        <v>38</v>
      </c>
      <c r="H242" s="33" t="s">
        <v>6793</v>
      </c>
      <c r="I242" s="33" t="s">
        <v>46</v>
      </c>
      <c r="J242" s="33" t="s">
        <v>3629</v>
      </c>
    </row>
    <row r="243" spans="1:11" s="33" customFormat="1" hidden="1" x14ac:dyDescent="0.3">
      <c r="A243" s="39">
        <v>46111.347500000003</v>
      </c>
      <c r="B243" s="33" t="s">
        <v>5173</v>
      </c>
      <c r="C243" s="33">
        <v>82982002503</v>
      </c>
      <c r="E243" s="33">
        <v>8</v>
      </c>
      <c r="F243" s="33">
        <v>1</v>
      </c>
      <c r="G243" s="33" t="s">
        <v>38</v>
      </c>
      <c r="H243" s="33" t="s">
        <v>6794</v>
      </c>
      <c r="I243" s="33" t="s">
        <v>46</v>
      </c>
      <c r="J243" s="33" t="s">
        <v>3629</v>
      </c>
    </row>
    <row r="244" spans="1:11" s="33" customFormat="1" hidden="1" x14ac:dyDescent="0.3">
      <c r="A244" s="39">
        <v>46111.340381944443</v>
      </c>
      <c r="B244" s="33">
        <v>4430315826</v>
      </c>
      <c r="C244" s="33">
        <v>4430265054</v>
      </c>
      <c r="D244" s="33">
        <v>4430265054</v>
      </c>
      <c r="E244" s="33">
        <v>29</v>
      </c>
      <c r="F244" s="33">
        <v>28</v>
      </c>
      <c r="G244" s="33" t="s">
        <v>3449</v>
      </c>
      <c r="H244" s="33" t="s">
        <v>6795</v>
      </c>
      <c r="I244" s="33" t="s">
        <v>39</v>
      </c>
      <c r="J244" s="33" t="s">
        <v>3451</v>
      </c>
    </row>
    <row r="245" spans="1:11" s="33" customFormat="1" hidden="1" x14ac:dyDescent="0.3">
      <c r="A245" s="39">
        <v>46111.339513888888</v>
      </c>
      <c r="B245" s="33">
        <v>4430315826</v>
      </c>
      <c r="C245" s="33">
        <v>4430265054</v>
      </c>
      <c r="D245" s="33">
        <v>4430265054</v>
      </c>
      <c r="E245" s="33">
        <v>29</v>
      </c>
      <c r="F245" s="33">
        <v>28</v>
      </c>
      <c r="G245" s="33" t="s">
        <v>3449</v>
      </c>
      <c r="H245" s="33" t="s">
        <v>6796</v>
      </c>
      <c r="I245" s="33" t="s">
        <v>39</v>
      </c>
      <c r="J245" s="33" t="s">
        <v>3451</v>
      </c>
    </row>
    <row r="246" spans="1:11" s="33" customFormat="1" hidden="1" x14ac:dyDescent="0.3">
      <c r="A246" s="39">
        <v>46111.337881944448</v>
      </c>
      <c r="B246" s="33">
        <v>4430315826</v>
      </c>
      <c r="C246" s="33">
        <v>4430265054</v>
      </c>
      <c r="D246" s="33">
        <v>4430265054</v>
      </c>
      <c r="E246" s="33">
        <v>29</v>
      </c>
      <c r="F246" s="33">
        <v>28</v>
      </c>
      <c r="G246" s="33" t="s">
        <v>3449</v>
      </c>
      <c r="H246" s="33" t="s">
        <v>6797</v>
      </c>
      <c r="I246" s="33" t="s">
        <v>39</v>
      </c>
      <c r="J246" s="33" t="s">
        <v>3451</v>
      </c>
    </row>
    <row r="247" spans="1:11" s="33" customFormat="1" hidden="1" x14ac:dyDescent="0.3">
      <c r="A247" s="39">
        <v>46111.337129629632</v>
      </c>
      <c r="B247" s="33">
        <v>4430315826</v>
      </c>
      <c r="C247" s="33">
        <v>4430265054</v>
      </c>
      <c r="D247" s="33">
        <v>4430265054</v>
      </c>
      <c r="E247" s="33">
        <v>29</v>
      </c>
      <c r="F247" s="33">
        <v>28</v>
      </c>
      <c r="G247" s="33" t="s">
        <v>3449</v>
      </c>
      <c r="H247" s="33" t="s">
        <v>6798</v>
      </c>
      <c r="I247" s="33" t="s">
        <v>39</v>
      </c>
      <c r="J247" s="33" t="s">
        <v>3451</v>
      </c>
    </row>
    <row r="248" spans="1:11" s="33" customFormat="1" hidden="1" x14ac:dyDescent="0.3">
      <c r="A248" s="39">
        <v>46109.474756944444</v>
      </c>
      <c r="B248" s="33">
        <v>4135007070</v>
      </c>
      <c r="C248" s="33">
        <v>4430265054</v>
      </c>
      <c r="D248" s="33">
        <v>4430265054</v>
      </c>
      <c r="E248" s="33">
        <v>6</v>
      </c>
      <c r="F248" s="33">
        <v>5</v>
      </c>
      <c r="G248" s="33" t="s">
        <v>3449</v>
      </c>
      <c r="H248" s="33" t="s">
        <v>6799</v>
      </c>
      <c r="I248" s="33" t="s">
        <v>39</v>
      </c>
      <c r="J248" s="33" t="s">
        <v>3451</v>
      </c>
    </row>
    <row r="249" spans="1:11" s="33" customFormat="1" hidden="1" x14ac:dyDescent="0.3">
      <c r="A249" s="39">
        <v>46109.373923611114</v>
      </c>
      <c r="B249" s="33">
        <v>4135007070</v>
      </c>
      <c r="C249" s="33">
        <v>4430265054</v>
      </c>
      <c r="D249" s="33">
        <v>4430265054</v>
      </c>
      <c r="E249" s="33">
        <v>6</v>
      </c>
      <c r="F249" s="33">
        <v>6</v>
      </c>
      <c r="G249" s="33" t="s">
        <v>3449</v>
      </c>
      <c r="H249" s="33" t="s">
        <v>6800</v>
      </c>
      <c r="I249" s="33" t="s">
        <v>39</v>
      </c>
      <c r="J249" s="33" t="s">
        <v>3451</v>
      </c>
    </row>
    <row r="250" spans="1:11" s="33" customFormat="1" hidden="1" x14ac:dyDescent="0.3">
      <c r="A250" s="39">
        <v>46108.727199074077</v>
      </c>
      <c r="B250" s="33">
        <v>4430291622</v>
      </c>
      <c r="C250" s="33" t="s">
        <v>42</v>
      </c>
      <c r="D250" s="33">
        <v>4430265054</v>
      </c>
      <c r="E250" s="33">
        <v>1158</v>
      </c>
      <c r="F250" s="33">
        <v>1056</v>
      </c>
      <c r="G250" s="33" t="s">
        <v>38</v>
      </c>
      <c r="H250" s="33" t="s">
        <v>6801</v>
      </c>
      <c r="I250" s="33" t="s">
        <v>39</v>
      </c>
      <c r="J250" s="33" t="s">
        <v>40</v>
      </c>
      <c r="K250" s="33" t="s">
        <v>41</v>
      </c>
    </row>
    <row r="251" spans="1:11" s="33" customFormat="1" hidden="1" x14ac:dyDescent="0.3">
      <c r="A251" s="39">
        <v>46108.72152777778</v>
      </c>
      <c r="B251" s="33">
        <v>44999689445</v>
      </c>
      <c r="C251" s="33" t="s">
        <v>45</v>
      </c>
      <c r="D251" s="33">
        <v>4430265054</v>
      </c>
      <c r="E251" s="33">
        <v>1266</v>
      </c>
      <c r="F251" s="33">
        <v>1090</v>
      </c>
      <c r="G251" s="33" t="s">
        <v>38</v>
      </c>
      <c r="H251" s="33" t="s">
        <v>6802</v>
      </c>
      <c r="I251" s="33" t="s">
        <v>39</v>
      </c>
      <c r="J251" s="33" t="s">
        <v>40</v>
      </c>
      <c r="K251" s="33" t="s">
        <v>41</v>
      </c>
    </row>
    <row r="252" spans="1:11" s="33" customFormat="1" hidden="1" x14ac:dyDescent="0.3">
      <c r="A252" s="39">
        <v>46108.712210648147</v>
      </c>
      <c r="B252" s="33" t="s">
        <v>51</v>
      </c>
      <c r="C252" s="33">
        <v>4430285070</v>
      </c>
      <c r="E252" s="33">
        <v>1</v>
      </c>
      <c r="F252" s="33">
        <v>0</v>
      </c>
      <c r="G252" s="33" t="s">
        <v>47</v>
      </c>
      <c r="H252" s="33" t="s">
        <v>6803</v>
      </c>
      <c r="I252" s="33" t="s">
        <v>46</v>
      </c>
      <c r="J252" s="33" t="s">
        <v>3629</v>
      </c>
    </row>
    <row r="253" spans="1:11" s="33" customFormat="1" hidden="1" x14ac:dyDescent="0.3">
      <c r="A253" s="39">
        <v>46108.711817129632</v>
      </c>
      <c r="B253" s="33" t="s">
        <v>3627</v>
      </c>
      <c r="C253" s="33">
        <v>48991393715</v>
      </c>
      <c r="E253" s="33">
        <v>13</v>
      </c>
      <c r="F253" s="33">
        <v>0</v>
      </c>
      <c r="G253" s="33" t="s">
        <v>47</v>
      </c>
      <c r="H253" s="33" t="s">
        <v>6804</v>
      </c>
      <c r="I253" s="33" t="s">
        <v>46</v>
      </c>
      <c r="J253" s="33" t="s">
        <v>3629</v>
      </c>
    </row>
    <row r="254" spans="1:11" s="33" customFormat="1" hidden="1" x14ac:dyDescent="0.3">
      <c r="A254" s="39">
        <v>46108.710439814815</v>
      </c>
      <c r="B254" s="33" t="s">
        <v>3627</v>
      </c>
      <c r="C254" s="33">
        <v>31997331792</v>
      </c>
      <c r="E254" s="33">
        <v>22</v>
      </c>
      <c r="F254" s="33">
        <v>2</v>
      </c>
      <c r="G254" s="33" t="s">
        <v>38</v>
      </c>
      <c r="H254" s="33" t="s">
        <v>6805</v>
      </c>
      <c r="I254" s="33" t="s">
        <v>46</v>
      </c>
      <c r="J254" s="33" t="s">
        <v>3629</v>
      </c>
    </row>
    <row r="255" spans="1:11" s="33" customFormat="1" hidden="1" x14ac:dyDescent="0.3">
      <c r="A255" s="39">
        <v>46108.708506944444</v>
      </c>
      <c r="B255" s="33" t="s">
        <v>3627</v>
      </c>
      <c r="C255" s="33">
        <v>43988528559</v>
      </c>
      <c r="E255" s="33">
        <v>11</v>
      </c>
      <c r="F255" s="33">
        <v>2</v>
      </c>
      <c r="G255" s="33" t="s">
        <v>38</v>
      </c>
      <c r="H255" s="33" t="s">
        <v>6806</v>
      </c>
      <c r="I255" s="33" t="s">
        <v>46</v>
      </c>
      <c r="J255" s="33" t="s">
        <v>3629</v>
      </c>
    </row>
    <row r="256" spans="1:11" s="33" customFormat="1" hidden="1" x14ac:dyDescent="0.3">
      <c r="A256" s="39">
        <v>46108.707569444443</v>
      </c>
      <c r="B256" s="33" t="s">
        <v>5173</v>
      </c>
      <c r="C256" s="33">
        <v>77998406413</v>
      </c>
      <c r="E256" s="33">
        <v>653</v>
      </c>
      <c r="F256" s="33">
        <v>647</v>
      </c>
      <c r="G256" s="33" t="s">
        <v>38</v>
      </c>
      <c r="H256" s="33" t="s">
        <v>6807</v>
      </c>
      <c r="I256" s="33" t="s">
        <v>46</v>
      </c>
      <c r="J256" s="33" t="s">
        <v>3629</v>
      </c>
    </row>
    <row r="257" spans="1:11" s="33" customFormat="1" hidden="1" x14ac:dyDescent="0.3">
      <c r="A257" s="39">
        <v>46108.705405092594</v>
      </c>
      <c r="B257" s="33" t="s">
        <v>5173</v>
      </c>
      <c r="C257" s="33">
        <v>77998406413</v>
      </c>
      <c r="E257" s="33">
        <v>18</v>
      </c>
      <c r="F257" s="33">
        <v>8</v>
      </c>
      <c r="G257" s="33" t="s">
        <v>38</v>
      </c>
      <c r="H257" s="33" t="s">
        <v>6808</v>
      </c>
      <c r="I257" s="33" t="s">
        <v>46</v>
      </c>
      <c r="J257" s="33" t="s">
        <v>3629</v>
      </c>
    </row>
    <row r="258" spans="1:11" s="33" customFormat="1" hidden="1" x14ac:dyDescent="0.3">
      <c r="A258" s="39">
        <v>46108.705034722225</v>
      </c>
      <c r="B258" s="33" t="s">
        <v>5173</v>
      </c>
      <c r="C258" s="33">
        <v>7738406413</v>
      </c>
      <c r="E258" s="33">
        <v>8</v>
      </c>
      <c r="F258" s="33">
        <v>0</v>
      </c>
      <c r="G258" s="33" t="s">
        <v>47</v>
      </c>
      <c r="H258" s="33" t="s">
        <v>6809</v>
      </c>
      <c r="I258" s="33" t="s">
        <v>46</v>
      </c>
      <c r="J258" s="33" t="s">
        <v>3629</v>
      </c>
    </row>
    <row r="259" spans="1:11" s="33" customFormat="1" hidden="1" x14ac:dyDescent="0.3">
      <c r="A259" s="39">
        <v>46108.705023148148</v>
      </c>
      <c r="B259" s="33" t="s">
        <v>45</v>
      </c>
      <c r="C259" s="33">
        <v>44998437682</v>
      </c>
      <c r="E259" s="33">
        <v>203</v>
      </c>
      <c r="F259" s="33">
        <v>187</v>
      </c>
      <c r="G259" s="33" t="s">
        <v>38</v>
      </c>
      <c r="H259" s="33" t="s">
        <v>6810</v>
      </c>
      <c r="I259" s="33" t="s">
        <v>46</v>
      </c>
      <c r="J259" s="33" t="s">
        <v>40</v>
      </c>
    </row>
    <row r="260" spans="1:11" s="33" customFormat="1" hidden="1" x14ac:dyDescent="0.3">
      <c r="A260" s="39">
        <v>46108.696400462963</v>
      </c>
      <c r="B260" s="33">
        <v>44998907753</v>
      </c>
      <c r="C260" s="33">
        <v>4430265054</v>
      </c>
      <c r="D260" s="33">
        <v>4430265054</v>
      </c>
      <c r="E260" s="33">
        <v>6</v>
      </c>
      <c r="F260" s="33">
        <v>5</v>
      </c>
      <c r="G260" s="33" t="s">
        <v>3449</v>
      </c>
      <c r="H260" s="33" t="s">
        <v>6811</v>
      </c>
      <c r="I260" s="33" t="s">
        <v>39</v>
      </c>
      <c r="J260" s="33" t="s">
        <v>3451</v>
      </c>
    </row>
    <row r="261" spans="1:11" s="33" customFormat="1" hidden="1" x14ac:dyDescent="0.3">
      <c r="A261" s="39">
        <v>46108.693495370368</v>
      </c>
      <c r="B261" s="33" t="s">
        <v>45</v>
      </c>
      <c r="C261" s="33">
        <v>1131043888</v>
      </c>
      <c r="E261" s="33">
        <v>160</v>
      </c>
      <c r="F261" s="33">
        <v>159</v>
      </c>
      <c r="G261" s="33" t="s">
        <v>38</v>
      </c>
      <c r="H261" s="33" t="s">
        <v>6812</v>
      </c>
      <c r="I261" s="33" t="s">
        <v>46</v>
      </c>
      <c r="J261" s="33" t="s">
        <v>40</v>
      </c>
    </row>
    <row r="262" spans="1:11" s="33" customFormat="1" hidden="1" x14ac:dyDescent="0.3">
      <c r="A262" s="39">
        <v>46108.691979166666</v>
      </c>
      <c r="B262" s="33" t="s">
        <v>37</v>
      </c>
      <c r="C262" s="33">
        <v>4434230642</v>
      </c>
      <c r="E262" s="33">
        <v>90</v>
      </c>
      <c r="F262" s="33">
        <v>80</v>
      </c>
      <c r="G262" s="33" t="s">
        <v>38</v>
      </c>
      <c r="H262" s="33" t="s">
        <v>6813</v>
      </c>
      <c r="I262" s="33" t="s">
        <v>46</v>
      </c>
      <c r="J262" s="33" t="s">
        <v>40</v>
      </c>
    </row>
    <row r="263" spans="1:11" s="33" customFormat="1" hidden="1" x14ac:dyDescent="0.3">
      <c r="A263" s="39">
        <v>46108.681400462963</v>
      </c>
      <c r="B263" s="33">
        <v>44997456641</v>
      </c>
      <c r="C263" s="33">
        <v>4430265054</v>
      </c>
      <c r="D263" s="33">
        <v>4430265054</v>
      </c>
      <c r="E263" s="33">
        <v>100</v>
      </c>
      <c r="F263" s="33">
        <v>99</v>
      </c>
      <c r="G263" s="33" t="s">
        <v>3449</v>
      </c>
      <c r="H263" s="33" t="s">
        <v>6814</v>
      </c>
      <c r="I263" s="33" t="s">
        <v>39</v>
      </c>
      <c r="J263" s="33" t="s">
        <v>3451</v>
      </c>
      <c r="K263" s="33" t="s">
        <v>41</v>
      </c>
    </row>
    <row r="264" spans="1:11" s="33" customFormat="1" hidden="1" x14ac:dyDescent="0.3">
      <c r="A264" s="39">
        <v>46108.675821759258</v>
      </c>
      <c r="B264" s="33">
        <v>4430316847</v>
      </c>
      <c r="C264" s="33" t="s">
        <v>42</v>
      </c>
      <c r="D264" s="33">
        <v>4430265054</v>
      </c>
      <c r="E264" s="33">
        <v>1442</v>
      </c>
      <c r="F264" s="33">
        <v>1299</v>
      </c>
      <c r="G264" s="33" t="s">
        <v>38</v>
      </c>
      <c r="H264" s="33" t="s">
        <v>6815</v>
      </c>
      <c r="I264" s="33" t="s">
        <v>39</v>
      </c>
      <c r="J264" s="33" t="s">
        <v>40</v>
      </c>
      <c r="K264" s="33" t="s">
        <v>41</v>
      </c>
    </row>
    <row r="265" spans="1:11" s="33" customFormat="1" hidden="1" x14ac:dyDescent="0.3">
      <c r="A265" s="39">
        <v>46108.656875000001</v>
      </c>
      <c r="B265" s="33" t="s">
        <v>45</v>
      </c>
      <c r="C265" s="33">
        <v>1131043888</v>
      </c>
      <c r="E265" s="33">
        <v>147</v>
      </c>
      <c r="F265" s="33">
        <v>146</v>
      </c>
      <c r="G265" s="33" t="s">
        <v>38</v>
      </c>
      <c r="H265" s="33" t="s">
        <v>6816</v>
      </c>
      <c r="I265" s="33" t="s">
        <v>46</v>
      </c>
      <c r="J265" s="33" t="s">
        <v>40</v>
      </c>
    </row>
    <row r="266" spans="1:11" s="33" customFormat="1" hidden="1" x14ac:dyDescent="0.3">
      <c r="A266" s="39">
        <v>46108.656423611108</v>
      </c>
      <c r="B266" s="33" t="s">
        <v>5173</v>
      </c>
      <c r="C266" s="33">
        <v>91981481202</v>
      </c>
      <c r="E266" s="33">
        <v>22</v>
      </c>
      <c r="F266" s="33">
        <v>3</v>
      </c>
      <c r="G266" s="33" t="s">
        <v>38</v>
      </c>
      <c r="H266" s="33" t="s">
        <v>6817</v>
      </c>
      <c r="I266" s="33" t="s">
        <v>46</v>
      </c>
      <c r="J266" s="33" t="s">
        <v>3629</v>
      </c>
    </row>
    <row r="267" spans="1:11" s="33" customFormat="1" hidden="1" x14ac:dyDescent="0.3">
      <c r="A267" s="39">
        <v>46108.656041666669</v>
      </c>
      <c r="B267" s="33" t="s">
        <v>5173</v>
      </c>
      <c r="C267" s="33">
        <v>91991060530</v>
      </c>
      <c r="E267" s="33">
        <v>2</v>
      </c>
      <c r="F267" s="33">
        <v>0</v>
      </c>
      <c r="G267" s="33" t="s">
        <v>47</v>
      </c>
      <c r="H267" s="33" t="s">
        <v>6818</v>
      </c>
      <c r="I267" s="33" t="s">
        <v>46</v>
      </c>
      <c r="J267" s="33" t="s">
        <v>3629</v>
      </c>
    </row>
    <row r="268" spans="1:11" s="33" customFormat="1" hidden="1" x14ac:dyDescent="0.3">
      <c r="A268" s="39">
        <v>46108.655509259261</v>
      </c>
      <c r="B268" s="33" t="s">
        <v>5173</v>
      </c>
      <c r="C268" s="33">
        <v>91981481202</v>
      </c>
      <c r="E268" s="33">
        <v>31</v>
      </c>
      <c r="F268" s="33">
        <v>5</v>
      </c>
      <c r="G268" s="33" t="s">
        <v>38</v>
      </c>
      <c r="H268" s="33" t="s">
        <v>6819</v>
      </c>
      <c r="I268" s="33" t="s">
        <v>46</v>
      </c>
      <c r="J268" s="33" t="s">
        <v>3629</v>
      </c>
    </row>
    <row r="269" spans="1:11" s="33" customFormat="1" hidden="1" x14ac:dyDescent="0.3">
      <c r="A269" s="39">
        <v>46108.655243055553</v>
      </c>
      <c r="B269" s="33" t="s">
        <v>43</v>
      </c>
      <c r="C269" s="33">
        <v>4430456097</v>
      </c>
      <c r="E269" s="33">
        <v>6</v>
      </c>
      <c r="F269" s="33">
        <v>0</v>
      </c>
      <c r="G269" s="33" t="s">
        <v>47</v>
      </c>
      <c r="H269" s="33" t="s">
        <v>6820</v>
      </c>
      <c r="I269" s="33" t="s">
        <v>46</v>
      </c>
      <c r="J269" s="33" t="s">
        <v>40</v>
      </c>
    </row>
    <row r="270" spans="1:11" s="33" customFormat="1" hidden="1" x14ac:dyDescent="0.3">
      <c r="A270" s="39">
        <v>46108.65520833333</v>
      </c>
      <c r="B270" s="33" t="s">
        <v>43</v>
      </c>
      <c r="C270" s="33">
        <v>4430456097</v>
      </c>
      <c r="E270" s="33">
        <v>1</v>
      </c>
      <c r="F270" s="33">
        <v>0</v>
      </c>
      <c r="G270" s="33" t="s">
        <v>47</v>
      </c>
      <c r="H270" s="33" t="s">
        <v>6821</v>
      </c>
      <c r="I270" s="33" t="s">
        <v>46</v>
      </c>
      <c r="J270" s="33" t="s">
        <v>40</v>
      </c>
    </row>
    <row r="271" spans="1:11" s="33" customFormat="1" hidden="1" x14ac:dyDescent="0.3">
      <c r="A271" s="39">
        <v>46108.654907407406</v>
      </c>
      <c r="B271" s="33" t="s">
        <v>43</v>
      </c>
      <c r="C271" s="33">
        <v>4439001698</v>
      </c>
      <c r="E271" s="33">
        <v>1</v>
      </c>
      <c r="F271" s="33">
        <v>0</v>
      </c>
      <c r="G271" s="33" t="s">
        <v>47</v>
      </c>
      <c r="H271" s="33" t="s">
        <v>6822</v>
      </c>
      <c r="I271" s="33" t="s">
        <v>46</v>
      </c>
      <c r="J271" s="33" t="s">
        <v>40</v>
      </c>
    </row>
    <row r="272" spans="1:11" s="33" customFormat="1" hidden="1" x14ac:dyDescent="0.3">
      <c r="A272" s="39">
        <v>46108.654814814814</v>
      </c>
      <c r="B272" s="33" t="s">
        <v>43</v>
      </c>
      <c r="C272" s="33">
        <v>4439001698</v>
      </c>
      <c r="E272" s="33">
        <v>6</v>
      </c>
      <c r="F272" s="33">
        <v>0</v>
      </c>
      <c r="G272" s="33" t="s">
        <v>47</v>
      </c>
      <c r="H272" s="33" t="s">
        <v>6823</v>
      </c>
      <c r="I272" s="33" t="s">
        <v>46</v>
      </c>
      <c r="J272" s="33" t="s">
        <v>40</v>
      </c>
    </row>
    <row r="273" spans="1:12" s="33" customFormat="1" hidden="1" x14ac:dyDescent="0.3">
      <c r="A273" s="39">
        <v>46108.654629629629</v>
      </c>
      <c r="B273" s="33" t="s">
        <v>37</v>
      </c>
      <c r="C273" s="33">
        <v>4330333542</v>
      </c>
      <c r="E273" s="33">
        <v>489</v>
      </c>
      <c r="F273" s="33">
        <v>479</v>
      </c>
      <c r="G273" s="33" t="s">
        <v>38</v>
      </c>
      <c r="H273" s="33" t="s">
        <v>6824</v>
      </c>
      <c r="I273" s="33" t="s">
        <v>46</v>
      </c>
      <c r="J273" s="33" t="s">
        <v>40</v>
      </c>
    </row>
    <row r="274" spans="1:12" s="33" customFormat="1" hidden="1" x14ac:dyDescent="0.3">
      <c r="A274" s="39">
        <v>46108.653356481482</v>
      </c>
      <c r="B274" s="33" t="s">
        <v>37</v>
      </c>
      <c r="C274" s="33">
        <v>4330333542</v>
      </c>
      <c r="E274" s="33">
        <v>1</v>
      </c>
      <c r="F274" s="33">
        <v>0</v>
      </c>
      <c r="G274" s="33" t="s">
        <v>47</v>
      </c>
      <c r="H274" s="33" t="s">
        <v>6825</v>
      </c>
      <c r="I274" s="33" t="s">
        <v>46</v>
      </c>
      <c r="J274" s="33" t="s">
        <v>40</v>
      </c>
    </row>
    <row r="275" spans="1:12" s="33" customFormat="1" hidden="1" x14ac:dyDescent="0.3">
      <c r="A275" s="39">
        <v>46108.653032407405</v>
      </c>
      <c r="B275" s="33" t="s">
        <v>37</v>
      </c>
      <c r="C275" s="33">
        <v>4330333542</v>
      </c>
      <c r="E275" s="33">
        <v>25</v>
      </c>
      <c r="F275" s="33">
        <v>4</v>
      </c>
      <c r="G275" s="33" t="s">
        <v>38</v>
      </c>
      <c r="H275" s="33" t="s">
        <v>6826</v>
      </c>
      <c r="I275" s="33" t="s">
        <v>46</v>
      </c>
      <c r="J275" s="33" t="s">
        <v>40</v>
      </c>
    </row>
    <row r="276" spans="1:12" s="33" customFormat="1" hidden="1" x14ac:dyDescent="0.3">
      <c r="A276" s="39">
        <v>46108.650671296295</v>
      </c>
      <c r="B276" s="33" t="s">
        <v>43</v>
      </c>
      <c r="C276" s="33">
        <v>4430191465</v>
      </c>
      <c r="E276" s="33">
        <v>155</v>
      </c>
      <c r="F276" s="33">
        <v>145</v>
      </c>
      <c r="G276" s="33" t="s">
        <v>38</v>
      </c>
      <c r="H276" s="33" t="s">
        <v>6827</v>
      </c>
      <c r="I276" s="33" t="s">
        <v>46</v>
      </c>
      <c r="J276" s="33" t="s">
        <v>40</v>
      </c>
    </row>
    <row r="277" spans="1:12" s="33" customFormat="1" hidden="1" x14ac:dyDescent="0.3">
      <c r="A277" s="39">
        <v>46108.650405092594</v>
      </c>
      <c r="B277" s="33" t="s">
        <v>43</v>
      </c>
      <c r="C277" s="33">
        <v>44988067937</v>
      </c>
      <c r="E277" s="33">
        <v>5</v>
      </c>
      <c r="F277" s="33">
        <v>0</v>
      </c>
      <c r="G277" s="33" t="s">
        <v>47</v>
      </c>
      <c r="H277" s="33" t="s">
        <v>6828</v>
      </c>
      <c r="I277" s="33" t="s">
        <v>46</v>
      </c>
      <c r="J277" s="33" t="s">
        <v>40</v>
      </c>
    </row>
    <row r="278" spans="1:12" s="33" customFormat="1" hidden="1" x14ac:dyDescent="0.3">
      <c r="A278" s="39">
        <v>46108.648078703707</v>
      </c>
      <c r="B278" s="33">
        <v>1128787060</v>
      </c>
      <c r="C278" s="33" t="s">
        <v>48</v>
      </c>
      <c r="D278" s="33">
        <v>4430265054</v>
      </c>
      <c r="E278" s="33">
        <v>232</v>
      </c>
      <c r="F278" s="33">
        <v>198</v>
      </c>
      <c r="G278" s="33" t="s">
        <v>38</v>
      </c>
      <c r="H278" s="33" t="s">
        <v>6829</v>
      </c>
      <c r="I278" s="33" t="s">
        <v>39</v>
      </c>
      <c r="J278" s="33" t="s">
        <v>40</v>
      </c>
      <c r="K278" s="33" t="s">
        <v>50</v>
      </c>
    </row>
    <row r="279" spans="1:12" s="33" customFormat="1" hidden="1" x14ac:dyDescent="0.3">
      <c r="A279" s="39">
        <v>46108.640752314815</v>
      </c>
      <c r="B279" s="33">
        <v>44998437682</v>
      </c>
      <c r="C279" s="33" t="s">
        <v>45</v>
      </c>
      <c r="D279" s="33">
        <v>4430265054</v>
      </c>
      <c r="E279" s="33">
        <v>1390</v>
      </c>
      <c r="F279" s="33">
        <v>1363</v>
      </c>
      <c r="G279" s="33" t="s">
        <v>38</v>
      </c>
      <c r="H279" s="33" t="s">
        <v>6830</v>
      </c>
      <c r="I279" s="33" t="s">
        <v>39</v>
      </c>
      <c r="J279" s="33" t="s">
        <v>40</v>
      </c>
      <c r="K279" s="33" t="s">
        <v>41</v>
      </c>
    </row>
    <row r="280" spans="1:12" s="33" customFormat="1" hidden="1" x14ac:dyDescent="0.3">
      <c r="A280" s="39">
        <v>46108.615324074075</v>
      </c>
      <c r="B280" s="33">
        <v>4430141533</v>
      </c>
      <c r="C280" s="33" t="s">
        <v>48</v>
      </c>
      <c r="D280" s="33">
        <v>4430265054</v>
      </c>
      <c r="E280" s="33">
        <v>302</v>
      </c>
      <c r="F280" s="33">
        <v>279</v>
      </c>
      <c r="G280" s="33" t="s">
        <v>38</v>
      </c>
      <c r="H280" s="33" t="s">
        <v>6831</v>
      </c>
      <c r="I280" s="33" t="s">
        <v>39</v>
      </c>
      <c r="J280" s="33" t="s">
        <v>40</v>
      </c>
      <c r="K280" s="33" t="s">
        <v>50</v>
      </c>
    </row>
    <row r="281" spans="1:12" s="33" customFormat="1" hidden="1" x14ac:dyDescent="0.3">
      <c r="A281" s="39">
        <v>46108.611250000002</v>
      </c>
      <c r="B281" s="33" t="s">
        <v>5173</v>
      </c>
      <c r="C281" s="33">
        <v>91981481202</v>
      </c>
      <c r="E281" s="33">
        <v>28</v>
      </c>
      <c r="F281" s="33">
        <v>4</v>
      </c>
      <c r="G281" s="33" t="s">
        <v>38</v>
      </c>
      <c r="H281" s="33" t="s">
        <v>6832</v>
      </c>
      <c r="I281" s="33" t="s">
        <v>46</v>
      </c>
      <c r="J281" s="33" t="s">
        <v>3629</v>
      </c>
    </row>
    <row r="282" spans="1:12" s="33" customFormat="1" hidden="1" x14ac:dyDescent="0.3">
      <c r="A282" s="39">
        <v>46108.607951388891</v>
      </c>
      <c r="B282" s="33" t="s">
        <v>5173</v>
      </c>
      <c r="C282" s="33">
        <v>44991558823</v>
      </c>
      <c r="E282" s="33">
        <v>25</v>
      </c>
      <c r="F282" s="33">
        <v>8</v>
      </c>
      <c r="G282" s="33" t="s">
        <v>38</v>
      </c>
      <c r="H282" s="33" t="s">
        <v>6833</v>
      </c>
      <c r="I282" s="33" t="s">
        <v>46</v>
      </c>
      <c r="J282" s="33" t="s">
        <v>3629</v>
      </c>
    </row>
    <row r="283" spans="1:12" s="33" customFormat="1" hidden="1" x14ac:dyDescent="0.3">
      <c r="A283" s="39">
        <v>46108.606932870367</v>
      </c>
      <c r="B283" s="33" t="s">
        <v>5173</v>
      </c>
      <c r="C283" s="33">
        <v>91981481202</v>
      </c>
      <c r="E283" s="33">
        <v>24</v>
      </c>
      <c r="F283" s="33">
        <v>4</v>
      </c>
      <c r="G283" s="33" t="s">
        <v>38</v>
      </c>
      <c r="H283" s="33" t="s">
        <v>6834</v>
      </c>
      <c r="I283" s="33" t="s">
        <v>46</v>
      </c>
      <c r="J283" s="33" t="s">
        <v>3629</v>
      </c>
    </row>
    <row r="284" spans="1:12" s="33" customFormat="1" hidden="1" x14ac:dyDescent="0.3">
      <c r="A284" s="39">
        <v>46108.606666666667</v>
      </c>
      <c r="B284" s="33" t="s">
        <v>5173</v>
      </c>
      <c r="C284" s="33">
        <v>91991060530</v>
      </c>
      <c r="E284" s="33">
        <v>15</v>
      </c>
      <c r="F284" s="33">
        <v>2</v>
      </c>
      <c r="G284" s="33" t="s">
        <v>38</v>
      </c>
      <c r="H284" s="33" t="s">
        <v>6835</v>
      </c>
      <c r="I284" s="33" t="s">
        <v>46</v>
      </c>
      <c r="J284" s="33" t="s">
        <v>3629</v>
      </c>
    </row>
    <row r="285" spans="1:12" s="33" customFormat="1" hidden="1" x14ac:dyDescent="0.3">
      <c r="A285" s="39">
        <v>46108.605081018519</v>
      </c>
      <c r="B285" s="33">
        <v>4430291622</v>
      </c>
      <c r="C285" s="33">
        <v>4430265054</v>
      </c>
      <c r="D285" s="33">
        <v>4430265054</v>
      </c>
      <c r="E285" s="33">
        <v>62</v>
      </c>
      <c r="F285" s="33">
        <v>61</v>
      </c>
      <c r="G285" s="33" t="s">
        <v>3449</v>
      </c>
      <c r="H285" s="33" t="s">
        <v>6836</v>
      </c>
      <c r="I285" s="33" t="s">
        <v>39</v>
      </c>
      <c r="J285" s="33" t="s">
        <v>3451</v>
      </c>
      <c r="K285" s="33" t="s">
        <v>41</v>
      </c>
    </row>
    <row r="286" spans="1:12" s="33" customFormat="1" hidden="1" x14ac:dyDescent="0.3">
      <c r="A286" s="39">
        <v>46108.59888888889</v>
      </c>
      <c r="B286" s="33">
        <v>44999090169</v>
      </c>
      <c r="C286" s="33" t="s">
        <v>45</v>
      </c>
      <c r="D286" s="33">
        <v>4430265054</v>
      </c>
      <c r="E286" s="33">
        <v>1688</v>
      </c>
      <c r="F286" s="33">
        <v>1666</v>
      </c>
      <c r="G286" s="33" t="s">
        <v>38</v>
      </c>
      <c r="H286" s="33" t="s">
        <v>6837</v>
      </c>
      <c r="I286" s="33" t="s">
        <v>39</v>
      </c>
      <c r="J286" s="33" t="s">
        <v>40</v>
      </c>
      <c r="K286" s="33" t="s">
        <v>41</v>
      </c>
      <c r="L286" s="33">
        <v>5</v>
      </c>
    </row>
    <row r="287" spans="1:12" s="33" customFormat="1" hidden="1" x14ac:dyDescent="0.3">
      <c r="A287" s="39">
        <v>46108.593009259261</v>
      </c>
      <c r="B287" s="33">
        <v>4430459032</v>
      </c>
      <c r="C287" s="33" t="s">
        <v>44</v>
      </c>
      <c r="D287" s="33">
        <v>4430265054</v>
      </c>
      <c r="E287" s="33">
        <v>682</v>
      </c>
      <c r="F287" s="33">
        <v>648</v>
      </c>
      <c r="G287" s="33" t="s">
        <v>38</v>
      </c>
      <c r="H287" s="33" t="s">
        <v>6838</v>
      </c>
      <c r="I287" s="33" t="s">
        <v>39</v>
      </c>
      <c r="J287" s="33" t="s">
        <v>40</v>
      </c>
      <c r="K287" s="33" t="s">
        <v>41</v>
      </c>
    </row>
    <row r="288" spans="1:12" s="33" customFormat="1" hidden="1" x14ac:dyDescent="0.3">
      <c r="A288" s="39">
        <v>46108.591840277775</v>
      </c>
      <c r="B288" s="33">
        <v>12981700386</v>
      </c>
      <c r="C288" s="33" t="s">
        <v>37</v>
      </c>
      <c r="D288" s="33">
        <v>4430265054</v>
      </c>
      <c r="E288" s="33">
        <v>873</v>
      </c>
      <c r="F288" s="33">
        <v>795</v>
      </c>
      <c r="G288" s="33" t="s">
        <v>38</v>
      </c>
      <c r="H288" s="33" t="s">
        <v>6839</v>
      </c>
      <c r="I288" s="33" t="s">
        <v>39</v>
      </c>
      <c r="J288" s="33" t="s">
        <v>40</v>
      </c>
      <c r="K288" s="33" t="s">
        <v>41</v>
      </c>
      <c r="L288" s="33">
        <v>4</v>
      </c>
    </row>
    <row r="289" spans="1:11" s="33" customFormat="1" hidden="1" x14ac:dyDescent="0.3">
      <c r="A289" s="39">
        <v>46108.590682870374</v>
      </c>
      <c r="B289" s="33">
        <v>44991814587</v>
      </c>
      <c r="C289" s="33" t="s">
        <v>42</v>
      </c>
      <c r="D289" s="33">
        <v>4430265054</v>
      </c>
      <c r="E289" s="33">
        <v>1195</v>
      </c>
      <c r="F289" s="33">
        <v>1164</v>
      </c>
      <c r="G289" s="33" t="s">
        <v>38</v>
      </c>
      <c r="H289" s="33" t="s">
        <v>6840</v>
      </c>
      <c r="I289" s="33" t="s">
        <v>39</v>
      </c>
      <c r="J289" s="33" t="s">
        <v>40</v>
      </c>
      <c r="K289" s="33" t="s">
        <v>41</v>
      </c>
    </row>
    <row r="290" spans="1:11" s="33" customFormat="1" hidden="1" x14ac:dyDescent="0.3">
      <c r="A290" s="39">
        <v>46108.58997685185</v>
      </c>
      <c r="B290" s="33">
        <v>44997134514</v>
      </c>
      <c r="C290" s="33" t="s">
        <v>43</v>
      </c>
      <c r="D290" s="33">
        <v>4430265054</v>
      </c>
      <c r="E290" s="33">
        <v>790</v>
      </c>
      <c r="F290" s="33">
        <v>729</v>
      </c>
      <c r="G290" s="33" t="s">
        <v>38</v>
      </c>
      <c r="H290" s="33" t="s">
        <v>6841</v>
      </c>
      <c r="I290" s="33" t="s">
        <v>39</v>
      </c>
      <c r="J290" s="33" t="s">
        <v>40</v>
      </c>
      <c r="K290" s="33" t="s">
        <v>41</v>
      </c>
    </row>
    <row r="291" spans="1:11" s="33" customFormat="1" hidden="1" x14ac:dyDescent="0.3">
      <c r="A291" s="39">
        <v>46108.583287037036</v>
      </c>
      <c r="B291" s="33">
        <v>4121413772</v>
      </c>
      <c r="C291" s="33">
        <v>4531273177</v>
      </c>
      <c r="D291" s="33">
        <v>4531273177</v>
      </c>
      <c r="E291" s="33">
        <v>46</v>
      </c>
      <c r="F291" s="33">
        <v>46</v>
      </c>
      <c r="G291" s="33" t="s">
        <v>3449</v>
      </c>
      <c r="H291" s="33" t="s">
        <v>6842</v>
      </c>
      <c r="I291" s="33" t="s">
        <v>39</v>
      </c>
      <c r="J291" s="33" t="s">
        <v>3451</v>
      </c>
      <c r="K291" s="33" t="s">
        <v>41</v>
      </c>
    </row>
    <row r="292" spans="1:11" s="33" customFormat="1" hidden="1" x14ac:dyDescent="0.3">
      <c r="A292" s="39">
        <v>46108.577048611114</v>
      </c>
      <c r="B292" s="33">
        <v>4430191401</v>
      </c>
      <c r="C292" s="33" t="s">
        <v>45</v>
      </c>
      <c r="D292" s="33">
        <v>4430265054</v>
      </c>
      <c r="E292" s="33">
        <v>1255</v>
      </c>
      <c r="F292" s="33">
        <v>1098</v>
      </c>
      <c r="G292" s="33" t="s">
        <v>38</v>
      </c>
      <c r="H292" s="33" t="s">
        <v>6843</v>
      </c>
      <c r="I292" s="33" t="s">
        <v>39</v>
      </c>
      <c r="J292" s="33" t="s">
        <v>40</v>
      </c>
      <c r="K292" s="33" t="s">
        <v>41</v>
      </c>
    </row>
    <row r="293" spans="1:11" s="33" customFormat="1" hidden="1" x14ac:dyDescent="0.3">
      <c r="A293" s="39">
        <v>46108.573587962965</v>
      </c>
      <c r="B293" s="33" t="s">
        <v>45</v>
      </c>
      <c r="C293" s="33">
        <v>1131043888</v>
      </c>
      <c r="E293" s="33">
        <v>75</v>
      </c>
      <c r="F293" s="33">
        <v>74</v>
      </c>
      <c r="G293" s="33" t="s">
        <v>38</v>
      </c>
      <c r="H293" s="33" t="s">
        <v>6844</v>
      </c>
      <c r="I293" s="33" t="s">
        <v>46</v>
      </c>
      <c r="J293" s="33" t="s">
        <v>40</v>
      </c>
    </row>
    <row r="294" spans="1:11" s="33" customFormat="1" hidden="1" x14ac:dyDescent="0.3">
      <c r="A294" s="39">
        <v>46108.573425925926</v>
      </c>
      <c r="B294" s="33" t="s">
        <v>45</v>
      </c>
      <c r="C294" s="33">
        <v>1131043888</v>
      </c>
      <c r="E294" s="33">
        <v>39</v>
      </c>
      <c r="F294" s="33">
        <v>38</v>
      </c>
      <c r="G294" s="33" t="s">
        <v>38</v>
      </c>
      <c r="H294" s="33" t="s">
        <v>6845</v>
      </c>
      <c r="I294" s="33" t="s">
        <v>46</v>
      </c>
      <c r="J294" s="33" t="s">
        <v>40</v>
      </c>
    </row>
    <row r="295" spans="1:11" s="33" customFormat="1" hidden="1" x14ac:dyDescent="0.3">
      <c r="A295" s="39">
        <v>46108.569456018522</v>
      </c>
      <c r="B295" s="33" t="s">
        <v>37</v>
      </c>
      <c r="C295" s="33">
        <v>43984040334</v>
      </c>
      <c r="E295" s="33">
        <v>247</v>
      </c>
      <c r="F295" s="33">
        <v>229</v>
      </c>
      <c r="G295" s="33" t="s">
        <v>38</v>
      </c>
      <c r="H295" s="33" t="s">
        <v>6846</v>
      </c>
      <c r="I295" s="33" t="s">
        <v>46</v>
      </c>
      <c r="J295" s="33" t="s">
        <v>40</v>
      </c>
    </row>
    <row r="296" spans="1:11" s="33" customFormat="1" hidden="1" x14ac:dyDescent="0.3">
      <c r="A296" s="39">
        <v>46108.562534722223</v>
      </c>
      <c r="B296" s="33">
        <v>44991417803</v>
      </c>
      <c r="C296" s="33">
        <v>4430265054</v>
      </c>
      <c r="D296" s="33">
        <v>4430265054</v>
      </c>
      <c r="E296" s="33">
        <v>6</v>
      </c>
      <c r="F296" s="33">
        <v>5</v>
      </c>
      <c r="G296" s="33" t="s">
        <v>3449</v>
      </c>
      <c r="H296" s="33" t="s">
        <v>6847</v>
      </c>
      <c r="I296" s="33" t="s">
        <v>39</v>
      </c>
      <c r="J296" s="33" t="s">
        <v>3451</v>
      </c>
    </row>
    <row r="297" spans="1:11" s="33" customFormat="1" hidden="1" x14ac:dyDescent="0.3">
      <c r="A297" s="39">
        <v>46108.561377314814</v>
      </c>
      <c r="B297" s="33" t="s">
        <v>45</v>
      </c>
      <c r="C297" s="33">
        <v>1131043888</v>
      </c>
      <c r="E297" s="33">
        <v>77</v>
      </c>
      <c r="F297" s="33">
        <v>76</v>
      </c>
      <c r="G297" s="33" t="s">
        <v>38</v>
      </c>
      <c r="H297" s="33" t="s">
        <v>6848</v>
      </c>
      <c r="I297" s="33" t="s">
        <v>46</v>
      </c>
      <c r="J297" s="33" t="s">
        <v>40</v>
      </c>
    </row>
    <row r="298" spans="1:11" s="33" customFormat="1" hidden="1" x14ac:dyDescent="0.3">
      <c r="A298" s="39">
        <v>46108.559699074074</v>
      </c>
      <c r="B298" s="33" t="s">
        <v>45</v>
      </c>
      <c r="C298" s="33">
        <v>1131043888</v>
      </c>
      <c r="E298" s="33">
        <v>130</v>
      </c>
      <c r="F298" s="33">
        <v>129</v>
      </c>
      <c r="G298" s="33" t="s">
        <v>38</v>
      </c>
      <c r="H298" s="33" t="s">
        <v>6849</v>
      </c>
      <c r="I298" s="33" t="s">
        <v>46</v>
      </c>
      <c r="J298" s="33" t="s">
        <v>40</v>
      </c>
    </row>
    <row r="299" spans="1:11" s="33" customFormat="1" hidden="1" x14ac:dyDescent="0.3">
      <c r="A299" s="39">
        <v>46108.558148148149</v>
      </c>
      <c r="B299" s="33" t="s">
        <v>45</v>
      </c>
      <c r="C299" s="33">
        <v>1131043888</v>
      </c>
      <c r="E299" s="33">
        <v>123</v>
      </c>
      <c r="F299" s="33">
        <v>121</v>
      </c>
      <c r="G299" s="33" t="s">
        <v>38</v>
      </c>
      <c r="H299" s="33" t="s">
        <v>6850</v>
      </c>
      <c r="I299" s="33" t="s">
        <v>46</v>
      </c>
      <c r="J299" s="33" t="s">
        <v>40</v>
      </c>
    </row>
    <row r="300" spans="1:11" s="33" customFormat="1" hidden="1" x14ac:dyDescent="0.3">
      <c r="A300" s="39">
        <v>46108.553460648145</v>
      </c>
      <c r="B300" s="33">
        <v>4121413325</v>
      </c>
      <c r="C300" s="33">
        <v>4531273159</v>
      </c>
      <c r="D300" s="33">
        <v>4531273159</v>
      </c>
      <c r="E300" s="33">
        <v>28</v>
      </c>
      <c r="F300" s="33">
        <v>28</v>
      </c>
      <c r="G300" s="33" t="s">
        <v>3449</v>
      </c>
      <c r="H300" s="33" t="s">
        <v>6851</v>
      </c>
      <c r="I300" s="33" t="s">
        <v>39</v>
      </c>
      <c r="J300" s="33" t="s">
        <v>3451</v>
      </c>
    </row>
    <row r="301" spans="1:11" s="33" customFormat="1" hidden="1" x14ac:dyDescent="0.3">
      <c r="A301" s="39">
        <v>46108.480185185188</v>
      </c>
      <c r="B301" s="33" t="s">
        <v>45</v>
      </c>
      <c r="C301" s="33">
        <v>1131043888</v>
      </c>
      <c r="E301" s="33">
        <v>356</v>
      </c>
      <c r="F301" s="33">
        <v>355</v>
      </c>
      <c r="G301" s="33" t="s">
        <v>38</v>
      </c>
      <c r="H301" s="33" t="s">
        <v>6852</v>
      </c>
      <c r="I301" s="33" t="s">
        <v>46</v>
      </c>
      <c r="J301" s="33" t="s">
        <v>40</v>
      </c>
    </row>
    <row r="302" spans="1:11" s="33" customFormat="1" hidden="1" x14ac:dyDescent="0.3">
      <c r="A302" s="39">
        <v>46108.475312499999</v>
      </c>
      <c r="B302" s="33" t="s">
        <v>3627</v>
      </c>
      <c r="C302" s="33">
        <v>1129899870</v>
      </c>
      <c r="E302" s="33">
        <v>19</v>
      </c>
      <c r="F302" s="33">
        <v>0</v>
      </c>
      <c r="G302" s="33" t="s">
        <v>47</v>
      </c>
      <c r="H302" s="33" t="s">
        <v>6853</v>
      </c>
      <c r="I302" s="33" t="s">
        <v>46</v>
      </c>
      <c r="J302" s="33" t="s">
        <v>3629</v>
      </c>
    </row>
    <row r="303" spans="1:11" s="33" customFormat="1" hidden="1" x14ac:dyDescent="0.3">
      <c r="A303" s="39">
        <v>46108.474131944444</v>
      </c>
      <c r="B303" s="33">
        <v>4432520627</v>
      </c>
      <c r="C303" s="33" t="s">
        <v>43</v>
      </c>
      <c r="D303" s="33">
        <v>4430265054</v>
      </c>
      <c r="E303" s="33">
        <v>225</v>
      </c>
      <c r="F303" s="33">
        <v>205</v>
      </c>
      <c r="G303" s="33" t="s">
        <v>38</v>
      </c>
      <c r="H303" s="33" t="s">
        <v>6854</v>
      </c>
      <c r="I303" s="33" t="s">
        <v>39</v>
      </c>
      <c r="J303" s="33" t="s">
        <v>40</v>
      </c>
      <c r="K303" s="33" t="s">
        <v>41</v>
      </c>
    </row>
    <row r="304" spans="1:11" s="33" customFormat="1" hidden="1" x14ac:dyDescent="0.3">
      <c r="A304" s="39">
        <v>46108.469780092593</v>
      </c>
      <c r="B304" s="33">
        <v>4121413821</v>
      </c>
      <c r="C304" s="33" t="s">
        <v>43</v>
      </c>
      <c r="D304" s="33">
        <v>4531273153</v>
      </c>
      <c r="E304" s="33">
        <v>58</v>
      </c>
      <c r="F304" s="33">
        <v>6</v>
      </c>
      <c r="G304" s="33" t="s">
        <v>38</v>
      </c>
      <c r="H304" s="33" t="s">
        <v>6855</v>
      </c>
      <c r="I304" s="33" t="s">
        <v>39</v>
      </c>
      <c r="J304" s="33" t="s">
        <v>40</v>
      </c>
      <c r="K304" s="33" t="s">
        <v>41</v>
      </c>
    </row>
    <row r="305" spans="1:13" hidden="1" x14ac:dyDescent="0.3">
      <c r="A305" s="39">
        <v>46108.466898148145</v>
      </c>
      <c r="B305" s="33" t="s">
        <v>48</v>
      </c>
      <c r="C305" s="33">
        <v>44998685500</v>
      </c>
      <c r="E305" s="33">
        <v>1161</v>
      </c>
      <c r="F305" s="33">
        <v>1146</v>
      </c>
      <c r="G305" s="33" t="s">
        <v>38</v>
      </c>
      <c r="H305" s="33" t="s">
        <v>6856</v>
      </c>
      <c r="I305" s="33" t="s">
        <v>46</v>
      </c>
      <c r="J305" s="33" t="s">
        <v>40</v>
      </c>
      <c r="M305" s="33"/>
    </row>
    <row r="306" spans="1:13" hidden="1" x14ac:dyDescent="0.3">
      <c r="A306" s="39">
        <v>46108.466087962966</v>
      </c>
      <c r="B306" s="33" t="s">
        <v>45</v>
      </c>
      <c r="C306" s="33">
        <v>1131043888</v>
      </c>
      <c r="E306" s="33">
        <v>712</v>
      </c>
      <c r="F306" s="33">
        <v>711</v>
      </c>
      <c r="G306" s="33" t="s">
        <v>38</v>
      </c>
      <c r="H306" s="33" t="s">
        <v>6857</v>
      </c>
      <c r="I306" s="33" t="s">
        <v>46</v>
      </c>
      <c r="J306" s="33" t="s">
        <v>40</v>
      </c>
      <c r="M306" s="33"/>
    </row>
    <row r="307" spans="1:13" hidden="1" x14ac:dyDescent="0.3">
      <c r="A307" s="39">
        <v>46108.465046296296</v>
      </c>
      <c r="B307" s="33">
        <v>4121413325</v>
      </c>
      <c r="C307" s="33">
        <v>4531273165</v>
      </c>
      <c r="D307" s="33">
        <v>4531273165</v>
      </c>
      <c r="E307" s="33">
        <v>55</v>
      </c>
      <c r="F307" s="33">
        <v>55</v>
      </c>
      <c r="G307" s="33" t="s">
        <v>3449</v>
      </c>
      <c r="H307" s="33" t="s">
        <v>6858</v>
      </c>
      <c r="I307" s="33" t="s">
        <v>39</v>
      </c>
      <c r="J307" s="33" t="s">
        <v>3451</v>
      </c>
      <c r="K307" s="33" t="s">
        <v>41</v>
      </c>
      <c r="M307" s="33"/>
    </row>
    <row r="308" spans="1:13" hidden="1" x14ac:dyDescent="0.3">
      <c r="A308" s="39">
        <v>46108.464085648149</v>
      </c>
      <c r="B308" s="33" t="s">
        <v>37</v>
      </c>
      <c r="C308" s="33">
        <v>4434230642</v>
      </c>
      <c r="E308" s="33">
        <v>1389</v>
      </c>
      <c r="F308" s="33">
        <v>1380</v>
      </c>
      <c r="G308" s="33" t="s">
        <v>38</v>
      </c>
      <c r="H308" s="33" t="s">
        <v>6859</v>
      </c>
      <c r="I308" s="33" t="s">
        <v>46</v>
      </c>
      <c r="J308" s="33" t="s">
        <v>40</v>
      </c>
      <c r="M308" s="33"/>
    </row>
    <row r="309" spans="1:13" hidden="1" x14ac:dyDescent="0.3">
      <c r="A309" s="39">
        <v>46108.445891203701</v>
      </c>
      <c r="B309" s="33" t="s">
        <v>37</v>
      </c>
      <c r="C309" s="33">
        <v>4430162376</v>
      </c>
      <c r="E309" s="33">
        <v>664</v>
      </c>
      <c r="F309" s="33">
        <v>653</v>
      </c>
      <c r="G309" s="33" t="s">
        <v>38</v>
      </c>
      <c r="H309" s="33" t="s">
        <v>6860</v>
      </c>
      <c r="I309" s="33" t="s">
        <v>46</v>
      </c>
      <c r="J309" s="33" t="s">
        <v>40</v>
      </c>
      <c r="L309" s="33">
        <v>5</v>
      </c>
      <c r="M309" s="33"/>
    </row>
    <row r="310" spans="1:13" hidden="1" x14ac:dyDescent="0.3">
      <c r="A310" s="39">
        <v>46108.440937500003</v>
      </c>
      <c r="B310" s="33">
        <v>1131515685</v>
      </c>
      <c r="C310" s="33" t="s">
        <v>45</v>
      </c>
      <c r="D310" s="33">
        <v>4430265054</v>
      </c>
      <c r="E310" s="33">
        <v>409</v>
      </c>
      <c r="F310" s="33">
        <v>365</v>
      </c>
      <c r="G310" s="33" t="s">
        <v>38</v>
      </c>
      <c r="H310" s="33" t="s">
        <v>6861</v>
      </c>
      <c r="I310" s="33" t="s">
        <v>39</v>
      </c>
      <c r="J310" s="33" t="s">
        <v>40</v>
      </c>
      <c r="K310" s="33" t="s">
        <v>41</v>
      </c>
      <c r="L310" s="37">
        <v>4</v>
      </c>
      <c r="M310" s="36" t="s">
        <v>9492</v>
      </c>
    </row>
    <row r="311" spans="1:13" hidden="1" x14ac:dyDescent="0.3">
      <c r="A311" s="39">
        <v>46108.439513888887</v>
      </c>
      <c r="B311" s="33">
        <v>1131515685</v>
      </c>
      <c r="C311" s="33">
        <v>4430265054</v>
      </c>
      <c r="D311" s="33">
        <v>4430265054</v>
      </c>
      <c r="E311" s="33">
        <v>39</v>
      </c>
      <c r="F311" s="33">
        <v>38</v>
      </c>
      <c r="G311" s="33" t="s">
        <v>3449</v>
      </c>
      <c r="H311" s="33" t="s">
        <v>6862</v>
      </c>
      <c r="I311" s="33" t="s">
        <v>39</v>
      </c>
      <c r="J311" s="33" t="s">
        <v>3451</v>
      </c>
      <c r="K311" s="33" t="s">
        <v>41</v>
      </c>
      <c r="M311" s="33"/>
    </row>
    <row r="312" spans="1:13" hidden="1" x14ac:dyDescent="0.3">
      <c r="A312" s="39">
        <v>46108.438009259262</v>
      </c>
      <c r="B312" s="33">
        <v>44991814587</v>
      </c>
      <c r="C312" s="33">
        <v>4430265054</v>
      </c>
      <c r="D312" s="33">
        <v>4430265054</v>
      </c>
      <c r="E312" s="33">
        <v>12</v>
      </c>
      <c r="F312" s="33">
        <v>11</v>
      </c>
      <c r="G312" s="33" t="s">
        <v>3449</v>
      </c>
      <c r="H312" s="33" t="s">
        <v>6863</v>
      </c>
      <c r="I312" s="33" t="s">
        <v>39</v>
      </c>
      <c r="J312" s="33" t="s">
        <v>3451</v>
      </c>
      <c r="M312" s="33"/>
    </row>
    <row r="313" spans="1:13" hidden="1" x14ac:dyDescent="0.3">
      <c r="A313" s="39">
        <v>46108.437141203707</v>
      </c>
      <c r="B313" s="33" t="s">
        <v>5173</v>
      </c>
      <c r="C313" s="33">
        <v>11930586565</v>
      </c>
      <c r="E313" s="33">
        <v>0</v>
      </c>
      <c r="F313" s="33">
        <v>0</v>
      </c>
      <c r="G313" s="33" t="s">
        <v>47</v>
      </c>
      <c r="H313" s="33" t="s">
        <v>6864</v>
      </c>
      <c r="I313" s="33" t="s">
        <v>46</v>
      </c>
      <c r="J313" s="33" t="s">
        <v>3629</v>
      </c>
      <c r="M313" s="33"/>
    </row>
    <row r="314" spans="1:13" hidden="1" x14ac:dyDescent="0.3">
      <c r="A314" s="39">
        <v>46108.436886574076</v>
      </c>
      <c r="B314" s="33" t="s">
        <v>5173</v>
      </c>
      <c r="C314" s="33">
        <v>1132282406</v>
      </c>
      <c r="E314" s="33">
        <v>7</v>
      </c>
      <c r="F314" s="33">
        <v>0</v>
      </c>
      <c r="G314" s="33" t="s">
        <v>47</v>
      </c>
      <c r="H314" s="33" t="s">
        <v>6865</v>
      </c>
      <c r="I314" s="33" t="s">
        <v>46</v>
      </c>
      <c r="J314" s="33" t="s">
        <v>3629</v>
      </c>
      <c r="M314" s="33"/>
    </row>
    <row r="315" spans="1:13" hidden="1" x14ac:dyDescent="0.3">
      <c r="A315" s="39">
        <v>46108.436562499999</v>
      </c>
      <c r="B315" s="33">
        <v>4135007070</v>
      </c>
      <c r="C315" s="33">
        <v>4430265054</v>
      </c>
      <c r="D315" s="33">
        <v>4430265054</v>
      </c>
      <c r="E315" s="33">
        <v>6</v>
      </c>
      <c r="F315" s="33">
        <v>5</v>
      </c>
      <c r="G315" s="33" t="s">
        <v>3449</v>
      </c>
      <c r="H315" s="33" t="s">
        <v>6866</v>
      </c>
      <c r="I315" s="33" t="s">
        <v>39</v>
      </c>
      <c r="J315" s="33" t="s">
        <v>3451</v>
      </c>
      <c r="M315" s="33"/>
    </row>
    <row r="316" spans="1:13" hidden="1" x14ac:dyDescent="0.3">
      <c r="A316" s="39">
        <v>46108.427430555559</v>
      </c>
      <c r="B316" s="33">
        <v>4121413723</v>
      </c>
      <c r="C316" s="33" t="s">
        <v>45</v>
      </c>
      <c r="D316" s="33">
        <v>4531273168</v>
      </c>
      <c r="E316" s="33">
        <v>55</v>
      </c>
      <c r="F316" s="33">
        <v>15</v>
      </c>
      <c r="G316" s="33" t="s">
        <v>38</v>
      </c>
      <c r="H316" s="33" t="s">
        <v>6867</v>
      </c>
      <c r="I316" s="33" t="s">
        <v>39</v>
      </c>
      <c r="J316" s="33" t="s">
        <v>40</v>
      </c>
      <c r="K316" s="33" t="s">
        <v>41</v>
      </c>
      <c r="M316" s="33"/>
    </row>
    <row r="317" spans="1:13" hidden="1" x14ac:dyDescent="0.3">
      <c r="A317" s="39">
        <v>46108.424976851849</v>
      </c>
      <c r="B317" s="33">
        <v>44999647912</v>
      </c>
      <c r="C317" s="33" t="s">
        <v>43</v>
      </c>
      <c r="D317" s="33">
        <v>4430265054</v>
      </c>
      <c r="E317" s="33">
        <v>1142</v>
      </c>
      <c r="F317" s="33">
        <v>1075</v>
      </c>
      <c r="G317" s="33" t="s">
        <v>38</v>
      </c>
      <c r="H317" s="33" t="s">
        <v>6868</v>
      </c>
      <c r="I317" s="33" t="s">
        <v>39</v>
      </c>
      <c r="J317" s="33" t="s">
        <v>40</v>
      </c>
      <c r="K317" s="33" t="s">
        <v>41</v>
      </c>
      <c r="M317" s="33"/>
    </row>
    <row r="318" spans="1:13" hidden="1" x14ac:dyDescent="0.3">
      <c r="A318" s="39">
        <v>46108.423472222225</v>
      </c>
      <c r="B318" s="33">
        <v>4435228300</v>
      </c>
      <c r="C318" s="33" t="s">
        <v>37</v>
      </c>
      <c r="D318" s="33">
        <v>4430265054</v>
      </c>
      <c r="E318" s="33">
        <v>722</v>
      </c>
      <c r="F318" s="33">
        <v>653</v>
      </c>
      <c r="G318" s="33" t="s">
        <v>38</v>
      </c>
      <c r="H318" s="33" t="s">
        <v>6869</v>
      </c>
      <c r="I318" s="33" t="s">
        <v>39</v>
      </c>
      <c r="J318" s="33" t="s">
        <v>40</v>
      </c>
      <c r="K318" s="33" t="s">
        <v>41</v>
      </c>
      <c r="L318" s="33">
        <v>5</v>
      </c>
      <c r="M318" s="33"/>
    </row>
    <row r="319" spans="1:13" hidden="1" x14ac:dyDescent="0.3">
      <c r="A319" s="39">
        <v>46108.421724537038</v>
      </c>
      <c r="B319" s="33">
        <v>93991495484</v>
      </c>
      <c r="C319" s="33" t="s">
        <v>45</v>
      </c>
      <c r="D319" s="33">
        <v>4430265054</v>
      </c>
      <c r="E319" s="33">
        <v>243</v>
      </c>
      <c r="F319" s="33">
        <v>121</v>
      </c>
      <c r="G319" s="33" t="s">
        <v>38</v>
      </c>
      <c r="H319" s="33" t="s">
        <v>6870</v>
      </c>
      <c r="I319" s="33" t="s">
        <v>39</v>
      </c>
      <c r="J319" s="33" t="s">
        <v>40</v>
      </c>
      <c r="K319" s="33" t="s">
        <v>41</v>
      </c>
      <c r="L319" s="33">
        <v>5</v>
      </c>
      <c r="M319" s="33"/>
    </row>
    <row r="320" spans="1:13" hidden="1" x14ac:dyDescent="0.3">
      <c r="A320" s="39">
        <v>46108.41851851852</v>
      </c>
      <c r="B320" s="33" t="s">
        <v>3627</v>
      </c>
      <c r="C320" s="33">
        <v>44991231797</v>
      </c>
      <c r="E320" s="33">
        <v>18</v>
      </c>
      <c r="F320" s="33">
        <v>0</v>
      </c>
      <c r="G320" s="33" t="s">
        <v>47</v>
      </c>
      <c r="H320" s="33" t="s">
        <v>6871</v>
      </c>
      <c r="I320" s="33" t="s">
        <v>46</v>
      </c>
      <c r="J320" s="33" t="s">
        <v>3629</v>
      </c>
      <c r="M320" s="33"/>
    </row>
    <row r="321" spans="1:12" s="33" customFormat="1" hidden="1" x14ac:dyDescent="0.3">
      <c r="A321" s="39">
        <v>46108.41300925926</v>
      </c>
      <c r="B321" s="33" t="s">
        <v>5173</v>
      </c>
      <c r="C321" s="33">
        <v>91981481202</v>
      </c>
      <c r="E321" s="33">
        <v>93</v>
      </c>
      <c r="F321" s="33">
        <v>86</v>
      </c>
      <c r="G321" s="33" t="s">
        <v>38</v>
      </c>
      <c r="H321" s="33" t="s">
        <v>6872</v>
      </c>
      <c r="I321" s="33" t="s">
        <v>46</v>
      </c>
      <c r="J321" s="33" t="s">
        <v>3629</v>
      </c>
    </row>
    <row r="322" spans="1:12" s="33" customFormat="1" hidden="1" x14ac:dyDescent="0.3">
      <c r="A322" s="39">
        <v>46108.412719907406</v>
      </c>
      <c r="B322" s="33" t="s">
        <v>5173</v>
      </c>
      <c r="C322" s="33">
        <v>91991060530</v>
      </c>
      <c r="E322" s="33">
        <v>17</v>
      </c>
      <c r="F322" s="33">
        <v>2</v>
      </c>
      <c r="G322" s="33" t="s">
        <v>38</v>
      </c>
      <c r="H322" s="33" t="s">
        <v>6873</v>
      </c>
      <c r="I322" s="33" t="s">
        <v>46</v>
      </c>
      <c r="J322" s="33" t="s">
        <v>3629</v>
      </c>
    </row>
    <row r="323" spans="1:12" s="33" customFormat="1" hidden="1" x14ac:dyDescent="0.3">
      <c r="A323" s="39">
        <v>46108.411805555559</v>
      </c>
      <c r="B323" s="33">
        <v>4430315826</v>
      </c>
      <c r="C323" s="33" t="s">
        <v>37</v>
      </c>
      <c r="D323" s="33">
        <v>4430265054</v>
      </c>
      <c r="E323" s="33">
        <v>279</v>
      </c>
      <c r="F323" s="33">
        <v>218</v>
      </c>
      <c r="G323" s="33" t="s">
        <v>38</v>
      </c>
      <c r="H323" s="33" t="s">
        <v>6874</v>
      </c>
      <c r="I323" s="33" t="s">
        <v>39</v>
      </c>
      <c r="J323" s="33" t="s">
        <v>40</v>
      </c>
      <c r="K323" s="33" t="s">
        <v>41</v>
      </c>
    </row>
    <row r="324" spans="1:12" s="33" customFormat="1" hidden="1" x14ac:dyDescent="0.3">
      <c r="A324" s="39">
        <v>46108.409375000003</v>
      </c>
      <c r="B324" s="33">
        <v>44998417005</v>
      </c>
      <c r="C324" s="33" t="s">
        <v>45</v>
      </c>
      <c r="D324" s="33">
        <v>4430265054</v>
      </c>
      <c r="E324" s="33">
        <v>299</v>
      </c>
      <c r="F324" s="33">
        <v>265</v>
      </c>
      <c r="G324" s="33" t="s">
        <v>38</v>
      </c>
      <c r="H324" s="33" t="s">
        <v>6875</v>
      </c>
      <c r="I324" s="33" t="s">
        <v>39</v>
      </c>
      <c r="J324" s="33" t="s">
        <v>40</v>
      </c>
      <c r="K324" s="33" t="s">
        <v>41</v>
      </c>
      <c r="L324" s="33">
        <v>5</v>
      </c>
    </row>
    <row r="325" spans="1:12" s="33" customFormat="1" hidden="1" x14ac:dyDescent="0.3">
      <c r="A325" s="39">
        <v>46108.408564814818</v>
      </c>
      <c r="B325" s="33">
        <v>6234347959</v>
      </c>
      <c r="C325" s="33" t="s">
        <v>44</v>
      </c>
      <c r="D325" s="33">
        <v>4430265054</v>
      </c>
      <c r="E325" s="33">
        <v>472</v>
      </c>
      <c r="F325" s="33">
        <v>454</v>
      </c>
      <c r="G325" s="33" t="s">
        <v>38</v>
      </c>
      <c r="H325" s="33" t="s">
        <v>6876</v>
      </c>
      <c r="I325" s="33" t="s">
        <v>39</v>
      </c>
      <c r="J325" s="33" t="s">
        <v>40</v>
      </c>
      <c r="K325" s="33" t="s">
        <v>41</v>
      </c>
    </row>
    <row r="326" spans="1:12" s="33" customFormat="1" hidden="1" x14ac:dyDescent="0.3">
      <c r="A326" s="39">
        <v>46108.408252314817</v>
      </c>
      <c r="B326" s="33" t="s">
        <v>5173</v>
      </c>
      <c r="C326" s="33">
        <v>91980500056</v>
      </c>
      <c r="E326" s="33">
        <v>50</v>
      </c>
      <c r="F326" s="33">
        <v>38</v>
      </c>
      <c r="G326" s="33" t="s">
        <v>38</v>
      </c>
      <c r="H326" s="33" t="s">
        <v>6877</v>
      </c>
      <c r="I326" s="33" t="s">
        <v>46</v>
      </c>
      <c r="J326" s="33" t="s">
        <v>3629</v>
      </c>
    </row>
    <row r="327" spans="1:12" s="33" customFormat="1" hidden="1" x14ac:dyDescent="0.3">
      <c r="A327" s="39">
        <v>46108.407418981478</v>
      </c>
      <c r="B327" s="33">
        <v>4334234629</v>
      </c>
      <c r="C327" s="33" t="s">
        <v>48</v>
      </c>
      <c r="D327" s="33">
        <v>4430265054</v>
      </c>
      <c r="E327" s="33">
        <v>470</v>
      </c>
      <c r="F327" s="33">
        <v>357</v>
      </c>
      <c r="G327" s="33" t="s">
        <v>38</v>
      </c>
      <c r="H327" s="33" t="s">
        <v>6878</v>
      </c>
      <c r="I327" s="33" t="s">
        <v>39</v>
      </c>
      <c r="J327" s="33" t="s">
        <v>40</v>
      </c>
      <c r="K327" s="33" t="s">
        <v>41</v>
      </c>
    </row>
    <row r="328" spans="1:12" s="33" customFormat="1" hidden="1" x14ac:dyDescent="0.3">
      <c r="A328" s="39">
        <v>46108.406863425924</v>
      </c>
      <c r="B328" s="33">
        <v>4432641415</v>
      </c>
      <c r="C328" s="33" t="s">
        <v>45</v>
      </c>
      <c r="D328" s="33">
        <v>4430265054</v>
      </c>
      <c r="E328" s="33">
        <v>185</v>
      </c>
      <c r="F328" s="33">
        <v>26</v>
      </c>
      <c r="G328" s="33" t="s">
        <v>38</v>
      </c>
      <c r="H328" s="33" t="s">
        <v>6879</v>
      </c>
      <c r="I328" s="33" t="s">
        <v>39</v>
      </c>
      <c r="J328" s="33" t="s">
        <v>40</v>
      </c>
      <c r="K328" s="33" t="s">
        <v>41</v>
      </c>
    </row>
    <row r="329" spans="1:12" s="33" customFormat="1" hidden="1" x14ac:dyDescent="0.3">
      <c r="A329" s="39">
        <v>46108.404166666667</v>
      </c>
      <c r="B329" s="33">
        <v>4435228300</v>
      </c>
      <c r="C329" s="33" t="s">
        <v>45</v>
      </c>
      <c r="D329" s="33">
        <v>4430265054</v>
      </c>
      <c r="E329" s="33">
        <v>124</v>
      </c>
      <c r="F329" s="33">
        <v>81</v>
      </c>
      <c r="G329" s="33" t="s">
        <v>38</v>
      </c>
      <c r="H329" s="33" t="s">
        <v>6880</v>
      </c>
      <c r="I329" s="33" t="s">
        <v>39</v>
      </c>
      <c r="J329" s="33" t="s">
        <v>40</v>
      </c>
      <c r="K329" s="33" t="s">
        <v>41</v>
      </c>
    </row>
    <row r="330" spans="1:12" s="33" customFormat="1" hidden="1" x14ac:dyDescent="0.3">
      <c r="A330" s="39">
        <v>46108.402442129627</v>
      </c>
      <c r="B330" s="33" t="s">
        <v>48</v>
      </c>
      <c r="C330" s="33">
        <v>4435223408</v>
      </c>
      <c r="E330" s="33">
        <v>94</v>
      </c>
      <c r="F330" s="33">
        <v>76</v>
      </c>
      <c r="G330" s="33" t="s">
        <v>38</v>
      </c>
      <c r="H330" s="33" t="s">
        <v>6881</v>
      </c>
      <c r="I330" s="33" t="s">
        <v>46</v>
      </c>
      <c r="J330" s="33" t="s">
        <v>40</v>
      </c>
    </row>
    <row r="331" spans="1:12" s="33" customFormat="1" hidden="1" x14ac:dyDescent="0.3">
      <c r="A331" s="39">
        <v>46108.397245370368</v>
      </c>
      <c r="B331" s="33">
        <v>91989363636</v>
      </c>
      <c r="C331" s="33" t="s">
        <v>45</v>
      </c>
      <c r="D331" s="33">
        <v>4430265054</v>
      </c>
      <c r="E331" s="33">
        <v>415</v>
      </c>
      <c r="F331" s="33">
        <v>394</v>
      </c>
      <c r="G331" s="33" t="s">
        <v>38</v>
      </c>
      <c r="H331" s="33" t="s">
        <v>6882</v>
      </c>
      <c r="I331" s="33" t="s">
        <v>39</v>
      </c>
      <c r="J331" s="33" t="s">
        <v>40</v>
      </c>
      <c r="K331" s="33" t="s">
        <v>41</v>
      </c>
    </row>
    <row r="332" spans="1:12" s="33" customFormat="1" hidden="1" x14ac:dyDescent="0.3">
      <c r="A332" s="39">
        <v>46108.392824074072</v>
      </c>
      <c r="B332" s="33" t="s">
        <v>5173</v>
      </c>
      <c r="C332" s="33">
        <v>85999223132</v>
      </c>
      <c r="E332" s="33">
        <v>26</v>
      </c>
      <c r="F332" s="33">
        <v>1</v>
      </c>
      <c r="G332" s="33" t="s">
        <v>38</v>
      </c>
      <c r="H332" s="33" t="s">
        <v>6883</v>
      </c>
      <c r="I332" s="33" t="s">
        <v>46</v>
      </c>
      <c r="J332" s="33" t="s">
        <v>3629</v>
      </c>
    </row>
    <row r="333" spans="1:12" s="33" customFormat="1" hidden="1" x14ac:dyDescent="0.3">
      <c r="A333" s="39">
        <v>46108.391655092593</v>
      </c>
      <c r="B333" s="33">
        <v>4439001698</v>
      </c>
      <c r="C333" s="33" t="s">
        <v>43</v>
      </c>
      <c r="D333" s="33">
        <v>4430265054</v>
      </c>
      <c r="E333" s="33">
        <v>541</v>
      </c>
      <c r="F333" s="33">
        <v>496</v>
      </c>
      <c r="G333" s="33" t="s">
        <v>38</v>
      </c>
      <c r="H333" s="33" t="s">
        <v>6884</v>
      </c>
      <c r="I333" s="33" t="s">
        <v>39</v>
      </c>
      <c r="J333" s="33" t="s">
        <v>40</v>
      </c>
      <c r="K333" s="33" t="s">
        <v>41</v>
      </c>
    </row>
    <row r="334" spans="1:12" s="33" customFormat="1" hidden="1" x14ac:dyDescent="0.3">
      <c r="A334" s="39">
        <v>46108.388275462959</v>
      </c>
      <c r="B334" s="33">
        <v>44991354005</v>
      </c>
      <c r="C334" s="33" t="s">
        <v>43</v>
      </c>
      <c r="D334" s="33">
        <v>4430265054</v>
      </c>
      <c r="E334" s="33">
        <v>151</v>
      </c>
      <c r="F334" s="33">
        <v>114</v>
      </c>
      <c r="G334" s="33" t="s">
        <v>38</v>
      </c>
      <c r="H334" s="33" t="s">
        <v>6885</v>
      </c>
      <c r="I334" s="33" t="s">
        <v>39</v>
      </c>
      <c r="J334" s="33" t="s">
        <v>40</v>
      </c>
      <c r="K334" s="33" t="s">
        <v>41</v>
      </c>
    </row>
    <row r="335" spans="1:12" s="33" customFormat="1" hidden="1" x14ac:dyDescent="0.3">
      <c r="A335" s="39">
        <v>46108.386655092596</v>
      </c>
      <c r="B335" s="33" t="s">
        <v>37</v>
      </c>
      <c r="C335" s="33">
        <v>3432424736</v>
      </c>
      <c r="E335" s="33">
        <v>289</v>
      </c>
      <c r="F335" s="33">
        <v>286</v>
      </c>
      <c r="G335" s="33" t="s">
        <v>38</v>
      </c>
      <c r="H335" s="33" t="s">
        <v>6886</v>
      </c>
      <c r="I335" s="33" t="s">
        <v>46</v>
      </c>
      <c r="J335" s="33" t="s">
        <v>40</v>
      </c>
      <c r="L335" s="33">
        <v>5</v>
      </c>
    </row>
    <row r="336" spans="1:12" s="33" customFormat="1" hidden="1" x14ac:dyDescent="0.3">
      <c r="A336" s="39">
        <v>46108.371840277781</v>
      </c>
      <c r="B336" s="33">
        <v>4435226025</v>
      </c>
      <c r="C336" s="33" t="s">
        <v>44</v>
      </c>
      <c r="D336" s="33">
        <v>4430265054</v>
      </c>
      <c r="E336" s="33">
        <v>1567</v>
      </c>
      <c r="F336" s="33">
        <v>1472</v>
      </c>
      <c r="G336" s="33" t="s">
        <v>38</v>
      </c>
      <c r="H336" s="33" t="s">
        <v>6887</v>
      </c>
      <c r="I336" s="33" t="s">
        <v>39</v>
      </c>
      <c r="J336" s="33" t="s">
        <v>40</v>
      </c>
      <c r="K336" s="33" t="s">
        <v>41</v>
      </c>
    </row>
    <row r="337" spans="1:12" s="33" customFormat="1" hidden="1" x14ac:dyDescent="0.3">
      <c r="A337" s="39">
        <v>46108.37096064815</v>
      </c>
      <c r="B337" s="33">
        <v>44984481502</v>
      </c>
      <c r="C337" s="33" t="s">
        <v>45</v>
      </c>
      <c r="D337" s="33">
        <v>4430265054</v>
      </c>
      <c r="E337" s="33">
        <v>257</v>
      </c>
      <c r="F337" s="33">
        <v>125</v>
      </c>
      <c r="G337" s="33" t="s">
        <v>38</v>
      </c>
      <c r="H337" s="33" t="s">
        <v>6888</v>
      </c>
      <c r="I337" s="33" t="s">
        <v>39</v>
      </c>
      <c r="J337" s="33" t="s">
        <v>40</v>
      </c>
      <c r="K337" s="33" t="s">
        <v>41</v>
      </c>
    </row>
    <row r="338" spans="1:12" s="33" customFormat="1" hidden="1" x14ac:dyDescent="0.3">
      <c r="A338" s="39">
        <v>46108.364664351851</v>
      </c>
      <c r="B338" s="33">
        <v>44991484476</v>
      </c>
      <c r="C338" s="33" t="s">
        <v>45</v>
      </c>
      <c r="D338" s="33">
        <v>4430265054</v>
      </c>
      <c r="E338" s="33">
        <v>596</v>
      </c>
      <c r="F338" s="33">
        <v>473</v>
      </c>
      <c r="G338" s="33" t="s">
        <v>38</v>
      </c>
      <c r="H338" s="33" t="s">
        <v>6889</v>
      </c>
      <c r="I338" s="33" t="s">
        <v>39</v>
      </c>
      <c r="J338" s="33" t="s">
        <v>40</v>
      </c>
      <c r="K338" s="33" t="s">
        <v>41</v>
      </c>
    </row>
    <row r="339" spans="1:12" s="33" customFormat="1" hidden="1" x14ac:dyDescent="0.3">
      <c r="A339" s="39">
        <v>46108.35564814815</v>
      </c>
      <c r="B339" s="33">
        <v>44988067937</v>
      </c>
      <c r="C339" s="33" t="s">
        <v>43</v>
      </c>
      <c r="D339" s="33">
        <v>4430265054</v>
      </c>
      <c r="E339" s="33">
        <v>801</v>
      </c>
      <c r="F339" s="33">
        <v>663</v>
      </c>
      <c r="G339" s="33" t="s">
        <v>38</v>
      </c>
      <c r="H339" s="33" t="s">
        <v>6890</v>
      </c>
      <c r="I339" s="33" t="s">
        <v>39</v>
      </c>
      <c r="J339" s="33" t="s">
        <v>40</v>
      </c>
      <c r="K339" s="33" t="s">
        <v>41</v>
      </c>
    </row>
    <row r="340" spans="1:12" s="33" customFormat="1" x14ac:dyDescent="0.3">
      <c r="A340" s="39">
        <v>46108.354212962964</v>
      </c>
      <c r="B340" s="33">
        <v>44984225332</v>
      </c>
      <c r="C340" s="33" t="s">
        <v>42</v>
      </c>
      <c r="D340" s="33">
        <v>4430265054</v>
      </c>
      <c r="E340" s="33">
        <v>1011</v>
      </c>
      <c r="F340" s="33">
        <v>906</v>
      </c>
      <c r="G340" s="33" t="s">
        <v>38</v>
      </c>
      <c r="H340" s="33" t="s">
        <v>6891</v>
      </c>
      <c r="I340" s="33" t="s">
        <v>39</v>
      </c>
      <c r="J340" s="33" t="s">
        <v>40</v>
      </c>
      <c r="K340" s="33" t="s">
        <v>41</v>
      </c>
      <c r="L340" s="33">
        <v>5</v>
      </c>
    </row>
    <row r="341" spans="1:12" s="33" customFormat="1" hidden="1" x14ac:dyDescent="0.3">
      <c r="A341" s="39">
        <v>46108.353703703702</v>
      </c>
      <c r="B341" s="33">
        <v>44984225332</v>
      </c>
      <c r="C341" s="33">
        <v>4430265054</v>
      </c>
      <c r="D341" s="33">
        <v>4430265054</v>
      </c>
      <c r="E341" s="33">
        <v>29</v>
      </c>
      <c r="F341" s="33">
        <v>28</v>
      </c>
      <c r="G341" s="33" t="s">
        <v>3449</v>
      </c>
      <c r="H341" s="33" t="s">
        <v>6892</v>
      </c>
      <c r="I341" s="33" t="s">
        <v>39</v>
      </c>
      <c r="J341" s="33" t="s">
        <v>3451</v>
      </c>
    </row>
    <row r="342" spans="1:12" s="33" customFormat="1" hidden="1" x14ac:dyDescent="0.3">
      <c r="A342" s="39">
        <v>46108.353402777779</v>
      </c>
      <c r="B342" s="33">
        <v>44984481502</v>
      </c>
      <c r="C342" s="33">
        <v>4430265054</v>
      </c>
      <c r="D342" s="33">
        <v>4430265054</v>
      </c>
      <c r="E342" s="33">
        <v>11</v>
      </c>
      <c r="F342" s="33">
        <v>10</v>
      </c>
      <c r="G342" s="33" t="s">
        <v>3449</v>
      </c>
      <c r="H342" s="33" t="s">
        <v>6893</v>
      </c>
      <c r="I342" s="33" t="s">
        <v>39</v>
      </c>
      <c r="J342" s="33" t="s">
        <v>3451</v>
      </c>
    </row>
    <row r="343" spans="1:12" s="33" customFormat="1" hidden="1" x14ac:dyDescent="0.3">
      <c r="A343" s="39">
        <v>46107.729548611111</v>
      </c>
      <c r="B343" s="33">
        <v>4430191401</v>
      </c>
      <c r="C343" s="33" t="s">
        <v>44</v>
      </c>
      <c r="D343" s="33">
        <v>4430265054</v>
      </c>
      <c r="E343" s="33">
        <v>524</v>
      </c>
      <c r="F343" s="33">
        <v>351</v>
      </c>
      <c r="G343" s="33" t="s">
        <v>38</v>
      </c>
      <c r="H343" s="33" t="s">
        <v>6894</v>
      </c>
      <c r="I343" s="33" t="s">
        <v>39</v>
      </c>
      <c r="J343" s="33" t="s">
        <v>40</v>
      </c>
      <c r="K343" s="33" t="s">
        <v>41</v>
      </c>
    </row>
    <row r="344" spans="1:12" s="33" customFormat="1" hidden="1" x14ac:dyDescent="0.3">
      <c r="A344" s="39">
        <v>46107.726655092592</v>
      </c>
      <c r="B344" s="33">
        <v>43984040334</v>
      </c>
      <c r="C344" s="33" t="s">
        <v>37</v>
      </c>
      <c r="D344" s="33">
        <v>4430265054</v>
      </c>
      <c r="E344" s="33">
        <v>891</v>
      </c>
      <c r="F344" s="33">
        <v>835</v>
      </c>
      <c r="G344" s="33" t="s">
        <v>38</v>
      </c>
      <c r="H344" s="33" t="s">
        <v>6895</v>
      </c>
      <c r="I344" s="33" t="s">
        <v>39</v>
      </c>
      <c r="J344" s="33" t="s">
        <v>40</v>
      </c>
      <c r="K344" s="33" t="s">
        <v>41</v>
      </c>
      <c r="L344" s="33">
        <v>5</v>
      </c>
    </row>
    <row r="345" spans="1:12" s="33" customFormat="1" hidden="1" x14ac:dyDescent="0.3">
      <c r="A345" s="39">
        <v>46107.725231481483</v>
      </c>
      <c r="B345" s="33" t="s">
        <v>3627</v>
      </c>
      <c r="C345" s="33">
        <v>99984151836</v>
      </c>
      <c r="E345" s="33">
        <v>27</v>
      </c>
      <c r="F345" s="33">
        <v>18</v>
      </c>
      <c r="G345" s="33" t="s">
        <v>38</v>
      </c>
      <c r="H345" s="33" t="s">
        <v>6896</v>
      </c>
      <c r="I345" s="33" t="s">
        <v>46</v>
      </c>
      <c r="J345" s="33" t="s">
        <v>3629</v>
      </c>
    </row>
    <row r="346" spans="1:12" s="33" customFormat="1" hidden="1" x14ac:dyDescent="0.3">
      <c r="A346" s="39">
        <v>46107.72451388889</v>
      </c>
      <c r="B346" s="33" t="s">
        <v>3627</v>
      </c>
      <c r="C346" s="33">
        <v>1129899870</v>
      </c>
      <c r="E346" s="33">
        <v>30</v>
      </c>
      <c r="F346" s="33">
        <v>0</v>
      </c>
      <c r="G346" s="33" t="s">
        <v>47</v>
      </c>
      <c r="H346" s="33" t="s">
        <v>6897</v>
      </c>
      <c r="I346" s="33" t="s">
        <v>46</v>
      </c>
      <c r="J346" s="33" t="s">
        <v>3629</v>
      </c>
    </row>
    <row r="347" spans="1:12" s="33" customFormat="1" hidden="1" x14ac:dyDescent="0.3">
      <c r="A347" s="39">
        <v>46107.71802083333</v>
      </c>
      <c r="B347" s="33" t="s">
        <v>48</v>
      </c>
      <c r="C347" s="33">
        <v>73982188717</v>
      </c>
      <c r="E347" s="33">
        <v>60</v>
      </c>
      <c r="F347" s="33">
        <v>52</v>
      </c>
      <c r="G347" s="33" t="s">
        <v>38</v>
      </c>
      <c r="H347" s="33" t="s">
        <v>6898</v>
      </c>
      <c r="I347" s="33" t="s">
        <v>46</v>
      </c>
      <c r="J347" s="33" t="s">
        <v>40</v>
      </c>
    </row>
    <row r="348" spans="1:12" s="33" customFormat="1" hidden="1" x14ac:dyDescent="0.3">
      <c r="A348" s="39">
        <v>46107.712037037039</v>
      </c>
      <c r="B348" s="33">
        <v>73982188717</v>
      </c>
      <c r="C348" s="33" t="s">
        <v>48</v>
      </c>
      <c r="D348" s="33">
        <v>4430265054</v>
      </c>
      <c r="E348" s="33">
        <v>205</v>
      </c>
      <c r="F348" s="33">
        <v>205</v>
      </c>
      <c r="G348" s="33" t="s">
        <v>38</v>
      </c>
      <c r="H348" s="33" t="s">
        <v>6899</v>
      </c>
      <c r="I348" s="33" t="s">
        <v>39</v>
      </c>
      <c r="J348" s="33" t="s">
        <v>40</v>
      </c>
      <c r="K348" s="33" t="s">
        <v>41</v>
      </c>
    </row>
    <row r="349" spans="1:12" s="33" customFormat="1" hidden="1" x14ac:dyDescent="0.3">
      <c r="A349" s="39">
        <v>46107.71199074074</v>
      </c>
      <c r="B349" s="33" t="s">
        <v>3627</v>
      </c>
      <c r="C349" s="33">
        <v>44998902733</v>
      </c>
      <c r="E349" s="33">
        <v>28</v>
      </c>
      <c r="F349" s="33">
        <v>10</v>
      </c>
      <c r="G349" s="33" t="s">
        <v>38</v>
      </c>
      <c r="H349" s="33" t="s">
        <v>6900</v>
      </c>
      <c r="I349" s="33" t="s">
        <v>46</v>
      </c>
      <c r="J349" s="33" t="s">
        <v>3629</v>
      </c>
    </row>
    <row r="350" spans="1:12" s="33" customFormat="1" hidden="1" x14ac:dyDescent="0.3">
      <c r="A350" s="39">
        <v>46107.711342592593</v>
      </c>
      <c r="B350" s="33" t="s">
        <v>3627</v>
      </c>
      <c r="C350" s="33">
        <v>11952734265</v>
      </c>
      <c r="E350" s="33">
        <v>12</v>
      </c>
      <c r="F350" s="33">
        <v>3</v>
      </c>
      <c r="G350" s="33" t="s">
        <v>38</v>
      </c>
      <c r="H350" s="33" t="s">
        <v>6901</v>
      </c>
      <c r="I350" s="33" t="s">
        <v>46</v>
      </c>
      <c r="J350" s="33" t="s">
        <v>3629</v>
      </c>
    </row>
    <row r="351" spans="1:12" s="33" customFormat="1" hidden="1" x14ac:dyDescent="0.3">
      <c r="A351" s="39">
        <v>46107.711018518516</v>
      </c>
      <c r="B351" s="33">
        <v>73982188717</v>
      </c>
      <c r="C351" s="33">
        <v>4430265054</v>
      </c>
      <c r="D351" s="33">
        <v>4430265054</v>
      </c>
      <c r="E351" s="33">
        <v>14</v>
      </c>
      <c r="F351" s="33">
        <v>14</v>
      </c>
      <c r="G351" s="33" t="s">
        <v>3449</v>
      </c>
      <c r="H351" s="33" t="s">
        <v>6902</v>
      </c>
      <c r="I351" s="33" t="s">
        <v>39</v>
      </c>
      <c r="J351" s="33" t="s">
        <v>3451</v>
      </c>
    </row>
    <row r="352" spans="1:12" s="33" customFormat="1" hidden="1" x14ac:dyDescent="0.3">
      <c r="A352" s="39">
        <v>46107.7109837963</v>
      </c>
      <c r="B352" s="33">
        <v>44997456641</v>
      </c>
      <c r="C352" s="33" t="s">
        <v>43</v>
      </c>
      <c r="D352" s="33">
        <v>4430265054</v>
      </c>
      <c r="E352" s="33">
        <v>372</v>
      </c>
      <c r="F352" s="33">
        <v>261</v>
      </c>
      <c r="G352" s="33" t="s">
        <v>38</v>
      </c>
      <c r="H352" s="33" t="s">
        <v>6903</v>
      </c>
      <c r="I352" s="33" t="s">
        <v>39</v>
      </c>
      <c r="J352" s="33" t="s">
        <v>40</v>
      </c>
      <c r="K352" s="33" t="s">
        <v>41</v>
      </c>
      <c r="L352" s="33">
        <v>5</v>
      </c>
    </row>
    <row r="353" spans="1:12" s="33" customFormat="1" hidden="1" x14ac:dyDescent="0.3">
      <c r="A353" s="39">
        <v>46107.710717592592</v>
      </c>
      <c r="B353" s="33" t="s">
        <v>3627</v>
      </c>
      <c r="C353" s="33">
        <v>81998812909</v>
      </c>
      <c r="E353" s="33">
        <v>23</v>
      </c>
      <c r="F353" s="33">
        <v>0</v>
      </c>
      <c r="G353" s="33" t="s">
        <v>47</v>
      </c>
      <c r="H353" s="33" t="s">
        <v>6904</v>
      </c>
      <c r="I353" s="33" t="s">
        <v>46</v>
      </c>
      <c r="J353" s="33" t="s">
        <v>3629</v>
      </c>
    </row>
    <row r="354" spans="1:12" s="33" customFormat="1" hidden="1" x14ac:dyDescent="0.3">
      <c r="A354" s="39">
        <v>46107.710092592592</v>
      </c>
      <c r="B354" s="33" t="s">
        <v>3627</v>
      </c>
      <c r="C354" s="33">
        <v>11945656318</v>
      </c>
      <c r="E354" s="33">
        <v>3</v>
      </c>
      <c r="F354" s="33">
        <v>0</v>
      </c>
      <c r="G354" s="33" t="s">
        <v>47</v>
      </c>
      <c r="H354" s="33" t="s">
        <v>6905</v>
      </c>
      <c r="I354" s="33" t="s">
        <v>46</v>
      </c>
      <c r="J354" s="33" t="s">
        <v>3629</v>
      </c>
    </row>
    <row r="355" spans="1:12" s="33" customFormat="1" hidden="1" x14ac:dyDescent="0.3">
      <c r="A355" s="39">
        <v>46107.709108796298</v>
      </c>
      <c r="B355" s="33">
        <v>44997456641</v>
      </c>
      <c r="C355" s="33">
        <v>4430265054</v>
      </c>
      <c r="D355" s="33">
        <v>4430265054</v>
      </c>
      <c r="E355" s="33">
        <v>4</v>
      </c>
      <c r="F355" s="33">
        <v>4</v>
      </c>
      <c r="G355" s="33" t="s">
        <v>3449</v>
      </c>
      <c r="H355" s="33" t="s">
        <v>6906</v>
      </c>
      <c r="I355" s="33" t="s">
        <v>39</v>
      </c>
      <c r="J355" s="33" t="s">
        <v>3451</v>
      </c>
    </row>
    <row r="356" spans="1:12" s="33" customFormat="1" hidden="1" x14ac:dyDescent="0.3">
      <c r="A356" s="39">
        <v>46107.709097222221</v>
      </c>
      <c r="B356" s="33" t="s">
        <v>3627</v>
      </c>
      <c r="C356" s="33">
        <v>41995197431</v>
      </c>
      <c r="E356" s="33">
        <v>14</v>
      </c>
      <c r="F356" s="33">
        <v>8</v>
      </c>
      <c r="G356" s="33" t="s">
        <v>38</v>
      </c>
      <c r="H356" s="33" t="s">
        <v>6907</v>
      </c>
      <c r="I356" s="33" t="s">
        <v>46</v>
      </c>
      <c r="J356" s="33" t="s">
        <v>3629</v>
      </c>
    </row>
    <row r="357" spans="1:12" s="33" customFormat="1" hidden="1" x14ac:dyDescent="0.3">
      <c r="A357" s="39">
        <v>46107.709074074075</v>
      </c>
      <c r="B357" s="33" t="s">
        <v>43</v>
      </c>
      <c r="C357" s="33">
        <v>11947305533</v>
      </c>
      <c r="E357" s="33">
        <v>23</v>
      </c>
      <c r="F357" s="33">
        <v>0</v>
      </c>
      <c r="G357" s="33" t="s">
        <v>47</v>
      </c>
      <c r="H357" s="33" t="s">
        <v>6908</v>
      </c>
      <c r="I357" s="33" t="s">
        <v>46</v>
      </c>
      <c r="J357" s="33" t="s">
        <v>40</v>
      </c>
    </row>
    <row r="358" spans="1:12" s="33" customFormat="1" hidden="1" x14ac:dyDescent="0.3">
      <c r="A358" s="39">
        <v>46107.708483796298</v>
      </c>
      <c r="B358" s="33" t="s">
        <v>3627</v>
      </c>
      <c r="C358" s="33">
        <v>11998204482</v>
      </c>
      <c r="E358" s="33">
        <v>13</v>
      </c>
      <c r="F358" s="33">
        <v>0</v>
      </c>
      <c r="G358" s="33" t="s">
        <v>47</v>
      </c>
      <c r="H358" s="33" t="s">
        <v>6909</v>
      </c>
      <c r="I358" s="33" t="s">
        <v>46</v>
      </c>
      <c r="J358" s="33" t="s">
        <v>3629</v>
      </c>
    </row>
    <row r="359" spans="1:12" s="33" customFormat="1" hidden="1" x14ac:dyDescent="0.3">
      <c r="A359" s="39">
        <v>46107.708240740743</v>
      </c>
      <c r="B359" s="33">
        <v>91981481202</v>
      </c>
      <c r="C359" s="33" t="s">
        <v>43</v>
      </c>
      <c r="D359" s="33">
        <v>4430265054</v>
      </c>
      <c r="E359" s="33">
        <v>263</v>
      </c>
      <c r="F359" s="33">
        <v>117</v>
      </c>
      <c r="G359" s="33" t="s">
        <v>38</v>
      </c>
      <c r="H359" s="33" t="s">
        <v>6910</v>
      </c>
      <c r="I359" s="33" t="s">
        <v>39</v>
      </c>
      <c r="J359" s="33" t="s">
        <v>40</v>
      </c>
      <c r="K359" s="33" t="s">
        <v>41</v>
      </c>
    </row>
    <row r="360" spans="1:12" s="33" customFormat="1" hidden="1" x14ac:dyDescent="0.3">
      <c r="A360" s="39">
        <v>46107.700902777775</v>
      </c>
      <c r="B360" s="33">
        <v>4330332823</v>
      </c>
      <c r="C360" s="33" t="s">
        <v>37</v>
      </c>
      <c r="D360" s="33">
        <v>4430265054</v>
      </c>
      <c r="E360" s="33">
        <v>907</v>
      </c>
      <c r="F360" s="33">
        <v>846</v>
      </c>
      <c r="G360" s="33" t="s">
        <v>38</v>
      </c>
      <c r="H360" s="33" t="s">
        <v>6911</v>
      </c>
      <c r="I360" s="33" t="s">
        <v>39</v>
      </c>
      <c r="J360" s="33" t="s">
        <v>40</v>
      </c>
      <c r="K360" s="33" t="s">
        <v>41</v>
      </c>
    </row>
    <row r="361" spans="1:12" s="33" customFormat="1" hidden="1" x14ac:dyDescent="0.3">
      <c r="A361" s="39">
        <v>46107.696701388886</v>
      </c>
      <c r="B361" s="33">
        <v>4435226025</v>
      </c>
      <c r="C361" s="33" t="s">
        <v>45</v>
      </c>
      <c r="D361" s="33">
        <v>4430265054</v>
      </c>
      <c r="E361" s="33">
        <v>3815</v>
      </c>
      <c r="F361" s="33">
        <v>3727</v>
      </c>
      <c r="G361" s="33" t="s">
        <v>38</v>
      </c>
      <c r="H361" s="33" t="s">
        <v>6912</v>
      </c>
      <c r="I361" s="33" t="s">
        <v>39</v>
      </c>
      <c r="J361" s="33" t="s">
        <v>40</v>
      </c>
      <c r="K361" s="33" t="s">
        <v>41</v>
      </c>
    </row>
    <row r="362" spans="1:12" s="33" customFormat="1" hidden="1" x14ac:dyDescent="0.3">
      <c r="A362" s="39">
        <v>46107.695868055554</v>
      </c>
      <c r="B362" s="33" t="s">
        <v>37</v>
      </c>
      <c r="C362" s="33">
        <v>4434212150</v>
      </c>
      <c r="E362" s="33">
        <v>39</v>
      </c>
      <c r="F362" s="33">
        <v>0</v>
      </c>
      <c r="G362" s="33" t="s">
        <v>47</v>
      </c>
      <c r="H362" s="33" t="s">
        <v>6913</v>
      </c>
      <c r="I362" s="33" t="s">
        <v>46</v>
      </c>
      <c r="J362" s="33" t="s">
        <v>40</v>
      </c>
    </row>
    <row r="363" spans="1:12" s="33" customFormat="1" hidden="1" x14ac:dyDescent="0.3">
      <c r="A363" s="39">
        <v>46107.693229166667</v>
      </c>
      <c r="B363" s="33">
        <v>44997456641</v>
      </c>
      <c r="C363" s="33" t="s">
        <v>43</v>
      </c>
      <c r="D363" s="33">
        <v>4430265054</v>
      </c>
      <c r="E363" s="33">
        <v>668</v>
      </c>
      <c r="F363" s="33">
        <v>592</v>
      </c>
      <c r="G363" s="33" t="s">
        <v>38</v>
      </c>
      <c r="H363" s="33" t="s">
        <v>6914</v>
      </c>
      <c r="I363" s="33" t="s">
        <v>39</v>
      </c>
      <c r="J363" s="33" t="s">
        <v>40</v>
      </c>
      <c r="K363" s="33" t="s">
        <v>41</v>
      </c>
      <c r="L363" s="33">
        <v>5</v>
      </c>
    </row>
    <row r="364" spans="1:12" s="33" customFormat="1" hidden="1" x14ac:dyDescent="0.3">
      <c r="A364" s="39">
        <v>46107.687974537039</v>
      </c>
      <c r="B364" s="33" t="s">
        <v>3627</v>
      </c>
      <c r="C364" s="33">
        <v>11998488162</v>
      </c>
      <c r="E364" s="33">
        <v>29</v>
      </c>
      <c r="F364" s="33">
        <v>0</v>
      </c>
      <c r="G364" s="33" t="s">
        <v>47</v>
      </c>
      <c r="H364" s="33" t="s">
        <v>6915</v>
      </c>
      <c r="I364" s="33" t="s">
        <v>46</v>
      </c>
      <c r="J364" s="33" t="s">
        <v>3629</v>
      </c>
    </row>
    <row r="365" spans="1:12" s="33" customFormat="1" hidden="1" x14ac:dyDescent="0.3">
      <c r="A365" s="39">
        <v>46107.686805555553</v>
      </c>
      <c r="B365" s="33">
        <v>4430333851</v>
      </c>
      <c r="C365" s="33" t="s">
        <v>42</v>
      </c>
      <c r="D365" s="33">
        <v>4430265054</v>
      </c>
      <c r="E365" s="33">
        <v>1404</v>
      </c>
      <c r="F365" s="33">
        <v>1302</v>
      </c>
      <c r="G365" s="33" t="s">
        <v>38</v>
      </c>
      <c r="H365" s="33" t="s">
        <v>6916</v>
      </c>
      <c r="I365" s="33" t="s">
        <v>39</v>
      </c>
      <c r="J365" s="33" t="s">
        <v>40</v>
      </c>
      <c r="K365" s="33" t="s">
        <v>41</v>
      </c>
    </row>
    <row r="366" spans="1:12" s="33" customFormat="1" hidden="1" x14ac:dyDescent="0.3">
      <c r="A366" s="39">
        <v>46107.686481481483</v>
      </c>
      <c r="B366" s="33">
        <v>4432272377</v>
      </c>
      <c r="C366" s="33" t="s">
        <v>44</v>
      </c>
      <c r="D366" s="33">
        <v>4430265054</v>
      </c>
      <c r="E366" s="33">
        <v>829</v>
      </c>
      <c r="F366" s="33">
        <v>770</v>
      </c>
      <c r="G366" s="33" t="s">
        <v>38</v>
      </c>
      <c r="H366" s="33" t="s">
        <v>6917</v>
      </c>
      <c r="I366" s="33" t="s">
        <v>39</v>
      </c>
      <c r="J366" s="33" t="s">
        <v>40</v>
      </c>
      <c r="K366" s="33" t="s">
        <v>41</v>
      </c>
    </row>
    <row r="367" spans="1:12" s="33" customFormat="1" hidden="1" x14ac:dyDescent="0.3">
      <c r="A367" s="39">
        <v>46107.684421296297</v>
      </c>
      <c r="B367" s="33">
        <v>4330333558</v>
      </c>
      <c r="C367" s="33">
        <v>4430265054</v>
      </c>
      <c r="D367" s="33">
        <v>4430265054</v>
      </c>
      <c r="E367" s="33">
        <v>78</v>
      </c>
      <c r="F367" s="33">
        <v>77</v>
      </c>
      <c r="G367" s="33" t="s">
        <v>3449</v>
      </c>
      <c r="H367" s="33" t="s">
        <v>6918</v>
      </c>
      <c r="I367" s="33" t="s">
        <v>39</v>
      </c>
      <c r="J367" s="33" t="s">
        <v>3451</v>
      </c>
      <c r="K367" s="33" t="s">
        <v>41</v>
      </c>
    </row>
    <row r="368" spans="1:12" s="33" customFormat="1" hidden="1" x14ac:dyDescent="0.3">
      <c r="A368" s="39">
        <v>46107.682581018518</v>
      </c>
      <c r="B368" s="33">
        <v>44998620323</v>
      </c>
      <c r="C368" s="33" t="s">
        <v>42</v>
      </c>
      <c r="D368" s="33">
        <v>4430265054</v>
      </c>
      <c r="E368" s="33">
        <v>314</v>
      </c>
      <c r="F368" s="33">
        <v>274</v>
      </c>
      <c r="G368" s="33" t="s">
        <v>38</v>
      </c>
      <c r="H368" s="33" t="s">
        <v>6919</v>
      </c>
      <c r="I368" s="33" t="s">
        <v>39</v>
      </c>
      <c r="J368" s="33" t="s">
        <v>40</v>
      </c>
      <c r="K368" s="33" t="s">
        <v>41</v>
      </c>
    </row>
    <row r="369" spans="1:11" s="33" customFormat="1" hidden="1" x14ac:dyDescent="0.3">
      <c r="A369" s="39">
        <v>46107.679456018515</v>
      </c>
      <c r="B369" s="33" t="s">
        <v>37</v>
      </c>
      <c r="C369" s="33">
        <v>3432424736</v>
      </c>
      <c r="E369" s="33">
        <v>123</v>
      </c>
      <c r="F369" s="33">
        <v>122</v>
      </c>
      <c r="G369" s="33" t="s">
        <v>38</v>
      </c>
      <c r="H369" s="33" t="s">
        <v>6920</v>
      </c>
      <c r="I369" s="33" t="s">
        <v>46</v>
      </c>
      <c r="J369" s="33" t="s">
        <v>40</v>
      </c>
    </row>
    <row r="370" spans="1:11" s="33" customFormat="1" hidden="1" x14ac:dyDescent="0.3">
      <c r="A370" s="39">
        <v>46107.67428240741</v>
      </c>
      <c r="B370" s="33">
        <v>3432424736</v>
      </c>
      <c r="C370" s="33" t="s">
        <v>37</v>
      </c>
      <c r="D370" s="33">
        <v>4430265054</v>
      </c>
      <c r="E370" s="33">
        <v>227</v>
      </c>
      <c r="F370" s="33">
        <v>106</v>
      </c>
      <c r="G370" s="33" t="s">
        <v>38</v>
      </c>
      <c r="H370" s="33" t="s">
        <v>6921</v>
      </c>
      <c r="I370" s="33" t="s">
        <v>39</v>
      </c>
      <c r="J370" s="33" t="s">
        <v>40</v>
      </c>
      <c r="K370" s="33" t="s">
        <v>41</v>
      </c>
    </row>
    <row r="371" spans="1:11" s="33" customFormat="1" hidden="1" x14ac:dyDescent="0.3">
      <c r="A371" s="39">
        <v>46107.672152777777</v>
      </c>
      <c r="B371" s="33" t="s">
        <v>3627</v>
      </c>
      <c r="C371" s="33">
        <v>61995517758</v>
      </c>
      <c r="E371" s="33">
        <v>36</v>
      </c>
      <c r="F371" s="33">
        <v>0</v>
      </c>
      <c r="G371" s="33" t="s">
        <v>47</v>
      </c>
      <c r="H371" s="33" t="s">
        <v>6922</v>
      </c>
      <c r="I371" s="33" t="s">
        <v>46</v>
      </c>
      <c r="J371" s="33" t="s">
        <v>3629</v>
      </c>
    </row>
    <row r="372" spans="1:11" s="33" customFormat="1" hidden="1" x14ac:dyDescent="0.3">
      <c r="A372" s="39">
        <v>46107.671550925923</v>
      </c>
      <c r="B372" s="33" t="s">
        <v>3627</v>
      </c>
      <c r="C372" s="33">
        <v>62998846251</v>
      </c>
      <c r="E372" s="33">
        <v>11</v>
      </c>
      <c r="F372" s="33">
        <v>0</v>
      </c>
      <c r="G372" s="33" t="s">
        <v>47</v>
      </c>
      <c r="H372" s="33" t="s">
        <v>6923</v>
      </c>
      <c r="I372" s="33" t="s">
        <v>46</v>
      </c>
      <c r="J372" s="33" t="s">
        <v>3629</v>
      </c>
    </row>
    <row r="373" spans="1:11" s="33" customFormat="1" hidden="1" x14ac:dyDescent="0.3">
      <c r="A373" s="39">
        <v>46107.665682870371</v>
      </c>
      <c r="B373" s="33" t="s">
        <v>37</v>
      </c>
      <c r="C373" s="33">
        <v>3432424736</v>
      </c>
      <c r="E373" s="33">
        <v>106</v>
      </c>
      <c r="F373" s="33">
        <v>105</v>
      </c>
      <c r="G373" s="33" t="s">
        <v>38</v>
      </c>
      <c r="H373" s="33" t="s">
        <v>6924</v>
      </c>
      <c r="I373" s="33" t="s">
        <v>46</v>
      </c>
      <c r="J373" s="33" t="s">
        <v>40</v>
      </c>
    </row>
    <row r="374" spans="1:11" s="33" customFormat="1" hidden="1" x14ac:dyDescent="0.3">
      <c r="A374" s="39">
        <v>46107.665312500001</v>
      </c>
      <c r="B374" s="33">
        <v>4432272377</v>
      </c>
      <c r="C374" s="33" t="s">
        <v>44</v>
      </c>
      <c r="D374" s="33">
        <v>4430265054</v>
      </c>
      <c r="E374" s="33">
        <v>1535</v>
      </c>
      <c r="F374" s="33">
        <v>1438</v>
      </c>
      <c r="G374" s="33" t="s">
        <v>38</v>
      </c>
      <c r="H374" s="33" t="s">
        <v>6925</v>
      </c>
      <c r="I374" s="33" t="s">
        <v>39</v>
      </c>
      <c r="J374" s="33" t="s">
        <v>40</v>
      </c>
      <c r="K374" s="33" t="s">
        <v>41</v>
      </c>
    </row>
    <row r="375" spans="1:11" s="33" customFormat="1" hidden="1" x14ac:dyDescent="0.3">
      <c r="A375" s="39">
        <v>46107.660266203704</v>
      </c>
      <c r="B375" s="33" t="s">
        <v>37</v>
      </c>
      <c r="C375" s="33">
        <v>3432424736</v>
      </c>
      <c r="E375" s="33">
        <v>414</v>
      </c>
      <c r="F375" s="33">
        <v>413</v>
      </c>
      <c r="G375" s="33" t="s">
        <v>38</v>
      </c>
      <c r="H375" s="33" t="s">
        <v>6926</v>
      </c>
      <c r="I375" s="33" t="s">
        <v>46</v>
      </c>
      <c r="J375" s="33" t="s">
        <v>40</v>
      </c>
    </row>
    <row r="376" spans="1:11" s="33" customFormat="1" hidden="1" x14ac:dyDescent="0.3">
      <c r="A376" s="39">
        <v>46107.659189814818</v>
      </c>
      <c r="B376" s="33">
        <v>4435228300</v>
      </c>
      <c r="C376" s="33" t="s">
        <v>45</v>
      </c>
      <c r="D376" s="33">
        <v>4430265054</v>
      </c>
      <c r="E376" s="33">
        <v>1326</v>
      </c>
      <c r="F376" s="33">
        <v>1300</v>
      </c>
      <c r="G376" s="33" t="s">
        <v>38</v>
      </c>
      <c r="H376" s="33" t="s">
        <v>6927</v>
      </c>
      <c r="I376" s="33" t="s">
        <v>39</v>
      </c>
      <c r="J376" s="33" t="s">
        <v>40</v>
      </c>
      <c r="K376" s="33" t="s">
        <v>41</v>
      </c>
    </row>
    <row r="377" spans="1:11" s="33" customFormat="1" hidden="1" x14ac:dyDescent="0.3">
      <c r="A377" s="39">
        <v>46107.656365740739</v>
      </c>
      <c r="B377" s="33">
        <v>44988067937</v>
      </c>
      <c r="C377" s="33" t="s">
        <v>43</v>
      </c>
      <c r="D377" s="33">
        <v>4430265054</v>
      </c>
      <c r="E377" s="33">
        <v>1015</v>
      </c>
      <c r="F377" s="33">
        <v>863</v>
      </c>
      <c r="G377" s="33" t="s">
        <v>38</v>
      </c>
      <c r="H377" s="33" t="s">
        <v>6928</v>
      </c>
      <c r="I377" s="33" t="s">
        <v>39</v>
      </c>
      <c r="J377" s="33" t="s">
        <v>40</v>
      </c>
      <c r="K377" s="33" t="s">
        <v>41</v>
      </c>
    </row>
    <row r="378" spans="1:11" s="33" customFormat="1" hidden="1" x14ac:dyDescent="0.3">
      <c r="A378" s="39">
        <v>46107.656030092592</v>
      </c>
      <c r="B378" s="33">
        <v>4435226025</v>
      </c>
      <c r="C378" s="33">
        <v>4430265054</v>
      </c>
      <c r="D378" s="33">
        <v>4430265054</v>
      </c>
      <c r="E378" s="33">
        <v>30</v>
      </c>
      <c r="F378" s="33">
        <v>29</v>
      </c>
      <c r="G378" s="33" t="s">
        <v>3449</v>
      </c>
      <c r="H378" s="33" t="s">
        <v>6929</v>
      </c>
      <c r="I378" s="33" t="s">
        <v>39</v>
      </c>
      <c r="J378" s="33" t="s">
        <v>3451</v>
      </c>
      <c r="K378" s="33" t="s">
        <v>41</v>
      </c>
    </row>
    <row r="379" spans="1:11" s="33" customFormat="1" hidden="1" x14ac:dyDescent="0.3">
      <c r="A379" s="39">
        <v>46107.653668981482</v>
      </c>
      <c r="B379" s="33">
        <v>44991484476</v>
      </c>
      <c r="C379" s="33" t="s">
        <v>44</v>
      </c>
      <c r="D379" s="33">
        <v>4430265054</v>
      </c>
      <c r="E379" s="33">
        <v>224</v>
      </c>
      <c r="F379" s="33">
        <v>182</v>
      </c>
      <c r="G379" s="33" t="s">
        <v>38</v>
      </c>
      <c r="H379" s="33" t="s">
        <v>6930</v>
      </c>
      <c r="I379" s="33" t="s">
        <v>39</v>
      </c>
      <c r="J379" s="33" t="s">
        <v>40</v>
      </c>
      <c r="K379" s="33" t="s">
        <v>41</v>
      </c>
    </row>
    <row r="380" spans="1:11" s="33" customFormat="1" hidden="1" x14ac:dyDescent="0.3">
      <c r="A380" s="39">
        <v>46107.652407407404</v>
      </c>
      <c r="B380" s="33">
        <v>4330332823</v>
      </c>
      <c r="C380" s="33" t="s">
        <v>42</v>
      </c>
      <c r="D380" s="33">
        <v>4430265054</v>
      </c>
      <c r="E380" s="33">
        <v>888</v>
      </c>
      <c r="F380" s="33">
        <v>805</v>
      </c>
      <c r="G380" s="33" t="s">
        <v>38</v>
      </c>
      <c r="H380" s="33" t="s">
        <v>6931</v>
      </c>
      <c r="I380" s="33" t="s">
        <v>39</v>
      </c>
      <c r="J380" s="33" t="s">
        <v>40</v>
      </c>
      <c r="K380" s="33" t="s">
        <v>41</v>
      </c>
    </row>
    <row r="381" spans="1:11" s="33" customFormat="1" hidden="1" x14ac:dyDescent="0.3">
      <c r="A381" s="39">
        <v>46107.645601851851</v>
      </c>
      <c r="B381" s="33" t="s">
        <v>5173</v>
      </c>
      <c r="C381" s="33">
        <v>75981356480</v>
      </c>
      <c r="E381" s="33">
        <v>415</v>
      </c>
      <c r="F381" s="33">
        <v>406</v>
      </c>
      <c r="G381" s="33" t="s">
        <v>38</v>
      </c>
      <c r="H381" s="33" t="s">
        <v>6932</v>
      </c>
      <c r="I381" s="33" t="s">
        <v>46</v>
      </c>
      <c r="J381" s="33" t="s">
        <v>3629</v>
      </c>
    </row>
    <row r="382" spans="1:11" s="33" customFormat="1" hidden="1" x14ac:dyDescent="0.3">
      <c r="A382" s="39">
        <v>46107.643912037034</v>
      </c>
      <c r="B382" s="33">
        <v>91984985454</v>
      </c>
      <c r="C382" s="33" t="s">
        <v>37</v>
      </c>
      <c r="D382" s="33">
        <v>4430265054</v>
      </c>
      <c r="E382" s="33">
        <v>1079</v>
      </c>
      <c r="F382" s="33">
        <v>1013</v>
      </c>
      <c r="G382" s="33" t="s">
        <v>38</v>
      </c>
      <c r="H382" s="33" t="s">
        <v>6933</v>
      </c>
      <c r="I382" s="33" t="s">
        <v>39</v>
      </c>
      <c r="J382" s="33" t="s">
        <v>40</v>
      </c>
      <c r="K382" s="33" t="s">
        <v>41</v>
      </c>
    </row>
    <row r="383" spans="1:11" s="33" customFormat="1" hidden="1" x14ac:dyDescent="0.3">
      <c r="A383" s="39">
        <v>46107.640196759261</v>
      </c>
      <c r="B383" s="33">
        <v>44999670264</v>
      </c>
      <c r="C383" s="33" t="s">
        <v>43</v>
      </c>
      <c r="D383" s="33">
        <v>4430265054</v>
      </c>
      <c r="E383" s="33">
        <v>1382</v>
      </c>
      <c r="F383" s="33">
        <v>1203</v>
      </c>
      <c r="G383" s="33" t="s">
        <v>38</v>
      </c>
      <c r="H383" s="33" t="s">
        <v>6934</v>
      </c>
      <c r="I383" s="33" t="s">
        <v>39</v>
      </c>
      <c r="J383" s="33" t="s">
        <v>40</v>
      </c>
      <c r="K383" s="33" t="s">
        <v>41</v>
      </c>
    </row>
    <row r="384" spans="1:11" s="33" customFormat="1" hidden="1" x14ac:dyDescent="0.3">
      <c r="A384" s="39">
        <v>46107.637048611112</v>
      </c>
      <c r="B384" s="33">
        <v>4124410525</v>
      </c>
      <c r="C384" s="33">
        <v>4430265054</v>
      </c>
      <c r="D384" s="33">
        <v>4430265054</v>
      </c>
      <c r="E384" s="33">
        <v>7</v>
      </c>
      <c r="F384" s="33">
        <v>6</v>
      </c>
      <c r="G384" s="33" t="s">
        <v>3449</v>
      </c>
      <c r="H384" s="33" t="s">
        <v>6935</v>
      </c>
      <c r="I384" s="33" t="s">
        <v>39</v>
      </c>
      <c r="J384" s="33" t="s">
        <v>3451</v>
      </c>
    </row>
    <row r="385" spans="1:12" s="33" customFormat="1" hidden="1" x14ac:dyDescent="0.3">
      <c r="A385" s="39">
        <v>46107.635347222225</v>
      </c>
      <c r="B385" s="33">
        <v>44991381017</v>
      </c>
      <c r="C385" s="33" t="s">
        <v>42</v>
      </c>
      <c r="D385" s="33">
        <v>4430265054</v>
      </c>
      <c r="E385" s="33">
        <v>428</v>
      </c>
      <c r="F385" s="33">
        <v>357</v>
      </c>
      <c r="G385" s="33" t="s">
        <v>38</v>
      </c>
      <c r="H385" s="33" t="s">
        <v>6936</v>
      </c>
      <c r="I385" s="33" t="s">
        <v>39</v>
      </c>
      <c r="J385" s="33" t="s">
        <v>40</v>
      </c>
      <c r="K385" s="33" t="s">
        <v>41</v>
      </c>
    </row>
    <row r="386" spans="1:12" s="33" customFormat="1" hidden="1" x14ac:dyDescent="0.3">
      <c r="A386" s="39">
        <v>46107.629062499997</v>
      </c>
      <c r="B386" s="33">
        <v>44997450437</v>
      </c>
      <c r="C386" s="33" t="s">
        <v>45</v>
      </c>
      <c r="D386" s="33">
        <v>4430265054</v>
      </c>
      <c r="E386" s="33">
        <v>579</v>
      </c>
      <c r="F386" s="33">
        <v>544</v>
      </c>
      <c r="G386" s="33" t="s">
        <v>38</v>
      </c>
      <c r="H386" s="33" t="s">
        <v>6937</v>
      </c>
      <c r="I386" s="33" t="s">
        <v>39</v>
      </c>
      <c r="J386" s="33" t="s">
        <v>40</v>
      </c>
      <c r="K386" s="33" t="s">
        <v>41</v>
      </c>
    </row>
    <row r="387" spans="1:12" s="33" customFormat="1" hidden="1" x14ac:dyDescent="0.3">
      <c r="A387" s="39">
        <v>46107.628275462965</v>
      </c>
      <c r="B387" s="33" t="s">
        <v>44</v>
      </c>
      <c r="C387" s="33">
        <v>44999680829</v>
      </c>
      <c r="E387" s="33">
        <v>404</v>
      </c>
      <c r="F387" s="33">
        <v>398</v>
      </c>
      <c r="G387" s="33" t="s">
        <v>38</v>
      </c>
      <c r="H387" s="33" t="s">
        <v>6938</v>
      </c>
      <c r="I387" s="33" t="s">
        <v>46</v>
      </c>
      <c r="J387" s="33" t="s">
        <v>40</v>
      </c>
      <c r="L387" s="33">
        <v>5</v>
      </c>
    </row>
    <row r="388" spans="1:12" s="33" customFormat="1" hidden="1" x14ac:dyDescent="0.3">
      <c r="A388" s="39">
        <v>46107.626793981479</v>
      </c>
      <c r="B388" s="33">
        <v>4432322192</v>
      </c>
      <c r="C388" s="33" t="s">
        <v>45</v>
      </c>
      <c r="D388" s="33">
        <v>4430265054</v>
      </c>
      <c r="E388" s="33">
        <v>58</v>
      </c>
      <c r="F388" s="33">
        <v>15</v>
      </c>
      <c r="G388" s="33" t="s">
        <v>38</v>
      </c>
      <c r="H388" s="33" t="s">
        <v>6939</v>
      </c>
      <c r="I388" s="33" t="s">
        <v>39</v>
      </c>
      <c r="J388" s="33" t="s">
        <v>40</v>
      </c>
      <c r="K388" s="33" t="s">
        <v>41</v>
      </c>
    </row>
    <row r="389" spans="1:12" s="33" customFormat="1" hidden="1" x14ac:dyDescent="0.3">
      <c r="A389" s="39">
        <v>46107.621504629627</v>
      </c>
      <c r="B389" s="33">
        <v>6434530674</v>
      </c>
      <c r="C389" s="33" t="s">
        <v>44</v>
      </c>
      <c r="D389" s="33">
        <v>4430265054</v>
      </c>
      <c r="E389" s="33">
        <v>143</v>
      </c>
      <c r="F389" s="33">
        <v>87</v>
      </c>
      <c r="G389" s="33" t="s">
        <v>38</v>
      </c>
      <c r="H389" s="33" t="s">
        <v>6940</v>
      </c>
      <c r="I389" s="33" t="s">
        <v>39</v>
      </c>
      <c r="J389" s="33" t="s">
        <v>40</v>
      </c>
      <c r="K389" s="33" t="s">
        <v>41</v>
      </c>
    </row>
    <row r="390" spans="1:12" s="33" customFormat="1" hidden="1" x14ac:dyDescent="0.3">
      <c r="A390" s="39">
        <v>46107.621192129627</v>
      </c>
      <c r="B390" s="33" t="s">
        <v>42</v>
      </c>
      <c r="C390" s="33">
        <v>4434212150</v>
      </c>
      <c r="E390" s="33">
        <v>198</v>
      </c>
      <c r="F390" s="33">
        <v>186</v>
      </c>
      <c r="G390" s="33" t="s">
        <v>38</v>
      </c>
      <c r="H390" s="33" t="s">
        <v>6941</v>
      </c>
      <c r="I390" s="33" t="s">
        <v>46</v>
      </c>
      <c r="J390" s="33" t="s">
        <v>40</v>
      </c>
    </row>
    <row r="391" spans="1:12" s="33" customFormat="1" hidden="1" x14ac:dyDescent="0.3">
      <c r="A391" s="39">
        <v>46107.621145833335</v>
      </c>
      <c r="B391" s="33" t="s">
        <v>42</v>
      </c>
      <c r="C391" s="33">
        <v>4434212150</v>
      </c>
      <c r="E391" s="33">
        <v>2</v>
      </c>
      <c r="F391" s="33">
        <v>0</v>
      </c>
      <c r="G391" s="33" t="s">
        <v>47</v>
      </c>
      <c r="H391" s="33" t="s">
        <v>6942</v>
      </c>
      <c r="I391" s="33" t="s">
        <v>46</v>
      </c>
      <c r="J391" s="33" t="s">
        <v>40</v>
      </c>
    </row>
    <row r="392" spans="1:12" s="33" customFormat="1" hidden="1" x14ac:dyDescent="0.3">
      <c r="A392" s="39">
        <v>46107.621111111112</v>
      </c>
      <c r="B392" s="33" t="s">
        <v>42</v>
      </c>
      <c r="C392" s="33">
        <v>4434212150</v>
      </c>
      <c r="E392" s="33">
        <v>1</v>
      </c>
      <c r="F392" s="33">
        <v>0</v>
      </c>
      <c r="G392" s="33" t="s">
        <v>47</v>
      </c>
      <c r="H392" s="33" t="s">
        <v>6943</v>
      </c>
      <c r="I392" s="33" t="s">
        <v>46</v>
      </c>
      <c r="J392" s="33" t="s">
        <v>40</v>
      </c>
    </row>
    <row r="393" spans="1:12" s="33" customFormat="1" hidden="1" x14ac:dyDescent="0.3">
      <c r="A393" s="39">
        <v>46107.621076388888</v>
      </c>
      <c r="B393" s="33" t="s">
        <v>42</v>
      </c>
      <c r="C393" s="33">
        <v>4434212150</v>
      </c>
      <c r="E393" s="33">
        <v>2</v>
      </c>
      <c r="F393" s="33">
        <v>0</v>
      </c>
      <c r="G393" s="33" t="s">
        <v>47</v>
      </c>
      <c r="H393" s="33" t="s">
        <v>6944</v>
      </c>
      <c r="I393" s="33" t="s">
        <v>46</v>
      </c>
      <c r="J393" s="33" t="s">
        <v>40</v>
      </c>
    </row>
    <row r="394" spans="1:12" s="33" customFormat="1" hidden="1" x14ac:dyDescent="0.3">
      <c r="A394" s="39">
        <v>46107.621030092596</v>
      </c>
      <c r="B394" s="33" t="s">
        <v>42</v>
      </c>
      <c r="C394" s="33">
        <v>4434212150</v>
      </c>
      <c r="E394" s="33">
        <v>2</v>
      </c>
      <c r="F394" s="33">
        <v>0</v>
      </c>
      <c r="G394" s="33" t="s">
        <v>47</v>
      </c>
      <c r="H394" s="33" t="s">
        <v>6945</v>
      </c>
      <c r="I394" s="33" t="s">
        <v>46</v>
      </c>
      <c r="J394" s="33" t="s">
        <v>40</v>
      </c>
    </row>
    <row r="395" spans="1:12" s="33" customFormat="1" hidden="1" x14ac:dyDescent="0.3">
      <c r="A395" s="39">
        <v>46107.620879629627</v>
      </c>
      <c r="B395" s="33" t="s">
        <v>42</v>
      </c>
      <c r="C395" s="33">
        <v>4434212150</v>
      </c>
      <c r="E395" s="33">
        <v>8</v>
      </c>
      <c r="F395" s="33">
        <v>0</v>
      </c>
      <c r="G395" s="33" t="s">
        <v>47</v>
      </c>
      <c r="H395" s="33" t="s">
        <v>6946</v>
      </c>
      <c r="I395" s="33" t="s">
        <v>46</v>
      </c>
      <c r="J395" s="33" t="s">
        <v>40</v>
      </c>
    </row>
    <row r="396" spans="1:12" s="33" customFormat="1" hidden="1" x14ac:dyDescent="0.3">
      <c r="A396" s="39">
        <v>46107.619120370371</v>
      </c>
      <c r="B396" s="33">
        <v>4432322192</v>
      </c>
      <c r="C396" s="33" t="s">
        <v>45</v>
      </c>
      <c r="D396" s="33">
        <v>4430265054</v>
      </c>
      <c r="E396" s="33">
        <v>160</v>
      </c>
      <c r="F396" s="33">
        <v>44</v>
      </c>
      <c r="G396" s="33" t="s">
        <v>38</v>
      </c>
      <c r="H396" s="33" t="s">
        <v>6947</v>
      </c>
      <c r="I396" s="33" t="s">
        <v>39</v>
      </c>
      <c r="J396" s="33" t="s">
        <v>40</v>
      </c>
      <c r="K396" s="33" t="s">
        <v>41</v>
      </c>
    </row>
    <row r="397" spans="1:12" s="33" customFormat="1" hidden="1" x14ac:dyDescent="0.3">
      <c r="A397" s="39">
        <v>46107.617418981485</v>
      </c>
      <c r="B397" s="33">
        <v>91984985454</v>
      </c>
      <c r="C397" s="33" t="s">
        <v>43</v>
      </c>
      <c r="D397" s="33">
        <v>4430265054</v>
      </c>
      <c r="E397" s="33">
        <v>1871</v>
      </c>
      <c r="F397" s="33">
        <v>1834</v>
      </c>
      <c r="G397" s="33" t="s">
        <v>38</v>
      </c>
      <c r="H397" s="33" t="s">
        <v>6948</v>
      </c>
      <c r="I397" s="33" t="s">
        <v>39</v>
      </c>
      <c r="J397" s="33" t="s">
        <v>40</v>
      </c>
      <c r="K397" s="33" t="s">
        <v>41</v>
      </c>
    </row>
    <row r="398" spans="1:12" s="33" customFormat="1" hidden="1" x14ac:dyDescent="0.3">
      <c r="A398" s="39">
        <v>46107.616249999999</v>
      </c>
      <c r="B398" s="33" t="s">
        <v>37</v>
      </c>
      <c r="C398" s="33">
        <v>4430459032</v>
      </c>
      <c r="E398" s="33">
        <v>1756</v>
      </c>
      <c r="F398" s="33">
        <v>1755</v>
      </c>
      <c r="G398" s="33" t="s">
        <v>38</v>
      </c>
      <c r="H398" s="33" t="s">
        <v>6949</v>
      </c>
      <c r="I398" s="33" t="s">
        <v>46</v>
      </c>
      <c r="J398" s="33" t="s">
        <v>40</v>
      </c>
      <c r="L398" s="33">
        <v>5</v>
      </c>
    </row>
    <row r="399" spans="1:12" s="33" customFormat="1" hidden="1" x14ac:dyDescent="0.3">
      <c r="A399" s="39">
        <v>46107.610115740739</v>
      </c>
      <c r="B399" s="33">
        <v>91981311350</v>
      </c>
      <c r="C399" s="33" t="s">
        <v>43</v>
      </c>
      <c r="D399" s="33">
        <v>4430265054</v>
      </c>
      <c r="E399" s="33">
        <v>258</v>
      </c>
      <c r="F399" s="33">
        <v>214</v>
      </c>
      <c r="G399" s="33" t="s">
        <v>38</v>
      </c>
      <c r="H399" s="33" t="s">
        <v>6950</v>
      </c>
      <c r="I399" s="33" t="s">
        <v>39</v>
      </c>
      <c r="J399" s="33" t="s">
        <v>40</v>
      </c>
      <c r="K399" s="33" t="s">
        <v>41</v>
      </c>
    </row>
    <row r="400" spans="1:12" s="33" customFormat="1" hidden="1" x14ac:dyDescent="0.3">
      <c r="A400" s="39">
        <v>46107.608749999999</v>
      </c>
      <c r="B400" s="33" t="s">
        <v>43</v>
      </c>
      <c r="C400" s="33">
        <v>4430191465</v>
      </c>
      <c r="E400" s="33">
        <v>45</v>
      </c>
      <c r="F400" s="33">
        <v>27</v>
      </c>
      <c r="G400" s="33" t="s">
        <v>38</v>
      </c>
      <c r="H400" s="33" t="s">
        <v>6951</v>
      </c>
      <c r="I400" s="33" t="s">
        <v>46</v>
      </c>
      <c r="J400" s="33" t="s">
        <v>40</v>
      </c>
    </row>
    <row r="401" spans="1:12" s="33" customFormat="1" hidden="1" x14ac:dyDescent="0.3">
      <c r="A401" s="39">
        <v>46107.608715277776</v>
      </c>
      <c r="B401" s="33" t="s">
        <v>43</v>
      </c>
      <c r="C401" s="33">
        <v>4430191465</v>
      </c>
      <c r="E401" s="33">
        <v>2</v>
      </c>
      <c r="F401" s="33">
        <v>0</v>
      </c>
      <c r="G401" s="33" t="s">
        <v>47</v>
      </c>
      <c r="H401" s="33" t="s">
        <v>6952</v>
      </c>
      <c r="I401" s="33" t="s">
        <v>46</v>
      </c>
      <c r="J401" s="33" t="s">
        <v>40</v>
      </c>
    </row>
    <row r="402" spans="1:12" s="33" customFormat="1" hidden="1" x14ac:dyDescent="0.3">
      <c r="A402" s="39">
        <v>46107.607476851852</v>
      </c>
      <c r="B402" s="33" t="s">
        <v>43</v>
      </c>
      <c r="C402" s="33">
        <v>11947305533</v>
      </c>
      <c r="E402" s="33">
        <v>12</v>
      </c>
      <c r="F402" s="33">
        <v>0</v>
      </c>
      <c r="G402" s="33" t="s">
        <v>47</v>
      </c>
      <c r="H402" s="33" t="s">
        <v>6953</v>
      </c>
      <c r="I402" s="33" t="s">
        <v>46</v>
      </c>
      <c r="J402" s="33" t="s">
        <v>40</v>
      </c>
    </row>
    <row r="403" spans="1:12" s="33" customFormat="1" hidden="1" x14ac:dyDescent="0.3">
      <c r="A403" s="39">
        <v>46107.606053240743</v>
      </c>
      <c r="B403" s="33">
        <v>4334232912</v>
      </c>
      <c r="C403" s="33" t="s">
        <v>37</v>
      </c>
      <c r="D403" s="33">
        <v>4430265054</v>
      </c>
      <c r="E403" s="33">
        <v>469</v>
      </c>
      <c r="F403" s="33">
        <v>311</v>
      </c>
      <c r="G403" s="33" t="s">
        <v>38</v>
      </c>
      <c r="H403" s="33" t="s">
        <v>6954</v>
      </c>
      <c r="I403" s="33" t="s">
        <v>39</v>
      </c>
      <c r="J403" s="33" t="s">
        <v>40</v>
      </c>
      <c r="K403" s="33" t="s">
        <v>41</v>
      </c>
    </row>
    <row r="404" spans="1:12" s="33" customFormat="1" hidden="1" x14ac:dyDescent="0.3">
      <c r="A404" s="39">
        <v>46107.602847222224</v>
      </c>
      <c r="B404" s="33">
        <v>4434212150</v>
      </c>
      <c r="C404" s="33" t="s">
        <v>42</v>
      </c>
      <c r="D404" s="33">
        <v>4430265054</v>
      </c>
      <c r="E404" s="33">
        <v>733</v>
      </c>
      <c r="F404" s="33">
        <v>714</v>
      </c>
      <c r="G404" s="33" t="s">
        <v>38</v>
      </c>
      <c r="H404" s="33" t="s">
        <v>6955</v>
      </c>
      <c r="I404" s="33" t="s">
        <v>39</v>
      </c>
      <c r="J404" s="33" t="s">
        <v>40</v>
      </c>
      <c r="K404" s="33" t="s">
        <v>41</v>
      </c>
    </row>
    <row r="405" spans="1:12" s="33" customFormat="1" hidden="1" x14ac:dyDescent="0.3">
      <c r="A405" s="39">
        <v>46107.601898148147</v>
      </c>
      <c r="B405" s="33">
        <v>44991814587</v>
      </c>
      <c r="C405" s="33" t="s">
        <v>45</v>
      </c>
      <c r="D405" s="33">
        <v>4430265054</v>
      </c>
      <c r="E405" s="33">
        <v>650</v>
      </c>
      <c r="F405" s="33">
        <v>626</v>
      </c>
      <c r="G405" s="33" t="s">
        <v>38</v>
      </c>
      <c r="H405" s="33" t="s">
        <v>6956</v>
      </c>
      <c r="I405" s="33" t="s">
        <v>39</v>
      </c>
      <c r="J405" s="33" t="s">
        <v>40</v>
      </c>
      <c r="K405" s="33" t="s">
        <v>41</v>
      </c>
    </row>
    <row r="406" spans="1:12" s="33" customFormat="1" hidden="1" x14ac:dyDescent="0.3">
      <c r="A406" s="39">
        <v>46107.601701388892</v>
      </c>
      <c r="B406" s="33">
        <v>44991814587</v>
      </c>
      <c r="C406" s="33">
        <v>4430265054</v>
      </c>
      <c r="D406" s="33">
        <v>4430265054</v>
      </c>
      <c r="E406" s="33">
        <v>1</v>
      </c>
      <c r="F406" s="33">
        <v>0</v>
      </c>
      <c r="G406" s="33" t="s">
        <v>47</v>
      </c>
      <c r="H406" s="33" t="s">
        <v>6957</v>
      </c>
      <c r="I406" s="33" t="s">
        <v>39</v>
      </c>
      <c r="J406" s="33" t="s">
        <v>3451</v>
      </c>
    </row>
    <row r="407" spans="1:12" s="33" customFormat="1" hidden="1" x14ac:dyDescent="0.3">
      <c r="A407" s="39">
        <v>46107.598101851851</v>
      </c>
      <c r="B407" s="33">
        <v>1128897100</v>
      </c>
      <c r="C407" s="33" t="s">
        <v>37</v>
      </c>
      <c r="D407" s="33">
        <v>4430265054</v>
      </c>
      <c r="E407" s="33">
        <v>150</v>
      </c>
      <c r="F407" s="33">
        <v>130</v>
      </c>
      <c r="G407" s="33" t="s">
        <v>38</v>
      </c>
      <c r="H407" s="33" t="s">
        <v>6958</v>
      </c>
      <c r="I407" s="33" t="s">
        <v>39</v>
      </c>
      <c r="J407" s="33" t="s">
        <v>40</v>
      </c>
      <c r="K407" s="33" t="s">
        <v>41</v>
      </c>
    </row>
    <row r="408" spans="1:12" s="33" customFormat="1" hidden="1" x14ac:dyDescent="0.3">
      <c r="A408" s="39">
        <v>46107.596631944441</v>
      </c>
      <c r="B408" s="33">
        <v>4532541802</v>
      </c>
      <c r="C408" s="33" t="s">
        <v>44</v>
      </c>
      <c r="D408" s="33">
        <v>4430265054</v>
      </c>
      <c r="E408" s="33">
        <v>934</v>
      </c>
      <c r="F408" s="33">
        <v>868</v>
      </c>
      <c r="G408" s="33" t="s">
        <v>38</v>
      </c>
      <c r="H408" s="33" t="s">
        <v>6959</v>
      </c>
      <c r="I408" s="33" t="s">
        <v>39</v>
      </c>
      <c r="J408" s="33" t="s">
        <v>40</v>
      </c>
      <c r="K408" s="33" t="s">
        <v>41</v>
      </c>
      <c r="L408" s="33">
        <v>5</v>
      </c>
    </row>
    <row r="409" spans="1:12" s="33" customFormat="1" hidden="1" x14ac:dyDescent="0.3">
      <c r="A409" s="39">
        <v>46107.594513888886</v>
      </c>
      <c r="B409" s="33" t="s">
        <v>45</v>
      </c>
      <c r="C409" s="33">
        <v>91981481202</v>
      </c>
      <c r="E409" s="33">
        <v>276</v>
      </c>
      <c r="F409" s="33">
        <v>267</v>
      </c>
      <c r="G409" s="33" t="s">
        <v>38</v>
      </c>
      <c r="H409" s="33" t="s">
        <v>6960</v>
      </c>
      <c r="I409" s="33" t="s">
        <v>46</v>
      </c>
      <c r="J409" s="33" t="s">
        <v>40</v>
      </c>
    </row>
    <row r="410" spans="1:12" s="33" customFormat="1" hidden="1" x14ac:dyDescent="0.3">
      <c r="A410" s="39">
        <v>46107.59447916667</v>
      </c>
      <c r="B410" s="33" t="s">
        <v>48</v>
      </c>
      <c r="C410" s="33">
        <v>44999690664</v>
      </c>
      <c r="E410" s="33">
        <v>490</v>
      </c>
      <c r="F410" s="33">
        <v>476</v>
      </c>
      <c r="G410" s="33" t="s">
        <v>38</v>
      </c>
      <c r="H410" s="33" t="s">
        <v>6961</v>
      </c>
      <c r="I410" s="33" t="s">
        <v>46</v>
      </c>
      <c r="J410" s="33" t="s">
        <v>40</v>
      </c>
    </row>
    <row r="411" spans="1:12" s="33" customFormat="1" hidden="1" x14ac:dyDescent="0.3">
      <c r="A411" s="39">
        <v>46107.594236111108</v>
      </c>
      <c r="B411" s="33">
        <v>4435228300</v>
      </c>
      <c r="C411" s="33" t="s">
        <v>43</v>
      </c>
      <c r="D411" s="33">
        <v>4430265054</v>
      </c>
      <c r="E411" s="33">
        <v>343</v>
      </c>
      <c r="F411" s="33">
        <v>215</v>
      </c>
      <c r="G411" s="33" t="s">
        <v>38</v>
      </c>
      <c r="H411" s="33" t="s">
        <v>6962</v>
      </c>
      <c r="I411" s="33" t="s">
        <v>39</v>
      </c>
      <c r="J411" s="33" t="s">
        <v>40</v>
      </c>
      <c r="K411" s="33" t="s">
        <v>41</v>
      </c>
    </row>
    <row r="412" spans="1:12" s="33" customFormat="1" hidden="1" x14ac:dyDescent="0.3">
      <c r="A412" s="39">
        <v>46107.593900462962</v>
      </c>
      <c r="B412" s="33" t="s">
        <v>48</v>
      </c>
      <c r="C412" s="33">
        <v>44997400641</v>
      </c>
      <c r="E412" s="33">
        <v>74</v>
      </c>
      <c r="F412" s="33">
        <v>31</v>
      </c>
      <c r="G412" s="33" t="s">
        <v>38</v>
      </c>
      <c r="H412" s="33" t="s">
        <v>6963</v>
      </c>
      <c r="I412" s="33" t="s">
        <v>46</v>
      </c>
      <c r="J412" s="33" t="s">
        <v>40</v>
      </c>
    </row>
    <row r="413" spans="1:12" s="33" customFormat="1" x14ac:dyDescent="0.3">
      <c r="A413" s="39">
        <v>46107.587407407409</v>
      </c>
      <c r="B413" s="33">
        <v>19998793706</v>
      </c>
      <c r="C413" s="33" t="s">
        <v>42</v>
      </c>
      <c r="D413" s="33">
        <v>4430265054</v>
      </c>
      <c r="E413" s="33">
        <v>995</v>
      </c>
      <c r="F413" s="33">
        <v>943</v>
      </c>
      <c r="G413" s="33" t="s">
        <v>38</v>
      </c>
      <c r="H413" s="33" t="s">
        <v>6964</v>
      </c>
      <c r="I413" s="33" t="s">
        <v>39</v>
      </c>
      <c r="J413" s="33" t="s">
        <v>40</v>
      </c>
      <c r="K413" s="33" t="s">
        <v>41</v>
      </c>
      <c r="L413" s="33">
        <v>5</v>
      </c>
    </row>
    <row r="414" spans="1:12" s="33" customFormat="1" hidden="1" x14ac:dyDescent="0.3">
      <c r="A414" s="39">
        <v>46107.567002314812</v>
      </c>
      <c r="B414" s="33">
        <v>4436281154</v>
      </c>
      <c r="C414" s="33" t="s">
        <v>43</v>
      </c>
      <c r="D414" s="33">
        <v>4430265054</v>
      </c>
      <c r="E414" s="33">
        <v>1738</v>
      </c>
      <c r="F414" s="33">
        <v>1671</v>
      </c>
      <c r="G414" s="33" t="s">
        <v>38</v>
      </c>
      <c r="H414" s="33" t="s">
        <v>6965</v>
      </c>
      <c r="I414" s="33" t="s">
        <v>39</v>
      </c>
      <c r="J414" s="33" t="s">
        <v>40</v>
      </c>
      <c r="K414" s="33" t="s">
        <v>41</v>
      </c>
      <c r="L414" s="33">
        <v>5</v>
      </c>
    </row>
    <row r="415" spans="1:12" s="33" customFormat="1" hidden="1" x14ac:dyDescent="0.3">
      <c r="A415" s="39">
        <v>46107.565810185188</v>
      </c>
      <c r="B415" s="33">
        <v>44999680829</v>
      </c>
      <c r="C415" s="33" t="s">
        <v>44</v>
      </c>
      <c r="D415" s="33">
        <v>4430265054</v>
      </c>
      <c r="E415" s="33">
        <v>405</v>
      </c>
      <c r="F415" s="33">
        <v>351</v>
      </c>
      <c r="G415" s="33" t="s">
        <v>38</v>
      </c>
      <c r="H415" s="33" t="s">
        <v>6966</v>
      </c>
      <c r="I415" s="33" t="s">
        <v>39</v>
      </c>
      <c r="J415" s="33" t="s">
        <v>40</v>
      </c>
      <c r="K415" s="33" t="s">
        <v>41</v>
      </c>
    </row>
    <row r="416" spans="1:12" s="33" customFormat="1" hidden="1" x14ac:dyDescent="0.3">
      <c r="A416" s="39">
        <v>46107.564687500002</v>
      </c>
      <c r="B416" s="33">
        <v>3432424736</v>
      </c>
      <c r="C416" s="33" t="s">
        <v>45</v>
      </c>
      <c r="D416" s="33">
        <v>4430265054</v>
      </c>
      <c r="E416" s="33">
        <v>313</v>
      </c>
      <c r="F416" s="33">
        <v>242</v>
      </c>
      <c r="G416" s="33" t="s">
        <v>38</v>
      </c>
      <c r="H416" s="33" t="s">
        <v>6967</v>
      </c>
      <c r="I416" s="33" t="s">
        <v>39</v>
      </c>
      <c r="J416" s="33" t="s">
        <v>40</v>
      </c>
      <c r="K416" s="33" t="s">
        <v>41</v>
      </c>
    </row>
    <row r="417" spans="1:12" s="33" customFormat="1" hidden="1" x14ac:dyDescent="0.3">
      <c r="A417" s="39">
        <v>46107.564652777779</v>
      </c>
      <c r="B417" s="33">
        <v>4430162384</v>
      </c>
      <c r="C417" s="33" t="s">
        <v>37</v>
      </c>
      <c r="D417" s="33">
        <v>4430265054</v>
      </c>
      <c r="E417" s="33">
        <v>147</v>
      </c>
      <c r="F417" s="33">
        <v>61</v>
      </c>
      <c r="G417" s="33" t="s">
        <v>38</v>
      </c>
      <c r="H417" s="33" t="s">
        <v>6968</v>
      </c>
      <c r="I417" s="33" t="s">
        <v>39</v>
      </c>
      <c r="J417" s="33" t="s">
        <v>40</v>
      </c>
      <c r="K417" s="33" t="s">
        <v>41</v>
      </c>
    </row>
    <row r="418" spans="1:12" s="33" customFormat="1" hidden="1" x14ac:dyDescent="0.3">
      <c r="A418" s="39">
        <v>46107.558333333334</v>
      </c>
      <c r="B418" s="33">
        <v>3432424736</v>
      </c>
      <c r="C418" s="33">
        <v>4430265054</v>
      </c>
      <c r="D418" s="33">
        <v>4430265054</v>
      </c>
      <c r="E418" s="33">
        <v>15</v>
      </c>
      <c r="F418" s="33">
        <v>15</v>
      </c>
      <c r="G418" s="33" t="s">
        <v>3449</v>
      </c>
      <c r="H418" s="33" t="s">
        <v>6969</v>
      </c>
      <c r="I418" s="33" t="s">
        <v>39</v>
      </c>
      <c r="J418" s="33" t="s">
        <v>3451</v>
      </c>
    </row>
    <row r="419" spans="1:12" s="33" customFormat="1" hidden="1" x14ac:dyDescent="0.3">
      <c r="A419" s="39">
        <v>46107.557118055556</v>
      </c>
      <c r="B419" s="33" t="s">
        <v>45</v>
      </c>
      <c r="C419" s="33">
        <v>93984112869</v>
      </c>
      <c r="E419" s="33">
        <v>279</v>
      </c>
      <c r="F419" s="33">
        <v>262</v>
      </c>
      <c r="G419" s="33" t="s">
        <v>38</v>
      </c>
      <c r="H419" s="33" t="s">
        <v>6970</v>
      </c>
      <c r="I419" s="33" t="s">
        <v>46</v>
      </c>
      <c r="J419" s="33" t="s">
        <v>40</v>
      </c>
    </row>
    <row r="420" spans="1:12" s="33" customFormat="1" hidden="1" x14ac:dyDescent="0.3">
      <c r="A420" s="39">
        <v>46107.55641203704</v>
      </c>
      <c r="B420" s="33" t="s">
        <v>45</v>
      </c>
      <c r="C420" s="33">
        <v>4436721440</v>
      </c>
      <c r="E420" s="33">
        <v>27</v>
      </c>
      <c r="F420" s="33">
        <v>20</v>
      </c>
      <c r="G420" s="33" t="s">
        <v>38</v>
      </c>
      <c r="H420" s="33" t="s">
        <v>6971</v>
      </c>
      <c r="I420" s="33" t="s">
        <v>46</v>
      </c>
      <c r="J420" s="33" t="s">
        <v>40</v>
      </c>
    </row>
    <row r="421" spans="1:12" s="33" customFormat="1" hidden="1" x14ac:dyDescent="0.3">
      <c r="A421" s="39">
        <v>46107.556342592594</v>
      </c>
      <c r="B421" s="33" t="s">
        <v>45</v>
      </c>
      <c r="C421" s="33">
        <v>4436721440</v>
      </c>
      <c r="E421" s="33">
        <v>3</v>
      </c>
      <c r="F421" s="33">
        <v>0</v>
      </c>
      <c r="G421" s="33" t="s">
        <v>47</v>
      </c>
      <c r="H421" s="33" t="s">
        <v>6972</v>
      </c>
      <c r="I421" s="33" t="s">
        <v>46</v>
      </c>
      <c r="J421" s="33" t="s">
        <v>40</v>
      </c>
    </row>
    <row r="422" spans="1:12" s="33" customFormat="1" hidden="1" x14ac:dyDescent="0.3">
      <c r="A422" s="39">
        <v>46107.497430555559</v>
      </c>
      <c r="B422" s="33" t="s">
        <v>3627</v>
      </c>
      <c r="C422" s="33">
        <v>51993437497</v>
      </c>
      <c r="E422" s="33">
        <v>10</v>
      </c>
      <c r="F422" s="33">
        <v>0</v>
      </c>
      <c r="G422" s="33" t="s">
        <v>47</v>
      </c>
      <c r="H422" s="33" t="s">
        <v>6973</v>
      </c>
      <c r="I422" s="33" t="s">
        <v>46</v>
      </c>
      <c r="J422" s="33" t="s">
        <v>3629</v>
      </c>
    </row>
    <row r="423" spans="1:12" s="33" customFormat="1" hidden="1" x14ac:dyDescent="0.3">
      <c r="A423" s="39">
        <v>46107.491388888891</v>
      </c>
      <c r="B423" s="33" t="s">
        <v>3627</v>
      </c>
      <c r="C423" s="33">
        <v>64992989646</v>
      </c>
      <c r="E423" s="33">
        <v>19</v>
      </c>
      <c r="F423" s="33">
        <v>0</v>
      </c>
      <c r="G423" s="33" t="s">
        <v>47</v>
      </c>
      <c r="H423" s="33" t="s">
        <v>6974</v>
      </c>
      <c r="I423" s="33" t="s">
        <v>46</v>
      </c>
      <c r="J423" s="33" t="s">
        <v>3629</v>
      </c>
    </row>
    <row r="424" spans="1:12" s="33" customFormat="1" hidden="1" x14ac:dyDescent="0.3">
      <c r="A424" s="39">
        <v>46107.486655092594</v>
      </c>
      <c r="B424" s="33">
        <v>83988398480</v>
      </c>
      <c r="C424" s="33" t="s">
        <v>37</v>
      </c>
      <c r="D424" s="33">
        <v>4430265054</v>
      </c>
      <c r="E424" s="33">
        <v>495</v>
      </c>
      <c r="F424" s="33">
        <v>448</v>
      </c>
      <c r="G424" s="33" t="s">
        <v>38</v>
      </c>
      <c r="H424" s="33" t="s">
        <v>6975</v>
      </c>
      <c r="I424" s="33" t="s">
        <v>39</v>
      </c>
      <c r="J424" s="33" t="s">
        <v>40</v>
      </c>
      <c r="K424" s="33" t="s">
        <v>41</v>
      </c>
    </row>
    <row r="425" spans="1:12" s="33" customFormat="1" hidden="1" x14ac:dyDescent="0.3">
      <c r="A425" s="39">
        <v>46107.484710648147</v>
      </c>
      <c r="B425" s="33" t="s">
        <v>45</v>
      </c>
      <c r="C425" s="33">
        <v>93984112869</v>
      </c>
      <c r="E425" s="33">
        <v>970</v>
      </c>
      <c r="F425" s="33">
        <v>950</v>
      </c>
      <c r="G425" s="33" t="s">
        <v>38</v>
      </c>
      <c r="H425" s="33" t="s">
        <v>6976</v>
      </c>
      <c r="I425" s="33" t="s">
        <v>46</v>
      </c>
      <c r="J425" s="33" t="s">
        <v>40</v>
      </c>
    </row>
    <row r="426" spans="1:12" s="33" customFormat="1" hidden="1" x14ac:dyDescent="0.3">
      <c r="A426" s="39">
        <v>46107.48233796296</v>
      </c>
      <c r="B426" s="33" t="s">
        <v>3627</v>
      </c>
      <c r="C426" s="33">
        <v>34991033627</v>
      </c>
      <c r="E426" s="33">
        <v>1</v>
      </c>
      <c r="F426" s="33">
        <v>0</v>
      </c>
      <c r="G426" s="33" t="s">
        <v>47</v>
      </c>
      <c r="H426" s="33" t="s">
        <v>6977</v>
      </c>
      <c r="I426" s="33" t="s">
        <v>46</v>
      </c>
      <c r="J426" s="33" t="s">
        <v>3629</v>
      </c>
    </row>
    <row r="427" spans="1:12" s="33" customFormat="1" hidden="1" x14ac:dyDescent="0.3">
      <c r="A427" s="39">
        <v>46107.478402777779</v>
      </c>
      <c r="B427" s="33">
        <v>4433660210</v>
      </c>
      <c r="C427" s="33">
        <v>4430265054</v>
      </c>
      <c r="D427" s="33">
        <v>4430265054</v>
      </c>
      <c r="E427" s="33">
        <v>52</v>
      </c>
      <c r="F427" s="33">
        <v>51</v>
      </c>
      <c r="G427" s="33" t="s">
        <v>3449</v>
      </c>
      <c r="H427" s="33" t="s">
        <v>6978</v>
      </c>
      <c r="I427" s="33" t="s">
        <v>39</v>
      </c>
      <c r="J427" s="33" t="s">
        <v>3451</v>
      </c>
      <c r="K427" s="33" t="s">
        <v>41</v>
      </c>
    </row>
    <row r="428" spans="1:12" s="33" customFormat="1" hidden="1" x14ac:dyDescent="0.3">
      <c r="A428" s="39">
        <v>46107.477800925924</v>
      </c>
      <c r="B428" s="33">
        <v>4121413325</v>
      </c>
      <c r="C428" s="33">
        <v>4531273164</v>
      </c>
      <c r="D428" s="33">
        <v>4531273164</v>
      </c>
      <c r="E428" s="33">
        <v>59</v>
      </c>
      <c r="F428" s="33">
        <v>58</v>
      </c>
      <c r="G428" s="33" t="s">
        <v>3449</v>
      </c>
      <c r="H428" s="33" t="s">
        <v>6979</v>
      </c>
      <c r="I428" s="33" t="s">
        <v>39</v>
      </c>
      <c r="J428" s="33" t="s">
        <v>3451</v>
      </c>
      <c r="K428" s="33" t="s">
        <v>41</v>
      </c>
    </row>
    <row r="429" spans="1:12" s="33" customFormat="1" hidden="1" x14ac:dyDescent="0.3">
      <c r="A429" s="39">
        <v>46107.471122685187</v>
      </c>
      <c r="B429" s="33">
        <v>44998582382</v>
      </c>
      <c r="C429" s="33" t="s">
        <v>43</v>
      </c>
      <c r="D429" s="33">
        <v>4430265054</v>
      </c>
      <c r="E429" s="33">
        <v>134</v>
      </c>
      <c r="F429" s="33">
        <v>90</v>
      </c>
      <c r="G429" s="33" t="s">
        <v>38</v>
      </c>
      <c r="H429" s="33" t="s">
        <v>6980</v>
      </c>
      <c r="I429" s="33" t="s">
        <v>39</v>
      </c>
      <c r="J429" s="33" t="s">
        <v>40</v>
      </c>
      <c r="K429" s="33" t="s">
        <v>41</v>
      </c>
    </row>
    <row r="430" spans="1:12" s="33" customFormat="1" hidden="1" x14ac:dyDescent="0.3">
      <c r="A430" s="39">
        <v>46107.466423611113</v>
      </c>
      <c r="B430" s="33" t="s">
        <v>48</v>
      </c>
      <c r="C430" s="33">
        <v>4430152533</v>
      </c>
      <c r="E430" s="33">
        <v>623</v>
      </c>
      <c r="F430" s="33">
        <v>606</v>
      </c>
      <c r="G430" s="33" t="s">
        <v>38</v>
      </c>
      <c r="H430" s="33" t="s">
        <v>6981</v>
      </c>
      <c r="I430" s="33" t="s">
        <v>46</v>
      </c>
      <c r="J430" s="33" t="s">
        <v>40</v>
      </c>
      <c r="L430" s="33">
        <v>5</v>
      </c>
    </row>
    <row r="431" spans="1:12" s="33" customFormat="1" hidden="1" x14ac:dyDescent="0.3">
      <c r="A431" s="39">
        <v>46107.450520833336</v>
      </c>
      <c r="B431" s="33">
        <v>41995960655</v>
      </c>
      <c r="C431" s="33" t="s">
        <v>37</v>
      </c>
      <c r="D431" s="33">
        <v>4430265054</v>
      </c>
      <c r="E431" s="33">
        <v>1601</v>
      </c>
      <c r="F431" s="33">
        <v>1481</v>
      </c>
      <c r="G431" s="33" t="s">
        <v>38</v>
      </c>
      <c r="H431" s="33" t="s">
        <v>6982</v>
      </c>
      <c r="I431" s="33" t="s">
        <v>39</v>
      </c>
      <c r="J431" s="33" t="s">
        <v>40</v>
      </c>
      <c r="K431" s="33" t="s">
        <v>41</v>
      </c>
    </row>
    <row r="432" spans="1:12" s="33" customFormat="1" hidden="1" x14ac:dyDescent="0.3">
      <c r="A432" s="39">
        <v>46107.448634259257</v>
      </c>
      <c r="B432" s="33">
        <v>4430316847</v>
      </c>
      <c r="C432" s="33" t="s">
        <v>43</v>
      </c>
      <c r="D432" s="33">
        <v>4430265054</v>
      </c>
      <c r="E432" s="33">
        <v>915</v>
      </c>
      <c r="F432" s="33">
        <v>853</v>
      </c>
      <c r="G432" s="33" t="s">
        <v>38</v>
      </c>
      <c r="H432" s="33" t="s">
        <v>6983</v>
      </c>
      <c r="I432" s="33" t="s">
        <v>39</v>
      </c>
      <c r="J432" s="33" t="s">
        <v>40</v>
      </c>
      <c r="K432" s="33" t="s">
        <v>41</v>
      </c>
    </row>
    <row r="433" spans="1:12" s="33" customFormat="1" hidden="1" x14ac:dyDescent="0.3">
      <c r="A433" s="39">
        <v>46107.446863425925</v>
      </c>
      <c r="B433" s="33">
        <v>4430316847</v>
      </c>
      <c r="C433" s="33" t="s">
        <v>43</v>
      </c>
      <c r="D433" s="33">
        <v>4430265054</v>
      </c>
      <c r="E433" s="33">
        <v>138</v>
      </c>
      <c r="F433" s="33">
        <v>25</v>
      </c>
      <c r="G433" s="33" t="s">
        <v>38</v>
      </c>
      <c r="H433" s="33" t="s">
        <v>6984</v>
      </c>
      <c r="I433" s="33" t="s">
        <v>39</v>
      </c>
      <c r="J433" s="33" t="s">
        <v>40</v>
      </c>
      <c r="K433" s="33" t="s">
        <v>41</v>
      </c>
    </row>
    <row r="434" spans="1:12" s="33" customFormat="1" hidden="1" x14ac:dyDescent="0.3">
      <c r="A434" s="39">
        <v>46107.446076388886</v>
      </c>
      <c r="B434" s="33">
        <v>83988398480</v>
      </c>
      <c r="C434" s="33" t="s">
        <v>45</v>
      </c>
      <c r="D434" s="33">
        <v>4430265054</v>
      </c>
      <c r="E434" s="33">
        <v>1120</v>
      </c>
      <c r="F434" s="33">
        <v>1002</v>
      </c>
      <c r="G434" s="33" t="s">
        <v>38</v>
      </c>
      <c r="H434" s="33" t="s">
        <v>6985</v>
      </c>
      <c r="I434" s="33" t="s">
        <v>39</v>
      </c>
      <c r="J434" s="33" t="s">
        <v>40</v>
      </c>
      <c r="K434" s="33" t="s">
        <v>41</v>
      </c>
    </row>
    <row r="435" spans="1:12" s="33" customFormat="1" hidden="1" x14ac:dyDescent="0.3">
      <c r="A435" s="39">
        <v>46107.445138888892</v>
      </c>
      <c r="B435" s="33" t="s">
        <v>48</v>
      </c>
      <c r="C435" s="33">
        <v>4436291629</v>
      </c>
      <c r="E435" s="33">
        <v>1163</v>
      </c>
      <c r="F435" s="33">
        <v>1147</v>
      </c>
      <c r="G435" s="33" t="s">
        <v>38</v>
      </c>
      <c r="H435" s="33" t="s">
        <v>6986</v>
      </c>
      <c r="I435" s="33" t="s">
        <v>46</v>
      </c>
      <c r="J435" s="33" t="s">
        <v>40</v>
      </c>
    </row>
    <row r="436" spans="1:12" s="33" customFormat="1" hidden="1" x14ac:dyDescent="0.3">
      <c r="A436" s="39">
        <v>46107.444224537037</v>
      </c>
      <c r="B436" s="33" t="s">
        <v>48</v>
      </c>
      <c r="C436" s="33">
        <v>4432263417</v>
      </c>
      <c r="E436" s="33">
        <v>53</v>
      </c>
      <c r="F436" s="33">
        <v>37</v>
      </c>
      <c r="G436" s="33" t="s">
        <v>38</v>
      </c>
      <c r="H436" s="33" t="s">
        <v>6987</v>
      </c>
      <c r="I436" s="33" t="s">
        <v>46</v>
      </c>
      <c r="J436" s="33" t="s">
        <v>40</v>
      </c>
    </row>
    <row r="437" spans="1:12" s="33" customFormat="1" hidden="1" x14ac:dyDescent="0.3">
      <c r="A437" s="39">
        <v>46107.444166666668</v>
      </c>
      <c r="B437" s="33" t="s">
        <v>48</v>
      </c>
      <c r="C437" s="33">
        <v>4432263417</v>
      </c>
      <c r="E437" s="33">
        <v>3</v>
      </c>
      <c r="F437" s="33">
        <v>0</v>
      </c>
      <c r="G437" s="33" t="s">
        <v>47</v>
      </c>
      <c r="H437" s="33" t="s">
        <v>6988</v>
      </c>
      <c r="I437" s="33" t="s">
        <v>46</v>
      </c>
      <c r="J437" s="33" t="s">
        <v>40</v>
      </c>
    </row>
    <row r="438" spans="1:12" s="33" customFormat="1" hidden="1" x14ac:dyDescent="0.3">
      <c r="A438" s="39">
        <v>46107.439375000002</v>
      </c>
      <c r="B438" s="33" t="s">
        <v>48</v>
      </c>
      <c r="C438" s="33">
        <v>44997400641</v>
      </c>
      <c r="E438" s="33">
        <v>30</v>
      </c>
      <c r="F438" s="33">
        <v>0</v>
      </c>
      <c r="G438" s="33" t="s">
        <v>47</v>
      </c>
      <c r="H438" s="33" t="s">
        <v>6989</v>
      </c>
      <c r="I438" s="33" t="s">
        <v>46</v>
      </c>
      <c r="J438" s="33" t="s">
        <v>40</v>
      </c>
    </row>
    <row r="439" spans="1:12" s="33" customFormat="1" hidden="1" x14ac:dyDescent="0.3">
      <c r="A439" s="39">
        <v>46107.438437500001</v>
      </c>
      <c r="B439" s="33" t="s">
        <v>48</v>
      </c>
      <c r="C439" s="33">
        <v>4435312137</v>
      </c>
      <c r="E439" s="33">
        <v>54</v>
      </c>
      <c r="F439" s="33">
        <v>0</v>
      </c>
      <c r="G439" s="33" t="s">
        <v>47</v>
      </c>
      <c r="H439" s="33" t="s">
        <v>6990</v>
      </c>
      <c r="I439" s="33" t="s">
        <v>46</v>
      </c>
      <c r="J439" s="33" t="s">
        <v>40</v>
      </c>
    </row>
    <row r="440" spans="1:12" s="33" customFormat="1" hidden="1" x14ac:dyDescent="0.3">
      <c r="A440" s="39">
        <v>46107.434837962966</v>
      </c>
      <c r="B440" s="33">
        <v>4433543396</v>
      </c>
      <c r="C440" s="33" t="s">
        <v>45</v>
      </c>
      <c r="D440" s="33">
        <v>4430265054</v>
      </c>
      <c r="E440" s="33">
        <v>297</v>
      </c>
      <c r="F440" s="33">
        <v>263</v>
      </c>
      <c r="G440" s="33" t="s">
        <v>38</v>
      </c>
      <c r="H440" s="33" t="s">
        <v>6991</v>
      </c>
      <c r="I440" s="33" t="s">
        <v>39</v>
      </c>
      <c r="J440" s="33" t="s">
        <v>40</v>
      </c>
      <c r="K440" s="33" t="s">
        <v>41</v>
      </c>
      <c r="L440" s="33">
        <v>5</v>
      </c>
    </row>
    <row r="441" spans="1:12" s="33" customFormat="1" hidden="1" x14ac:dyDescent="0.3">
      <c r="A441" s="39">
        <v>46107.430520833332</v>
      </c>
      <c r="B441" s="33" t="s">
        <v>48</v>
      </c>
      <c r="C441" s="33">
        <v>44998685500</v>
      </c>
      <c r="E441" s="33">
        <v>618</v>
      </c>
      <c r="F441" s="33">
        <v>610</v>
      </c>
      <c r="G441" s="33" t="s">
        <v>38</v>
      </c>
      <c r="H441" s="33" t="s">
        <v>6992</v>
      </c>
      <c r="I441" s="33" t="s">
        <v>46</v>
      </c>
      <c r="J441" s="33" t="s">
        <v>40</v>
      </c>
    </row>
    <row r="442" spans="1:12" s="33" customFormat="1" hidden="1" x14ac:dyDescent="0.3">
      <c r="A442" s="39">
        <v>46107.427881944444</v>
      </c>
      <c r="B442" s="33" t="s">
        <v>48</v>
      </c>
      <c r="C442" s="33">
        <v>4435223408</v>
      </c>
      <c r="E442" s="33">
        <v>94</v>
      </c>
      <c r="F442" s="33">
        <v>76</v>
      </c>
      <c r="G442" s="33" t="s">
        <v>38</v>
      </c>
      <c r="H442" s="33" t="s">
        <v>6993</v>
      </c>
      <c r="I442" s="33" t="s">
        <v>46</v>
      </c>
      <c r="J442" s="33" t="s">
        <v>40</v>
      </c>
    </row>
    <row r="443" spans="1:12" s="33" customFormat="1" x14ac:dyDescent="0.3">
      <c r="A443" s="39">
        <v>46107.426481481481</v>
      </c>
      <c r="B443" s="33">
        <v>44997456641</v>
      </c>
      <c r="C443" s="33" t="s">
        <v>42</v>
      </c>
      <c r="D443" s="33">
        <v>4430265054</v>
      </c>
      <c r="E443" s="33">
        <v>1160</v>
      </c>
      <c r="F443" s="33">
        <v>1099</v>
      </c>
      <c r="G443" s="33" t="s">
        <v>38</v>
      </c>
      <c r="H443" s="33" t="s">
        <v>6994</v>
      </c>
      <c r="I443" s="33" t="s">
        <v>39</v>
      </c>
      <c r="J443" s="33" t="s">
        <v>40</v>
      </c>
      <c r="K443" s="33" t="s">
        <v>41</v>
      </c>
      <c r="L443" s="33">
        <v>5</v>
      </c>
    </row>
    <row r="444" spans="1:12" s="33" customFormat="1" hidden="1" x14ac:dyDescent="0.3">
      <c r="A444" s="39">
        <v>46107.423784722225</v>
      </c>
      <c r="B444" s="33">
        <v>4436281154</v>
      </c>
      <c r="C444" s="33" t="s">
        <v>45</v>
      </c>
      <c r="D444" s="33">
        <v>4430265054</v>
      </c>
      <c r="E444" s="33">
        <v>891</v>
      </c>
      <c r="F444" s="33">
        <v>849</v>
      </c>
      <c r="G444" s="33" t="s">
        <v>38</v>
      </c>
      <c r="H444" s="33" t="s">
        <v>6995</v>
      </c>
      <c r="I444" s="33" t="s">
        <v>39</v>
      </c>
      <c r="J444" s="33" t="s">
        <v>40</v>
      </c>
      <c r="K444" s="33" t="s">
        <v>41</v>
      </c>
      <c r="L444" s="33">
        <v>5</v>
      </c>
    </row>
    <row r="445" spans="1:12" s="33" customFormat="1" hidden="1" x14ac:dyDescent="0.3">
      <c r="A445" s="39">
        <v>46107.422708333332</v>
      </c>
      <c r="B445" s="33">
        <v>43999388040</v>
      </c>
      <c r="C445" s="33" t="s">
        <v>3627</v>
      </c>
      <c r="D445" s="33">
        <v>4430265054</v>
      </c>
      <c r="E445" s="33">
        <v>71</v>
      </c>
      <c r="F445" s="33">
        <v>45</v>
      </c>
      <c r="G445" s="33" t="s">
        <v>38</v>
      </c>
      <c r="H445" s="33" t="s">
        <v>6996</v>
      </c>
      <c r="I445" s="33" t="s">
        <v>39</v>
      </c>
      <c r="J445" s="33" t="s">
        <v>3629</v>
      </c>
      <c r="K445" s="33" t="s">
        <v>50</v>
      </c>
    </row>
    <row r="446" spans="1:12" s="33" customFormat="1" hidden="1" x14ac:dyDescent="0.3">
      <c r="A446" s="39">
        <v>46107.419328703705</v>
      </c>
      <c r="B446" s="33" t="s">
        <v>42</v>
      </c>
      <c r="C446" s="33">
        <v>4435223408</v>
      </c>
      <c r="E446" s="33">
        <v>73</v>
      </c>
      <c r="F446" s="33">
        <v>59</v>
      </c>
      <c r="G446" s="33" t="s">
        <v>38</v>
      </c>
      <c r="H446" s="33" t="s">
        <v>6997</v>
      </c>
      <c r="I446" s="33" t="s">
        <v>46</v>
      </c>
      <c r="J446" s="33" t="s">
        <v>40</v>
      </c>
    </row>
    <row r="447" spans="1:12" s="33" customFormat="1" hidden="1" x14ac:dyDescent="0.3">
      <c r="A447" s="39">
        <v>46107.419004629628</v>
      </c>
      <c r="B447" s="33" t="s">
        <v>42</v>
      </c>
      <c r="C447" s="33">
        <v>4435223408</v>
      </c>
      <c r="E447" s="33">
        <v>25</v>
      </c>
      <c r="F447" s="33">
        <v>10</v>
      </c>
      <c r="G447" s="33" t="s">
        <v>38</v>
      </c>
      <c r="H447" s="33" t="s">
        <v>6998</v>
      </c>
      <c r="I447" s="33" t="s">
        <v>46</v>
      </c>
      <c r="J447" s="33" t="s">
        <v>40</v>
      </c>
    </row>
    <row r="448" spans="1:12" s="33" customFormat="1" hidden="1" x14ac:dyDescent="0.3">
      <c r="A448" s="39">
        <v>46107.418854166666</v>
      </c>
      <c r="B448" s="33">
        <v>4330333542</v>
      </c>
      <c r="C448" s="33" t="s">
        <v>37</v>
      </c>
      <c r="D448" s="33">
        <v>4430265054</v>
      </c>
      <c r="E448" s="33">
        <v>1261</v>
      </c>
      <c r="F448" s="33">
        <v>1237</v>
      </c>
      <c r="G448" s="33" t="s">
        <v>38</v>
      </c>
      <c r="H448" s="33" t="s">
        <v>6999</v>
      </c>
      <c r="I448" s="33" t="s">
        <v>39</v>
      </c>
      <c r="J448" s="33" t="s">
        <v>40</v>
      </c>
      <c r="K448" s="33" t="s">
        <v>41</v>
      </c>
      <c r="L448" s="33">
        <v>5</v>
      </c>
    </row>
    <row r="449" spans="1:12" s="33" customFormat="1" hidden="1" x14ac:dyDescent="0.3">
      <c r="A449" s="39">
        <v>46107.418796296297</v>
      </c>
      <c r="B449" s="33" t="s">
        <v>42</v>
      </c>
      <c r="C449" s="33">
        <v>4435223408</v>
      </c>
      <c r="E449" s="33">
        <v>4</v>
      </c>
      <c r="F449" s="33">
        <v>0</v>
      </c>
      <c r="G449" s="33" t="s">
        <v>47</v>
      </c>
      <c r="H449" s="33" t="s">
        <v>7000</v>
      </c>
      <c r="I449" s="33" t="s">
        <v>46</v>
      </c>
      <c r="J449" s="33" t="s">
        <v>40</v>
      </c>
    </row>
    <row r="450" spans="1:12" s="33" customFormat="1" hidden="1" x14ac:dyDescent="0.3">
      <c r="A450" s="39">
        <v>46107.418368055558</v>
      </c>
      <c r="B450" s="33" t="s">
        <v>42</v>
      </c>
      <c r="C450" s="33">
        <v>4435223408</v>
      </c>
      <c r="E450" s="33">
        <v>41</v>
      </c>
      <c r="F450" s="33">
        <v>23</v>
      </c>
      <c r="G450" s="33" t="s">
        <v>38</v>
      </c>
      <c r="H450" s="33" t="s">
        <v>7001</v>
      </c>
      <c r="I450" s="33" t="s">
        <v>46</v>
      </c>
      <c r="J450" s="33" t="s">
        <v>40</v>
      </c>
    </row>
    <row r="451" spans="1:12" s="33" customFormat="1" hidden="1" x14ac:dyDescent="0.3">
      <c r="A451" s="39">
        <v>46107.417997685188</v>
      </c>
      <c r="B451" s="33">
        <v>83988398480</v>
      </c>
      <c r="C451" s="33" t="s">
        <v>44</v>
      </c>
      <c r="D451" s="33">
        <v>4430265054</v>
      </c>
      <c r="E451" s="33">
        <v>1948</v>
      </c>
      <c r="F451" s="33">
        <v>1910</v>
      </c>
      <c r="G451" s="33" t="s">
        <v>38</v>
      </c>
      <c r="H451" s="33" t="s">
        <v>7002</v>
      </c>
      <c r="I451" s="33" t="s">
        <v>39</v>
      </c>
      <c r="J451" s="33" t="s">
        <v>40</v>
      </c>
      <c r="K451" s="33" t="s">
        <v>41</v>
      </c>
    </row>
    <row r="452" spans="1:12" s="33" customFormat="1" hidden="1" x14ac:dyDescent="0.3">
      <c r="A452" s="39">
        <v>46107.415416666663</v>
      </c>
      <c r="B452" s="33">
        <v>83988398480</v>
      </c>
      <c r="C452" s="33">
        <v>4430265054</v>
      </c>
      <c r="D452" s="33">
        <v>4430265054</v>
      </c>
      <c r="E452" s="33">
        <v>1</v>
      </c>
      <c r="F452" s="33">
        <v>1</v>
      </c>
      <c r="G452" s="33" t="s">
        <v>3449</v>
      </c>
      <c r="H452" s="33" t="s">
        <v>7003</v>
      </c>
      <c r="I452" s="33" t="s">
        <v>39</v>
      </c>
      <c r="J452" s="33" t="s">
        <v>3451</v>
      </c>
    </row>
    <row r="453" spans="1:12" s="33" customFormat="1" hidden="1" x14ac:dyDescent="0.3">
      <c r="A453" s="39">
        <v>46107.415266203701</v>
      </c>
      <c r="B453" s="33">
        <v>44997734943</v>
      </c>
      <c r="C453" s="33" t="s">
        <v>45</v>
      </c>
      <c r="D453" s="33">
        <v>4430265054</v>
      </c>
      <c r="E453" s="33">
        <v>569</v>
      </c>
      <c r="F453" s="33">
        <v>488</v>
      </c>
      <c r="G453" s="33" t="s">
        <v>38</v>
      </c>
      <c r="H453" s="33" t="s">
        <v>7004</v>
      </c>
      <c r="I453" s="33" t="s">
        <v>39</v>
      </c>
      <c r="J453" s="33" t="s">
        <v>40</v>
      </c>
      <c r="K453" s="33" t="s">
        <v>41</v>
      </c>
      <c r="L453" s="33">
        <v>5</v>
      </c>
    </row>
    <row r="454" spans="1:12" s="33" customFormat="1" hidden="1" x14ac:dyDescent="0.3">
      <c r="A454" s="39">
        <v>46107.415092592593</v>
      </c>
      <c r="B454" s="33" t="s">
        <v>45</v>
      </c>
      <c r="C454" s="33">
        <v>91981481202</v>
      </c>
      <c r="E454" s="33">
        <v>76</v>
      </c>
      <c r="F454" s="33">
        <v>68</v>
      </c>
      <c r="G454" s="33" t="s">
        <v>38</v>
      </c>
      <c r="H454" s="33" t="s">
        <v>7005</v>
      </c>
      <c r="I454" s="33" t="s">
        <v>46</v>
      </c>
      <c r="J454" s="33" t="s">
        <v>40</v>
      </c>
    </row>
    <row r="455" spans="1:12" s="33" customFormat="1" hidden="1" x14ac:dyDescent="0.3">
      <c r="A455" s="39">
        <v>46107.414363425924</v>
      </c>
      <c r="B455" s="33">
        <v>44997734943</v>
      </c>
      <c r="C455" s="33" t="s">
        <v>42</v>
      </c>
      <c r="D455" s="33">
        <v>4430265054</v>
      </c>
      <c r="E455" s="33">
        <v>48</v>
      </c>
      <c r="F455" s="33">
        <v>25</v>
      </c>
      <c r="G455" s="33" t="s">
        <v>38</v>
      </c>
      <c r="H455" s="33" t="s">
        <v>7006</v>
      </c>
      <c r="I455" s="33" t="s">
        <v>39</v>
      </c>
      <c r="J455" s="33" t="s">
        <v>40</v>
      </c>
      <c r="K455" s="33" t="s">
        <v>41</v>
      </c>
    </row>
    <row r="456" spans="1:12" s="33" customFormat="1" hidden="1" x14ac:dyDescent="0.3">
      <c r="A456" s="39">
        <v>46107.411805555559</v>
      </c>
      <c r="B456" s="33">
        <v>4436351414</v>
      </c>
      <c r="C456" s="33" t="s">
        <v>37</v>
      </c>
      <c r="D456" s="33">
        <v>4430265054</v>
      </c>
      <c r="E456" s="33">
        <v>199</v>
      </c>
      <c r="F456" s="33">
        <v>121</v>
      </c>
      <c r="G456" s="33" t="s">
        <v>38</v>
      </c>
      <c r="H456" s="33" t="s">
        <v>7007</v>
      </c>
      <c r="I456" s="33" t="s">
        <v>39</v>
      </c>
      <c r="J456" s="33" t="s">
        <v>40</v>
      </c>
      <c r="K456" s="33" t="s">
        <v>41</v>
      </c>
      <c r="L456" s="33">
        <v>5</v>
      </c>
    </row>
    <row r="457" spans="1:12" s="33" customFormat="1" hidden="1" x14ac:dyDescent="0.3">
      <c r="A457" s="39">
        <v>46107.411550925928</v>
      </c>
      <c r="B457" s="33" t="s">
        <v>3627</v>
      </c>
      <c r="C457" s="33">
        <v>37998196421</v>
      </c>
      <c r="E457" s="33">
        <v>171</v>
      </c>
      <c r="F457" s="33">
        <v>161</v>
      </c>
      <c r="G457" s="33" t="s">
        <v>38</v>
      </c>
      <c r="H457" s="33" t="s">
        <v>7008</v>
      </c>
      <c r="I457" s="33" t="s">
        <v>46</v>
      </c>
      <c r="J457" s="33" t="s">
        <v>3629</v>
      </c>
    </row>
    <row r="458" spans="1:12" s="33" customFormat="1" hidden="1" x14ac:dyDescent="0.3">
      <c r="A458" s="39">
        <v>46107.410752314812</v>
      </c>
      <c r="B458" s="33" t="s">
        <v>3627</v>
      </c>
      <c r="C458" s="33">
        <v>37998196421</v>
      </c>
      <c r="E458" s="33">
        <v>59</v>
      </c>
      <c r="F458" s="33">
        <v>37</v>
      </c>
      <c r="G458" s="33" t="s">
        <v>38</v>
      </c>
      <c r="H458" s="33" t="s">
        <v>7009</v>
      </c>
      <c r="I458" s="33" t="s">
        <v>46</v>
      </c>
      <c r="J458" s="33" t="s">
        <v>3629</v>
      </c>
    </row>
    <row r="459" spans="1:12" s="33" customFormat="1" hidden="1" x14ac:dyDescent="0.3">
      <c r="A459" s="39">
        <v>46107.409444444442</v>
      </c>
      <c r="B459" s="33">
        <v>4432269849</v>
      </c>
      <c r="C459" s="33" t="s">
        <v>44</v>
      </c>
      <c r="D459" s="33">
        <v>4430265054</v>
      </c>
      <c r="E459" s="33">
        <v>424</v>
      </c>
      <c r="F459" s="33">
        <v>361</v>
      </c>
      <c r="G459" s="33" t="s">
        <v>38</v>
      </c>
      <c r="H459" s="33" t="s">
        <v>7010</v>
      </c>
      <c r="I459" s="33" t="s">
        <v>39</v>
      </c>
      <c r="J459" s="33" t="s">
        <v>40</v>
      </c>
      <c r="K459" s="33" t="s">
        <v>41</v>
      </c>
    </row>
    <row r="460" spans="1:12" s="33" customFormat="1" hidden="1" x14ac:dyDescent="0.3">
      <c r="A460" s="39">
        <v>46107.409108796295</v>
      </c>
      <c r="B460" s="33" t="s">
        <v>48</v>
      </c>
      <c r="C460" s="33">
        <v>4430315826</v>
      </c>
      <c r="E460" s="33">
        <v>965</v>
      </c>
      <c r="F460" s="33">
        <v>952</v>
      </c>
      <c r="G460" s="33" t="s">
        <v>38</v>
      </c>
      <c r="H460" s="33" t="s">
        <v>7011</v>
      </c>
      <c r="I460" s="33" t="s">
        <v>46</v>
      </c>
      <c r="J460" s="33" t="s">
        <v>40</v>
      </c>
    </row>
    <row r="461" spans="1:12" s="33" customFormat="1" hidden="1" x14ac:dyDescent="0.3">
      <c r="A461" s="39">
        <v>46107.409074074072</v>
      </c>
      <c r="B461" s="33" t="s">
        <v>48</v>
      </c>
      <c r="C461" s="33">
        <v>4430315826</v>
      </c>
      <c r="E461" s="33">
        <v>2</v>
      </c>
      <c r="F461" s="33">
        <v>0</v>
      </c>
      <c r="G461" s="33" t="s">
        <v>47</v>
      </c>
      <c r="H461" s="33" t="s">
        <v>7012</v>
      </c>
      <c r="I461" s="33" t="s">
        <v>46</v>
      </c>
      <c r="J461" s="33" t="s">
        <v>40</v>
      </c>
    </row>
    <row r="462" spans="1:12" s="33" customFormat="1" hidden="1" x14ac:dyDescent="0.3">
      <c r="A462" s="39">
        <v>46107.407592592594</v>
      </c>
      <c r="B462" s="33">
        <v>11947305533</v>
      </c>
      <c r="C462" s="33" t="s">
        <v>43</v>
      </c>
      <c r="D462" s="33">
        <v>4430265054</v>
      </c>
      <c r="E462" s="33">
        <v>599</v>
      </c>
      <c r="F462" s="33">
        <v>543</v>
      </c>
      <c r="G462" s="33" t="s">
        <v>38</v>
      </c>
      <c r="H462" s="33" t="s">
        <v>7013</v>
      </c>
      <c r="I462" s="33" t="s">
        <v>39</v>
      </c>
      <c r="J462" s="33" t="s">
        <v>40</v>
      </c>
      <c r="K462" s="33" t="s">
        <v>41</v>
      </c>
    </row>
    <row r="463" spans="1:12" s="33" customFormat="1" hidden="1" x14ac:dyDescent="0.3">
      <c r="A463" s="39">
        <v>46107.407060185185</v>
      </c>
      <c r="B463" s="33" t="s">
        <v>48</v>
      </c>
      <c r="C463" s="33">
        <v>4435312137</v>
      </c>
      <c r="E463" s="33">
        <v>54</v>
      </c>
      <c r="F463" s="33">
        <v>0</v>
      </c>
      <c r="G463" s="33" t="s">
        <v>47</v>
      </c>
      <c r="H463" s="33" t="s">
        <v>7014</v>
      </c>
      <c r="I463" s="33" t="s">
        <v>46</v>
      </c>
      <c r="J463" s="33" t="s">
        <v>40</v>
      </c>
    </row>
    <row r="464" spans="1:12" s="33" customFormat="1" hidden="1" x14ac:dyDescent="0.3">
      <c r="A464" s="39">
        <v>46107.406840277778</v>
      </c>
      <c r="B464" s="33" t="s">
        <v>48</v>
      </c>
      <c r="C464" s="33">
        <v>44997400641</v>
      </c>
      <c r="E464" s="33">
        <v>15</v>
      </c>
      <c r="F464" s="33">
        <v>0</v>
      </c>
      <c r="G464" s="33" t="s">
        <v>47</v>
      </c>
      <c r="H464" s="33" t="s">
        <v>7015</v>
      </c>
      <c r="I464" s="33" t="s">
        <v>46</v>
      </c>
      <c r="J464" s="33" t="s">
        <v>40</v>
      </c>
    </row>
    <row r="465" spans="1:11" s="33" customFormat="1" hidden="1" x14ac:dyDescent="0.3">
      <c r="A465" s="39">
        <v>46107.40457175926</v>
      </c>
      <c r="B465" s="33">
        <v>1128787060</v>
      </c>
      <c r="C465" s="33" t="s">
        <v>45</v>
      </c>
      <c r="D465" s="33">
        <v>4430265054</v>
      </c>
      <c r="E465" s="33">
        <v>344</v>
      </c>
      <c r="F465" s="33">
        <v>322</v>
      </c>
      <c r="G465" s="33" t="s">
        <v>38</v>
      </c>
      <c r="H465" s="33" t="s">
        <v>7016</v>
      </c>
      <c r="I465" s="33" t="s">
        <v>39</v>
      </c>
      <c r="J465" s="33" t="s">
        <v>40</v>
      </c>
      <c r="K465" s="33" t="s">
        <v>41</v>
      </c>
    </row>
    <row r="466" spans="1:11" s="33" customFormat="1" hidden="1" x14ac:dyDescent="0.3">
      <c r="A466" s="39">
        <v>46107.401956018519</v>
      </c>
      <c r="B466" s="33" t="s">
        <v>48</v>
      </c>
      <c r="C466" s="33">
        <v>4436249360</v>
      </c>
      <c r="E466" s="33">
        <v>146</v>
      </c>
      <c r="F466" s="33">
        <v>136</v>
      </c>
      <c r="G466" s="33" t="s">
        <v>38</v>
      </c>
      <c r="H466" s="33" t="s">
        <v>7017</v>
      </c>
      <c r="I466" s="33" t="s">
        <v>46</v>
      </c>
      <c r="J466" s="33" t="s">
        <v>40</v>
      </c>
    </row>
    <row r="467" spans="1:11" s="33" customFormat="1" hidden="1" x14ac:dyDescent="0.3">
      <c r="A467" s="39">
        <v>46107.40084490741</v>
      </c>
      <c r="B467" s="33">
        <v>4432322192</v>
      </c>
      <c r="C467" s="33" t="s">
        <v>43</v>
      </c>
      <c r="D467" s="33">
        <v>4430265054</v>
      </c>
      <c r="E467" s="33">
        <v>206</v>
      </c>
      <c r="F467" s="33">
        <v>137</v>
      </c>
      <c r="G467" s="33" t="s">
        <v>38</v>
      </c>
      <c r="H467" s="33" t="s">
        <v>7018</v>
      </c>
      <c r="I467" s="33" t="s">
        <v>39</v>
      </c>
      <c r="J467" s="33" t="s">
        <v>40</v>
      </c>
      <c r="K467" s="33" t="s">
        <v>41</v>
      </c>
    </row>
    <row r="468" spans="1:11" s="33" customFormat="1" hidden="1" x14ac:dyDescent="0.3">
      <c r="A468" s="39">
        <v>46107.399375000001</v>
      </c>
      <c r="B468" s="33">
        <v>4432322192</v>
      </c>
      <c r="C468" s="33" t="s">
        <v>43</v>
      </c>
      <c r="D468" s="33">
        <v>4430265054</v>
      </c>
      <c r="E468" s="33">
        <v>69</v>
      </c>
      <c r="F468" s="33">
        <v>18</v>
      </c>
      <c r="G468" s="33" t="s">
        <v>38</v>
      </c>
      <c r="H468" s="33" t="s">
        <v>7019</v>
      </c>
      <c r="I468" s="33" t="s">
        <v>39</v>
      </c>
      <c r="J468" s="33" t="s">
        <v>40</v>
      </c>
      <c r="K468" s="33" t="s">
        <v>41</v>
      </c>
    </row>
    <row r="469" spans="1:11" s="33" customFormat="1" hidden="1" x14ac:dyDescent="0.3">
      <c r="A469" s="39">
        <v>46107.395277777781</v>
      </c>
      <c r="B469" s="33">
        <v>44999211093</v>
      </c>
      <c r="C469" s="33" t="s">
        <v>43</v>
      </c>
      <c r="D469" s="33">
        <v>4430265054</v>
      </c>
      <c r="E469" s="33">
        <v>232</v>
      </c>
      <c r="F469" s="33">
        <v>211</v>
      </c>
      <c r="G469" s="33" t="s">
        <v>38</v>
      </c>
      <c r="H469" s="33" t="s">
        <v>7020</v>
      </c>
      <c r="I469" s="33" t="s">
        <v>39</v>
      </c>
      <c r="J469" s="33" t="s">
        <v>40</v>
      </c>
      <c r="K469" s="33" t="s">
        <v>41</v>
      </c>
    </row>
    <row r="470" spans="1:11" s="33" customFormat="1" hidden="1" x14ac:dyDescent="0.3">
      <c r="A470" s="39">
        <v>46107.395057870373</v>
      </c>
      <c r="B470" s="33">
        <v>4436751451</v>
      </c>
      <c r="C470" s="33">
        <v>4430265054</v>
      </c>
      <c r="D470" s="33">
        <v>4430265054</v>
      </c>
      <c r="E470" s="33">
        <v>2</v>
      </c>
      <c r="F470" s="33">
        <v>1</v>
      </c>
      <c r="G470" s="33" t="s">
        <v>3449</v>
      </c>
      <c r="H470" s="33" t="s">
        <v>7021</v>
      </c>
      <c r="I470" s="33" t="s">
        <v>39</v>
      </c>
      <c r="J470" s="33" t="s">
        <v>3451</v>
      </c>
    </row>
    <row r="471" spans="1:11" s="33" customFormat="1" hidden="1" x14ac:dyDescent="0.3">
      <c r="A471" s="39">
        <v>46107.394606481481</v>
      </c>
      <c r="B471" s="33">
        <v>44999211093</v>
      </c>
      <c r="C471" s="33">
        <v>4430265054</v>
      </c>
      <c r="D471" s="33">
        <v>4430265054</v>
      </c>
      <c r="E471" s="33">
        <v>16</v>
      </c>
      <c r="F471" s="33">
        <v>16</v>
      </c>
      <c r="G471" s="33" t="s">
        <v>3449</v>
      </c>
      <c r="H471" s="33" t="s">
        <v>7022</v>
      </c>
      <c r="I471" s="33" t="s">
        <v>39</v>
      </c>
      <c r="J471" s="33" t="s">
        <v>3451</v>
      </c>
    </row>
    <row r="472" spans="1:11" s="33" customFormat="1" hidden="1" x14ac:dyDescent="0.3">
      <c r="A472" s="39">
        <v>46107.394270833334</v>
      </c>
      <c r="B472" s="33">
        <v>83988398480</v>
      </c>
      <c r="C472" s="33" t="s">
        <v>45</v>
      </c>
      <c r="D472" s="33">
        <v>4430265054</v>
      </c>
      <c r="E472" s="33">
        <v>475</v>
      </c>
      <c r="F472" s="33">
        <v>457</v>
      </c>
      <c r="G472" s="33" t="s">
        <v>38</v>
      </c>
      <c r="H472" s="33" t="s">
        <v>7023</v>
      </c>
      <c r="I472" s="33" t="s">
        <v>39</v>
      </c>
      <c r="J472" s="33" t="s">
        <v>40</v>
      </c>
      <c r="K472" s="33" t="s">
        <v>41</v>
      </c>
    </row>
    <row r="473" spans="1:11" s="33" customFormat="1" hidden="1" x14ac:dyDescent="0.3">
      <c r="A473" s="39">
        <v>46107.388043981482</v>
      </c>
      <c r="B473" s="33" t="s">
        <v>42</v>
      </c>
      <c r="C473" s="33">
        <v>4432541200</v>
      </c>
      <c r="E473" s="33">
        <v>79</v>
      </c>
      <c r="F473" s="33">
        <v>75</v>
      </c>
      <c r="G473" s="33" t="s">
        <v>38</v>
      </c>
      <c r="H473" s="33" t="s">
        <v>7024</v>
      </c>
      <c r="I473" s="33" t="s">
        <v>46</v>
      </c>
      <c r="J473" s="33" t="s">
        <v>40</v>
      </c>
    </row>
    <row r="474" spans="1:11" s="33" customFormat="1" hidden="1" x14ac:dyDescent="0.3">
      <c r="A474" s="39">
        <v>46107.388009259259</v>
      </c>
      <c r="B474" s="33" t="s">
        <v>42</v>
      </c>
      <c r="C474" s="33">
        <v>4432541200</v>
      </c>
      <c r="E474" s="33">
        <v>1</v>
      </c>
      <c r="F474" s="33">
        <v>0</v>
      </c>
      <c r="G474" s="33" t="s">
        <v>47</v>
      </c>
      <c r="H474" s="33" t="s">
        <v>7025</v>
      </c>
      <c r="I474" s="33" t="s">
        <v>46</v>
      </c>
      <c r="J474" s="33" t="s">
        <v>40</v>
      </c>
    </row>
    <row r="475" spans="1:11" s="33" customFormat="1" hidden="1" x14ac:dyDescent="0.3">
      <c r="A475" s="39">
        <v>46107.387349537035</v>
      </c>
      <c r="B475" s="33" t="s">
        <v>42</v>
      </c>
      <c r="C475" s="33">
        <v>4432541200</v>
      </c>
      <c r="E475" s="33">
        <v>55</v>
      </c>
      <c r="F475" s="33">
        <v>12</v>
      </c>
      <c r="G475" s="33" t="s">
        <v>38</v>
      </c>
      <c r="H475" s="33" t="s">
        <v>7026</v>
      </c>
      <c r="I475" s="33" t="s">
        <v>46</v>
      </c>
      <c r="J475" s="33" t="s">
        <v>40</v>
      </c>
    </row>
    <row r="476" spans="1:11" s="33" customFormat="1" hidden="1" x14ac:dyDescent="0.3">
      <c r="A476" s="39">
        <v>46107.387141203704</v>
      </c>
      <c r="B476" s="33" t="s">
        <v>42</v>
      </c>
      <c r="C476" s="33">
        <v>4432541200</v>
      </c>
      <c r="E476" s="33">
        <v>42</v>
      </c>
      <c r="F476" s="33">
        <v>37</v>
      </c>
      <c r="G476" s="33" t="s">
        <v>38</v>
      </c>
      <c r="H476" s="33" t="s">
        <v>7027</v>
      </c>
      <c r="I476" s="33" t="s">
        <v>46</v>
      </c>
      <c r="J476" s="33" t="s">
        <v>40</v>
      </c>
    </row>
    <row r="477" spans="1:11" s="33" customFormat="1" hidden="1" x14ac:dyDescent="0.3">
      <c r="A477" s="39">
        <v>46107.387025462966</v>
      </c>
      <c r="B477" s="33" t="s">
        <v>42</v>
      </c>
      <c r="C477" s="33">
        <v>4432541200</v>
      </c>
      <c r="E477" s="33">
        <v>6</v>
      </c>
      <c r="F477" s="33">
        <v>0</v>
      </c>
      <c r="G477" s="33" t="s">
        <v>47</v>
      </c>
      <c r="H477" s="33" t="s">
        <v>7028</v>
      </c>
      <c r="I477" s="33" t="s">
        <v>46</v>
      </c>
      <c r="J477" s="33" t="s">
        <v>40</v>
      </c>
    </row>
    <row r="478" spans="1:11" s="33" customFormat="1" hidden="1" x14ac:dyDescent="0.3">
      <c r="A478" s="39">
        <v>46107.384247685186</v>
      </c>
      <c r="B478" s="33">
        <v>83988398480</v>
      </c>
      <c r="C478" s="33" t="s">
        <v>44</v>
      </c>
      <c r="D478" s="33">
        <v>4430265054</v>
      </c>
      <c r="E478" s="33">
        <v>351</v>
      </c>
      <c r="F478" s="33">
        <v>300</v>
      </c>
      <c r="G478" s="33" t="s">
        <v>38</v>
      </c>
      <c r="H478" s="33" t="s">
        <v>7029</v>
      </c>
      <c r="I478" s="33" t="s">
        <v>39</v>
      </c>
      <c r="J478" s="33" t="s">
        <v>40</v>
      </c>
      <c r="K478" s="33" t="s">
        <v>41</v>
      </c>
    </row>
    <row r="479" spans="1:11" s="33" customFormat="1" hidden="1" x14ac:dyDescent="0.3">
      <c r="A479" s="39">
        <v>46107.382002314815</v>
      </c>
      <c r="B479" s="33" t="s">
        <v>45</v>
      </c>
      <c r="C479" s="33">
        <v>44997687156</v>
      </c>
      <c r="E479" s="33">
        <v>104</v>
      </c>
      <c r="F479" s="33">
        <v>94</v>
      </c>
      <c r="G479" s="33" t="s">
        <v>38</v>
      </c>
      <c r="H479" s="33" t="s">
        <v>7030</v>
      </c>
      <c r="I479" s="33" t="s">
        <v>46</v>
      </c>
      <c r="J479" s="33" t="s">
        <v>40</v>
      </c>
    </row>
    <row r="480" spans="1:11" s="33" customFormat="1" hidden="1" x14ac:dyDescent="0.3">
      <c r="A480" s="39">
        <v>46107.378425925926</v>
      </c>
      <c r="B480" s="33" t="s">
        <v>48</v>
      </c>
      <c r="C480" s="33">
        <v>4435252515</v>
      </c>
      <c r="E480" s="33">
        <v>1</v>
      </c>
      <c r="F480" s="33">
        <v>0</v>
      </c>
      <c r="G480" s="33" t="s">
        <v>47</v>
      </c>
      <c r="H480" s="33" t="s">
        <v>7031</v>
      </c>
      <c r="I480" s="33" t="s">
        <v>46</v>
      </c>
      <c r="J480" s="33" t="s">
        <v>40</v>
      </c>
    </row>
    <row r="481" spans="1:12" s="33" customFormat="1" hidden="1" x14ac:dyDescent="0.3">
      <c r="A481" s="39">
        <v>46107.378321759257</v>
      </c>
      <c r="B481" s="33" t="s">
        <v>48</v>
      </c>
      <c r="C481" s="33">
        <v>4435252515</v>
      </c>
      <c r="E481" s="33">
        <v>3</v>
      </c>
      <c r="F481" s="33">
        <v>0</v>
      </c>
      <c r="G481" s="33" t="s">
        <v>47</v>
      </c>
      <c r="H481" s="33" t="s">
        <v>7032</v>
      </c>
      <c r="I481" s="33" t="s">
        <v>46</v>
      </c>
      <c r="J481" s="33" t="s">
        <v>40</v>
      </c>
    </row>
    <row r="482" spans="1:12" s="33" customFormat="1" hidden="1" x14ac:dyDescent="0.3">
      <c r="A482" s="39">
        <v>46107.378171296295</v>
      </c>
      <c r="B482" s="33" t="s">
        <v>48</v>
      </c>
      <c r="C482" s="33">
        <v>4435252515</v>
      </c>
      <c r="E482" s="33">
        <v>1</v>
      </c>
      <c r="F482" s="33">
        <v>0</v>
      </c>
      <c r="G482" s="33" t="s">
        <v>47</v>
      </c>
      <c r="H482" s="33" t="s">
        <v>7033</v>
      </c>
      <c r="I482" s="33" t="s">
        <v>46</v>
      </c>
      <c r="J482" s="33" t="s">
        <v>40</v>
      </c>
    </row>
    <row r="483" spans="1:12" s="33" customFormat="1" hidden="1" x14ac:dyDescent="0.3">
      <c r="A483" s="39">
        <v>46107.378113425926</v>
      </c>
      <c r="B483" s="33" t="s">
        <v>48</v>
      </c>
      <c r="C483" s="33">
        <v>4435252515</v>
      </c>
      <c r="E483" s="33">
        <v>2</v>
      </c>
      <c r="F483" s="33">
        <v>0</v>
      </c>
      <c r="G483" s="33" t="s">
        <v>47</v>
      </c>
      <c r="H483" s="33" t="s">
        <v>7034</v>
      </c>
      <c r="I483" s="33" t="s">
        <v>46</v>
      </c>
      <c r="J483" s="33" t="s">
        <v>40</v>
      </c>
    </row>
    <row r="484" spans="1:12" s="33" customFormat="1" hidden="1" x14ac:dyDescent="0.3">
      <c r="A484" s="39">
        <v>46107.378078703703</v>
      </c>
      <c r="B484" s="33" t="s">
        <v>48</v>
      </c>
      <c r="C484" s="33">
        <v>4430175515</v>
      </c>
      <c r="E484" s="33">
        <v>1</v>
      </c>
      <c r="F484" s="33">
        <v>0</v>
      </c>
      <c r="G484" s="33" t="s">
        <v>47</v>
      </c>
      <c r="H484" s="33" t="s">
        <v>7035</v>
      </c>
      <c r="I484" s="33" t="s">
        <v>46</v>
      </c>
      <c r="J484" s="33" t="s">
        <v>40</v>
      </c>
    </row>
    <row r="485" spans="1:12" s="33" customFormat="1" hidden="1" x14ac:dyDescent="0.3">
      <c r="A485" s="39">
        <v>46107.37804398148</v>
      </c>
      <c r="B485" s="33" t="s">
        <v>48</v>
      </c>
      <c r="C485" s="33">
        <v>4430175515</v>
      </c>
      <c r="E485" s="33">
        <v>1</v>
      </c>
      <c r="F485" s="33">
        <v>0</v>
      </c>
      <c r="G485" s="33" t="s">
        <v>47</v>
      </c>
      <c r="H485" s="33" t="s">
        <v>7036</v>
      </c>
      <c r="I485" s="33" t="s">
        <v>46</v>
      </c>
      <c r="J485" s="33" t="s">
        <v>40</v>
      </c>
    </row>
    <row r="486" spans="1:12" s="33" customFormat="1" hidden="1" x14ac:dyDescent="0.3">
      <c r="A486" s="39">
        <v>46107.377997685187</v>
      </c>
      <c r="B486" s="33" t="s">
        <v>48</v>
      </c>
      <c r="C486" s="33">
        <v>4430175515</v>
      </c>
      <c r="E486" s="33">
        <v>2</v>
      </c>
      <c r="F486" s="33">
        <v>0</v>
      </c>
      <c r="G486" s="33" t="s">
        <v>47</v>
      </c>
      <c r="H486" s="33" t="s">
        <v>7037</v>
      </c>
      <c r="I486" s="33" t="s">
        <v>46</v>
      </c>
      <c r="J486" s="33" t="s">
        <v>40</v>
      </c>
    </row>
    <row r="487" spans="1:12" s="33" customFormat="1" hidden="1" x14ac:dyDescent="0.3">
      <c r="A487" s="39">
        <v>46107.375613425924</v>
      </c>
      <c r="B487" s="33">
        <v>44998107650</v>
      </c>
      <c r="C487" s="33" t="s">
        <v>44</v>
      </c>
      <c r="D487" s="33">
        <v>4431268225</v>
      </c>
      <c r="E487" s="33">
        <v>442</v>
      </c>
      <c r="F487" s="33">
        <v>407</v>
      </c>
      <c r="G487" s="33" t="s">
        <v>38</v>
      </c>
      <c r="H487" s="33" t="s">
        <v>7038</v>
      </c>
      <c r="I487" s="33" t="s">
        <v>39</v>
      </c>
      <c r="J487" s="33" t="s">
        <v>40</v>
      </c>
      <c r="K487" s="33" t="s">
        <v>41</v>
      </c>
      <c r="L487" s="33">
        <v>5</v>
      </c>
    </row>
    <row r="488" spans="1:12" s="33" customFormat="1" hidden="1" x14ac:dyDescent="0.3">
      <c r="A488" s="39">
        <v>46107.374872685185</v>
      </c>
      <c r="B488" s="33" t="s">
        <v>48</v>
      </c>
      <c r="C488" s="33">
        <v>44991149822</v>
      </c>
      <c r="E488" s="33">
        <v>204</v>
      </c>
      <c r="F488" s="33">
        <v>193</v>
      </c>
      <c r="G488" s="33" t="s">
        <v>38</v>
      </c>
      <c r="H488" s="33" t="s">
        <v>7039</v>
      </c>
      <c r="I488" s="33" t="s">
        <v>46</v>
      </c>
      <c r="J488" s="33" t="s">
        <v>40</v>
      </c>
    </row>
    <row r="489" spans="1:12" s="33" customFormat="1" hidden="1" x14ac:dyDescent="0.3">
      <c r="A489" s="39">
        <v>46107.371979166666</v>
      </c>
      <c r="B489" s="33" t="s">
        <v>45</v>
      </c>
      <c r="C489" s="33">
        <v>11964449514</v>
      </c>
      <c r="E489" s="33">
        <v>72</v>
      </c>
      <c r="F489" s="33">
        <v>35</v>
      </c>
      <c r="G489" s="33" t="s">
        <v>38</v>
      </c>
      <c r="H489" s="33" t="s">
        <v>7040</v>
      </c>
      <c r="I489" s="33" t="s">
        <v>46</v>
      </c>
      <c r="J489" s="33" t="s">
        <v>40</v>
      </c>
    </row>
    <row r="490" spans="1:12" s="33" customFormat="1" hidden="1" x14ac:dyDescent="0.3">
      <c r="A490" s="39">
        <v>46107.371817129628</v>
      </c>
      <c r="B490" s="33">
        <v>44997749003</v>
      </c>
      <c r="C490" s="33" t="s">
        <v>37</v>
      </c>
      <c r="D490" s="33">
        <v>4430265054</v>
      </c>
      <c r="E490" s="33">
        <v>244</v>
      </c>
      <c r="F490" s="33">
        <v>218</v>
      </c>
      <c r="G490" s="33" t="s">
        <v>38</v>
      </c>
      <c r="H490" s="33" t="s">
        <v>7041</v>
      </c>
      <c r="I490" s="33" t="s">
        <v>39</v>
      </c>
      <c r="J490" s="33" t="s">
        <v>40</v>
      </c>
      <c r="K490" s="33" t="s">
        <v>41</v>
      </c>
    </row>
    <row r="491" spans="1:12" s="33" customFormat="1" hidden="1" x14ac:dyDescent="0.3">
      <c r="A491" s="39">
        <v>46107.360185185185</v>
      </c>
      <c r="B491" s="33">
        <v>4432541143</v>
      </c>
      <c r="C491" s="33" t="s">
        <v>37</v>
      </c>
      <c r="D491" s="33">
        <v>4430265054</v>
      </c>
      <c r="E491" s="33">
        <v>82</v>
      </c>
      <c r="F491" s="33">
        <v>22</v>
      </c>
      <c r="G491" s="33" t="s">
        <v>38</v>
      </c>
      <c r="H491" s="33" t="s">
        <v>7042</v>
      </c>
      <c r="I491" s="33" t="s">
        <v>39</v>
      </c>
      <c r="J491" s="33" t="s">
        <v>40</v>
      </c>
      <c r="K491" s="33" t="s">
        <v>41</v>
      </c>
    </row>
    <row r="492" spans="1:12" s="33" customFormat="1" hidden="1" x14ac:dyDescent="0.3">
      <c r="A492" s="39">
        <v>46107.359050925923</v>
      </c>
      <c r="B492" s="33">
        <v>4432541200</v>
      </c>
      <c r="C492" s="33" t="s">
        <v>37</v>
      </c>
      <c r="D492" s="33">
        <v>4430265054</v>
      </c>
      <c r="E492" s="33">
        <v>70</v>
      </c>
      <c r="F492" s="33">
        <v>16</v>
      </c>
      <c r="G492" s="33" t="s">
        <v>38</v>
      </c>
      <c r="H492" s="33" t="s">
        <v>7043</v>
      </c>
      <c r="I492" s="33" t="s">
        <v>39</v>
      </c>
      <c r="J492" s="33" t="s">
        <v>40</v>
      </c>
      <c r="K492" s="33" t="s">
        <v>41</v>
      </c>
    </row>
    <row r="493" spans="1:12" s="33" customFormat="1" hidden="1" x14ac:dyDescent="0.3">
      <c r="A493" s="39">
        <v>46107.357766203706</v>
      </c>
      <c r="B493" s="33">
        <v>4432541143</v>
      </c>
      <c r="C493" s="33" t="s">
        <v>44</v>
      </c>
      <c r="D493" s="33">
        <v>4430265054</v>
      </c>
      <c r="E493" s="33">
        <v>67</v>
      </c>
      <c r="F493" s="33">
        <v>15</v>
      </c>
      <c r="G493" s="33" t="s">
        <v>38</v>
      </c>
      <c r="H493" s="33" t="s">
        <v>7044</v>
      </c>
      <c r="I493" s="33" t="s">
        <v>39</v>
      </c>
      <c r="J493" s="33" t="s">
        <v>40</v>
      </c>
      <c r="K493" s="33" t="s">
        <v>41</v>
      </c>
    </row>
    <row r="494" spans="1:12" s="33" customFormat="1" hidden="1" x14ac:dyDescent="0.3">
      <c r="A494" s="39">
        <v>46107.356481481482</v>
      </c>
      <c r="B494" s="33">
        <v>4432541200</v>
      </c>
      <c r="C494" s="33" t="s">
        <v>44</v>
      </c>
      <c r="D494" s="33">
        <v>4430265054</v>
      </c>
      <c r="E494" s="33">
        <v>98</v>
      </c>
      <c r="F494" s="33">
        <v>24</v>
      </c>
      <c r="G494" s="33" t="s">
        <v>38</v>
      </c>
      <c r="H494" s="33" t="s">
        <v>7045</v>
      </c>
      <c r="I494" s="33" t="s">
        <v>39</v>
      </c>
      <c r="J494" s="33" t="s">
        <v>40</v>
      </c>
      <c r="K494" s="33" t="s">
        <v>41</v>
      </c>
    </row>
    <row r="495" spans="1:12" s="33" customFormat="1" hidden="1" x14ac:dyDescent="0.3">
      <c r="A495" s="39">
        <v>46107.356469907405</v>
      </c>
      <c r="B495" s="33" t="s">
        <v>42</v>
      </c>
      <c r="C495" s="33">
        <v>44999647912</v>
      </c>
      <c r="E495" s="33">
        <v>2489</v>
      </c>
      <c r="F495" s="33">
        <v>2467</v>
      </c>
      <c r="G495" s="33" t="s">
        <v>38</v>
      </c>
      <c r="H495" s="33" t="s">
        <v>7046</v>
      </c>
      <c r="I495" s="33" t="s">
        <v>46</v>
      </c>
      <c r="J495" s="33" t="s">
        <v>40</v>
      </c>
      <c r="L495" s="33">
        <v>5</v>
      </c>
    </row>
    <row r="496" spans="1:12" s="33" customFormat="1" hidden="1" x14ac:dyDescent="0.3">
      <c r="A496" s="39">
        <v>46107.356145833335</v>
      </c>
      <c r="B496" s="33">
        <v>44997687156</v>
      </c>
      <c r="C496" s="33" t="s">
        <v>45</v>
      </c>
      <c r="D496" s="33">
        <v>4430265054</v>
      </c>
      <c r="E496" s="33">
        <v>878</v>
      </c>
      <c r="F496" s="33">
        <v>819</v>
      </c>
      <c r="G496" s="33" t="s">
        <v>38</v>
      </c>
      <c r="H496" s="33" t="s">
        <v>7047</v>
      </c>
      <c r="I496" s="33" t="s">
        <v>39</v>
      </c>
      <c r="J496" s="33" t="s">
        <v>40</v>
      </c>
      <c r="K496" s="33" t="s">
        <v>41</v>
      </c>
      <c r="L496" s="33">
        <v>5</v>
      </c>
    </row>
    <row r="497" spans="1:12" s="33" customFormat="1" hidden="1" x14ac:dyDescent="0.3">
      <c r="A497" s="39">
        <v>46107.352164351854</v>
      </c>
      <c r="B497" s="33" t="s">
        <v>3627</v>
      </c>
      <c r="C497" s="33">
        <v>42998373210</v>
      </c>
      <c r="E497" s="33">
        <v>206</v>
      </c>
      <c r="F497" s="33">
        <v>198</v>
      </c>
      <c r="G497" s="33" t="s">
        <v>38</v>
      </c>
      <c r="H497" s="33" t="s">
        <v>7048</v>
      </c>
      <c r="I497" s="33" t="s">
        <v>46</v>
      </c>
      <c r="J497" s="33" t="s">
        <v>3629</v>
      </c>
    </row>
    <row r="498" spans="1:12" s="33" customFormat="1" hidden="1" x14ac:dyDescent="0.3">
      <c r="A498" s="39">
        <v>46107.351689814815</v>
      </c>
      <c r="B498" s="33" t="s">
        <v>3627</v>
      </c>
      <c r="C498" s="33">
        <v>42998373210</v>
      </c>
      <c r="E498" s="33">
        <v>38</v>
      </c>
      <c r="F498" s="33">
        <v>2</v>
      </c>
      <c r="G498" s="33" t="s">
        <v>38</v>
      </c>
      <c r="H498" s="33" t="s">
        <v>7049</v>
      </c>
      <c r="I498" s="33" t="s">
        <v>46</v>
      </c>
      <c r="J498" s="33" t="s">
        <v>3629</v>
      </c>
    </row>
    <row r="499" spans="1:12" s="33" customFormat="1" hidden="1" x14ac:dyDescent="0.3">
      <c r="A499" s="39">
        <v>46107.347071759257</v>
      </c>
      <c r="B499" s="33">
        <v>44997687156</v>
      </c>
      <c r="C499" s="33">
        <v>4430265054</v>
      </c>
      <c r="D499" s="33">
        <v>4430265054</v>
      </c>
      <c r="E499" s="33">
        <v>16</v>
      </c>
      <c r="F499" s="33">
        <v>16</v>
      </c>
      <c r="G499" s="33" t="s">
        <v>3449</v>
      </c>
      <c r="H499" s="33" t="s">
        <v>7050</v>
      </c>
      <c r="I499" s="33" t="s">
        <v>39</v>
      </c>
      <c r="J499" s="33" t="s">
        <v>3451</v>
      </c>
    </row>
    <row r="500" spans="1:12" s="33" customFormat="1" hidden="1" x14ac:dyDescent="0.3">
      <c r="A500" s="39">
        <v>46107.342291666668</v>
      </c>
      <c r="B500" s="33">
        <v>4330332823</v>
      </c>
      <c r="C500" s="33">
        <v>4430265054</v>
      </c>
      <c r="D500" s="33">
        <v>4430265054</v>
      </c>
      <c r="E500" s="33">
        <v>12</v>
      </c>
      <c r="F500" s="33">
        <v>12</v>
      </c>
      <c r="G500" s="33" t="s">
        <v>3449</v>
      </c>
      <c r="H500" s="33" t="s">
        <v>7051</v>
      </c>
      <c r="I500" s="33" t="s">
        <v>39</v>
      </c>
      <c r="J500" s="33" t="s">
        <v>3451</v>
      </c>
    </row>
    <row r="501" spans="1:12" s="33" customFormat="1" hidden="1" x14ac:dyDescent="0.3">
      <c r="A501" s="39">
        <v>46107.338171296295</v>
      </c>
      <c r="B501" s="33">
        <v>11947305533</v>
      </c>
      <c r="C501" s="33">
        <v>4430265054</v>
      </c>
      <c r="D501" s="33">
        <v>4430265054</v>
      </c>
      <c r="E501" s="33">
        <v>11</v>
      </c>
      <c r="F501" s="33">
        <v>10</v>
      </c>
      <c r="G501" s="33" t="s">
        <v>3449</v>
      </c>
      <c r="H501" s="33" t="s">
        <v>7052</v>
      </c>
      <c r="I501" s="33" t="s">
        <v>39</v>
      </c>
      <c r="J501" s="33" t="s">
        <v>3451</v>
      </c>
    </row>
    <row r="502" spans="1:12" s="33" customFormat="1" hidden="1" x14ac:dyDescent="0.3">
      <c r="A502" s="39">
        <v>46106.76829861111</v>
      </c>
      <c r="B502" s="33">
        <v>44999680829</v>
      </c>
      <c r="C502" s="33">
        <v>4430265054</v>
      </c>
      <c r="D502" s="33">
        <v>4430265054</v>
      </c>
      <c r="E502" s="33">
        <v>14</v>
      </c>
      <c r="F502" s="33">
        <v>13</v>
      </c>
      <c r="G502" s="33" t="s">
        <v>3449</v>
      </c>
      <c r="H502" s="33" t="s">
        <v>7053</v>
      </c>
      <c r="I502" s="33" t="s">
        <v>39</v>
      </c>
      <c r="J502" s="33" t="s">
        <v>3451</v>
      </c>
    </row>
    <row r="503" spans="1:12" s="33" customFormat="1" hidden="1" x14ac:dyDescent="0.3">
      <c r="A503" s="39">
        <v>46106.71702546296</v>
      </c>
      <c r="B503" s="33" t="s">
        <v>48</v>
      </c>
      <c r="C503" s="33">
        <v>4430293755</v>
      </c>
      <c r="E503" s="33">
        <v>542</v>
      </c>
      <c r="F503" s="33">
        <v>524</v>
      </c>
      <c r="G503" s="33" t="s">
        <v>38</v>
      </c>
      <c r="H503" s="33" t="s">
        <v>7054</v>
      </c>
      <c r="I503" s="33" t="s">
        <v>46</v>
      </c>
      <c r="J503" s="33" t="s">
        <v>40</v>
      </c>
    </row>
    <row r="504" spans="1:12" s="33" customFormat="1" hidden="1" x14ac:dyDescent="0.3">
      <c r="A504" s="39">
        <v>46106.716979166667</v>
      </c>
      <c r="B504" s="33" t="s">
        <v>48</v>
      </c>
      <c r="C504" s="33">
        <v>4430293755</v>
      </c>
      <c r="E504" s="33">
        <v>2</v>
      </c>
      <c r="F504" s="33">
        <v>0</v>
      </c>
      <c r="G504" s="33" t="s">
        <v>47</v>
      </c>
      <c r="H504" s="33" t="s">
        <v>7055</v>
      </c>
      <c r="I504" s="33" t="s">
        <v>46</v>
      </c>
      <c r="J504" s="33" t="s">
        <v>40</v>
      </c>
    </row>
    <row r="505" spans="1:12" s="33" customFormat="1" hidden="1" x14ac:dyDescent="0.3">
      <c r="A505" s="39">
        <v>46106.715717592589</v>
      </c>
      <c r="B505" s="33" t="s">
        <v>48</v>
      </c>
      <c r="C505" s="33">
        <v>4430315826</v>
      </c>
      <c r="E505" s="33">
        <v>80</v>
      </c>
      <c r="F505" s="33">
        <v>68</v>
      </c>
      <c r="G505" s="33" t="s">
        <v>38</v>
      </c>
      <c r="H505" s="33" t="s">
        <v>7056</v>
      </c>
      <c r="I505" s="33" t="s">
        <v>46</v>
      </c>
      <c r="J505" s="33" t="s">
        <v>40</v>
      </c>
    </row>
    <row r="506" spans="1:12" s="33" customFormat="1" hidden="1" x14ac:dyDescent="0.3">
      <c r="A506" s="39">
        <v>46106.714537037034</v>
      </c>
      <c r="B506" s="33" t="s">
        <v>48</v>
      </c>
      <c r="C506" s="33">
        <v>44997400641</v>
      </c>
      <c r="E506" s="33">
        <v>37</v>
      </c>
      <c r="F506" s="33">
        <v>0</v>
      </c>
      <c r="G506" s="33" t="s">
        <v>47</v>
      </c>
      <c r="H506" s="33" t="s">
        <v>7057</v>
      </c>
      <c r="I506" s="33" t="s">
        <v>46</v>
      </c>
      <c r="J506" s="33" t="s">
        <v>40</v>
      </c>
    </row>
    <row r="507" spans="1:12" s="33" customFormat="1" hidden="1" x14ac:dyDescent="0.3">
      <c r="A507" s="39">
        <v>46106.713090277779</v>
      </c>
      <c r="B507" s="33" t="s">
        <v>48</v>
      </c>
      <c r="C507" s="33">
        <v>4435312137</v>
      </c>
      <c r="E507" s="33">
        <v>53</v>
      </c>
      <c r="F507" s="33">
        <v>0</v>
      </c>
      <c r="G507" s="33" t="s">
        <v>47</v>
      </c>
      <c r="H507" s="33" t="s">
        <v>7058</v>
      </c>
      <c r="I507" s="33" t="s">
        <v>46</v>
      </c>
      <c r="J507" s="33" t="s">
        <v>40</v>
      </c>
    </row>
    <row r="508" spans="1:12" s="33" customFormat="1" hidden="1" x14ac:dyDescent="0.3">
      <c r="A508" s="39">
        <v>46106.709224537037</v>
      </c>
      <c r="B508" s="33">
        <v>44999647912</v>
      </c>
      <c r="C508" s="33" t="s">
        <v>37</v>
      </c>
      <c r="D508" s="33">
        <v>4430265054</v>
      </c>
      <c r="E508" s="33">
        <v>1129</v>
      </c>
      <c r="F508" s="33">
        <v>922</v>
      </c>
      <c r="G508" s="33" t="s">
        <v>38</v>
      </c>
      <c r="H508" s="33" t="s">
        <v>7059</v>
      </c>
      <c r="I508" s="33" t="s">
        <v>39</v>
      </c>
      <c r="J508" s="33" t="s">
        <v>40</v>
      </c>
      <c r="K508" s="33" t="s">
        <v>41</v>
      </c>
      <c r="L508" s="33">
        <v>5</v>
      </c>
    </row>
    <row r="509" spans="1:12" s="33" customFormat="1" hidden="1" x14ac:dyDescent="0.3">
      <c r="A509" s="39">
        <v>46106.704618055555</v>
      </c>
      <c r="B509" s="33">
        <v>4432325260</v>
      </c>
      <c r="C509" s="33" t="s">
        <v>42</v>
      </c>
      <c r="D509" s="33">
        <v>4430265054</v>
      </c>
      <c r="E509" s="33">
        <v>563</v>
      </c>
      <c r="F509" s="33">
        <v>525</v>
      </c>
      <c r="G509" s="33" t="s">
        <v>38</v>
      </c>
      <c r="H509" s="33" t="s">
        <v>7060</v>
      </c>
      <c r="I509" s="33" t="s">
        <v>39</v>
      </c>
      <c r="J509" s="33" t="s">
        <v>40</v>
      </c>
      <c r="K509" s="33" t="s">
        <v>41</v>
      </c>
    </row>
    <row r="510" spans="1:12" s="33" customFormat="1" hidden="1" x14ac:dyDescent="0.3">
      <c r="A510" s="39">
        <v>46106.703599537039</v>
      </c>
      <c r="B510" s="33" t="s">
        <v>48</v>
      </c>
      <c r="C510" s="33">
        <v>4435293520</v>
      </c>
      <c r="E510" s="33">
        <v>774</v>
      </c>
      <c r="F510" s="33">
        <v>763</v>
      </c>
      <c r="G510" s="33" t="s">
        <v>38</v>
      </c>
      <c r="H510" s="33" t="s">
        <v>7061</v>
      </c>
      <c r="I510" s="33" t="s">
        <v>46</v>
      </c>
      <c r="J510" s="33" t="s">
        <v>40</v>
      </c>
    </row>
    <row r="511" spans="1:12" s="33" customFormat="1" hidden="1" x14ac:dyDescent="0.3">
      <c r="A511" s="39">
        <v>46106.701736111114</v>
      </c>
      <c r="B511" s="33" t="s">
        <v>37</v>
      </c>
      <c r="C511" s="33">
        <v>4130263118</v>
      </c>
      <c r="E511" s="33">
        <v>492</v>
      </c>
      <c r="F511" s="33">
        <v>486</v>
      </c>
      <c r="G511" s="33" t="s">
        <v>38</v>
      </c>
      <c r="H511" s="33" t="s">
        <v>7062</v>
      </c>
      <c r="I511" s="33" t="s">
        <v>46</v>
      </c>
      <c r="J511" s="33" t="s">
        <v>40</v>
      </c>
    </row>
    <row r="512" spans="1:12" s="33" customFormat="1" hidden="1" x14ac:dyDescent="0.3">
      <c r="A512" s="39">
        <v>46106.698993055557</v>
      </c>
      <c r="B512" s="33">
        <v>44997650834</v>
      </c>
      <c r="C512" s="33" t="s">
        <v>44</v>
      </c>
      <c r="D512" s="33">
        <v>4430265054</v>
      </c>
      <c r="E512" s="33">
        <v>340</v>
      </c>
      <c r="F512" s="33">
        <v>161</v>
      </c>
      <c r="G512" s="33" t="s">
        <v>38</v>
      </c>
      <c r="H512" s="33" t="s">
        <v>7063</v>
      </c>
      <c r="I512" s="33" t="s">
        <v>39</v>
      </c>
      <c r="J512" s="33" t="s">
        <v>40</v>
      </c>
      <c r="K512" s="33" t="s">
        <v>41</v>
      </c>
      <c r="L512" s="33">
        <v>5</v>
      </c>
    </row>
    <row r="513" spans="1:12" s="33" customFormat="1" hidden="1" x14ac:dyDescent="0.3">
      <c r="A513" s="39">
        <v>46106.694062499999</v>
      </c>
      <c r="B513" s="33">
        <v>4432321428</v>
      </c>
      <c r="C513" s="33" t="s">
        <v>45</v>
      </c>
      <c r="D513" s="33">
        <v>4430265054</v>
      </c>
      <c r="E513" s="33">
        <v>676</v>
      </c>
      <c r="F513" s="33">
        <v>615</v>
      </c>
      <c r="G513" s="33" t="s">
        <v>38</v>
      </c>
      <c r="H513" s="33" t="s">
        <v>7064</v>
      </c>
      <c r="I513" s="33" t="s">
        <v>39</v>
      </c>
      <c r="J513" s="33" t="s">
        <v>40</v>
      </c>
      <c r="K513" s="33" t="s">
        <v>41</v>
      </c>
    </row>
    <row r="514" spans="1:12" s="33" customFormat="1" hidden="1" x14ac:dyDescent="0.3">
      <c r="A514" s="39">
        <v>46106.689050925925</v>
      </c>
      <c r="B514" s="33">
        <v>44999748684</v>
      </c>
      <c r="C514" s="33" t="s">
        <v>45</v>
      </c>
      <c r="D514" s="33">
        <v>4430265054</v>
      </c>
      <c r="E514" s="33">
        <v>420</v>
      </c>
      <c r="F514" s="33">
        <v>322</v>
      </c>
      <c r="G514" s="33" t="s">
        <v>38</v>
      </c>
      <c r="H514" s="33" t="s">
        <v>7065</v>
      </c>
      <c r="I514" s="33" t="s">
        <v>39</v>
      </c>
      <c r="J514" s="33" t="s">
        <v>40</v>
      </c>
      <c r="K514" s="33" t="s">
        <v>41</v>
      </c>
      <c r="L514" s="33">
        <v>5</v>
      </c>
    </row>
    <row r="515" spans="1:12" s="33" customFormat="1" hidden="1" x14ac:dyDescent="0.3">
      <c r="A515" s="39">
        <v>46106.684849537036</v>
      </c>
      <c r="B515" s="33">
        <v>4130263118</v>
      </c>
      <c r="C515" s="33" t="s">
        <v>37</v>
      </c>
      <c r="D515" s="33">
        <v>4430265054</v>
      </c>
      <c r="E515" s="33">
        <v>1228</v>
      </c>
      <c r="F515" s="33">
        <v>1090</v>
      </c>
      <c r="G515" s="33" t="s">
        <v>38</v>
      </c>
      <c r="H515" s="33" t="s">
        <v>7066</v>
      </c>
      <c r="I515" s="33" t="s">
        <v>39</v>
      </c>
      <c r="J515" s="33" t="s">
        <v>40</v>
      </c>
      <c r="K515" s="33" t="s">
        <v>41</v>
      </c>
      <c r="L515" s="33">
        <v>5</v>
      </c>
    </row>
    <row r="516" spans="1:12" s="33" customFormat="1" hidden="1" x14ac:dyDescent="0.3">
      <c r="A516" s="39">
        <v>46106.684131944443</v>
      </c>
      <c r="B516" s="33" t="s">
        <v>48</v>
      </c>
      <c r="C516" s="33">
        <v>4436249360</v>
      </c>
      <c r="E516" s="33">
        <v>1030</v>
      </c>
      <c r="F516" s="33">
        <v>1020</v>
      </c>
      <c r="G516" s="33" t="s">
        <v>38</v>
      </c>
      <c r="H516" s="33" t="s">
        <v>7067</v>
      </c>
      <c r="I516" s="33" t="s">
        <v>46</v>
      </c>
      <c r="J516" s="33" t="s">
        <v>40</v>
      </c>
    </row>
    <row r="517" spans="1:12" s="33" customFormat="1" hidden="1" x14ac:dyDescent="0.3">
      <c r="A517" s="39">
        <v>46106.683240740742</v>
      </c>
      <c r="B517" s="33">
        <v>44999647912</v>
      </c>
      <c r="C517" s="33" t="s">
        <v>42</v>
      </c>
      <c r="D517" s="33">
        <v>4430265054</v>
      </c>
      <c r="E517" s="33">
        <v>1083</v>
      </c>
      <c r="F517" s="33">
        <v>1060</v>
      </c>
      <c r="G517" s="33" t="s">
        <v>38</v>
      </c>
      <c r="H517" s="33" t="s">
        <v>7068</v>
      </c>
      <c r="I517" s="33" t="s">
        <v>39</v>
      </c>
      <c r="J517" s="33" t="s">
        <v>40</v>
      </c>
      <c r="K517" s="33" t="s">
        <v>41</v>
      </c>
    </row>
    <row r="518" spans="1:12" s="33" customFormat="1" hidden="1" x14ac:dyDescent="0.3">
      <c r="A518" s="39">
        <v>46106.673402777778</v>
      </c>
      <c r="B518" s="33" t="s">
        <v>37</v>
      </c>
      <c r="C518" s="33">
        <v>4430459032</v>
      </c>
      <c r="E518" s="33">
        <v>463</v>
      </c>
      <c r="F518" s="33">
        <v>461</v>
      </c>
      <c r="G518" s="33" t="s">
        <v>38</v>
      </c>
      <c r="H518" s="33" t="s">
        <v>7069</v>
      </c>
      <c r="I518" s="33" t="s">
        <v>46</v>
      </c>
      <c r="J518" s="33" t="s">
        <v>40</v>
      </c>
    </row>
    <row r="519" spans="1:12" s="33" customFormat="1" hidden="1" x14ac:dyDescent="0.3">
      <c r="A519" s="39">
        <v>46106.673333333332</v>
      </c>
      <c r="B519" s="33">
        <v>4432256273</v>
      </c>
      <c r="C519" s="33" t="s">
        <v>43</v>
      </c>
      <c r="D519" s="33">
        <v>4430265054</v>
      </c>
      <c r="E519" s="33">
        <v>651</v>
      </c>
      <c r="F519" s="33">
        <v>586</v>
      </c>
      <c r="G519" s="33" t="s">
        <v>38</v>
      </c>
      <c r="H519" s="33" t="s">
        <v>7070</v>
      </c>
      <c r="I519" s="33" t="s">
        <v>39</v>
      </c>
      <c r="J519" s="33" t="s">
        <v>40</v>
      </c>
      <c r="K519" s="33" t="s">
        <v>41</v>
      </c>
      <c r="L519" s="33">
        <v>5</v>
      </c>
    </row>
    <row r="520" spans="1:12" s="33" customFormat="1" hidden="1" x14ac:dyDescent="0.3">
      <c r="A520" s="39">
        <v>46106.671666666669</v>
      </c>
      <c r="B520" s="33" t="s">
        <v>5173</v>
      </c>
      <c r="C520" s="33">
        <v>21979684679</v>
      </c>
      <c r="E520" s="33">
        <v>41</v>
      </c>
      <c r="F520" s="33">
        <v>2</v>
      </c>
      <c r="G520" s="33" t="s">
        <v>38</v>
      </c>
      <c r="H520" s="33" t="s">
        <v>7071</v>
      </c>
      <c r="I520" s="33" t="s">
        <v>46</v>
      </c>
      <c r="J520" s="33" t="s">
        <v>3629</v>
      </c>
    </row>
    <row r="521" spans="1:12" s="33" customFormat="1" hidden="1" x14ac:dyDescent="0.3">
      <c r="A521" s="39">
        <v>46106.666932870372</v>
      </c>
      <c r="B521" s="33" t="s">
        <v>5173</v>
      </c>
      <c r="C521" s="33">
        <v>41998701226</v>
      </c>
      <c r="E521" s="33">
        <v>144</v>
      </c>
      <c r="F521" s="33">
        <v>130</v>
      </c>
      <c r="G521" s="33" t="s">
        <v>38</v>
      </c>
      <c r="H521" s="33" t="s">
        <v>7072</v>
      </c>
      <c r="I521" s="33" t="s">
        <v>46</v>
      </c>
      <c r="J521" s="33" t="s">
        <v>3629</v>
      </c>
    </row>
    <row r="522" spans="1:12" s="33" customFormat="1" hidden="1" x14ac:dyDescent="0.3">
      <c r="A522" s="39">
        <v>46106.666620370372</v>
      </c>
      <c r="B522" s="33" t="s">
        <v>48</v>
      </c>
      <c r="C522" s="33">
        <v>4430153708</v>
      </c>
      <c r="E522" s="33">
        <v>882</v>
      </c>
      <c r="F522" s="33">
        <v>861</v>
      </c>
      <c r="G522" s="33" t="s">
        <v>38</v>
      </c>
      <c r="H522" s="33" t="s">
        <v>7073</v>
      </c>
      <c r="I522" s="33" t="s">
        <v>46</v>
      </c>
      <c r="J522" s="33" t="s">
        <v>40</v>
      </c>
    </row>
    <row r="523" spans="1:12" s="33" customFormat="1" hidden="1" x14ac:dyDescent="0.3">
      <c r="A523" s="39">
        <v>46106.66443287037</v>
      </c>
      <c r="B523" s="33" t="s">
        <v>43</v>
      </c>
      <c r="C523" s="33">
        <v>44988067937</v>
      </c>
      <c r="E523" s="33">
        <v>2</v>
      </c>
      <c r="F523" s="33">
        <v>0</v>
      </c>
      <c r="G523" s="33" t="s">
        <v>47</v>
      </c>
      <c r="H523" s="33" t="s">
        <v>7074</v>
      </c>
      <c r="I523" s="33" t="s">
        <v>46</v>
      </c>
      <c r="J523" s="33" t="s">
        <v>40</v>
      </c>
    </row>
    <row r="524" spans="1:12" s="33" customFormat="1" hidden="1" x14ac:dyDescent="0.3">
      <c r="A524" s="39">
        <v>46106.664259259262</v>
      </c>
      <c r="B524" s="33" t="s">
        <v>43</v>
      </c>
      <c r="C524" s="33">
        <v>44988067937</v>
      </c>
      <c r="E524" s="33">
        <v>10</v>
      </c>
      <c r="F524" s="33">
        <v>0</v>
      </c>
      <c r="G524" s="33" t="s">
        <v>47</v>
      </c>
      <c r="H524" s="33" t="s">
        <v>7075</v>
      </c>
      <c r="I524" s="33" t="s">
        <v>46</v>
      </c>
      <c r="J524" s="33" t="s">
        <v>40</v>
      </c>
    </row>
    <row r="525" spans="1:12" s="33" customFormat="1" hidden="1" x14ac:dyDescent="0.3">
      <c r="A525" s="39">
        <v>46106.664131944446</v>
      </c>
      <c r="B525" s="33" t="s">
        <v>43</v>
      </c>
      <c r="C525" s="33">
        <v>44988067937</v>
      </c>
      <c r="E525" s="33">
        <v>5</v>
      </c>
      <c r="F525" s="33">
        <v>0</v>
      </c>
      <c r="G525" s="33" t="s">
        <v>47</v>
      </c>
      <c r="H525" s="33" t="s">
        <v>7076</v>
      </c>
      <c r="I525" s="33" t="s">
        <v>46</v>
      </c>
      <c r="J525" s="33" t="s">
        <v>40</v>
      </c>
    </row>
    <row r="526" spans="1:12" s="33" customFormat="1" hidden="1" x14ac:dyDescent="0.3">
      <c r="A526" s="39">
        <v>46106.663229166668</v>
      </c>
      <c r="B526" s="33">
        <v>4430289386</v>
      </c>
      <c r="C526" s="33">
        <v>4430265054</v>
      </c>
      <c r="D526" s="33">
        <v>4430265054</v>
      </c>
      <c r="E526" s="33">
        <v>1</v>
      </c>
      <c r="F526" s="33">
        <v>0</v>
      </c>
      <c r="G526" s="33" t="s">
        <v>3449</v>
      </c>
      <c r="H526" s="33" t="s">
        <v>7077</v>
      </c>
      <c r="I526" s="33" t="s">
        <v>39</v>
      </c>
      <c r="J526" s="33" t="s">
        <v>3451</v>
      </c>
    </row>
    <row r="527" spans="1:12" s="33" customFormat="1" hidden="1" x14ac:dyDescent="0.3">
      <c r="A527" s="39">
        <v>46106.663124999999</v>
      </c>
      <c r="B527" s="33" t="s">
        <v>48</v>
      </c>
      <c r="C527" s="33">
        <v>4430256607</v>
      </c>
      <c r="E527" s="33">
        <v>250</v>
      </c>
      <c r="F527" s="33">
        <v>239</v>
      </c>
      <c r="G527" s="33" t="s">
        <v>38</v>
      </c>
      <c r="H527" s="33" t="s">
        <v>7078</v>
      </c>
      <c r="I527" s="33" t="s">
        <v>46</v>
      </c>
      <c r="J527" s="33" t="s">
        <v>40</v>
      </c>
    </row>
    <row r="528" spans="1:12" s="33" customFormat="1" hidden="1" x14ac:dyDescent="0.3">
      <c r="A528" s="39">
        <v>46106.662488425929</v>
      </c>
      <c r="B528" s="33" t="s">
        <v>5173</v>
      </c>
      <c r="C528" s="33">
        <v>61996772431</v>
      </c>
      <c r="E528" s="33">
        <v>38</v>
      </c>
      <c r="F528" s="33">
        <v>1</v>
      </c>
      <c r="G528" s="33" t="s">
        <v>38</v>
      </c>
      <c r="H528" s="33" t="s">
        <v>7079</v>
      </c>
      <c r="I528" s="33" t="s">
        <v>46</v>
      </c>
      <c r="J528" s="33" t="s">
        <v>3629</v>
      </c>
    </row>
    <row r="529" spans="1:12" s="33" customFormat="1" hidden="1" x14ac:dyDescent="0.3">
      <c r="A529" s="39">
        <v>46106.661215277774</v>
      </c>
      <c r="B529" s="33">
        <v>93984112869</v>
      </c>
      <c r="C529" s="33" t="s">
        <v>45</v>
      </c>
      <c r="D529" s="33">
        <v>4431268225</v>
      </c>
      <c r="E529" s="33">
        <v>963</v>
      </c>
      <c r="F529" s="33">
        <v>945</v>
      </c>
      <c r="G529" s="33" t="s">
        <v>38</v>
      </c>
      <c r="H529" s="33" t="s">
        <v>7080</v>
      </c>
      <c r="I529" s="33" t="s">
        <v>39</v>
      </c>
      <c r="J529" s="33" t="s">
        <v>40</v>
      </c>
      <c r="K529" s="33" t="s">
        <v>41</v>
      </c>
    </row>
    <row r="530" spans="1:12" s="33" customFormat="1" hidden="1" x14ac:dyDescent="0.3">
      <c r="A530" s="39">
        <v>46106.655231481483</v>
      </c>
      <c r="B530" s="33">
        <v>44999752325</v>
      </c>
      <c r="C530" s="33" t="s">
        <v>37</v>
      </c>
      <c r="D530" s="33">
        <v>4430265054</v>
      </c>
      <c r="E530" s="33">
        <v>385</v>
      </c>
      <c r="F530" s="33">
        <v>333</v>
      </c>
      <c r="G530" s="33" t="s">
        <v>38</v>
      </c>
      <c r="H530" s="33" t="s">
        <v>7081</v>
      </c>
      <c r="I530" s="33" t="s">
        <v>39</v>
      </c>
      <c r="J530" s="33" t="s">
        <v>40</v>
      </c>
      <c r="K530" s="33" t="s">
        <v>41</v>
      </c>
      <c r="L530" s="33">
        <v>5</v>
      </c>
    </row>
    <row r="531" spans="1:12" s="33" customFormat="1" hidden="1" x14ac:dyDescent="0.3">
      <c r="A531" s="39">
        <v>46106.65452546296</v>
      </c>
      <c r="B531" s="33">
        <v>11916079448</v>
      </c>
      <c r="C531" s="33" t="s">
        <v>42</v>
      </c>
      <c r="D531" s="33">
        <v>4430265054</v>
      </c>
      <c r="E531" s="33">
        <v>1248</v>
      </c>
      <c r="F531" s="33">
        <v>1143</v>
      </c>
      <c r="G531" s="33" t="s">
        <v>38</v>
      </c>
      <c r="H531" s="33" t="s">
        <v>7082</v>
      </c>
      <c r="I531" s="33" t="s">
        <v>39</v>
      </c>
      <c r="J531" s="33" t="s">
        <v>40</v>
      </c>
      <c r="K531" s="33" t="s">
        <v>41</v>
      </c>
    </row>
    <row r="532" spans="1:12" s="33" customFormat="1" hidden="1" x14ac:dyDescent="0.3">
      <c r="A532" s="39">
        <v>46106.653657407405</v>
      </c>
      <c r="B532" s="33" t="s">
        <v>48</v>
      </c>
      <c r="C532" s="33">
        <v>4430256607</v>
      </c>
      <c r="E532" s="33">
        <v>806</v>
      </c>
      <c r="F532" s="33">
        <v>794</v>
      </c>
      <c r="G532" s="33" t="s">
        <v>38</v>
      </c>
      <c r="H532" s="33" t="s">
        <v>7083</v>
      </c>
      <c r="I532" s="33" t="s">
        <v>46</v>
      </c>
      <c r="J532" s="33" t="s">
        <v>40</v>
      </c>
    </row>
    <row r="533" spans="1:12" s="33" customFormat="1" hidden="1" x14ac:dyDescent="0.3">
      <c r="A533" s="39">
        <v>46106.653622685182</v>
      </c>
      <c r="B533" s="33" t="s">
        <v>48</v>
      </c>
      <c r="C533" s="33">
        <v>4430256607</v>
      </c>
      <c r="E533" s="33">
        <v>2</v>
      </c>
      <c r="F533" s="33">
        <v>0</v>
      </c>
      <c r="G533" s="33" t="s">
        <v>47</v>
      </c>
      <c r="H533" s="33" t="s">
        <v>7084</v>
      </c>
      <c r="I533" s="33" t="s">
        <v>46</v>
      </c>
      <c r="J533" s="33" t="s">
        <v>40</v>
      </c>
    </row>
    <row r="534" spans="1:12" s="33" customFormat="1" hidden="1" x14ac:dyDescent="0.3">
      <c r="A534" s="39">
        <v>46106.64199074074</v>
      </c>
      <c r="B534" s="33" t="s">
        <v>48</v>
      </c>
      <c r="C534" s="33">
        <v>4436196400</v>
      </c>
      <c r="E534" s="33">
        <v>700</v>
      </c>
      <c r="F534" s="33">
        <v>693</v>
      </c>
      <c r="G534" s="33" t="s">
        <v>38</v>
      </c>
      <c r="H534" s="33" t="s">
        <v>7085</v>
      </c>
      <c r="I534" s="33" t="s">
        <v>46</v>
      </c>
      <c r="J534" s="33" t="s">
        <v>40</v>
      </c>
    </row>
    <row r="535" spans="1:12" s="33" customFormat="1" hidden="1" x14ac:dyDescent="0.3">
      <c r="A535" s="39">
        <v>46106.641203703701</v>
      </c>
      <c r="B535" s="33" t="s">
        <v>45</v>
      </c>
      <c r="C535" s="33">
        <v>11964449514</v>
      </c>
      <c r="E535" s="33">
        <v>69</v>
      </c>
      <c r="F535" s="33">
        <v>32</v>
      </c>
      <c r="G535" s="33" t="s">
        <v>38</v>
      </c>
      <c r="H535" s="33" t="s">
        <v>7086</v>
      </c>
      <c r="I535" s="33" t="s">
        <v>46</v>
      </c>
      <c r="J535" s="33" t="s">
        <v>40</v>
      </c>
    </row>
    <row r="536" spans="1:12" s="33" customFormat="1" hidden="1" x14ac:dyDescent="0.3">
      <c r="A536" s="39">
        <v>46106.638124999998</v>
      </c>
      <c r="B536" s="33" t="s">
        <v>5173</v>
      </c>
      <c r="C536" s="33">
        <v>44999451200</v>
      </c>
      <c r="E536" s="33">
        <v>3</v>
      </c>
      <c r="F536" s="33">
        <v>0</v>
      </c>
      <c r="G536" s="33" t="s">
        <v>47</v>
      </c>
      <c r="H536" s="33" t="s">
        <v>7087</v>
      </c>
      <c r="I536" s="33" t="s">
        <v>46</v>
      </c>
      <c r="J536" s="33" t="s">
        <v>3629</v>
      </c>
    </row>
    <row r="537" spans="1:12" s="33" customFormat="1" hidden="1" x14ac:dyDescent="0.3">
      <c r="A537" s="39">
        <v>46106.636678240742</v>
      </c>
      <c r="B537" s="33" t="s">
        <v>45</v>
      </c>
      <c r="C537" s="33">
        <v>93984112869</v>
      </c>
      <c r="E537" s="33">
        <v>47</v>
      </c>
      <c r="F537" s="33">
        <v>19</v>
      </c>
      <c r="G537" s="33" t="s">
        <v>38</v>
      </c>
      <c r="H537" s="33" t="s">
        <v>7088</v>
      </c>
      <c r="I537" s="33" t="s">
        <v>46</v>
      </c>
      <c r="J537" s="33" t="s">
        <v>40</v>
      </c>
    </row>
    <row r="538" spans="1:12" s="33" customFormat="1" hidden="1" x14ac:dyDescent="0.3">
      <c r="A538" s="39">
        <v>46106.636203703703</v>
      </c>
      <c r="B538" s="33" t="s">
        <v>45</v>
      </c>
      <c r="C538" s="33">
        <v>93984112869</v>
      </c>
      <c r="E538" s="33">
        <v>58</v>
      </c>
      <c r="F538" s="33">
        <v>30</v>
      </c>
      <c r="G538" s="33" t="s">
        <v>38</v>
      </c>
      <c r="H538" s="33" t="s">
        <v>7089</v>
      </c>
      <c r="I538" s="33" t="s">
        <v>46</v>
      </c>
      <c r="J538" s="33" t="s">
        <v>40</v>
      </c>
    </row>
    <row r="539" spans="1:12" s="33" customFormat="1" hidden="1" x14ac:dyDescent="0.3">
      <c r="A539" s="39">
        <v>46106.635254629633</v>
      </c>
      <c r="B539" s="33" t="s">
        <v>5173</v>
      </c>
      <c r="C539" s="33">
        <v>61996772431</v>
      </c>
      <c r="E539" s="33">
        <v>51</v>
      </c>
      <c r="F539" s="33">
        <v>13</v>
      </c>
      <c r="G539" s="33" t="s">
        <v>38</v>
      </c>
      <c r="H539" s="33" t="s">
        <v>7090</v>
      </c>
      <c r="I539" s="33" t="s">
        <v>46</v>
      </c>
      <c r="J539" s="33" t="s">
        <v>3629</v>
      </c>
    </row>
    <row r="540" spans="1:12" s="33" customFormat="1" hidden="1" x14ac:dyDescent="0.3">
      <c r="A540" s="39">
        <v>46106.635150462964</v>
      </c>
      <c r="B540" s="33" t="s">
        <v>48</v>
      </c>
      <c r="C540" s="33">
        <v>4432321371</v>
      </c>
      <c r="E540" s="33">
        <v>3</v>
      </c>
      <c r="F540" s="33">
        <v>0</v>
      </c>
      <c r="G540" s="33" t="s">
        <v>47</v>
      </c>
      <c r="H540" s="33" t="s">
        <v>7091</v>
      </c>
      <c r="I540" s="33" t="s">
        <v>46</v>
      </c>
      <c r="J540" s="33" t="s">
        <v>40</v>
      </c>
    </row>
    <row r="541" spans="1:12" s="33" customFormat="1" hidden="1" x14ac:dyDescent="0.3">
      <c r="A541" s="39">
        <v>46106.635069444441</v>
      </c>
      <c r="B541" s="33" t="s">
        <v>48</v>
      </c>
      <c r="C541" s="33">
        <v>4432321371</v>
      </c>
      <c r="E541" s="33">
        <v>2</v>
      </c>
      <c r="F541" s="33">
        <v>0</v>
      </c>
      <c r="G541" s="33" t="s">
        <v>47</v>
      </c>
      <c r="H541" s="33" t="s">
        <v>7092</v>
      </c>
      <c r="I541" s="33" t="s">
        <v>46</v>
      </c>
      <c r="J541" s="33" t="s">
        <v>40</v>
      </c>
    </row>
    <row r="542" spans="1:12" s="33" customFormat="1" hidden="1" x14ac:dyDescent="0.3">
      <c r="A542" s="39">
        <v>46106.63484953704</v>
      </c>
      <c r="B542" s="33">
        <v>4430346845</v>
      </c>
      <c r="C542" s="33" t="s">
        <v>44</v>
      </c>
      <c r="D542" s="33">
        <v>4430265054</v>
      </c>
      <c r="E542" s="33">
        <v>310</v>
      </c>
      <c r="F542" s="33">
        <v>278</v>
      </c>
      <c r="G542" s="33" t="s">
        <v>38</v>
      </c>
      <c r="H542" s="33" t="s">
        <v>7093</v>
      </c>
      <c r="I542" s="33" t="s">
        <v>39</v>
      </c>
      <c r="J542" s="33" t="s">
        <v>40</v>
      </c>
      <c r="K542" s="33" t="s">
        <v>41</v>
      </c>
    </row>
    <row r="543" spans="1:12" s="33" customFormat="1" hidden="1" x14ac:dyDescent="0.3">
      <c r="A543" s="39">
        <v>46106.63480324074</v>
      </c>
      <c r="B543" s="33" t="s">
        <v>48</v>
      </c>
      <c r="C543" s="33">
        <v>44998344102</v>
      </c>
      <c r="E543" s="33">
        <v>19</v>
      </c>
      <c r="F543" s="33">
        <v>0</v>
      </c>
      <c r="G543" s="33" t="s">
        <v>47</v>
      </c>
      <c r="H543" s="33" t="s">
        <v>7094</v>
      </c>
      <c r="I543" s="33" t="s">
        <v>46</v>
      </c>
      <c r="J543" s="33" t="s">
        <v>40</v>
      </c>
    </row>
    <row r="544" spans="1:12" s="33" customFormat="1" hidden="1" x14ac:dyDescent="0.3">
      <c r="A544" s="39">
        <v>46106.629432870373</v>
      </c>
      <c r="B544" s="33">
        <v>93984112869</v>
      </c>
      <c r="C544" s="33" t="s">
        <v>45</v>
      </c>
      <c r="D544" s="33">
        <v>4431268225</v>
      </c>
      <c r="E544" s="33">
        <v>701</v>
      </c>
      <c r="F544" s="33">
        <v>670</v>
      </c>
      <c r="G544" s="33" t="s">
        <v>38</v>
      </c>
      <c r="H544" s="33" t="s">
        <v>7095</v>
      </c>
      <c r="I544" s="33" t="s">
        <v>39</v>
      </c>
      <c r="J544" s="33" t="s">
        <v>40</v>
      </c>
      <c r="K544" s="33" t="s">
        <v>41</v>
      </c>
    </row>
    <row r="545" spans="1:11" s="33" customFormat="1" hidden="1" x14ac:dyDescent="0.3">
      <c r="A545" s="39">
        <v>46106.628761574073</v>
      </c>
      <c r="B545" s="33" t="s">
        <v>48</v>
      </c>
      <c r="C545" s="33">
        <v>4432321371</v>
      </c>
      <c r="E545" s="33">
        <v>470</v>
      </c>
      <c r="F545" s="33">
        <v>461</v>
      </c>
      <c r="G545" s="33" t="s">
        <v>38</v>
      </c>
      <c r="H545" s="33" t="s">
        <v>7096</v>
      </c>
      <c r="I545" s="33" t="s">
        <v>46</v>
      </c>
      <c r="J545" s="33" t="s">
        <v>40</v>
      </c>
    </row>
    <row r="546" spans="1:11" s="33" customFormat="1" hidden="1" x14ac:dyDescent="0.3">
      <c r="A546" s="39">
        <v>46106.628703703704</v>
      </c>
      <c r="B546" s="33" t="s">
        <v>48</v>
      </c>
      <c r="C546" s="33">
        <v>4432321371</v>
      </c>
      <c r="E546" s="33">
        <v>2</v>
      </c>
      <c r="F546" s="33">
        <v>0</v>
      </c>
      <c r="G546" s="33" t="s">
        <v>47</v>
      </c>
      <c r="H546" s="33" t="s">
        <v>7097</v>
      </c>
      <c r="I546" s="33" t="s">
        <v>46</v>
      </c>
      <c r="J546" s="33" t="s">
        <v>40</v>
      </c>
    </row>
    <row r="547" spans="1:11" s="33" customFormat="1" hidden="1" x14ac:dyDescent="0.3">
      <c r="A547" s="39">
        <v>46106.626504629632</v>
      </c>
      <c r="B547" s="33">
        <v>44999451200</v>
      </c>
      <c r="C547" s="33" t="s">
        <v>5173</v>
      </c>
      <c r="D547" s="33">
        <v>4430265054</v>
      </c>
      <c r="E547" s="33">
        <v>508</v>
      </c>
      <c r="F547" s="33">
        <v>487</v>
      </c>
      <c r="G547" s="33" t="s">
        <v>38</v>
      </c>
      <c r="H547" s="33" t="s">
        <v>7098</v>
      </c>
      <c r="I547" s="33" t="s">
        <v>39</v>
      </c>
      <c r="J547" s="33" t="s">
        <v>3629</v>
      </c>
      <c r="K547" s="33" t="s">
        <v>50</v>
      </c>
    </row>
    <row r="548" spans="1:11" s="33" customFormat="1" hidden="1" x14ac:dyDescent="0.3">
      <c r="A548" s="39">
        <v>46106.626087962963</v>
      </c>
      <c r="B548" s="33" t="s">
        <v>5173</v>
      </c>
      <c r="C548" s="33">
        <v>41998701226</v>
      </c>
      <c r="E548" s="33">
        <v>23</v>
      </c>
      <c r="F548" s="33">
        <v>1</v>
      </c>
      <c r="G548" s="33" t="s">
        <v>38</v>
      </c>
      <c r="H548" s="33" t="s">
        <v>7099</v>
      </c>
      <c r="I548" s="33" t="s">
        <v>46</v>
      </c>
      <c r="J548" s="33" t="s">
        <v>3629</v>
      </c>
    </row>
    <row r="549" spans="1:11" s="33" customFormat="1" hidden="1" x14ac:dyDescent="0.3">
      <c r="A549" s="39">
        <v>46106.623680555553</v>
      </c>
      <c r="B549" s="33">
        <v>4430162384</v>
      </c>
      <c r="C549" s="33" t="s">
        <v>37</v>
      </c>
      <c r="D549" s="33">
        <v>4430265054</v>
      </c>
      <c r="E549" s="33">
        <v>458</v>
      </c>
      <c r="F549" s="33">
        <v>415</v>
      </c>
      <c r="G549" s="33" t="s">
        <v>38</v>
      </c>
      <c r="H549" s="33" t="s">
        <v>7100</v>
      </c>
      <c r="I549" s="33" t="s">
        <v>39</v>
      </c>
      <c r="J549" s="33" t="s">
        <v>40</v>
      </c>
      <c r="K549" s="33" t="s">
        <v>41</v>
      </c>
    </row>
    <row r="550" spans="1:11" s="33" customFormat="1" hidden="1" x14ac:dyDescent="0.3">
      <c r="A550" s="39">
        <v>46106.622314814813</v>
      </c>
      <c r="B550" s="33" t="s">
        <v>5173</v>
      </c>
      <c r="C550" s="33">
        <v>98985258824</v>
      </c>
      <c r="E550" s="33">
        <v>3</v>
      </c>
      <c r="F550" s="33">
        <v>0</v>
      </c>
      <c r="G550" s="33" t="s">
        <v>47</v>
      </c>
      <c r="H550" s="33" t="s">
        <v>7101</v>
      </c>
      <c r="I550" s="33" t="s">
        <v>46</v>
      </c>
      <c r="J550" s="33" t="s">
        <v>3629</v>
      </c>
    </row>
    <row r="551" spans="1:11" s="33" customFormat="1" hidden="1" x14ac:dyDescent="0.3">
      <c r="A551" s="39">
        <v>46106.621736111112</v>
      </c>
      <c r="B551" s="33" t="s">
        <v>5173</v>
      </c>
      <c r="C551" s="33">
        <v>98985258824</v>
      </c>
      <c r="E551" s="33">
        <v>43</v>
      </c>
      <c r="F551" s="33">
        <v>1</v>
      </c>
      <c r="G551" s="33" t="s">
        <v>38</v>
      </c>
      <c r="H551" s="33" t="s">
        <v>7102</v>
      </c>
      <c r="I551" s="33" t="s">
        <v>46</v>
      </c>
      <c r="J551" s="33" t="s">
        <v>3629</v>
      </c>
    </row>
    <row r="552" spans="1:11" s="33" customFormat="1" hidden="1" x14ac:dyDescent="0.3">
      <c r="A552" s="39">
        <v>46106.620474537034</v>
      </c>
      <c r="B552" s="33" t="s">
        <v>48</v>
      </c>
      <c r="C552" s="33">
        <v>4433511400</v>
      </c>
      <c r="E552" s="33">
        <v>7</v>
      </c>
      <c r="F552" s="33">
        <v>0</v>
      </c>
      <c r="G552" s="33" t="s">
        <v>47</v>
      </c>
      <c r="H552" s="33" t="s">
        <v>7103</v>
      </c>
      <c r="I552" s="33" t="s">
        <v>46</v>
      </c>
      <c r="J552" s="33" t="s">
        <v>40</v>
      </c>
    </row>
    <row r="553" spans="1:11" s="33" customFormat="1" hidden="1" x14ac:dyDescent="0.3">
      <c r="A553" s="39">
        <v>46106.62</v>
      </c>
      <c r="B553" s="33" t="s">
        <v>48</v>
      </c>
      <c r="C553" s="33">
        <v>4433511400</v>
      </c>
      <c r="E553" s="33">
        <v>68</v>
      </c>
      <c r="F553" s="33">
        <v>61</v>
      </c>
      <c r="G553" s="33" t="s">
        <v>38</v>
      </c>
      <c r="H553" s="33" t="s">
        <v>7104</v>
      </c>
      <c r="I553" s="33" t="s">
        <v>46</v>
      </c>
      <c r="J553" s="33" t="s">
        <v>40</v>
      </c>
    </row>
    <row r="554" spans="1:11" s="33" customFormat="1" hidden="1" x14ac:dyDescent="0.3">
      <c r="A554" s="39">
        <v>46106.619942129626</v>
      </c>
      <c r="B554" s="33">
        <v>4432321371</v>
      </c>
      <c r="C554" s="33" t="s">
        <v>48</v>
      </c>
      <c r="D554" s="33">
        <v>4430265054</v>
      </c>
      <c r="E554" s="33">
        <v>750</v>
      </c>
      <c r="F554" s="33">
        <v>711</v>
      </c>
      <c r="G554" s="33" t="s">
        <v>38</v>
      </c>
      <c r="H554" s="33" t="s">
        <v>7105</v>
      </c>
      <c r="I554" s="33" t="s">
        <v>39</v>
      </c>
      <c r="J554" s="33" t="s">
        <v>40</v>
      </c>
      <c r="K554" s="33" t="s">
        <v>41</v>
      </c>
    </row>
    <row r="555" spans="1:11" s="33" customFormat="1" hidden="1" x14ac:dyDescent="0.3">
      <c r="A555" s="39">
        <v>46106.619849537034</v>
      </c>
      <c r="B555" s="33" t="s">
        <v>48</v>
      </c>
      <c r="C555" s="33">
        <v>44988113052</v>
      </c>
      <c r="E555" s="33">
        <v>32</v>
      </c>
      <c r="F555" s="33">
        <v>28</v>
      </c>
      <c r="G555" s="33" t="s">
        <v>38</v>
      </c>
      <c r="H555" s="33" t="s">
        <v>7106</v>
      </c>
      <c r="I555" s="33" t="s">
        <v>46</v>
      </c>
      <c r="J555" s="33" t="s">
        <v>40</v>
      </c>
    </row>
    <row r="556" spans="1:11" s="33" customFormat="1" hidden="1" x14ac:dyDescent="0.3">
      <c r="A556" s="39">
        <v>46106.619803240741</v>
      </c>
      <c r="B556" s="33" t="s">
        <v>48</v>
      </c>
      <c r="C556" s="33">
        <v>44988113052</v>
      </c>
      <c r="E556" s="33">
        <v>1</v>
      </c>
      <c r="F556" s="33">
        <v>0</v>
      </c>
      <c r="G556" s="33" t="s">
        <v>47</v>
      </c>
      <c r="H556" s="33" t="s">
        <v>7107</v>
      </c>
      <c r="I556" s="33" t="s">
        <v>46</v>
      </c>
      <c r="J556" s="33" t="s">
        <v>40</v>
      </c>
    </row>
    <row r="557" spans="1:11" s="33" customFormat="1" hidden="1" x14ac:dyDescent="0.3">
      <c r="A557" s="39">
        <v>46106.619745370372</v>
      </c>
      <c r="B557" s="33" t="s">
        <v>48</v>
      </c>
      <c r="C557" s="33">
        <v>44988113052</v>
      </c>
      <c r="E557" s="33">
        <v>2</v>
      </c>
      <c r="F557" s="33">
        <v>0</v>
      </c>
      <c r="G557" s="33" t="s">
        <v>47</v>
      </c>
      <c r="H557" s="33" t="s">
        <v>7108</v>
      </c>
      <c r="I557" s="33" t="s">
        <v>46</v>
      </c>
      <c r="J557" s="33" t="s">
        <v>40</v>
      </c>
    </row>
    <row r="558" spans="1:11" s="33" customFormat="1" hidden="1" x14ac:dyDescent="0.3">
      <c r="A558" s="39">
        <v>46106.619143518517</v>
      </c>
      <c r="B558" s="33" t="s">
        <v>48</v>
      </c>
      <c r="C558" s="33">
        <v>4433511400</v>
      </c>
      <c r="E558" s="33">
        <v>73</v>
      </c>
      <c r="F558" s="33">
        <v>65</v>
      </c>
      <c r="G558" s="33" t="s">
        <v>38</v>
      </c>
      <c r="H558" s="33" t="s">
        <v>7109</v>
      </c>
      <c r="I558" s="33" t="s">
        <v>46</v>
      </c>
      <c r="J558" s="33" t="s">
        <v>40</v>
      </c>
    </row>
    <row r="559" spans="1:11" s="33" customFormat="1" hidden="1" x14ac:dyDescent="0.3">
      <c r="A559" s="39">
        <v>46106.618333333332</v>
      </c>
      <c r="B559" s="33" t="s">
        <v>48</v>
      </c>
      <c r="C559" s="33">
        <v>4433511515</v>
      </c>
      <c r="E559" s="33">
        <v>97</v>
      </c>
      <c r="F559" s="33">
        <v>71</v>
      </c>
      <c r="G559" s="33" t="s">
        <v>38</v>
      </c>
      <c r="H559" s="33" t="s">
        <v>7110</v>
      </c>
      <c r="I559" s="33" t="s">
        <v>46</v>
      </c>
      <c r="J559" s="33" t="s">
        <v>40</v>
      </c>
    </row>
    <row r="560" spans="1:11" s="33" customFormat="1" hidden="1" x14ac:dyDescent="0.3">
      <c r="A560" s="39">
        <v>46106.616331018522</v>
      </c>
      <c r="B560" s="33" t="s">
        <v>5173</v>
      </c>
      <c r="C560" s="33">
        <v>41999501054</v>
      </c>
      <c r="E560" s="33">
        <v>22</v>
      </c>
      <c r="F560" s="33">
        <v>0</v>
      </c>
      <c r="G560" s="33" t="s">
        <v>47</v>
      </c>
      <c r="H560" s="33" t="s">
        <v>7111</v>
      </c>
      <c r="I560" s="33" t="s">
        <v>46</v>
      </c>
      <c r="J560" s="33" t="s">
        <v>3629</v>
      </c>
    </row>
    <row r="561" spans="1:12" s="33" customFormat="1" hidden="1" x14ac:dyDescent="0.3">
      <c r="A561" s="39">
        <v>46106.615798611114</v>
      </c>
      <c r="B561" s="33" t="s">
        <v>5173</v>
      </c>
      <c r="C561" s="33">
        <v>41999501054</v>
      </c>
      <c r="E561" s="33">
        <v>41</v>
      </c>
      <c r="F561" s="33">
        <v>1</v>
      </c>
      <c r="G561" s="33" t="s">
        <v>38</v>
      </c>
      <c r="H561" s="33" t="s">
        <v>7112</v>
      </c>
      <c r="I561" s="33" t="s">
        <v>46</v>
      </c>
      <c r="J561" s="33" t="s">
        <v>3629</v>
      </c>
    </row>
    <row r="562" spans="1:12" s="33" customFormat="1" hidden="1" x14ac:dyDescent="0.3">
      <c r="A562" s="39">
        <v>46106.611192129632</v>
      </c>
      <c r="B562" s="33">
        <v>3432424736</v>
      </c>
      <c r="C562" s="33" t="s">
        <v>42</v>
      </c>
      <c r="D562" s="33">
        <v>4430265054</v>
      </c>
      <c r="E562" s="33">
        <v>329</v>
      </c>
      <c r="F562" s="33">
        <v>278</v>
      </c>
      <c r="G562" s="33" t="s">
        <v>38</v>
      </c>
      <c r="H562" s="33" t="s">
        <v>7113</v>
      </c>
      <c r="I562" s="33" t="s">
        <v>39</v>
      </c>
      <c r="J562" s="33" t="s">
        <v>40</v>
      </c>
      <c r="K562" s="33" t="s">
        <v>41</v>
      </c>
    </row>
    <row r="563" spans="1:12" s="33" customFormat="1" hidden="1" x14ac:dyDescent="0.3">
      <c r="A563" s="39">
        <v>46106.610671296294</v>
      </c>
      <c r="B563" s="33" t="s">
        <v>48</v>
      </c>
      <c r="C563" s="33">
        <v>4436292220</v>
      </c>
      <c r="E563" s="33">
        <v>443</v>
      </c>
      <c r="F563" s="33">
        <v>436</v>
      </c>
      <c r="G563" s="33" t="s">
        <v>38</v>
      </c>
      <c r="H563" s="33" t="s">
        <v>7114</v>
      </c>
      <c r="I563" s="33" t="s">
        <v>46</v>
      </c>
      <c r="J563" s="33" t="s">
        <v>40</v>
      </c>
    </row>
    <row r="564" spans="1:12" s="33" customFormat="1" hidden="1" x14ac:dyDescent="0.3">
      <c r="A564" s="39">
        <v>46106.610590277778</v>
      </c>
      <c r="B564" s="33" t="s">
        <v>5173</v>
      </c>
      <c r="C564" s="33">
        <v>11999376586</v>
      </c>
      <c r="E564" s="33">
        <v>6</v>
      </c>
      <c r="F564" s="33">
        <v>0</v>
      </c>
      <c r="G564" s="33" t="s">
        <v>47</v>
      </c>
      <c r="H564" s="33" t="s">
        <v>7115</v>
      </c>
      <c r="I564" s="33" t="s">
        <v>46</v>
      </c>
      <c r="J564" s="33" t="s">
        <v>3629</v>
      </c>
    </row>
    <row r="565" spans="1:12" s="33" customFormat="1" hidden="1" x14ac:dyDescent="0.3">
      <c r="A565" s="39">
        <v>46106.610335648147</v>
      </c>
      <c r="B565" s="33" t="s">
        <v>5173</v>
      </c>
      <c r="C565" s="33">
        <v>11999376586</v>
      </c>
      <c r="E565" s="33">
        <v>12</v>
      </c>
      <c r="F565" s="33">
        <v>5</v>
      </c>
      <c r="G565" s="33" t="s">
        <v>38</v>
      </c>
      <c r="H565" s="33" t="s">
        <v>7116</v>
      </c>
      <c r="I565" s="33" t="s">
        <v>46</v>
      </c>
      <c r="J565" s="33" t="s">
        <v>3629</v>
      </c>
    </row>
    <row r="566" spans="1:12" s="33" customFormat="1" hidden="1" x14ac:dyDescent="0.3">
      <c r="A566" s="39">
        <v>46106.608738425923</v>
      </c>
      <c r="B566" s="33">
        <v>4430153305</v>
      </c>
      <c r="C566" s="33" t="s">
        <v>44</v>
      </c>
      <c r="D566" s="33">
        <v>4430265054</v>
      </c>
      <c r="E566" s="33">
        <v>351</v>
      </c>
      <c r="F566" s="33">
        <v>240</v>
      </c>
      <c r="G566" s="33" t="s">
        <v>38</v>
      </c>
      <c r="H566" s="33" t="s">
        <v>7117</v>
      </c>
      <c r="I566" s="33" t="s">
        <v>39</v>
      </c>
      <c r="J566" s="33" t="s">
        <v>40</v>
      </c>
      <c r="K566" s="33" t="s">
        <v>41</v>
      </c>
    </row>
    <row r="567" spans="1:12" s="33" customFormat="1" hidden="1" x14ac:dyDescent="0.3">
      <c r="A567" s="39">
        <v>46106.605231481481</v>
      </c>
      <c r="B567" s="33">
        <v>1128787060</v>
      </c>
      <c r="C567" s="33">
        <v>4430265054</v>
      </c>
      <c r="D567" s="33">
        <v>4430265054</v>
      </c>
      <c r="E567" s="33">
        <v>13</v>
      </c>
      <c r="F567" s="33">
        <v>12</v>
      </c>
      <c r="G567" s="33" t="s">
        <v>3449</v>
      </c>
      <c r="H567" s="33" t="s">
        <v>7118</v>
      </c>
      <c r="I567" s="33" t="s">
        <v>39</v>
      </c>
      <c r="J567" s="33" t="s">
        <v>3451</v>
      </c>
    </row>
    <row r="568" spans="1:12" s="33" customFormat="1" hidden="1" x14ac:dyDescent="0.3">
      <c r="A568" s="39">
        <v>46106.597916666666</v>
      </c>
      <c r="B568" s="33">
        <v>83988398480</v>
      </c>
      <c r="C568" s="33" t="s">
        <v>44</v>
      </c>
      <c r="D568" s="33">
        <v>4431268225</v>
      </c>
      <c r="E568" s="33">
        <v>427</v>
      </c>
      <c r="F568" s="33">
        <v>412</v>
      </c>
      <c r="G568" s="33" t="s">
        <v>38</v>
      </c>
      <c r="H568" s="33" t="s">
        <v>7119</v>
      </c>
      <c r="I568" s="33" t="s">
        <v>39</v>
      </c>
      <c r="J568" s="33" t="s">
        <v>40</v>
      </c>
      <c r="K568" s="33" t="s">
        <v>41</v>
      </c>
    </row>
    <row r="569" spans="1:12" s="33" customFormat="1" hidden="1" x14ac:dyDescent="0.3">
      <c r="A569" s="39">
        <v>46106.595879629633</v>
      </c>
      <c r="B569" s="33" t="s">
        <v>48</v>
      </c>
      <c r="C569" s="33">
        <v>4430459032</v>
      </c>
      <c r="E569" s="33">
        <v>1234</v>
      </c>
      <c r="F569" s="33">
        <v>1232</v>
      </c>
      <c r="G569" s="33" t="s">
        <v>38</v>
      </c>
      <c r="H569" s="33" t="s">
        <v>7120</v>
      </c>
      <c r="I569" s="33" t="s">
        <v>46</v>
      </c>
      <c r="J569" s="33" t="s">
        <v>40</v>
      </c>
      <c r="L569" s="33">
        <v>5</v>
      </c>
    </row>
    <row r="570" spans="1:12" s="33" customFormat="1" hidden="1" x14ac:dyDescent="0.3">
      <c r="A570" s="39">
        <v>46106.591886574075</v>
      </c>
      <c r="B570" s="33" t="s">
        <v>48</v>
      </c>
      <c r="C570" s="33">
        <v>4432263417</v>
      </c>
      <c r="E570" s="33">
        <v>122</v>
      </c>
      <c r="F570" s="33">
        <v>106</v>
      </c>
      <c r="G570" s="33" t="s">
        <v>38</v>
      </c>
      <c r="H570" s="33" t="s">
        <v>7121</v>
      </c>
      <c r="I570" s="33" t="s">
        <v>46</v>
      </c>
      <c r="J570" s="33" t="s">
        <v>40</v>
      </c>
    </row>
    <row r="571" spans="1:12" s="33" customFormat="1" hidden="1" x14ac:dyDescent="0.3">
      <c r="A571" s="39">
        <v>46106.590254629627</v>
      </c>
      <c r="B571" s="33" t="s">
        <v>44</v>
      </c>
      <c r="C571" s="33">
        <v>83988398480</v>
      </c>
      <c r="E571" s="33">
        <v>40</v>
      </c>
      <c r="F571" s="33">
        <v>0</v>
      </c>
      <c r="G571" s="33" t="s">
        <v>47</v>
      </c>
      <c r="H571" s="33" t="s">
        <v>7122</v>
      </c>
      <c r="I571" s="33" t="s">
        <v>46</v>
      </c>
      <c r="J571" s="33" t="s">
        <v>40</v>
      </c>
    </row>
    <row r="572" spans="1:12" s="33" customFormat="1" hidden="1" x14ac:dyDescent="0.3">
      <c r="A572" s="39">
        <v>46106.590254629627</v>
      </c>
      <c r="B572" s="33">
        <v>41996631918</v>
      </c>
      <c r="C572" s="33" t="s">
        <v>37</v>
      </c>
      <c r="D572" s="33">
        <v>4430265054</v>
      </c>
      <c r="E572" s="33">
        <v>346</v>
      </c>
      <c r="F572" s="33">
        <v>291</v>
      </c>
      <c r="G572" s="33" t="s">
        <v>38</v>
      </c>
      <c r="H572" s="33" t="s">
        <v>7123</v>
      </c>
      <c r="I572" s="33" t="s">
        <v>39</v>
      </c>
      <c r="J572" s="33" t="s">
        <v>40</v>
      </c>
      <c r="K572" s="33" t="s">
        <v>41</v>
      </c>
      <c r="L572" s="33">
        <v>5</v>
      </c>
    </row>
    <row r="573" spans="1:12" s="33" customFormat="1" hidden="1" x14ac:dyDescent="0.3">
      <c r="A573" s="39">
        <v>46106.589467592596</v>
      </c>
      <c r="B573" s="33" t="s">
        <v>48</v>
      </c>
      <c r="C573" s="33">
        <v>4432321428</v>
      </c>
      <c r="E573" s="33">
        <v>127</v>
      </c>
      <c r="F573" s="33">
        <v>119</v>
      </c>
      <c r="G573" s="33" t="s">
        <v>38</v>
      </c>
      <c r="H573" s="33" t="s">
        <v>7124</v>
      </c>
      <c r="I573" s="33" t="s">
        <v>46</v>
      </c>
      <c r="J573" s="33" t="s">
        <v>40</v>
      </c>
    </row>
    <row r="574" spans="1:12" s="33" customFormat="1" hidden="1" x14ac:dyDescent="0.3">
      <c r="A574" s="39">
        <v>46106.581157407411</v>
      </c>
      <c r="B574" s="33" t="s">
        <v>44</v>
      </c>
      <c r="C574" s="33">
        <v>83988398480</v>
      </c>
      <c r="E574" s="33">
        <v>37</v>
      </c>
      <c r="F574" s="33">
        <v>0</v>
      </c>
      <c r="G574" s="33" t="s">
        <v>47</v>
      </c>
      <c r="H574" s="33" t="s">
        <v>7125</v>
      </c>
      <c r="I574" s="33" t="s">
        <v>46</v>
      </c>
      <c r="J574" s="33" t="s">
        <v>40</v>
      </c>
    </row>
    <row r="575" spans="1:12" s="33" customFormat="1" x14ac:dyDescent="0.3">
      <c r="A575" s="39">
        <v>46106.580347222225</v>
      </c>
      <c r="B575" s="33">
        <v>44997650834</v>
      </c>
      <c r="C575" s="33" t="s">
        <v>42</v>
      </c>
      <c r="D575" s="33">
        <v>4430265054</v>
      </c>
      <c r="E575" s="33">
        <v>1045</v>
      </c>
      <c r="F575" s="33">
        <v>984</v>
      </c>
      <c r="G575" s="33" t="s">
        <v>38</v>
      </c>
      <c r="H575" s="33" t="s">
        <v>7126</v>
      </c>
      <c r="I575" s="33" t="s">
        <v>39</v>
      </c>
      <c r="J575" s="33" t="s">
        <v>40</v>
      </c>
      <c r="K575" s="33" t="s">
        <v>41</v>
      </c>
      <c r="L575" s="33">
        <v>5</v>
      </c>
    </row>
    <row r="576" spans="1:12" s="33" customFormat="1" hidden="1" x14ac:dyDescent="0.3">
      <c r="A576" s="39">
        <v>46106.580034722225</v>
      </c>
      <c r="B576" s="33">
        <v>4432321428</v>
      </c>
      <c r="C576" s="33" t="s">
        <v>43</v>
      </c>
      <c r="D576" s="33">
        <v>4430265054</v>
      </c>
      <c r="E576" s="33">
        <v>568</v>
      </c>
      <c r="F576" s="33">
        <v>539</v>
      </c>
      <c r="G576" s="33" t="s">
        <v>38</v>
      </c>
      <c r="H576" s="33" t="s">
        <v>7127</v>
      </c>
      <c r="I576" s="33" t="s">
        <v>39</v>
      </c>
      <c r="J576" s="33" t="s">
        <v>40</v>
      </c>
      <c r="K576" s="33" t="s">
        <v>41</v>
      </c>
    </row>
    <row r="577" spans="1:12" s="33" customFormat="1" hidden="1" x14ac:dyDescent="0.3">
      <c r="A577" s="39">
        <v>46106.577592592592</v>
      </c>
      <c r="B577" s="33">
        <v>44997618065</v>
      </c>
      <c r="C577" s="33" t="s">
        <v>45</v>
      </c>
      <c r="D577" s="33">
        <v>4430265054</v>
      </c>
      <c r="E577" s="33">
        <v>2374</v>
      </c>
      <c r="F577" s="33">
        <v>2317</v>
      </c>
      <c r="G577" s="33" t="s">
        <v>38</v>
      </c>
      <c r="H577" s="33" t="s">
        <v>7128</v>
      </c>
      <c r="I577" s="33" t="s">
        <v>39</v>
      </c>
      <c r="J577" s="33" t="s">
        <v>40</v>
      </c>
      <c r="K577" s="33" t="s">
        <v>41</v>
      </c>
    </row>
    <row r="578" spans="1:12" s="33" customFormat="1" hidden="1" x14ac:dyDescent="0.3">
      <c r="A578" s="39">
        <v>46106.576817129629</v>
      </c>
      <c r="B578" s="33">
        <v>4430459032</v>
      </c>
      <c r="C578" s="33" t="s">
        <v>44</v>
      </c>
      <c r="D578" s="33">
        <v>4430265054</v>
      </c>
      <c r="E578" s="33">
        <v>102</v>
      </c>
      <c r="F578" s="33">
        <v>93</v>
      </c>
      <c r="G578" s="33" t="s">
        <v>38</v>
      </c>
      <c r="H578" s="33" t="s">
        <v>7129</v>
      </c>
      <c r="I578" s="33" t="s">
        <v>39</v>
      </c>
      <c r="J578" s="33" t="s">
        <v>40</v>
      </c>
      <c r="K578" s="33" t="s">
        <v>41</v>
      </c>
    </row>
    <row r="579" spans="1:12" s="33" customFormat="1" hidden="1" x14ac:dyDescent="0.3">
      <c r="A579" s="39">
        <v>46106.571261574078</v>
      </c>
      <c r="B579" s="33">
        <v>4430282545</v>
      </c>
      <c r="C579" s="33" t="s">
        <v>37</v>
      </c>
      <c r="D579" s="33">
        <v>4430265054</v>
      </c>
      <c r="E579" s="33">
        <v>491</v>
      </c>
      <c r="F579" s="33">
        <v>448</v>
      </c>
      <c r="G579" s="33" t="s">
        <v>38</v>
      </c>
      <c r="H579" s="33" t="s">
        <v>7130</v>
      </c>
      <c r="I579" s="33" t="s">
        <v>39</v>
      </c>
      <c r="J579" s="33" t="s">
        <v>40</v>
      </c>
      <c r="K579" s="33" t="s">
        <v>41</v>
      </c>
      <c r="L579" s="33">
        <v>5</v>
      </c>
    </row>
    <row r="580" spans="1:12" s="33" customFormat="1" hidden="1" x14ac:dyDescent="0.3">
      <c r="A580" s="39">
        <v>46106.570543981485</v>
      </c>
      <c r="B580" s="33">
        <v>4430188650</v>
      </c>
      <c r="C580" s="33" t="s">
        <v>43</v>
      </c>
      <c r="D580" s="33">
        <v>4430265054</v>
      </c>
      <c r="E580" s="33">
        <v>350</v>
      </c>
      <c r="F580" s="33">
        <v>248</v>
      </c>
      <c r="G580" s="33" t="s">
        <v>38</v>
      </c>
      <c r="H580" s="33" t="s">
        <v>7131</v>
      </c>
      <c r="I580" s="33" t="s">
        <v>39</v>
      </c>
      <c r="J580" s="33" t="s">
        <v>40</v>
      </c>
      <c r="K580" s="33" t="s">
        <v>41</v>
      </c>
    </row>
    <row r="581" spans="1:12" s="33" customFormat="1" hidden="1" x14ac:dyDescent="0.3">
      <c r="A581" s="39">
        <v>46106.568668981483</v>
      </c>
      <c r="B581" s="33" t="s">
        <v>43</v>
      </c>
      <c r="C581" s="33">
        <v>44988067937</v>
      </c>
      <c r="E581" s="33">
        <v>87</v>
      </c>
      <c r="F581" s="33">
        <v>70</v>
      </c>
      <c r="G581" s="33" t="s">
        <v>38</v>
      </c>
      <c r="H581" s="33" t="s">
        <v>7132</v>
      </c>
      <c r="I581" s="33" t="s">
        <v>46</v>
      </c>
      <c r="J581" s="33" t="s">
        <v>40</v>
      </c>
    </row>
    <row r="582" spans="1:12" s="33" customFormat="1" hidden="1" x14ac:dyDescent="0.3">
      <c r="A582" s="39">
        <v>46106.56858796296</v>
      </c>
      <c r="B582" s="33" t="s">
        <v>43</v>
      </c>
      <c r="C582" s="33">
        <v>44988067937</v>
      </c>
      <c r="E582" s="33">
        <v>6</v>
      </c>
      <c r="F582" s="33">
        <v>0</v>
      </c>
      <c r="G582" s="33" t="s">
        <v>47</v>
      </c>
      <c r="H582" s="33" t="s">
        <v>7133</v>
      </c>
      <c r="I582" s="33" t="s">
        <v>46</v>
      </c>
      <c r="J582" s="33" t="s">
        <v>40</v>
      </c>
    </row>
    <row r="583" spans="1:12" s="33" customFormat="1" hidden="1" x14ac:dyDescent="0.3">
      <c r="A583" s="39">
        <v>46106.568518518521</v>
      </c>
      <c r="B583" s="33" t="s">
        <v>48</v>
      </c>
      <c r="C583" s="33">
        <v>4432541200</v>
      </c>
      <c r="E583" s="33">
        <v>1144</v>
      </c>
      <c r="F583" s="33">
        <v>1139</v>
      </c>
      <c r="G583" s="33" t="s">
        <v>38</v>
      </c>
      <c r="H583" s="33" t="s">
        <v>7134</v>
      </c>
      <c r="I583" s="33" t="s">
        <v>46</v>
      </c>
      <c r="J583" s="33" t="s">
        <v>40</v>
      </c>
    </row>
    <row r="584" spans="1:12" s="33" customFormat="1" hidden="1" x14ac:dyDescent="0.3">
      <c r="A584" s="39">
        <v>46106.568472222221</v>
      </c>
      <c r="B584" s="33" t="s">
        <v>48</v>
      </c>
      <c r="C584" s="33">
        <v>4432541200</v>
      </c>
      <c r="E584" s="33">
        <v>2</v>
      </c>
      <c r="F584" s="33">
        <v>0</v>
      </c>
      <c r="G584" s="33" t="s">
        <v>47</v>
      </c>
      <c r="H584" s="33" t="s">
        <v>7135</v>
      </c>
      <c r="I584" s="33" t="s">
        <v>46</v>
      </c>
      <c r="J584" s="33" t="s">
        <v>40</v>
      </c>
    </row>
    <row r="585" spans="1:12" s="33" customFormat="1" hidden="1" x14ac:dyDescent="0.3">
      <c r="A585" s="39">
        <v>46106.567627314813</v>
      </c>
      <c r="B585" s="33" t="s">
        <v>48</v>
      </c>
      <c r="C585" s="33">
        <v>4435223408</v>
      </c>
      <c r="E585" s="33">
        <v>50</v>
      </c>
      <c r="F585" s="33">
        <v>30</v>
      </c>
      <c r="G585" s="33" t="s">
        <v>38</v>
      </c>
      <c r="H585" s="33" t="s">
        <v>7136</v>
      </c>
      <c r="I585" s="33" t="s">
        <v>46</v>
      </c>
      <c r="J585" s="33" t="s">
        <v>40</v>
      </c>
    </row>
    <row r="586" spans="1:12" s="33" customFormat="1" hidden="1" x14ac:dyDescent="0.3">
      <c r="A586" s="39">
        <v>46106.56653935185</v>
      </c>
      <c r="B586" s="33">
        <v>4430188650</v>
      </c>
      <c r="C586" s="33">
        <v>4430265054</v>
      </c>
      <c r="D586" s="33">
        <v>4430265054</v>
      </c>
      <c r="E586" s="33">
        <v>0</v>
      </c>
      <c r="F586" s="33">
        <v>0</v>
      </c>
      <c r="G586" s="33" t="s">
        <v>47</v>
      </c>
      <c r="H586" s="33" t="s">
        <v>7137</v>
      </c>
      <c r="I586" s="33" t="s">
        <v>39</v>
      </c>
      <c r="J586" s="33" t="s">
        <v>3451</v>
      </c>
    </row>
    <row r="587" spans="1:12" s="33" customFormat="1" x14ac:dyDescent="0.3">
      <c r="A587" s="39">
        <v>46106.566076388888</v>
      </c>
      <c r="B587" s="33">
        <v>4432541143</v>
      </c>
      <c r="C587" s="33" t="s">
        <v>42</v>
      </c>
      <c r="D587" s="33">
        <v>4430265054</v>
      </c>
      <c r="E587" s="33">
        <v>649</v>
      </c>
      <c r="F587" s="33">
        <v>614</v>
      </c>
      <c r="G587" s="33" t="s">
        <v>38</v>
      </c>
      <c r="H587" s="33" t="s">
        <v>7138</v>
      </c>
      <c r="I587" s="33" t="s">
        <v>39</v>
      </c>
      <c r="J587" s="33" t="s">
        <v>40</v>
      </c>
      <c r="K587" s="33" t="s">
        <v>41</v>
      </c>
      <c r="L587" s="33">
        <v>5</v>
      </c>
    </row>
    <row r="588" spans="1:12" s="33" customFormat="1" hidden="1" x14ac:dyDescent="0.3">
      <c r="A588" s="39">
        <v>46106.564733796295</v>
      </c>
      <c r="B588" s="33" t="s">
        <v>45</v>
      </c>
      <c r="C588" s="33">
        <v>1131043888</v>
      </c>
      <c r="E588" s="33">
        <v>760</v>
      </c>
      <c r="F588" s="33">
        <v>758</v>
      </c>
      <c r="G588" s="33" t="s">
        <v>38</v>
      </c>
      <c r="H588" s="33" t="s">
        <v>7139</v>
      </c>
      <c r="I588" s="33" t="s">
        <v>46</v>
      </c>
      <c r="J588" s="33" t="s">
        <v>40</v>
      </c>
    </row>
    <row r="589" spans="1:12" s="33" customFormat="1" hidden="1" x14ac:dyDescent="0.3">
      <c r="A589" s="39">
        <v>46106.563101851854</v>
      </c>
      <c r="B589" s="33">
        <v>4432677399</v>
      </c>
      <c r="C589" s="33" t="s">
        <v>43</v>
      </c>
      <c r="D589" s="33">
        <v>4430265054</v>
      </c>
      <c r="E589" s="33">
        <v>318</v>
      </c>
      <c r="F589" s="33">
        <v>260</v>
      </c>
      <c r="G589" s="33" t="s">
        <v>38</v>
      </c>
      <c r="H589" s="33" t="s">
        <v>7140</v>
      </c>
      <c r="I589" s="33" t="s">
        <v>39</v>
      </c>
      <c r="J589" s="33" t="s">
        <v>40</v>
      </c>
      <c r="K589" s="33" t="s">
        <v>41</v>
      </c>
    </row>
    <row r="590" spans="1:12" s="33" customFormat="1" hidden="1" x14ac:dyDescent="0.3">
      <c r="A590" s="39">
        <v>46106.562384259261</v>
      </c>
      <c r="B590" s="33">
        <v>4432677399</v>
      </c>
      <c r="C590" s="33">
        <v>4430265054</v>
      </c>
      <c r="D590" s="33">
        <v>4430265054</v>
      </c>
      <c r="E590" s="33">
        <v>25</v>
      </c>
      <c r="F590" s="33">
        <v>24</v>
      </c>
      <c r="G590" s="33" t="s">
        <v>3449</v>
      </c>
      <c r="H590" s="33" t="s">
        <v>7141</v>
      </c>
      <c r="I590" s="33" t="s">
        <v>39</v>
      </c>
      <c r="J590" s="33" t="s">
        <v>3451</v>
      </c>
    </row>
    <row r="591" spans="1:12" s="33" customFormat="1" hidden="1" x14ac:dyDescent="0.3">
      <c r="A591" s="39">
        <v>46106.549791666665</v>
      </c>
      <c r="B591" s="33">
        <v>4121413723</v>
      </c>
      <c r="C591" s="33">
        <v>4531273159</v>
      </c>
      <c r="D591" s="33">
        <v>4531273159</v>
      </c>
      <c r="E591" s="33">
        <v>28</v>
      </c>
      <c r="F591" s="33">
        <v>28</v>
      </c>
      <c r="G591" s="33" t="s">
        <v>3449</v>
      </c>
      <c r="H591" s="33" t="s">
        <v>7142</v>
      </c>
      <c r="I591" s="33" t="s">
        <v>39</v>
      </c>
      <c r="J591" s="33" t="s">
        <v>3451</v>
      </c>
    </row>
    <row r="592" spans="1:12" s="33" customFormat="1" hidden="1" x14ac:dyDescent="0.3">
      <c r="A592" s="39">
        <v>46106.499872685185</v>
      </c>
      <c r="B592" s="33">
        <v>4121413723</v>
      </c>
      <c r="C592" s="33">
        <v>4531273164</v>
      </c>
      <c r="D592" s="33">
        <v>4531273164</v>
      </c>
      <c r="E592" s="33">
        <v>46</v>
      </c>
      <c r="F592" s="33">
        <v>46</v>
      </c>
      <c r="G592" s="33" t="s">
        <v>3449</v>
      </c>
      <c r="H592" s="33" t="s">
        <v>7143</v>
      </c>
      <c r="I592" s="33" t="s">
        <v>39</v>
      </c>
      <c r="J592" s="33" t="s">
        <v>3451</v>
      </c>
      <c r="K592" s="33" t="s">
        <v>41</v>
      </c>
    </row>
    <row r="593" spans="1:12" s="33" customFormat="1" hidden="1" x14ac:dyDescent="0.3">
      <c r="A593" s="39">
        <v>46106.487696759257</v>
      </c>
      <c r="B593" s="33">
        <v>44991484476</v>
      </c>
      <c r="C593" s="33" t="s">
        <v>37</v>
      </c>
      <c r="D593" s="33">
        <v>4430265054</v>
      </c>
      <c r="E593" s="33">
        <v>1213</v>
      </c>
      <c r="F593" s="33">
        <v>1099</v>
      </c>
      <c r="G593" s="33" t="s">
        <v>38</v>
      </c>
      <c r="H593" s="33" t="s">
        <v>7144</v>
      </c>
      <c r="I593" s="33" t="s">
        <v>39</v>
      </c>
      <c r="J593" s="33" t="s">
        <v>40</v>
      </c>
      <c r="K593" s="33" t="s">
        <v>41</v>
      </c>
    </row>
    <row r="594" spans="1:12" s="33" customFormat="1" hidden="1" x14ac:dyDescent="0.3">
      <c r="A594" s="39">
        <v>46106.480937499997</v>
      </c>
      <c r="B594" s="33" t="s">
        <v>48</v>
      </c>
      <c r="C594" s="33">
        <v>4435341422</v>
      </c>
      <c r="E594" s="33">
        <v>342</v>
      </c>
      <c r="F594" s="33">
        <v>328</v>
      </c>
      <c r="G594" s="33" t="s">
        <v>38</v>
      </c>
      <c r="H594" s="33" t="s">
        <v>7145</v>
      </c>
      <c r="I594" s="33" t="s">
        <v>46</v>
      </c>
      <c r="J594" s="33" t="s">
        <v>40</v>
      </c>
    </row>
    <row r="595" spans="1:12" s="33" customFormat="1" hidden="1" x14ac:dyDescent="0.3">
      <c r="A595" s="39">
        <v>46106.479872685188</v>
      </c>
      <c r="B595" s="33">
        <v>91989363636</v>
      </c>
      <c r="C595" s="33" t="s">
        <v>44</v>
      </c>
      <c r="D595" s="33">
        <v>4430265054</v>
      </c>
      <c r="E595" s="33">
        <v>510</v>
      </c>
      <c r="F595" s="33">
        <v>477</v>
      </c>
      <c r="G595" s="33" t="s">
        <v>38</v>
      </c>
      <c r="H595" s="33" t="s">
        <v>7146</v>
      </c>
      <c r="I595" s="33" t="s">
        <v>39</v>
      </c>
      <c r="J595" s="33" t="s">
        <v>40</v>
      </c>
      <c r="K595" s="33" t="s">
        <v>41</v>
      </c>
    </row>
    <row r="596" spans="1:12" s="33" customFormat="1" hidden="1" x14ac:dyDescent="0.3">
      <c r="A596" s="39">
        <v>46106.478773148148</v>
      </c>
      <c r="B596" s="33">
        <v>91985176746</v>
      </c>
      <c r="C596" s="33">
        <v>4430265054</v>
      </c>
      <c r="D596" s="33">
        <v>4430265054</v>
      </c>
      <c r="E596" s="33">
        <v>1</v>
      </c>
      <c r="F596" s="33">
        <v>0</v>
      </c>
      <c r="G596" s="33" t="s">
        <v>47</v>
      </c>
      <c r="H596" s="33" t="s">
        <v>7147</v>
      </c>
      <c r="I596" s="33" t="s">
        <v>39</v>
      </c>
      <c r="J596" s="33" t="s">
        <v>3451</v>
      </c>
    </row>
    <row r="597" spans="1:12" s="33" customFormat="1" hidden="1" x14ac:dyDescent="0.3">
      <c r="A597" s="39">
        <v>46106.473865740743</v>
      </c>
      <c r="B597" s="33" t="s">
        <v>48</v>
      </c>
      <c r="C597" s="33">
        <v>4435221208</v>
      </c>
      <c r="E597" s="33">
        <v>549</v>
      </c>
      <c r="F597" s="33">
        <v>534</v>
      </c>
      <c r="G597" s="33" t="s">
        <v>38</v>
      </c>
      <c r="H597" s="33" t="s">
        <v>7148</v>
      </c>
      <c r="I597" s="33" t="s">
        <v>46</v>
      </c>
      <c r="J597" s="33" t="s">
        <v>40</v>
      </c>
    </row>
    <row r="598" spans="1:12" s="33" customFormat="1" hidden="1" x14ac:dyDescent="0.3">
      <c r="A598" s="39">
        <v>46106.473425925928</v>
      </c>
      <c r="B598" s="33">
        <v>44998493668</v>
      </c>
      <c r="C598" s="33" t="s">
        <v>43</v>
      </c>
      <c r="D598" s="33">
        <v>4430265054</v>
      </c>
      <c r="E598" s="33">
        <v>383</v>
      </c>
      <c r="F598" s="33">
        <v>329</v>
      </c>
      <c r="G598" s="33" t="s">
        <v>38</v>
      </c>
      <c r="H598" s="33" t="s">
        <v>7149</v>
      </c>
      <c r="I598" s="33" t="s">
        <v>39</v>
      </c>
      <c r="J598" s="33" t="s">
        <v>40</v>
      </c>
      <c r="K598" s="33" t="s">
        <v>41</v>
      </c>
      <c r="L598" s="33">
        <v>5</v>
      </c>
    </row>
    <row r="599" spans="1:12" s="33" customFormat="1" hidden="1" x14ac:dyDescent="0.3">
      <c r="A599" s="39">
        <v>46106.473275462966</v>
      </c>
      <c r="B599" s="33">
        <v>44998493668</v>
      </c>
      <c r="C599" s="33">
        <v>4430265054</v>
      </c>
      <c r="D599" s="33">
        <v>4430265054</v>
      </c>
      <c r="E599" s="33">
        <v>6</v>
      </c>
      <c r="F599" s="33">
        <v>5</v>
      </c>
      <c r="G599" s="33" t="s">
        <v>3449</v>
      </c>
      <c r="H599" s="33" t="s">
        <v>7150</v>
      </c>
      <c r="I599" s="33" t="s">
        <v>39</v>
      </c>
      <c r="J599" s="33" t="s">
        <v>3451</v>
      </c>
    </row>
    <row r="600" spans="1:12" s="33" customFormat="1" hidden="1" x14ac:dyDescent="0.3">
      <c r="A600" s="39">
        <v>46106.469074074077</v>
      </c>
      <c r="B600" s="33">
        <v>4121413723</v>
      </c>
      <c r="C600" s="33">
        <v>4430265054</v>
      </c>
      <c r="D600" s="33">
        <v>4430265054</v>
      </c>
      <c r="E600" s="33">
        <v>46</v>
      </c>
      <c r="F600" s="33">
        <v>46</v>
      </c>
      <c r="G600" s="33" t="s">
        <v>3449</v>
      </c>
      <c r="H600" s="33" t="s">
        <v>7151</v>
      </c>
      <c r="I600" s="33" t="s">
        <v>39</v>
      </c>
      <c r="J600" s="33" t="s">
        <v>3451</v>
      </c>
      <c r="K600" s="33" t="s">
        <v>41</v>
      </c>
    </row>
    <row r="601" spans="1:12" s="33" customFormat="1" hidden="1" x14ac:dyDescent="0.3">
      <c r="A601" s="39">
        <v>46106.463449074072</v>
      </c>
      <c r="B601" s="33">
        <v>44999387742</v>
      </c>
      <c r="C601" s="33" t="s">
        <v>43</v>
      </c>
      <c r="D601" s="33">
        <v>4430265054</v>
      </c>
      <c r="E601" s="33">
        <v>156</v>
      </c>
      <c r="F601" s="33">
        <v>122</v>
      </c>
      <c r="G601" s="33" t="s">
        <v>38</v>
      </c>
      <c r="H601" s="33" t="s">
        <v>7152</v>
      </c>
      <c r="I601" s="33" t="s">
        <v>39</v>
      </c>
      <c r="J601" s="33" t="s">
        <v>40</v>
      </c>
      <c r="K601" s="33" t="s">
        <v>41</v>
      </c>
    </row>
    <row r="602" spans="1:12" s="33" customFormat="1" hidden="1" x14ac:dyDescent="0.3">
      <c r="A602" s="39">
        <v>46106.462337962963</v>
      </c>
      <c r="B602" s="33">
        <v>44998006660</v>
      </c>
      <c r="C602" s="33" t="s">
        <v>48</v>
      </c>
      <c r="D602" s="33">
        <v>4430265054</v>
      </c>
      <c r="E602" s="33">
        <v>775</v>
      </c>
      <c r="F602" s="33">
        <v>714</v>
      </c>
      <c r="G602" s="33" t="s">
        <v>38</v>
      </c>
      <c r="H602" s="33" t="s">
        <v>7153</v>
      </c>
      <c r="I602" s="33" t="s">
        <v>39</v>
      </c>
      <c r="J602" s="33" t="s">
        <v>40</v>
      </c>
      <c r="K602" s="33" t="s">
        <v>41</v>
      </c>
    </row>
    <row r="603" spans="1:12" s="33" customFormat="1" hidden="1" x14ac:dyDescent="0.3">
      <c r="A603" s="39">
        <v>46106.460231481484</v>
      </c>
      <c r="B603" s="33">
        <v>4121413325</v>
      </c>
      <c r="C603" s="33">
        <v>4531273160</v>
      </c>
      <c r="D603" s="33">
        <v>4531273160</v>
      </c>
      <c r="E603" s="33">
        <v>30</v>
      </c>
      <c r="F603" s="33">
        <v>29</v>
      </c>
      <c r="G603" s="33" t="s">
        <v>3449</v>
      </c>
      <c r="H603" s="33" t="s">
        <v>7154</v>
      </c>
      <c r="I603" s="33" t="s">
        <v>39</v>
      </c>
      <c r="J603" s="33" t="s">
        <v>3451</v>
      </c>
    </row>
    <row r="604" spans="1:12" s="33" customFormat="1" hidden="1" x14ac:dyDescent="0.3">
      <c r="A604" s="39">
        <v>46106.460138888891</v>
      </c>
      <c r="B604" s="33" t="s">
        <v>48</v>
      </c>
      <c r="C604" s="33">
        <v>4433050408</v>
      </c>
      <c r="E604" s="33">
        <v>165</v>
      </c>
      <c r="F604" s="33">
        <v>147</v>
      </c>
      <c r="G604" s="33" t="s">
        <v>38</v>
      </c>
      <c r="H604" s="33" t="s">
        <v>7155</v>
      </c>
      <c r="I604" s="33" t="s">
        <v>46</v>
      </c>
      <c r="J604" s="33" t="s">
        <v>40</v>
      </c>
    </row>
    <row r="605" spans="1:12" s="33" customFormat="1" hidden="1" x14ac:dyDescent="0.3">
      <c r="A605" s="39">
        <v>46106.460104166668</v>
      </c>
      <c r="B605" s="33" t="s">
        <v>48</v>
      </c>
      <c r="C605" s="33">
        <v>4433050408</v>
      </c>
      <c r="E605" s="33">
        <v>1</v>
      </c>
      <c r="F605" s="33">
        <v>0</v>
      </c>
      <c r="G605" s="33" t="s">
        <v>47</v>
      </c>
      <c r="H605" s="33" t="s">
        <v>7156</v>
      </c>
      <c r="I605" s="33" t="s">
        <v>46</v>
      </c>
      <c r="J605" s="33" t="s">
        <v>40</v>
      </c>
    </row>
    <row r="606" spans="1:12" s="33" customFormat="1" hidden="1" x14ac:dyDescent="0.3">
      <c r="A606" s="39">
        <v>46106.459409722222</v>
      </c>
      <c r="B606" s="33" t="s">
        <v>43</v>
      </c>
      <c r="C606" s="33">
        <v>4435226025</v>
      </c>
      <c r="E606" s="33">
        <v>164</v>
      </c>
      <c r="F606" s="33">
        <v>152</v>
      </c>
      <c r="G606" s="33" t="s">
        <v>38</v>
      </c>
      <c r="H606" s="33" t="s">
        <v>7157</v>
      </c>
      <c r="I606" s="33" t="s">
        <v>46</v>
      </c>
      <c r="J606" s="33" t="s">
        <v>40</v>
      </c>
    </row>
    <row r="607" spans="1:12" s="33" customFormat="1" hidden="1" x14ac:dyDescent="0.3">
      <c r="A607" s="39">
        <v>46106.459363425929</v>
      </c>
      <c r="B607" s="33" t="s">
        <v>43</v>
      </c>
      <c r="C607" s="33">
        <v>4435226025</v>
      </c>
      <c r="E607" s="33">
        <v>2</v>
      </c>
      <c r="F607" s="33">
        <v>0</v>
      </c>
      <c r="G607" s="33" t="s">
        <v>47</v>
      </c>
      <c r="H607" s="33" t="s">
        <v>7158</v>
      </c>
      <c r="I607" s="33" t="s">
        <v>46</v>
      </c>
      <c r="J607" s="33" t="s">
        <v>40</v>
      </c>
    </row>
    <row r="608" spans="1:12" s="33" customFormat="1" hidden="1" x14ac:dyDescent="0.3">
      <c r="A608" s="39">
        <v>46106.458807870367</v>
      </c>
      <c r="B608" s="33" t="s">
        <v>48</v>
      </c>
      <c r="C608" s="33">
        <v>44997343311</v>
      </c>
      <c r="E608" s="33">
        <v>10</v>
      </c>
      <c r="F608" s="33">
        <v>0</v>
      </c>
      <c r="G608" s="33" t="s">
        <v>47</v>
      </c>
      <c r="H608" s="33" t="s">
        <v>7159</v>
      </c>
      <c r="I608" s="33" t="s">
        <v>46</v>
      </c>
      <c r="J608" s="33" t="s">
        <v>40</v>
      </c>
    </row>
    <row r="609" spans="1:12" s="33" customFormat="1" hidden="1" x14ac:dyDescent="0.3">
      <c r="A609" s="39">
        <v>46106.45857638889</v>
      </c>
      <c r="B609" s="33" t="s">
        <v>48</v>
      </c>
      <c r="C609" s="33">
        <v>44997343300</v>
      </c>
      <c r="E609" s="33">
        <v>9</v>
      </c>
      <c r="F609" s="33">
        <v>0</v>
      </c>
      <c r="G609" s="33" t="s">
        <v>47</v>
      </c>
      <c r="H609" s="33" t="s">
        <v>7160</v>
      </c>
      <c r="I609" s="33" t="s">
        <v>46</v>
      </c>
      <c r="J609" s="33" t="s">
        <v>40</v>
      </c>
    </row>
    <row r="610" spans="1:12" s="33" customFormat="1" hidden="1" x14ac:dyDescent="0.3">
      <c r="A610" s="39">
        <v>46106.458113425928</v>
      </c>
      <c r="B610" s="33" t="s">
        <v>48</v>
      </c>
      <c r="C610" s="33">
        <v>44997343300</v>
      </c>
      <c r="E610" s="33">
        <v>17</v>
      </c>
      <c r="F610" s="33">
        <v>0</v>
      </c>
      <c r="G610" s="33" t="s">
        <v>47</v>
      </c>
      <c r="H610" s="33" t="s">
        <v>7161</v>
      </c>
      <c r="I610" s="33" t="s">
        <v>46</v>
      </c>
      <c r="J610" s="33" t="s">
        <v>40</v>
      </c>
    </row>
    <row r="611" spans="1:12" s="33" customFormat="1" x14ac:dyDescent="0.3">
      <c r="A611" s="39">
        <v>46106.45721064815</v>
      </c>
      <c r="B611" s="33">
        <v>4331622700</v>
      </c>
      <c r="C611" s="33" t="s">
        <v>42</v>
      </c>
      <c r="D611" s="33">
        <v>4430265054</v>
      </c>
      <c r="E611" s="33">
        <v>1082</v>
      </c>
      <c r="F611" s="33">
        <v>1013</v>
      </c>
      <c r="G611" s="33" t="s">
        <v>38</v>
      </c>
      <c r="H611" s="33" t="s">
        <v>7162</v>
      </c>
      <c r="I611" s="33" t="s">
        <v>39</v>
      </c>
      <c r="J611" s="33" t="s">
        <v>40</v>
      </c>
      <c r="K611" s="33" t="s">
        <v>41</v>
      </c>
      <c r="L611" s="33">
        <v>5</v>
      </c>
    </row>
    <row r="612" spans="1:12" s="33" customFormat="1" hidden="1" x14ac:dyDescent="0.3">
      <c r="A612" s="39">
        <v>46106.451793981483</v>
      </c>
      <c r="B612" s="33" t="s">
        <v>48</v>
      </c>
      <c r="C612" s="33">
        <v>4430282545</v>
      </c>
      <c r="E612" s="33">
        <v>520</v>
      </c>
      <c r="F612" s="33">
        <v>503</v>
      </c>
      <c r="G612" s="33" t="s">
        <v>38</v>
      </c>
      <c r="H612" s="33" t="s">
        <v>7163</v>
      </c>
      <c r="I612" s="33" t="s">
        <v>46</v>
      </c>
      <c r="J612" s="33" t="s">
        <v>40</v>
      </c>
    </row>
    <row r="613" spans="1:12" s="33" customFormat="1" hidden="1" x14ac:dyDescent="0.3">
      <c r="A613" s="39">
        <v>46106.442060185182</v>
      </c>
      <c r="B613" s="33" t="s">
        <v>48</v>
      </c>
      <c r="C613" s="33">
        <v>44991354005</v>
      </c>
      <c r="E613" s="33">
        <v>734</v>
      </c>
      <c r="F613" s="33">
        <v>724</v>
      </c>
      <c r="G613" s="33" t="s">
        <v>38</v>
      </c>
      <c r="H613" s="33" t="s">
        <v>7164</v>
      </c>
      <c r="I613" s="33" t="s">
        <v>46</v>
      </c>
      <c r="J613" s="33" t="s">
        <v>40</v>
      </c>
    </row>
    <row r="614" spans="1:12" s="33" customFormat="1" hidden="1" x14ac:dyDescent="0.3">
      <c r="A614" s="39">
        <v>46106.441886574074</v>
      </c>
      <c r="B614" s="33" t="s">
        <v>48</v>
      </c>
      <c r="C614" s="33">
        <v>4433321380</v>
      </c>
      <c r="E614" s="33">
        <v>5</v>
      </c>
      <c r="F614" s="33">
        <v>0</v>
      </c>
      <c r="G614" s="33" t="s">
        <v>47</v>
      </c>
      <c r="H614" s="33" t="s">
        <v>7165</v>
      </c>
      <c r="I614" s="33" t="s">
        <v>46</v>
      </c>
      <c r="J614" s="33" t="s">
        <v>40</v>
      </c>
    </row>
    <row r="615" spans="1:12" s="33" customFormat="1" hidden="1" x14ac:dyDescent="0.3">
      <c r="A615" s="39">
        <v>46106.436180555553</v>
      </c>
      <c r="B615" s="33" t="s">
        <v>48</v>
      </c>
      <c r="C615" s="33">
        <v>4430152023</v>
      </c>
      <c r="E615" s="33">
        <v>364</v>
      </c>
      <c r="F615" s="33">
        <v>353</v>
      </c>
      <c r="G615" s="33" t="s">
        <v>38</v>
      </c>
      <c r="H615" s="33" t="s">
        <v>7166</v>
      </c>
      <c r="I615" s="33" t="s">
        <v>46</v>
      </c>
      <c r="J615" s="33" t="s">
        <v>40</v>
      </c>
    </row>
    <row r="616" spans="1:12" s="33" customFormat="1" hidden="1" x14ac:dyDescent="0.3">
      <c r="A616" s="39">
        <v>46106.434884259259</v>
      </c>
      <c r="B616" s="33" t="s">
        <v>48</v>
      </c>
      <c r="C616" s="33">
        <v>4432322101</v>
      </c>
      <c r="E616" s="33">
        <v>2</v>
      </c>
      <c r="F616" s="33">
        <v>0</v>
      </c>
      <c r="G616" s="33" t="s">
        <v>47</v>
      </c>
      <c r="H616" s="33" t="s">
        <v>7167</v>
      </c>
      <c r="I616" s="33" t="s">
        <v>46</v>
      </c>
      <c r="J616" s="33" t="s">
        <v>40</v>
      </c>
    </row>
    <row r="617" spans="1:12" s="33" customFormat="1" hidden="1" x14ac:dyDescent="0.3">
      <c r="A617" s="39">
        <v>46106.432384259257</v>
      </c>
      <c r="B617" s="33" t="s">
        <v>48</v>
      </c>
      <c r="C617" s="33">
        <v>4432322101</v>
      </c>
      <c r="E617" s="33">
        <v>2</v>
      </c>
      <c r="F617" s="33">
        <v>0</v>
      </c>
      <c r="G617" s="33" t="s">
        <v>47</v>
      </c>
      <c r="H617" s="33" t="s">
        <v>7168</v>
      </c>
      <c r="I617" s="33" t="s">
        <v>46</v>
      </c>
      <c r="J617" s="33" t="s">
        <v>40</v>
      </c>
    </row>
    <row r="618" spans="1:12" s="33" customFormat="1" hidden="1" x14ac:dyDescent="0.3">
      <c r="A618" s="39">
        <v>46106.432314814818</v>
      </c>
      <c r="B618" s="33" t="s">
        <v>48</v>
      </c>
      <c r="C618" s="33">
        <v>4432322101</v>
      </c>
      <c r="E618" s="33">
        <v>3</v>
      </c>
      <c r="F618" s="33">
        <v>0</v>
      </c>
      <c r="G618" s="33" t="s">
        <v>47</v>
      </c>
      <c r="H618" s="33" t="s">
        <v>7169</v>
      </c>
      <c r="I618" s="33" t="s">
        <v>46</v>
      </c>
      <c r="J618" s="33" t="s">
        <v>40</v>
      </c>
    </row>
    <row r="619" spans="1:12" s="33" customFormat="1" hidden="1" x14ac:dyDescent="0.3">
      <c r="A619" s="39">
        <v>46106.431030092594</v>
      </c>
      <c r="B619" s="33" t="s">
        <v>48</v>
      </c>
      <c r="C619" s="33">
        <v>4430293755</v>
      </c>
      <c r="E619" s="33">
        <v>58</v>
      </c>
      <c r="F619" s="33">
        <v>37</v>
      </c>
      <c r="G619" s="33" t="s">
        <v>38</v>
      </c>
      <c r="H619" s="33" t="s">
        <v>7170</v>
      </c>
      <c r="I619" s="33" t="s">
        <v>46</v>
      </c>
      <c r="J619" s="33" t="s">
        <v>40</v>
      </c>
    </row>
    <row r="620" spans="1:12" s="33" customFormat="1" hidden="1" x14ac:dyDescent="0.3">
      <c r="A620" s="39">
        <v>46106.430949074071</v>
      </c>
      <c r="B620" s="33" t="s">
        <v>48</v>
      </c>
      <c r="C620" s="33">
        <v>4430293755</v>
      </c>
      <c r="E620" s="33">
        <v>2</v>
      </c>
      <c r="F620" s="33">
        <v>0</v>
      </c>
      <c r="G620" s="33" t="s">
        <v>47</v>
      </c>
      <c r="H620" s="33" t="s">
        <v>7171</v>
      </c>
      <c r="I620" s="33" t="s">
        <v>46</v>
      </c>
      <c r="J620" s="33" t="s">
        <v>40</v>
      </c>
    </row>
    <row r="621" spans="1:12" s="33" customFormat="1" hidden="1" x14ac:dyDescent="0.3">
      <c r="A621" s="39">
        <v>46106.42287037037</v>
      </c>
      <c r="B621" s="33" t="s">
        <v>48</v>
      </c>
      <c r="C621" s="33">
        <v>4432321324</v>
      </c>
      <c r="E621" s="33">
        <v>427</v>
      </c>
      <c r="F621" s="33">
        <v>421</v>
      </c>
      <c r="G621" s="33" t="s">
        <v>38</v>
      </c>
      <c r="H621" s="33" t="s">
        <v>7172</v>
      </c>
      <c r="I621" s="33" t="s">
        <v>46</v>
      </c>
      <c r="J621" s="33" t="s">
        <v>40</v>
      </c>
    </row>
    <row r="622" spans="1:12" s="33" customFormat="1" hidden="1" x14ac:dyDescent="0.3">
      <c r="A622" s="39">
        <v>46106.422118055554</v>
      </c>
      <c r="B622" s="33">
        <v>4532541802</v>
      </c>
      <c r="C622" s="33" t="s">
        <v>45</v>
      </c>
      <c r="D622" s="33">
        <v>4430265054</v>
      </c>
      <c r="E622" s="33">
        <v>1007</v>
      </c>
      <c r="F622" s="33">
        <v>984</v>
      </c>
      <c r="G622" s="33" t="s">
        <v>38</v>
      </c>
      <c r="H622" s="33" t="s">
        <v>7173</v>
      </c>
      <c r="I622" s="33" t="s">
        <v>39</v>
      </c>
      <c r="J622" s="33" t="s">
        <v>40</v>
      </c>
      <c r="K622" s="33" t="s">
        <v>41</v>
      </c>
    </row>
    <row r="623" spans="1:12" s="33" customFormat="1" hidden="1" x14ac:dyDescent="0.3">
      <c r="A623" s="39">
        <v>46106.419861111113</v>
      </c>
      <c r="B623" s="33">
        <v>4330332823</v>
      </c>
      <c r="C623" s="33" t="s">
        <v>37</v>
      </c>
      <c r="D623" s="33">
        <v>4430265054</v>
      </c>
      <c r="E623" s="33">
        <v>1371</v>
      </c>
      <c r="F623" s="33">
        <v>1278</v>
      </c>
      <c r="G623" s="33" t="s">
        <v>38</v>
      </c>
      <c r="H623" s="33" t="s">
        <v>7174</v>
      </c>
      <c r="I623" s="33" t="s">
        <v>39</v>
      </c>
      <c r="J623" s="33" t="s">
        <v>40</v>
      </c>
      <c r="K623" s="33" t="s">
        <v>41</v>
      </c>
      <c r="L623" s="33">
        <v>5</v>
      </c>
    </row>
    <row r="624" spans="1:12" s="33" customFormat="1" hidden="1" x14ac:dyDescent="0.3">
      <c r="A624" s="39">
        <v>46106.41983796296</v>
      </c>
      <c r="B624" s="33" t="s">
        <v>44</v>
      </c>
      <c r="C624" s="33">
        <v>44999430528</v>
      </c>
      <c r="E624" s="33">
        <v>187</v>
      </c>
      <c r="F624" s="33">
        <v>175</v>
      </c>
      <c r="G624" s="33" t="s">
        <v>38</v>
      </c>
      <c r="H624" s="33" t="s">
        <v>7175</v>
      </c>
      <c r="I624" s="33" t="s">
        <v>46</v>
      </c>
      <c r="J624" s="33" t="s">
        <v>40</v>
      </c>
    </row>
    <row r="625" spans="1:12" s="33" customFormat="1" hidden="1" x14ac:dyDescent="0.3">
      <c r="A625" s="39">
        <v>46106.419131944444</v>
      </c>
      <c r="B625" s="33">
        <v>45999211357</v>
      </c>
      <c r="C625" s="33" t="s">
        <v>43</v>
      </c>
      <c r="D625" s="33">
        <v>4431268225</v>
      </c>
      <c r="E625" s="33">
        <v>299</v>
      </c>
      <c r="F625" s="33">
        <v>240</v>
      </c>
      <c r="G625" s="33" t="s">
        <v>38</v>
      </c>
      <c r="H625" s="33" t="s">
        <v>7176</v>
      </c>
      <c r="I625" s="33" t="s">
        <v>39</v>
      </c>
      <c r="J625" s="33" t="s">
        <v>40</v>
      </c>
      <c r="K625" s="33" t="s">
        <v>41</v>
      </c>
    </row>
    <row r="626" spans="1:12" s="33" customFormat="1" hidden="1" x14ac:dyDescent="0.3">
      <c r="A626" s="39">
        <v>46106.414004629631</v>
      </c>
      <c r="B626" s="33" t="s">
        <v>48</v>
      </c>
      <c r="C626" s="33">
        <v>4436293259</v>
      </c>
      <c r="E626" s="33">
        <v>693</v>
      </c>
      <c r="F626" s="33">
        <v>687</v>
      </c>
      <c r="G626" s="33" t="s">
        <v>38</v>
      </c>
      <c r="H626" s="33" t="s">
        <v>7177</v>
      </c>
      <c r="I626" s="33" t="s">
        <v>46</v>
      </c>
      <c r="J626" s="33" t="s">
        <v>40</v>
      </c>
    </row>
    <row r="627" spans="1:12" s="33" customFormat="1" hidden="1" x14ac:dyDescent="0.3">
      <c r="A627" s="39">
        <v>46106.413124999999</v>
      </c>
      <c r="B627" s="33" t="s">
        <v>48</v>
      </c>
      <c r="C627" s="33">
        <v>4430315826</v>
      </c>
      <c r="E627" s="33">
        <v>87</v>
      </c>
      <c r="F627" s="33">
        <v>75</v>
      </c>
      <c r="G627" s="33" t="s">
        <v>38</v>
      </c>
      <c r="H627" s="33" t="s">
        <v>7178</v>
      </c>
      <c r="I627" s="33" t="s">
        <v>46</v>
      </c>
      <c r="J627" s="33" t="s">
        <v>40</v>
      </c>
    </row>
    <row r="628" spans="1:12" s="33" customFormat="1" hidden="1" x14ac:dyDescent="0.3">
      <c r="A628" s="39">
        <v>46106.412905092591</v>
      </c>
      <c r="B628" s="33" t="s">
        <v>48</v>
      </c>
      <c r="C628" s="33">
        <v>4430315826</v>
      </c>
      <c r="E628" s="33">
        <v>1</v>
      </c>
      <c r="F628" s="33">
        <v>0</v>
      </c>
      <c r="G628" s="33" t="s">
        <v>47</v>
      </c>
      <c r="H628" s="33" t="s">
        <v>7179</v>
      </c>
      <c r="I628" s="33" t="s">
        <v>46</v>
      </c>
      <c r="J628" s="33" t="s">
        <v>40</v>
      </c>
    </row>
    <row r="629" spans="1:12" s="33" customFormat="1" hidden="1" x14ac:dyDescent="0.3">
      <c r="A629" s="39">
        <v>46106.411620370367</v>
      </c>
      <c r="B629" s="33" t="s">
        <v>48</v>
      </c>
      <c r="C629" s="33">
        <v>4430315826</v>
      </c>
      <c r="E629" s="33">
        <v>128</v>
      </c>
      <c r="F629" s="33">
        <v>115</v>
      </c>
      <c r="G629" s="33" t="s">
        <v>38</v>
      </c>
      <c r="H629" s="33" t="s">
        <v>7180</v>
      </c>
      <c r="I629" s="33" t="s">
        <v>46</v>
      </c>
      <c r="J629" s="33" t="s">
        <v>40</v>
      </c>
    </row>
    <row r="630" spans="1:12" s="33" customFormat="1" hidden="1" x14ac:dyDescent="0.3">
      <c r="A630" s="39">
        <v>46106.411574074074</v>
      </c>
      <c r="B630" s="33" t="s">
        <v>48</v>
      </c>
      <c r="C630" s="33">
        <v>4430315826</v>
      </c>
      <c r="E630" s="33">
        <v>3</v>
      </c>
      <c r="F630" s="33">
        <v>0</v>
      </c>
      <c r="G630" s="33" t="s">
        <v>47</v>
      </c>
      <c r="H630" s="33" t="s">
        <v>7181</v>
      </c>
      <c r="I630" s="33" t="s">
        <v>46</v>
      </c>
      <c r="J630" s="33" t="s">
        <v>40</v>
      </c>
    </row>
    <row r="631" spans="1:12" s="33" customFormat="1" hidden="1" x14ac:dyDescent="0.3">
      <c r="A631" s="39">
        <v>46106.410636574074</v>
      </c>
      <c r="B631" s="33">
        <v>4434212150</v>
      </c>
      <c r="C631" s="33">
        <v>4430265054</v>
      </c>
      <c r="D631" s="33">
        <v>4430265054</v>
      </c>
      <c r="E631" s="33">
        <v>1</v>
      </c>
      <c r="F631" s="33">
        <v>0</v>
      </c>
      <c r="G631" s="33" t="s">
        <v>47</v>
      </c>
      <c r="H631" s="33" t="s">
        <v>7182</v>
      </c>
      <c r="I631" s="33" t="s">
        <v>39</v>
      </c>
      <c r="J631" s="33" t="s">
        <v>3451</v>
      </c>
    </row>
    <row r="632" spans="1:12" s="33" customFormat="1" hidden="1" x14ac:dyDescent="0.3">
      <c r="A632" s="39">
        <v>46106.410416666666</v>
      </c>
      <c r="B632" s="33">
        <v>4430450103</v>
      </c>
      <c r="C632" s="33" t="s">
        <v>43</v>
      </c>
      <c r="D632" s="33">
        <v>4430265054</v>
      </c>
      <c r="E632" s="33">
        <v>209</v>
      </c>
      <c r="F632" s="33">
        <v>184</v>
      </c>
      <c r="G632" s="33" t="s">
        <v>38</v>
      </c>
      <c r="H632" s="33" t="s">
        <v>7183</v>
      </c>
      <c r="I632" s="33" t="s">
        <v>39</v>
      </c>
      <c r="J632" s="33" t="s">
        <v>40</v>
      </c>
      <c r="K632" s="33" t="s">
        <v>41</v>
      </c>
      <c r="L632" s="33">
        <v>5</v>
      </c>
    </row>
    <row r="633" spans="1:12" s="33" customFormat="1" hidden="1" x14ac:dyDescent="0.3">
      <c r="A633" s="39">
        <v>46106.410370370373</v>
      </c>
      <c r="B633" s="33" t="s">
        <v>48</v>
      </c>
      <c r="C633" s="33">
        <v>4430317020</v>
      </c>
      <c r="E633" s="33">
        <v>2</v>
      </c>
      <c r="F633" s="33">
        <v>0</v>
      </c>
      <c r="G633" s="33" t="s">
        <v>47</v>
      </c>
      <c r="H633" s="33" t="s">
        <v>7184</v>
      </c>
      <c r="I633" s="33" t="s">
        <v>46</v>
      </c>
      <c r="J633" s="33" t="s">
        <v>40</v>
      </c>
    </row>
    <row r="634" spans="1:12" s="33" customFormat="1" hidden="1" x14ac:dyDescent="0.3">
      <c r="A634" s="39">
        <v>46106.410115740742</v>
      </c>
      <c r="B634" s="33" t="s">
        <v>48</v>
      </c>
      <c r="C634" s="33">
        <v>4430317020</v>
      </c>
      <c r="E634" s="33">
        <v>3</v>
      </c>
      <c r="F634" s="33">
        <v>0</v>
      </c>
      <c r="G634" s="33" t="s">
        <v>47</v>
      </c>
      <c r="H634" s="33" t="s">
        <v>7185</v>
      </c>
      <c r="I634" s="33" t="s">
        <v>46</v>
      </c>
      <c r="J634" s="33" t="s">
        <v>40</v>
      </c>
    </row>
    <row r="635" spans="1:12" s="33" customFormat="1" hidden="1" x14ac:dyDescent="0.3">
      <c r="A635" s="39">
        <v>46106.410069444442</v>
      </c>
      <c r="B635" s="33" t="s">
        <v>48</v>
      </c>
      <c r="C635" s="33">
        <v>4430317020</v>
      </c>
      <c r="E635" s="33">
        <v>2</v>
      </c>
      <c r="F635" s="33">
        <v>0</v>
      </c>
      <c r="G635" s="33" t="s">
        <v>47</v>
      </c>
      <c r="H635" s="33" t="s">
        <v>7186</v>
      </c>
      <c r="I635" s="33" t="s">
        <v>46</v>
      </c>
      <c r="J635" s="33" t="s">
        <v>40</v>
      </c>
    </row>
    <row r="636" spans="1:12" s="33" customFormat="1" hidden="1" x14ac:dyDescent="0.3">
      <c r="A636" s="39">
        <v>46106.409525462965</v>
      </c>
      <c r="B636" s="33" t="s">
        <v>48</v>
      </c>
      <c r="C636" s="33">
        <v>4435312137</v>
      </c>
      <c r="E636" s="33">
        <v>22</v>
      </c>
      <c r="F636" s="33">
        <v>0</v>
      </c>
      <c r="G636" s="33" t="s">
        <v>47</v>
      </c>
      <c r="H636" s="33" t="s">
        <v>7187</v>
      </c>
      <c r="I636" s="33" t="s">
        <v>46</v>
      </c>
      <c r="J636" s="33" t="s">
        <v>40</v>
      </c>
    </row>
    <row r="637" spans="1:12" s="33" customFormat="1" hidden="1" x14ac:dyDescent="0.3">
      <c r="A637" s="39">
        <v>46106.408854166664</v>
      </c>
      <c r="B637" s="33" t="s">
        <v>48</v>
      </c>
      <c r="C637" s="33">
        <v>4435312137</v>
      </c>
      <c r="E637" s="33">
        <v>53</v>
      </c>
      <c r="F637" s="33">
        <v>0</v>
      </c>
      <c r="G637" s="33" t="s">
        <v>47</v>
      </c>
      <c r="H637" s="33" t="s">
        <v>7188</v>
      </c>
      <c r="I637" s="33" t="s">
        <v>46</v>
      </c>
      <c r="J637" s="33" t="s">
        <v>40</v>
      </c>
    </row>
    <row r="638" spans="1:12" s="33" customFormat="1" hidden="1" x14ac:dyDescent="0.3">
      <c r="A638" s="39">
        <v>46106.408055555556</v>
      </c>
      <c r="B638" s="33" t="s">
        <v>48</v>
      </c>
      <c r="C638" s="33">
        <v>4435312137</v>
      </c>
      <c r="E638" s="33">
        <v>56</v>
      </c>
      <c r="F638" s="33">
        <v>0</v>
      </c>
      <c r="G638" s="33" t="s">
        <v>47</v>
      </c>
      <c r="H638" s="33" t="s">
        <v>7189</v>
      </c>
      <c r="I638" s="33" t="s">
        <v>46</v>
      </c>
      <c r="J638" s="33" t="s">
        <v>40</v>
      </c>
    </row>
    <row r="639" spans="1:12" s="33" customFormat="1" hidden="1" x14ac:dyDescent="0.3">
      <c r="A639" s="39">
        <v>46106.407858796294</v>
      </c>
      <c r="B639" s="33">
        <v>4432256273</v>
      </c>
      <c r="C639" s="33" t="s">
        <v>45</v>
      </c>
      <c r="D639" s="33">
        <v>4430265054</v>
      </c>
      <c r="E639" s="33">
        <v>921</v>
      </c>
      <c r="F639" s="33">
        <v>897</v>
      </c>
      <c r="G639" s="33" t="s">
        <v>38</v>
      </c>
      <c r="H639" s="33" t="s">
        <v>7190</v>
      </c>
      <c r="I639" s="33" t="s">
        <v>39</v>
      </c>
      <c r="J639" s="33" t="s">
        <v>40</v>
      </c>
      <c r="K639" s="33" t="s">
        <v>41</v>
      </c>
      <c r="L639" s="33">
        <v>5</v>
      </c>
    </row>
    <row r="640" spans="1:12" s="33" customFormat="1" hidden="1" x14ac:dyDescent="0.3">
      <c r="A640" s="39">
        <v>46106.403749999998</v>
      </c>
      <c r="B640" s="33">
        <v>4130760170</v>
      </c>
      <c r="C640" s="33" t="s">
        <v>44</v>
      </c>
      <c r="D640" s="33">
        <v>4430265054</v>
      </c>
      <c r="E640" s="33">
        <v>265</v>
      </c>
      <c r="F640" s="33">
        <v>224</v>
      </c>
      <c r="G640" s="33" t="s">
        <v>38</v>
      </c>
      <c r="H640" s="33" t="s">
        <v>7191</v>
      </c>
      <c r="I640" s="33" t="s">
        <v>39</v>
      </c>
      <c r="J640" s="33" t="s">
        <v>40</v>
      </c>
      <c r="K640" s="33" t="s">
        <v>41</v>
      </c>
    </row>
    <row r="641" spans="1:12" s="33" customFormat="1" hidden="1" x14ac:dyDescent="0.3">
      <c r="A641" s="39">
        <v>46106.402129629627</v>
      </c>
      <c r="B641" s="33" t="s">
        <v>37</v>
      </c>
      <c r="C641" s="33">
        <v>3432424736</v>
      </c>
      <c r="E641" s="33">
        <v>456</v>
      </c>
      <c r="F641" s="33">
        <v>454</v>
      </c>
      <c r="G641" s="33" t="s">
        <v>38</v>
      </c>
      <c r="H641" s="33" t="s">
        <v>7192</v>
      </c>
      <c r="I641" s="33" t="s">
        <v>46</v>
      </c>
      <c r="J641" s="33" t="s">
        <v>40</v>
      </c>
      <c r="L641" s="33">
        <v>5</v>
      </c>
    </row>
    <row r="642" spans="1:12" s="33" customFormat="1" hidden="1" x14ac:dyDescent="0.3">
      <c r="A642" s="39">
        <v>46106.398854166669</v>
      </c>
      <c r="B642" s="33" t="s">
        <v>44</v>
      </c>
      <c r="C642" s="33">
        <v>44999430528</v>
      </c>
      <c r="E642" s="33">
        <v>333</v>
      </c>
      <c r="F642" s="33">
        <v>325</v>
      </c>
      <c r="G642" s="33" t="s">
        <v>38</v>
      </c>
      <c r="H642" s="33" t="s">
        <v>7193</v>
      </c>
      <c r="I642" s="33" t="s">
        <v>46</v>
      </c>
      <c r="J642" s="33" t="s">
        <v>40</v>
      </c>
    </row>
    <row r="643" spans="1:12" s="33" customFormat="1" hidden="1" x14ac:dyDescent="0.3">
      <c r="A643" s="39">
        <v>46106.398796296293</v>
      </c>
      <c r="B643" s="33" t="s">
        <v>45</v>
      </c>
      <c r="C643" s="33">
        <v>11964449514</v>
      </c>
      <c r="E643" s="33">
        <v>66</v>
      </c>
      <c r="F643" s="33">
        <v>30</v>
      </c>
      <c r="G643" s="33" t="s">
        <v>38</v>
      </c>
      <c r="H643" s="33" t="s">
        <v>7194</v>
      </c>
      <c r="I643" s="33" t="s">
        <v>46</v>
      </c>
      <c r="J643" s="33" t="s">
        <v>40</v>
      </c>
    </row>
    <row r="644" spans="1:12" s="33" customFormat="1" hidden="1" x14ac:dyDescent="0.3">
      <c r="A644" s="39">
        <v>46106.398715277777</v>
      </c>
      <c r="B644" s="33" t="s">
        <v>45</v>
      </c>
      <c r="C644" s="33">
        <v>1141853116</v>
      </c>
      <c r="E644" s="33">
        <v>4</v>
      </c>
      <c r="F644" s="33">
        <v>0</v>
      </c>
      <c r="G644" s="33" t="s">
        <v>47</v>
      </c>
      <c r="H644" s="33" t="s">
        <v>7195</v>
      </c>
      <c r="I644" s="33" t="s">
        <v>46</v>
      </c>
      <c r="J644" s="33" t="s">
        <v>40</v>
      </c>
    </row>
    <row r="645" spans="1:12" s="33" customFormat="1" hidden="1" x14ac:dyDescent="0.3">
      <c r="A645" s="39">
        <v>46106.397592592592</v>
      </c>
      <c r="B645" s="33" t="s">
        <v>48</v>
      </c>
      <c r="C645" s="33">
        <v>4430561673</v>
      </c>
      <c r="E645" s="33">
        <v>725</v>
      </c>
      <c r="F645" s="33">
        <v>713</v>
      </c>
      <c r="G645" s="33" t="s">
        <v>38</v>
      </c>
      <c r="H645" s="33" t="s">
        <v>7196</v>
      </c>
      <c r="I645" s="33" t="s">
        <v>46</v>
      </c>
      <c r="J645" s="33" t="s">
        <v>40</v>
      </c>
    </row>
    <row r="646" spans="1:12" s="33" customFormat="1" hidden="1" x14ac:dyDescent="0.3">
      <c r="A646" s="39">
        <v>46106.397499999999</v>
      </c>
      <c r="B646" s="33" t="s">
        <v>45</v>
      </c>
      <c r="C646" s="33">
        <v>11964449514</v>
      </c>
      <c r="E646" s="33">
        <v>71</v>
      </c>
      <c r="F646" s="33">
        <v>34</v>
      </c>
      <c r="G646" s="33" t="s">
        <v>38</v>
      </c>
      <c r="H646" s="33" t="s">
        <v>7197</v>
      </c>
      <c r="I646" s="33" t="s">
        <v>46</v>
      </c>
      <c r="J646" s="33" t="s">
        <v>40</v>
      </c>
    </row>
    <row r="647" spans="1:12" s="33" customFormat="1" hidden="1" x14ac:dyDescent="0.3">
      <c r="A647" s="39">
        <v>46106.397337962961</v>
      </c>
      <c r="B647" s="33">
        <v>4435228300</v>
      </c>
      <c r="C647" s="33" t="s">
        <v>42</v>
      </c>
      <c r="D647" s="33">
        <v>4430265054</v>
      </c>
      <c r="E647" s="33">
        <v>1598</v>
      </c>
      <c r="F647" s="33">
        <v>1504</v>
      </c>
      <c r="G647" s="33" t="s">
        <v>38</v>
      </c>
      <c r="H647" s="33" t="s">
        <v>7198</v>
      </c>
      <c r="I647" s="33" t="s">
        <v>39</v>
      </c>
      <c r="J647" s="33" t="s">
        <v>40</v>
      </c>
      <c r="K647" s="33" t="s">
        <v>41</v>
      </c>
    </row>
    <row r="648" spans="1:12" s="33" customFormat="1" hidden="1" x14ac:dyDescent="0.3">
      <c r="A648" s="39">
        <v>46106.397141203706</v>
      </c>
      <c r="B648" s="33">
        <v>4432541200</v>
      </c>
      <c r="C648" s="33" t="s">
        <v>37</v>
      </c>
      <c r="D648" s="33">
        <v>4430265054</v>
      </c>
      <c r="E648" s="33">
        <v>221</v>
      </c>
      <c r="F648" s="33">
        <v>119</v>
      </c>
      <c r="G648" s="33" t="s">
        <v>38</v>
      </c>
      <c r="H648" s="33" t="s">
        <v>7199</v>
      </c>
      <c r="I648" s="33" t="s">
        <v>39</v>
      </c>
      <c r="J648" s="33" t="s">
        <v>40</v>
      </c>
      <c r="K648" s="33" t="s">
        <v>41</v>
      </c>
      <c r="L648" s="33">
        <v>5</v>
      </c>
    </row>
    <row r="649" spans="1:12" s="33" customFormat="1" hidden="1" x14ac:dyDescent="0.3">
      <c r="A649" s="39">
        <v>46106.395439814813</v>
      </c>
      <c r="B649" s="33" t="s">
        <v>48</v>
      </c>
      <c r="C649" s="33">
        <v>4435293520</v>
      </c>
      <c r="E649" s="33">
        <v>73</v>
      </c>
      <c r="F649" s="33">
        <v>64</v>
      </c>
      <c r="G649" s="33" t="s">
        <v>38</v>
      </c>
      <c r="H649" s="33" t="s">
        <v>7200</v>
      </c>
      <c r="I649" s="33" t="s">
        <v>46</v>
      </c>
      <c r="J649" s="33" t="s">
        <v>40</v>
      </c>
    </row>
    <row r="650" spans="1:12" s="33" customFormat="1" hidden="1" x14ac:dyDescent="0.3">
      <c r="A650" s="39">
        <v>46106.393599537034</v>
      </c>
      <c r="B650" s="33" t="s">
        <v>45</v>
      </c>
      <c r="C650" s="33">
        <v>45999334612</v>
      </c>
      <c r="E650" s="33">
        <v>221</v>
      </c>
      <c r="F650" s="33">
        <v>212</v>
      </c>
      <c r="G650" s="33" t="s">
        <v>38</v>
      </c>
      <c r="H650" s="33" t="s">
        <v>7201</v>
      </c>
      <c r="I650" s="33" t="s">
        <v>46</v>
      </c>
      <c r="J650" s="33" t="s">
        <v>40</v>
      </c>
      <c r="L650" s="33">
        <v>5</v>
      </c>
    </row>
    <row r="651" spans="1:12" s="33" customFormat="1" hidden="1" x14ac:dyDescent="0.3">
      <c r="A651" s="39">
        <v>46106.392881944441</v>
      </c>
      <c r="B651" s="33" t="s">
        <v>45</v>
      </c>
      <c r="C651" s="33">
        <v>43984810043</v>
      </c>
      <c r="E651" s="33">
        <v>55</v>
      </c>
      <c r="F651" s="33">
        <v>26</v>
      </c>
      <c r="G651" s="33" t="s">
        <v>38</v>
      </c>
      <c r="H651" s="33" t="s">
        <v>7202</v>
      </c>
      <c r="I651" s="33" t="s">
        <v>46</v>
      </c>
      <c r="J651" s="33" t="s">
        <v>40</v>
      </c>
    </row>
    <row r="652" spans="1:12" s="33" customFormat="1" x14ac:dyDescent="0.3">
      <c r="A652" s="39">
        <v>46106.389421296299</v>
      </c>
      <c r="B652" s="33">
        <v>45999334612</v>
      </c>
      <c r="C652" s="33" t="s">
        <v>42</v>
      </c>
      <c r="D652" s="33">
        <v>4430265054</v>
      </c>
      <c r="E652" s="33">
        <v>150</v>
      </c>
      <c r="F652" s="33">
        <v>93</v>
      </c>
      <c r="G652" s="33" t="s">
        <v>38</v>
      </c>
      <c r="H652" s="33" t="s">
        <v>7203</v>
      </c>
      <c r="I652" s="33" t="s">
        <v>39</v>
      </c>
      <c r="J652" s="33" t="s">
        <v>40</v>
      </c>
      <c r="K652" s="33" t="s">
        <v>41</v>
      </c>
      <c r="L652" s="33">
        <v>5</v>
      </c>
    </row>
    <row r="653" spans="1:12" s="33" customFormat="1" hidden="1" x14ac:dyDescent="0.3">
      <c r="A653" s="39">
        <v>46106.388171296298</v>
      </c>
      <c r="B653" s="33" t="s">
        <v>48</v>
      </c>
      <c r="C653" s="33">
        <v>4430254650</v>
      </c>
      <c r="E653" s="33">
        <v>551</v>
      </c>
      <c r="F653" s="33">
        <v>550</v>
      </c>
      <c r="G653" s="33" t="s">
        <v>38</v>
      </c>
      <c r="H653" s="33" t="s">
        <v>7204</v>
      </c>
      <c r="I653" s="33" t="s">
        <v>46</v>
      </c>
      <c r="J653" s="33" t="s">
        <v>40</v>
      </c>
    </row>
    <row r="654" spans="1:12" s="33" customFormat="1" hidden="1" x14ac:dyDescent="0.3">
      <c r="A654" s="39">
        <v>46106.388136574074</v>
      </c>
      <c r="B654" s="33" t="s">
        <v>48</v>
      </c>
      <c r="C654" s="33">
        <v>4430254650</v>
      </c>
      <c r="E654" s="33">
        <v>2</v>
      </c>
      <c r="F654" s="33">
        <v>0</v>
      </c>
      <c r="G654" s="33" t="s">
        <v>47</v>
      </c>
      <c r="H654" s="33" t="s">
        <v>7205</v>
      </c>
      <c r="I654" s="33" t="s">
        <v>46</v>
      </c>
      <c r="J654" s="33" t="s">
        <v>40</v>
      </c>
    </row>
    <row r="655" spans="1:12" s="33" customFormat="1" hidden="1" x14ac:dyDescent="0.3">
      <c r="A655" s="39">
        <v>46106.387430555558</v>
      </c>
      <c r="B655" s="33" t="s">
        <v>48</v>
      </c>
      <c r="C655" s="33">
        <v>4436291513</v>
      </c>
      <c r="E655" s="33">
        <v>27</v>
      </c>
      <c r="F655" s="33">
        <v>19</v>
      </c>
      <c r="G655" s="33" t="s">
        <v>38</v>
      </c>
      <c r="H655" s="33" t="s">
        <v>7206</v>
      </c>
      <c r="I655" s="33" t="s">
        <v>46</v>
      </c>
      <c r="J655" s="33" t="s">
        <v>40</v>
      </c>
    </row>
    <row r="656" spans="1:12" s="33" customFormat="1" hidden="1" x14ac:dyDescent="0.3">
      <c r="A656" s="39">
        <v>46106.387048611112</v>
      </c>
      <c r="B656" s="33">
        <v>4334226481</v>
      </c>
      <c r="C656" s="33" t="s">
        <v>45</v>
      </c>
      <c r="D656" s="33">
        <v>4430265054</v>
      </c>
      <c r="E656" s="33">
        <v>427</v>
      </c>
      <c r="F656" s="33">
        <v>301</v>
      </c>
      <c r="G656" s="33" t="s">
        <v>38</v>
      </c>
      <c r="H656" s="33" t="s">
        <v>7207</v>
      </c>
      <c r="I656" s="33" t="s">
        <v>39</v>
      </c>
      <c r="J656" s="33" t="s">
        <v>40</v>
      </c>
      <c r="K656" s="33" t="s">
        <v>41</v>
      </c>
    </row>
    <row r="657" spans="1:12" s="33" customFormat="1" hidden="1" x14ac:dyDescent="0.3">
      <c r="A657" s="39">
        <v>46106.385266203702</v>
      </c>
      <c r="B657" s="33">
        <v>44999647912</v>
      </c>
      <c r="C657" s="33" t="s">
        <v>43</v>
      </c>
      <c r="D657" s="33">
        <v>4430265054</v>
      </c>
      <c r="E657" s="33">
        <v>1644</v>
      </c>
      <c r="F657" s="33">
        <v>1618</v>
      </c>
      <c r="G657" s="33" t="s">
        <v>38</v>
      </c>
      <c r="H657" s="33" t="s">
        <v>7208</v>
      </c>
      <c r="I657" s="33" t="s">
        <v>39</v>
      </c>
      <c r="J657" s="33" t="s">
        <v>40</v>
      </c>
      <c r="K657" s="33" t="s">
        <v>41</v>
      </c>
      <c r="L657" s="33">
        <v>5</v>
      </c>
    </row>
    <row r="658" spans="1:12" s="33" customFormat="1" hidden="1" x14ac:dyDescent="0.3">
      <c r="A658" s="39">
        <v>46106.384513888886</v>
      </c>
      <c r="B658" s="33" t="s">
        <v>48</v>
      </c>
      <c r="C658" s="33">
        <v>4436316701</v>
      </c>
      <c r="E658" s="33">
        <v>1</v>
      </c>
      <c r="F658" s="33">
        <v>0</v>
      </c>
      <c r="G658" s="33" t="s">
        <v>47</v>
      </c>
      <c r="H658" s="33" t="s">
        <v>7209</v>
      </c>
      <c r="I658" s="33" t="s">
        <v>46</v>
      </c>
      <c r="J658" s="33" t="s">
        <v>40</v>
      </c>
    </row>
    <row r="659" spans="1:12" s="33" customFormat="1" hidden="1" x14ac:dyDescent="0.3">
      <c r="A659" s="39">
        <v>46106.384456018517</v>
      </c>
      <c r="B659" s="33" t="s">
        <v>48</v>
      </c>
      <c r="C659" s="33">
        <v>4436316701</v>
      </c>
      <c r="E659" s="33">
        <v>1</v>
      </c>
      <c r="F659" s="33">
        <v>0</v>
      </c>
      <c r="G659" s="33" t="s">
        <v>47</v>
      </c>
      <c r="H659" s="33" t="s">
        <v>7210</v>
      </c>
      <c r="I659" s="33" t="s">
        <v>46</v>
      </c>
      <c r="J659" s="33" t="s">
        <v>40</v>
      </c>
    </row>
    <row r="660" spans="1:12" s="33" customFormat="1" hidden="1" x14ac:dyDescent="0.3">
      <c r="A660" s="39">
        <v>46106.383518518516</v>
      </c>
      <c r="B660" s="33" t="s">
        <v>48</v>
      </c>
      <c r="C660" s="33">
        <v>4436316701</v>
      </c>
      <c r="E660" s="33">
        <v>1</v>
      </c>
      <c r="F660" s="33">
        <v>0</v>
      </c>
      <c r="G660" s="33" t="s">
        <v>47</v>
      </c>
      <c r="H660" s="33" t="s">
        <v>7211</v>
      </c>
      <c r="I660" s="33" t="s">
        <v>46</v>
      </c>
      <c r="J660" s="33" t="s">
        <v>40</v>
      </c>
    </row>
    <row r="661" spans="1:12" s="33" customFormat="1" hidden="1" x14ac:dyDescent="0.3">
      <c r="A661" s="39">
        <v>46106.383460648147</v>
      </c>
      <c r="B661" s="33" t="s">
        <v>48</v>
      </c>
      <c r="C661" s="33">
        <v>4436316701</v>
      </c>
      <c r="E661" s="33">
        <v>2</v>
      </c>
      <c r="F661" s="33">
        <v>0</v>
      </c>
      <c r="G661" s="33" t="s">
        <v>47</v>
      </c>
      <c r="H661" s="33" t="s">
        <v>7212</v>
      </c>
      <c r="I661" s="33" t="s">
        <v>46</v>
      </c>
      <c r="J661" s="33" t="s">
        <v>40</v>
      </c>
    </row>
    <row r="662" spans="1:12" s="33" customFormat="1" hidden="1" x14ac:dyDescent="0.3">
      <c r="A662" s="39">
        <v>46106.383414351854</v>
      </c>
      <c r="B662" s="33" t="s">
        <v>48</v>
      </c>
      <c r="C662" s="33">
        <v>4436316701</v>
      </c>
      <c r="E662" s="33">
        <v>2</v>
      </c>
      <c r="F662" s="33">
        <v>0</v>
      </c>
      <c r="G662" s="33" t="s">
        <v>47</v>
      </c>
      <c r="H662" s="33" t="s">
        <v>7213</v>
      </c>
      <c r="I662" s="33" t="s">
        <v>46</v>
      </c>
      <c r="J662" s="33" t="s">
        <v>40</v>
      </c>
    </row>
    <row r="663" spans="1:12" s="33" customFormat="1" hidden="1" x14ac:dyDescent="0.3">
      <c r="A663" s="39">
        <v>46106.381053240744</v>
      </c>
      <c r="B663" s="33" t="s">
        <v>48</v>
      </c>
      <c r="C663" s="33">
        <v>4436721260</v>
      </c>
      <c r="E663" s="33">
        <v>141</v>
      </c>
      <c r="F663" s="33">
        <v>128</v>
      </c>
      <c r="G663" s="33" t="s">
        <v>38</v>
      </c>
      <c r="H663" s="33" t="s">
        <v>7214</v>
      </c>
      <c r="I663" s="33" t="s">
        <v>46</v>
      </c>
      <c r="J663" s="33" t="s">
        <v>40</v>
      </c>
    </row>
    <row r="664" spans="1:12" s="33" customFormat="1" hidden="1" x14ac:dyDescent="0.3">
      <c r="A664" s="39">
        <v>46106.378553240742</v>
      </c>
      <c r="B664" s="33">
        <v>83988398480</v>
      </c>
      <c r="C664" s="33" t="s">
        <v>44</v>
      </c>
      <c r="D664" s="33">
        <v>4430265054</v>
      </c>
      <c r="E664" s="33">
        <v>1141</v>
      </c>
      <c r="F664" s="33">
        <v>1002</v>
      </c>
      <c r="G664" s="33" t="s">
        <v>38</v>
      </c>
      <c r="H664" s="33" t="s">
        <v>7215</v>
      </c>
      <c r="I664" s="33" t="s">
        <v>39</v>
      </c>
      <c r="J664" s="33" t="s">
        <v>40</v>
      </c>
      <c r="K664" s="33" t="s">
        <v>41</v>
      </c>
    </row>
    <row r="665" spans="1:12" s="33" customFormat="1" hidden="1" x14ac:dyDescent="0.3">
      <c r="A665" s="39">
        <v>46106.375416666669</v>
      </c>
      <c r="B665" s="33">
        <v>44999430528</v>
      </c>
      <c r="C665" s="33" t="s">
        <v>44</v>
      </c>
      <c r="D665" s="33">
        <v>4430265054</v>
      </c>
      <c r="E665" s="33">
        <v>334</v>
      </c>
      <c r="F665" s="33">
        <v>308</v>
      </c>
      <c r="G665" s="33" t="s">
        <v>38</v>
      </c>
      <c r="H665" s="33" t="s">
        <v>7216</v>
      </c>
      <c r="I665" s="33" t="s">
        <v>39</v>
      </c>
      <c r="J665" s="33" t="s">
        <v>40</v>
      </c>
      <c r="K665" s="33" t="s">
        <v>41</v>
      </c>
    </row>
    <row r="666" spans="1:12" s="33" customFormat="1" hidden="1" x14ac:dyDescent="0.3">
      <c r="A666" s="39">
        <v>46106.369525462964</v>
      </c>
      <c r="B666" s="33">
        <v>44997650834</v>
      </c>
      <c r="C666" s="33" t="s">
        <v>44</v>
      </c>
      <c r="D666" s="33">
        <v>4430265054</v>
      </c>
      <c r="E666" s="33">
        <v>458</v>
      </c>
      <c r="F666" s="33">
        <v>334</v>
      </c>
      <c r="G666" s="33" t="s">
        <v>38</v>
      </c>
      <c r="H666" s="33" t="s">
        <v>7217</v>
      </c>
      <c r="I666" s="33" t="s">
        <v>39</v>
      </c>
      <c r="J666" s="33" t="s">
        <v>40</v>
      </c>
      <c r="K666" s="33" t="s">
        <v>41</v>
      </c>
      <c r="L666" s="33">
        <v>5</v>
      </c>
    </row>
    <row r="667" spans="1:12" s="33" customFormat="1" hidden="1" x14ac:dyDescent="0.3">
      <c r="A667" s="39">
        <v>46106.367476851854</v>
      </c>
      <c r="B667" s="33">
        <v>43999829064</v>
      </c>
      <c r="C667" s="33" t="s">
        <v>45</v>
      </c>
      <c r="D667" s="33">
        <v>4430265054</v>
      </c>
      <c r="E667" s="33">
        <v>624</v>
      </c>
      <c r="F667" s="33">
        <v>563</v>
      </c>
      <c r="G667" s="33" t="s">
        <v>38</v>
      </c>
      <c r="H667" s="33" t="s">
        <v>7218</v>
      </c>
      <c r="I667" s="33" t="s">
        <v>39</v>
      </c>
      <c r="J667" s="33" t="s">
        <v>40</v>
      </c>
      <c r="K667" s="33" t="s">
        <v>41</v>
      </c>
      <c r="L667" s="33">
        <v>5</v>
      </c>
    </row>
    <row r="668" spans="1:12" s="33" customFormat="1" hidden="1" x14ac:dyDescent="0.3">
      <c r="A668" s="39">
        <v>46106.351134259261</v>
      </c>
      <c r="B668" s="33" t="s">
        <v>45</v>
      </c>
      <c r="C668" s="33">
        <v>44988067937</v>
      </c>
      <c r="E668" s="33">
        <v>883</v>
      </c>
      <c r="F668" s="33">
        <v>869</v>
      </c>
      <c r="G668" s="33" t="s">
        <v>38</v>
      </c>
      <c r="H668" s="33" t="s">
        <v>7219</v>
      </c>
      <c r="I668" s="33" t="s">
        <v>46</v>
      </c>
      <c r="J668" s="33" t="s">
        <v>40</v>
      </c>
    </row>
    <row r="669" spans="1:12" s="33" customFormat="1" hidden="1" x14ac:dyDescent="0.3">
      <c r="A669" s="39">
        <v>46106.351041666669</v>
      </c>
      <c r="B669" s="33" t="s">
        <v>45</v>
      </c>
      <c r="C669" s="33">
        <v>44988067937</v>
      </c>
      <c r="E669" s="33">
        <v>5</v>
      </c>
      <c r="F669" s="33">
        <v>0</v>
      </c>
      <c r="G669" s="33" t="s">
        <v>47</v>
      </c>
      <c r="H669" s="33" t="s">
        <v>7220</v>
      </c>
      <c r="I669" s="33" t="s">
        <v>46</v>
      </c>
      <c r="J669" s="33" t="s">
        <v>40</v>
      </c>
    </row>
    <row r="670" spans="1:12" s="33" customFormat="1" hidden="1" x14ac:dyDescent="0.3">
      <c r="A670" s="39">
        <v>46106.34957175926</v>
      </c>
      <c r="B670" s="33" t="s">
        <v>44</v>
      </c>
      <c r="C670" s="33">
        <v>1732146970</v>
      </c>
      <c r="E670" s="33">
        <v>139</v>
      </c>
      <c r="F670" s="33">
        <v>137</v>
      </c>
      <c r="G670" s="33" t="s">
        <v>38</v>
      </c>
      <c r="H670" s="33" t="s">
        <v>7221</v>
      </c>
      <c r="I670" s="33" t="s">
        <v>46</v>
      </c>
      <c r="J670" s="33" t="s">
        <v>40</v>
      </c>
    </row>
    <row r="671" spans="1:12" s="33" customFormat="1" hidden="1" x14ac:dyDescent="0.3">
      <c r="A671" s="39">
        <v>46105.743159722224</v>
      </c>
      <c r="B671" s="33" t="s">
        <v>37</v>
      </c>
      <c r="C671" s="33">
        <v>3432424736</v>
      </c>
      <c r="E671" s="33">
        <v>91</v>
      </c>
      <c r="F671" s="33">
        <v>90</v>
      </c>
      <c r="G671" s="33" t="s">
        <v>38</v>
      </c>
      <c r="H671" s="33" t="s">
        <v>7222</v>
      </c>
      <c r="I671" s="33" t="s">
        <v>46</v>
      </c>
      <c r="J671" s="33" t="s">
        <v>40</v>
      </c>
    </row>
    <row r="672" spans="1:12" s="33" customFormat="1" hidden="1" x14ac:dyDescent="0.3">
      <c r="A672" s="39">
        <v>46105.742106481484</v>
      </c>
      <c r="B672" s="33">
        <v>4430414545</v>
      </c>
      <c r="C672" s="33">
        <v>4430265054</v>
      </c>
      <c r="D672" s="33">
        <v>4430265054</v>
      </c>
      <c r="E672" s="33">
        <v>86</v>
      </c>
      <c r="F672" s="33">
        <v>85</v>
      </c>
      <c r="G672" s="33" t="s">
        <v>3449</v>
      </c>
      <c r="H672" s="33" t="s">
        <v>7223</v>
      </c>
      <c r="I672" s="33" t="s">
        <v>39</v>
      </c>
      <c r="J672" s="33" t="s">
        <v>3451</v>
      </c>
      <c r="K672" s="33" t="s">
        <v>41</v>
      </c>
    </row>
    <row r="673" spans="1:12" s="33" customFormat="1" hidden="1" x14ac:dyDescent="0.3">
      <c r="A673" s="39">
        <v>46105.731064814812</v>
      </c>
      <c r="B673" s="33" t="s">
        <v>42</v>
      </c>
      <c r="C673" s="33">
        <v>4434212150</v>
      </c>
      <c r="E673" s="33">
        <v>35</v>
      </c>
      <c r="F673" s="33">
        <v>0</v>
      </c>
      <c r="G673" s="33" t="s">
        <v>47</v>
      </c>
      <c r="H673" s="33" t="s">
        <v>7224</v>
      </c>
      <c r="I673" s="33" t="s">
        <v>46</v>
      </c>
      <c r="J673" s="33" t="s">
        <v>40</v>
      </c>
    </row>
    <row r="674" spans="1:12" s="33" customFormat="1" hidden="1" x14ac:dyDescent="0.3">
      <c r="A674" s="39">
        <v>46105.730995370373</v>
      </c>
      <c r="B674" s="33" t="s">
        <v>42</v>
      </c>
      <c r="C674" s="33">
        <v>4434212150</v>
      </c>
      <c r="E674" s="33">
        <v>3</v>
      </c>
      <c r="F674" s="33">
        <v>0</v>
      </c>
      <c r="G674" s="33" t="s">
        <v>47</v>
      </c>
      <c r="H674" s="33" t="s">
        <v>7225</v>
      </c>
      <c r="I674" s="33" t="s">
        <v>46</v>
      </c>
      <c r="J674" s="33" t="s">
        <v>40</v>
      </c>
    </row>
    <row r="675" spans="1:12" s="33" customFormat="1" hidden="1" x14ac:dyDescent="0.3">
      <c r="A675" s="39">
        <v>46105.730347222219</v>
      </c>
      <c r="B675" s="33">
        <v>11947305533</v>
      </c>
      <c r="C675" s="33">
        <v>4430265054</v>
      </c>
      <c r="D675" s="33">
        <v>4430265054</v>
      </c>
      <c r="E675" s="33">
        <v>89</v>
      </c>
      <c r="F675" s="33">
        <v>89</v>
      </c>
      <c r="G675" s="33" t="s">
        <v>3449</v>
      </c>
      <c r="H675" s="33" t="s">
        <v>7226</v>
      </c>
      <c r="I675" s="33" t="s">
        <v>39</v>
      </c>
      <c r="J675" s="33" t="s">
        <v>3451</v>
      </c>
      <c r="K675" s="33" t="s">
        <v>41</v>
      </c>
    </row>
    <row r="676" spans="1:12" s="33" customFormat="1" hidden="1" x14ac:dyDescent="0.3">
      <c r="A676" s="39">
        <v>46105.722187500003</v>
      </c>
      <c r="B676" s="33" t="s">
        <v>42</v>
      </c>
      <c r="C676" s="33">
        <v>4434411284</v>
      </c>
      <c r="E676" s="33">
        <v>3</v>
      </c>
      <c r="F676" s="33">
        <v>0</v>
      </c>
      <c r="G676" s="33" t="s">
        <v>47</v>
      </c>
      <c r="H676" s="33" t="s">
        <v>7227</v>
      </c>
      <c r="I676" s="33" t="s">
        <v>46</v>
      </c>
      <c r="J676" s="33" t="s">
        <v>40</v>
      </c>
    </row>
    <row r="677" spans="1:12" s="33" customFormat="1" hidden="1" x14ac:dyDescent="0.3">
      <c r="A677" s="39">
        <v>46105.722118055557</v>
      </c>
      <c r="B677" s="33" t="s">
        <v>42</v>
      </c>
      <c r="C677" s="33">
        <v>4434411284</v>
      </c>
      <c r="E677" s="33">
        <v>4</v>
      </c>
      <c r="F677" s="33">
        <v>0</v>
      </c>
      <c r="G677" s="33" t="s">
        <v>47</v>
      </c>
      <c r="H677" s="33" t="s">
        <v>7228</v>
      </c>
      <c r="I677" s="33" t="s">
        <v>46</v>
      </c>
      <c r="J677" s="33" t="s">
        <v>40</v>
      </c>
    </row>
    <row r="678" spans="1:12" s="33" customFormat="1" hidden="1" x14ac:dyDescent="0.3">
      <c r="A678" s="39">
        <v>46105.722037037034</v>
      </c>
      <c r="B678" s="33" t="s">
        <v>42</v>
      </c>
      <c r="C678" s="33">
        <v>4434411284</v>
      </c>
      <c r="E678" s="33">
        <v>4</v>
      </c>
      <c r="F678" s="33">
        <v>0</v>
      </c>
      <c r="G678" s="33" t="s">
        <v>47</v>
      </c>
      <c r="H678" s="33" t="s">
        <v>7229</v>
      </c>
      <c r="I678" s="33" t="s">
        <v>46</v>
      </c>
      <c r="J678" s="33" t="s">
        <v>40</v>
      </c>
    </row>
    <row r="679" spans="1:12" s="33" customFormat="1" hidden="1" x14ac:dyDescent="0.3">
      <c r="A679" s="39">
        <v>46105.721979166665</v>
      </c>
      <c r="B679" s="33" t="s">
        <v>42</v>
      </c>
      <c r="C679" s="33">
        <v>4434411284</v>
      </c>
      <c r="E679" s="33">
        <v>2</v>
      </c>
      <c r="F679" s="33">
        <v>0</v>
      </c>
      <c r="G679" s="33" t="s">
        <v>47</v>
      </c>
      <c r="H679" s="33" t="s">
        <v>7230</v>
      </c>
      <c r="I679" s="33" t="s">
        <v>46</v>
      </c>
      <c r="J679" s="33" t="s">
        <v>40</v>
      </c>
    </row>
    <row r="680" spans="1:12" s="33" customFormat="1" hidden="1" x14ac:dyDescent="0.3">
      <c r="A680" s="39">
        <v>46105.721909722219</v>
      </c>
      <c r="B680" s="33" t="s">
        <v>42</v>
      </c>
      <c r="C680" s="33">
        <v>4434411284</v>
      </c>
      <c r="E680" s="33">
        <v>4</v>
      </c>
      <c r="F680" s="33">
        <v>0</v>
      </c>
      <c r="G680" s="33" t="s">
        <v>47</v>
      </c>
      <c r="H680" s="33" t="s">
        <v>7231</v>
      </c>
      <c r="I680" s="33" t="s">
        <v>46</v>
      </c>
      <c r="J680" s="33" t="s">
        <v>40</v>
      </c>
    </row>
    <row r="681" spans="1:12" s="33" customFormat="1" hidden="1" x14ac:dyDescent="0.3">
      <c r="A681" s="39">
        <v>46105.721666666665</v>
      </c>
      <c r="B681" s="33" t="s">
        <v>42</v>
      </c>
      <c r="C681" s="33">
        <v>4434411284</v>
      </c>
      <c r="E681" s="33">
        <v>6</v>
      </c>
      <c r="F681" s="33">
        <v>0</v>
      </c>
      <c r="G681" s="33" t="s">
        <v>47</v>
      </c>
      <c r="H681" s="33" t="s">
        <v>7232</v>
      </c>
      <c r="I681" s="33" t="s">
        <v>46</v>
      </c>
      <c r="J681" s="33" t="s">
        <v>40</v>
      </c>
    </row>
    <row r="682" spans="1:12" s="33" customFormat="1" hidden="1" x14ac:dyDescent="0.3">
      <c r="A682" s="39">
        <v>46105.721504629626</v>
      </c>
      <c r="B682" s="33" t="s">
        <v>42</v>
      </c>
      <c r="C682" s="33">
        <v>4434411284</v>
      </c>
      <c r="E682" s="33">
        <v>4</v>
      </c>
      <c r="F682" s="33">
        <v>0</v>
      </c>
      <c r="G682" s="33" t="s">
        <v>47</v>
      </c>
      <c r="H682" s="33" t="s">
        <v>7233</v>
      </c>
      <c r="I682" s="33" t="s">
        <v>46</v>
      </c>
      <c r="J682" s="33" t="s">
        <v>40</v>
      </c>
    </row>
    <row r="683" spans="1:12" s="33" customFormat="1" hidden="1" x14ac:dyDescent="0.3">
      <c r="A683" s="39">
        <v>46105.720972222225</v>
      </c>
      <c r="B683" s="33">
        <v>4430145899</v>
      </c>
      <c r="C683" s="33" t="s">
        <v>37</v>
      </c>
      <c r="D683" s="33">
        <v>4430265054</v>
      </c>
      <c r="E683" s="33">
        <v>1763</v>
      </c>
      <c r="F683" s="33">
        <v>1647</v>
      </c>
      <c r="G683" s="33" t="s">
        <v>38</v>
      </c>
      <c r="H683" s="33" t="s">
        <v>7234</v>
      </c>
      <c r="I683" s="33" t="s">
        <v>39</v>
      </c>
      <c r="J683" s="33" t="s">
        <v>40</v>
      </c>
      <c r="K683" s="33" t="s">
        <v>41</v>
      </c>
      <c r="L683" s="33">
        <v>5</v>
      </c>
    </row>
    <row r="684" spans="1:12" s="33" customFormat="1" hidden="1" x14ac:dyDescent="0.3">
      <c r="A684" s="39">
        <v>46105.719618055555</v>
      </c>
      <c r="B684" s="33">
        <v>4435228300</v>
      </c>
      <c r="C684" s="33" t="s">
        <v>43</v>
      </c>
      <c r="D684" s="33">
        <v>4430265054</v>
      </c>
      <c r="E684" s="33">
        <v>369</v>
      </c>
      <c r="F684" s="33">
        <v>214</v>
      </c>
      <c r="G684" s="33" t="s">
        <v>38</v>
      </c>
      <c r="H684" s="33" t="s">
        <v>7235</v>
      </c>
      <c r="I684" s="33" t="s">
        <v>39</v>
      </c>
      <c r="J684" s="33" t="s">
        <v>40</v>
      </c>
      <c r="K684" s="33" t="s">
        <v>41</v>
      </c>
    </row>
    <row r="685" spans="1:12" s="33" customFormat="1" hidden="1" x14ac:dyDescent="0.3">
      <c r="A685" s="39">
        <v>46105.708067129628</v>
      </c>
      <c r="B685" s="33">
        <v>44997618065</v>
      </c>
      <c r="C685" s="33" t="s">
        <v>44</v>
      </c>
      <c r="D685" s="33">
        <v>4430265054</v>
      </c>
      <c r="E685" s="33">
        <v>276</v>
      </c>
      <c r="F685" s="33">
        <v>214</v>
      </c>
      <c r="G685" s="33" t="s">
        <v>38</v>
      </c>
      <c r="H685" s="33" t="s">
        <v>7236</v>
      </c>
      <c r="I685" s="33" t="s">
        <v>39</v>
      </c>
      <c r="J685" s="33" t="s">
        <v>40</v>
      </c>
      <c r="K685" s="33" t="s">
        <v>41</v>
      </c>
    </row>
    <row r="686" spans="1:12" s="33" customFormat="1" hidden="1" x14ac:dyDescent="0.3">
      <c r="A686" s="39">
        <v>46105.705891203703</v>
      </c>
      <c r="B686" s="33">
        <v>4430145172</v>
      </c>
      <c r="C686" s="33" t="s">
        <v>42</v>
      </c>
      <c r="D686" s="33">
        <v>4430265054</v>
      </c>
      <c r="E686" s="33">
        <v>157</v>
      </c>
      <c r="F686" s="33">
        <v>117</v>
      </c>
      <c r="G686" s="33" t="s">
        <v>38</v>
      </c>
      <c r="H686" s="33" t="s">
        <v>7237</v>
      </c>
      <c r="I686" s="33" t="s">
        <v>39</v>
      </c>
      <c r="J686" s="33" t="s">
        <v>40</v>
      </c>
      <c r="K686" s="33" t="s">
        <v>41</v>
      </c>
    </row>
    <row r="687" spans="1:12" s="33" customFormat="1" hidden="1" x14ac:dyDescent="0.3">
      <c r="A687" s="39">
        <v>46105.704722222225</v>
      </c>
      <c r="B687" s="33">
        <v>67992169496</v>
      </c>
      <c r="C687" s="33" t="s">
        <v>37</v>
      </c>
      <c r="D687" s="33">
        <v>4430265054</v>
      </c>
      <c r="E687" s="33">
        <v>384</v>
      </c>
      <c r="F687" s="33">
        <v>353</v>
      </c>
      <c r="G687" s="33" t="s">
        <v>38</v>
      </c>
      <c r="H687" s="33" t="s">
        <v>7238</v>
      </c>
      <c r="I687" s="33" t="s">
        <v>39</v>
      </c>
      <c r="J687" s="33" t="s">
        <v>40</v>
      </c>
      <c r="K687" s="33" t="s">
        <v>41</v>
      </c>
    </row>
    <row r="688" spans="1:12" s="33" customFormat="1" hidden="1" x14ac:dyDescent="0.3">
      <c r="A688" s="39">
        <v>46105.702835648146</v>
      </c>
      <c r="B688" s="33">
        <v>4435226025</v>
      </c>
      <c r="C688" s="33" t="s">
        <v>43</v>
      </c>
      <c r="D688" s="33">
        <v>4430265054</v>
      </c>
      <c r="E688" s="33">
        <v>748</v>
      </c>
      <c r="F688" s="33">
        <v>697</v>
      </c>
      <c r="G688" s="33" t="s">
        <v>38</v>
      </c>
      <c r="H688" s="33" t="s">
        <v>7239</v>
      </c>
      <c r="I688" s="33" t="s">
        <v>39</v>
      </c>
      <c r="J688" s="33" t="s">
        <v>40</v>
      </c>
      <c r="K688" s="33" t="s">
        <v>41</v>
      </c>
    </row>
    <row r="689" spans="1:12" s="33" customFormat="1" hidden="1" x14ac:dyDescent="0.3">
      <c r="A689" s="39">
        <v>46105.700995370367</v>
      </c>
      <c r="B689" s="33">
        <v>91985176746</v>
      </c>
      <c r="C689" s="33" t="s">
        <v>44</v>
      </c>
      <c r="D689" s="33">
        <v>4430265054</v>
      </c>
      <c r="E689" s="33">
        <v>372</v>
      </c>
      <c r="F689" s="33">
        <v>327</v>
      </c>
      <c r="G689" s="33" t="s">
        <v>38</v>
      </c>
      <c r="H689" s="33" t="s">
        <v>7240</v>
      </c>
      <c r="I689" s="33" t="s">
        <v>39</v>
      </c>
      <c r="J689" s="33" t="s">
        <v>40</v>
      </c>
      <c r="K689" s="33" t="s">
        <v>41</v>
      </c>
    </row>
    <row r="690" spans="1:12" s="33" customFormat="1" hidden="1" x14ac:dyDescent="0.3">
      <c r="A690" s="39">
        <v>46105.700983796298</v>
      </c>
      <c r="B690" s="33">
        <v>41999853283</v>
      </c>
      <c r="C690" s="33" t="s">
        <v>45</v>
      </c>
      <c r="D690" s="33">
        <v>4430265054</v>
      </c>
      <c r="E690" s="33">
        <v>524</v>
      </c>
      <c r="F690" s="33">
        <v>503</v>
      </c>
      <c r="G690" s="33" t="s">
        <v>38</v>
      </c>
      <c r="H690" s="33" t="s">
        <v>7241</v>
      </c>
      <c r="I690" s="33" t="s">
        <v>39</v>
      </c>
      <c r="J690" s="33" t="s">
        <v>40</v>
      </c>
      <c r="K690" s="33" t="s">
        <v>41</v>
      </c>
      <c r="L690" s="33">
        <v>5</v>
      </c>
    </row>
    <row r="691" spans="1:12" s="33" customFormat="1" hidden="1" x14ac:dyDescent="0.3">
      <c r="A691" s="39">
        <v>46105.700752314813</v>
      </c>
      <c r="B691" s="33">
        <v>41999853283</v>
      </c>
      <c r="C691" s="33">
        <v>4430265054</v>
      </c>
      <c r="D691" s="33">
        <v>4430265054</v>
      </c>
      <c r="E691" s="33">
        <v>12</v>
      </c>
      <c r="F691" s="33">
        <v>11</v>
      </c>
      <c r="G691" s="33" t="s">
        <v>3449</v>
      </c>
      <c r="H691" s="33" t="s">
        <v>7242</v>
      </c>
      <c r="I691" s="33" t="s">
        <v>39</v>
      </c>
      <c r="J691" s="33" t="s">
        <v>3451</v>
      </c>
    </row>
    <row r="692" spans="1:12" s="33" customFormat="1" hidden="1" x14ac:dyDescent="0.3">
      <c r="A692" s="39">
        <v>46105.699907407405</v>
      </c>
      <c r="B692" s="33">
        <v>41999853283</v>
      </c>
      <c r="C692" s="33" t="s">
        <v>45</v>
      </c>
      <c r="D692" s="33">
        <v>4430265054</v>
      </c>
      <c r="E692" s="33">
        <v>70</v>
      </c>
      <c r="F692" s="33">
        <v>30</v>
      </c>
      <c r="G692" s="33" t="s">
        <v>38</v>
      </c>
      <c r="H692" s="33" t="s">
        <v>7243</v>
      </c>
      <c r="I692" s="33" t="s">
        <v>39</v>
      </c>
      <c r="J692" s="33" t="s">
        <v>40</v>
      </c>
      <c r="K692" s="33" t="s">
        <v>41</v>
      </c>
    </row>
    <row r="693" spans="1:12" s="33" customFormat="1" hidden="1" x14ac:dyDescent="0.3">
      <c r="A693" s="39">
        <v>46105.69871527778</v>
      </c>
      <c r="B693" s="33">
        <v>4121413325</v>
      </c>
      <c r="C693" s="33" t="s">
        <v>44</v>
      </c>
      <c r="D693" s="33">
        <v>4531273159</v>
      </c>
      <c r="E693" s="33">
        <v>57</v>
      </c>
      <c r="F693" s="33">
        <v>21</v>
      </c>
      <c r="G693" s="33" t="s">
        <v>38</v>
      </c>
      <c r="H693" s="33" t="s">
        <v>7244</v>
      </c>
      <c r="I693" s="33" t="s">
        <v>39</v>
      </c>
      <c r="J693" s="33" t="s">
        <v>40</v>
      </c>
      <c r="K693" s="33" t="s">
        <v>41</v>
      </c>
    </row>
    <row r="694" spans="1:12" s="33" customFormat="1" hidden="1" x14ac:dyDescent="0.3">
      <c r="A694" s="39">
        <v>46105.68408564815</v>
      </c>
      <c r="B694" s="33">
        <v>4121413723</v>
      </c>
      <c r="C694" s="33" t="s">
        <v>42</v>
      </c>
      <c r="D694" s="33">
        <v>4531273160</v>
      </c>
      <c r="E694" s="33">
        <v>51</v>
      </c>
      <c r="F694" s="33">
        <v>11</v>
      </c>
      <c r="G694" s="33" t="s">
        <v>38</v>
      </c>
      <c r="H694" s="33" t="s">
        <v>7245</v>
      </c>
      <c r="I694" s="33" t="s">
        <v>39</v>
      </c>
      <c r="J694" s="33" t="s">
        <v>40</v>
      </c>
      <c r="K694" s="33" t="s">
        <v>41</v>
      </c>
    </row>
    <row r="695" spans="1:12" s="33" customFormat="1" hidden="1" x14ac:dyDescent="0.3">
      <c r="A695" s="39">
        <v>46105.681481481479</v>
      </c>
      <c r="B695" s="33" t="s">
        <v>51</v>
      </c>
      <c r="C695" s="33" t="s">
        <v>5173</v>
      </c>
      <c r="E695" s="33">
        <v>668</v>
      </c>
      <c r="F695" s="33">
        <v>664</v>
      </c>
      <c r="G695" s="33" t="s">
        <v>38</v>
      </c>
      <c r="H695" s="33" t="s">
        <v>7246</v>
      </c>
      <c r="I695" s="33" t="s">
        <v>52</v>
      </c>
      <c r="J695" s="33" t="s">
        <v>3629</v>
      </c>
    </row>
    <row r="696" spans="1:12" s="33" customFormat="1" hidden="1" x14ac:dyDescent="0.3">
      <c r="A696" s="39">
        <v>46105.671979166669</v>
      </c>
      <c r="B696" s="33">
        <v>44997616098</v>
      </c>
      <c r="C696" s="33" t="s">
        <v>45</v>
      </c>
      <c r="D696" s="33">
        <v>4430265054</v>
      </c>
      <c r="E696" s="33">
        <v>142</v>
      </c>
      <c r="F696" s="33">
        <v>130</v>
      </c>
      <c r="G696" s="33" t="s">
        <v>38</v>
      </c>
      <c r="H696" s="33" t="s">
        <v>7247</v>
      </c>
      <c r="I696" s="33" t="s">
        <v>39</v>
      </c>
      <c r="J696" s="33" t="s">
        <v>40</v>
      </c>
      <c r="K696" s="33" t="s">
        <v>41</v>
      </c>
      <c r="L696" s="33">
        <v>5</v>
      </c>
    </row>
    <row r="697" spans="1:12" s="33" customFormat="1" hidden="1" x14ac:dyDescent="0.3">
      <c r="A697" s="39">
        <v>46105.671030092592</v>
      </c>
      <c r="B697" s="33">
        <v>44991814587</v>
      </c>
      <c r="C697" s="33" t="s">
        <v>42</v>
      </c>
      <c r="D697" s="33">
        <v>4430265054</v>
      </c>
      <c r="E697" s="33">
        <v>773</v>
      </c>
      <c r="F697" s="33">
        <v>748</v>
      </c>
      <c r="G697" s="33" t="s">
        <v>38</v>
      </c>
      <c r="H697" s="33" t="s">
        <v>7248</v>
      </c>
      <c r="I697" s="33" t="s">
        <v>39</v>
      </c>
      <c r="J697" s="33" t="s">
        <v>40</v>
      </c>
      <c r="K697" s="33" t="s">
        <v>41</v>
      </c>
    </row>
    <row r="698" spans="1:12" s="33" customFormat="1" hidden="1" x14ac:dyDescent="0.3">
      <c r="A698" s="39">
        <v>46105.669270833336</v>
      </c>
      <c r="B698" s="33" t="s">
        <v>45</v>
      </c>
      <c r="C698" s="33">
        <v>11964449514</v>
      </c>
      <c r="E698" s="33">
        <v>69</v>
      </c>
      <c r="F698" s="33">
        <v>34</v>
      </c>
      <c r="G698" s="33" t="s">
        <v>38</v>
      </c>
      <c r="H698" s="33" t="s">
        <v>7249</v>
      </c>
      <c r="I698" s="33" t="s">
        <v>46</v>
      </c>
      <c r="J698" s="33" t="s">
        <v>40</v>
      </c>
    </row>
    <row r="699" spans="1:12" s="33" customFormat="1" hidden="1" x14ac:dyDescent="0.3">
      <c r="A699" s="39">
        <v>46105.666574074072</v>
      </c>
      <c r="B699" s="33">
        <v>44999976008</v>
      </c>
      <c r="C699" s="33" t="s">
        <v>45</v>
      </c>
      <c r="D699" s="33">
        <v>4430265054</v>
      </c>
      <c r="E699" s="33">
        <v>141</v>
      </c>
      <c r="F699" s="33">
        <v>108</v>
      </c>
      <c r="G699" s="33" t="s">
        <v>38</v>
      </c>
      <c r="H699" s="33" t="s">
        <v>7250</v>
      </c>
      <c r="I699" s="33" t="s">
        <v>39</v>
      </c>
      <c r="J699" s="33" t="s">
        <v>40</v>
      </c>
      <c r="K699" s="33" t="s">
        <v>41</v>
      </c>
    </row>
    <row r="700" spans="1:12" s="33" customFormat="1" hidden="1" x14ac:dyDescent="0.3">
      <c r="A700" s="39">
        <v>46105.659259259257</v>
      </c>
      <c r="B700" s="33" t="s">
        <v>48</v>
      </c>
      <c r="C700" s="33">
        <v>1131043888</v>
      </c>
      <c r="E700" s="33">
        <v>147</v>
      </c>
      <c r="F700" s="33">
        <v>146</v>
      </c>
      <c r="G700" s="33" t="s">
        <v>38</v>
      </c>
      <c r="H700" s="33" t="s">
        <v>7251</v>
      </c>
      <c r="I700" s="33" t="s">
        <v>46</v>
      </c>
      <c r="J700" s="33" t="s">
        <v>40</v>
      </c>
    </row>
    <row r="701" spans="1:12" s="33" customFormat="1" hidden="1" x14ac:dyDescent="0.3">
      <c r="A701" s="39">
        <v>46105.658101851855</v>
      </c>
      <c r="B701" s="33">
        <v>44991814587</v>
      </c>
      <c r="C701" s="33" t="s">
        <v>45</v>
      </c>
      <c r="D701" s="33">
        <v>4430265054</v>
      </c>
      <c r="E701" s="33">
        <v>102</v>
      </c>
      <c r="F701" s="33">
        <v>29</v>
      </c>
      <c r="G701" s="33" t="s">
        <v>38</v>
      </c>
      <c r="H701" s="33" t="s">
        <v>7252</v>
      </c>
      <c r="I701" s="33" t="s">
        <v>39</v>
      </c>
      <c r="J701" s="33" t="s">
        <v>40</v>
      </c>
      <c r="K701" s="33" t="s">
        <v>41</v>
      </c>
    </row>
    <row r="702" spans="1:12" s="33" customFormat="1" hidden="1" x14ac:dyDescent="0.3">
      <c r="A702" s="39">
        <v>46105.644016203703</v>
      </c>
      <c r="B702" s="33" t="s">
        <v>48</v>
      </c>
      <c r="C702" s="33">
        <v>1131043888</v>
      </c>
      <c r="E702" s="33">
        <v>469</v>
      </c>
      <c r="F702" s="33">
        <v>467</v>
      </c>
      <c r="G702" s="33" t="s">
        <v>38</v>
      </c>
      <c r="H702" s="33" t="s">
        <v>7253</v>
      </c>
      <c r="I702" s="33" t="s">
        <v>46</v>
      </c>
      <c r="J702" s="33" t="s">
        <v>40</v>
      </c>
    </row>
    <row r="703" spans="1:12" s="33" customFormat="1" hidden="1" x14ac:dyDescent="0.3">
      <c r="A703" s="39">
        <v>46105.642268518517</v>
      </c>
      <c r="B703" s="33" t="s">
        <v>45</v>
      </c>
      <c r="C703" s="33">
        <v>45999334612</v>
      </c>
      <c r="E703" s="33">
        <v>470</v>
      </c>
      <c r="F703" s="33">
        <v>458</v>
      </c>
      <c r="G703" s="33" t="s">
        <v>38</v>
      </c>
      <c r="H703" s="33" t="s">
        <v>7254</v>
      </c>
      <c r="I703" s="33" t="s">
        <v>46</v>
      </c>
      <c r="J703" s="33" t="s">
        <v>40</v>
      </c>
      <c r="L703" s="33">
        <v>5</v>
      </c>
    </row>
    <row r="704" spans="1:12" s="33" customFormat="1" hidden="1" x14ac:dyDescent="0.3">
      <c r="A704" s="39">
        <v>46105.640081018515</v>
      </c>
      <c r="B704" s="33">
        <v>4432256273</v>
      </c>
      <c r="C704" s="33" t="s">
        <v>43</v>
      </c>
      <c r="D704" s="33">
        <v>4430265054</v>
      </c>
      <c r="E704" s="33">
        <v>299</v>
      </c>
      <c r="F704" s="33">
        <v>258</v>
      </c>
      <c r="G704" s="33" t="s">
        <v>38</v>
      </c>
      <c r="H704" s="33" t="s">
        <v>7255</v>
      </c>
      <c r="I704" s="33" t="s">
        <v>39</v>
      </c>
      <c r="J704" s="33" t="s">
        <v>40</v>
      </c>
      <c r="K704" s="33" t="s">
        <v>41</v>
      </c>
      <c r="L704" s="33">
        <v>5</v>
      </c>
    </row>
    <row r="705" spans="1:12" s="33" customFormat="1" hidden="1" x14ac:dyDescent="0.3">
      <c r="A705" s="39">
        <v>46105.636284722219</v>
      </c>
      <c r="B705" s="33">
        <v>4432641415</v>
      </c>
      <c r="C705" s="33" t="s">
        <v>42</v>
      </c>
      <c r="D705" s="33">
        <v>4430265054</v>
      </c>
      <c r="E705" s="33">
        <v>119</v>
      </c>
      <c r="F705" s="33">
        <v>20</v>
      </c>
      <c r="G705" s="33" t="s">
        <v>38</v>
      </c>
      <c r="H705" s="33" t="s">
        <v>7256</v>
      </c>
      <c r="I705" s="33" t="s">
        <v>39</v>
      </c>
      <c r="J705" s="33" t="s">
        <v>40</v>
      </c>
      <c r="K705" s="33" t="s">
        <v>41</v>
      </c>
    </row>
    <row r="706" spans="1:12" s="33" customFormat="1" hidden="1" x14ac:dyDescent="0.3">
      <c r="A706" s="39">
        <v>46105.635289351849</v>
      </c>
      <c r="B706" s="33" t="s">
        <v>45</v>
      </c>
      <c r="C706" s="33">
        <v>44988067937</v>
      </c>
      <c r="E706" s="33">
        <v>586</v>
      </c>
      <c r="F706" s="33">
        <v>568</v>
      </c>
      <c r="G706" s="33" t="s">
        <v>38</v>
      </c>
      <c r="H706" s="33" t="s">
        <v>7257</v>
      </c>
      <c r="I706" s="33" t="s">
        <v>46</v>
      </c>
      <c r="J706" s="33" t="s">
        <v>40</v>
      </c>
    </row>
    <row r="707" spans="1:12" s="33" customFormat="1" hidden="1" x14ac:dyDescent="0.3">
      <c r="A707" s="39">
        <v>46105.635092592594</v>
      </c>
      <c r="B707" s="33" t="s">
        <v>45</v>
      </c>
      <c r="C707" s="33">
        <v>44988067937</v>
      </c>
      <c r="E707" s="33">
        <v>4</v>
      </c>
      <c r="F707" s="33">
        <v>0</v>
      </c>
      <c r="G707" s="33" t="s">
        <v>47</v>
      </c>
      <c r="H707" s="33" t="s">
        <v>7258</v>
      </c>
      <c r="I707" s="33" t="s">
        <v>46</v>
      </c>
      <c r="J707" s="33" t="s">
        <v>40</v>
      </c>
    </row>
    <row r="708" spans="1:12" s="33" customFormat="1" hidden="1" x14ac:dyDescent="0.3">
      <c r="A708" s="39">
        <v>46105.635034722225</v>
      </c>
      <c r="B708" s="33" t="s">
        <v>45</v>
      </c>
      <c r="C708" s="33">
        <v>44988067937</v>
      </c>
      <c r="E708" s="33">
        <v>3</v>
      </c>
      <c r="F708" s="33">
        <v>0</v>
      </c>
      <c r="G708" s="33" t="s">
        <v>47</v>
      </c>
      <c r="H708" s="33" t="s">
        <v>7259</v>
      </c>
      <c r="I708" s="33" t="s">
        <v>46</v>
      </c>
      <c r="J708" s="33" t="s">
        <v>40</v>
      </c>
    </row>
    <row r="709" spans="1:12" s="33" customFormat="1" hidden="1" x14ac:dyDescent="0.3">
      <c r="A709" s="39">
        <v>46105.633275462962</v>
      </c>
      <c r="B709" s="33" t="s">
        <v>48</v>
      </c>
      <c r="C709" s="33">
        <v>35998295948</v>
      </c>
      <c r="E709" s="33">
        <v>110</v>
      </c>
      <c r="F709" s="33">
        <v>97</v>
      </c>
      <c r="G709" s="33" t="s">
        <v>38</v>
      </c>
      <c r="H709" s="33" t="s">
        <v>7260</v>
      </c>
      <c r="I709" s="33" t="s">
        <v>46</v>
      </c>
      <c r="J709" s="33" t="s">
        <v>40</v>
      </c>
    </row>
    <row r="710" spans="1:12" s="33" customFormat="1" hidden="1" x14ac:dyDescent="0.3">
      <c r="A710" s="39">
        <v>46105.632835648146</v>
      </c>
      <c r="B710" s="33" t="s">
        <v>5173</v>
      </c>
      <c r="C710" s="33">
        <v>92984810979</v>
      </c>
      <c r="E710" s="33">
        <v>18</v>
      </c>
      <c r="F710" s="33">
        <v>0</v>
      </c>
      <c r="G710" s="33" t="s">
        <v>47</v>
      </c>
      <c r="H710" s="33" t="s">
        <v>7261</v>
      </c>
      <c r="I710" s="33" t="s">
        <v>46</v>
      </c>
      <c r="J710" s="33" t="s">
        <v>3629</v>
      </c>
    </row>
    <row r="711" spans="1:12" s="33" customFormat="1" hidden="1" x14ac:dyDescent="0.3">
      <c r="A711" s="39">
        <v>46105.632268518515</v>
      </c>
      <c r="B711" s="33" t="s">
        <v>48</v>
      </c>
      <c r="C711" s="33">
        <v>35998628040</v>
      </c>
      <c r="E711" s="33">
        <v>1</v>
      </c>
      <c r="F711" s="33">
        <v>0</v>
      </c>
      <c r="G711" s="33" t="s">
        <v>47</v>
      </c>
      <c r="H711" s="33" t="s">
        <v>7262</v>
      </c>
      <c r="I711" s="33" t="s">
        <v>46</v>
      </c>
      <c r="J711" s="33" t="s">
        <v>40</v>
      </c>
    </row>
    <row r="712" spans="1:12" s="33" customFormat="1" x14ac:dyDescent="0.3">
      <c r="A712" s="39">
        <v>46105.632222222222</v>
      </c>
      <c r="B712" s="33">
        <v>44997616098</v>
      </c>
      <c r="C712" s="33" t="s">
        <v>42</v>
      </c>
      <c r="D712" s="33">
        <v>4430265054</v>
      </c>
      <c r="E712" s="33">
        <v>324</v>
      </c>
      <c r="F712" s="33">
        <v>241</v>
      </c>
      <c r="G712" s="33" t="s">
        <v>38</v>
      </c>
      <c r="H712" s="33" t="s">
        <v>7263</v>
      </c>
      <c r="I712" s="33" t="s">
        <v>39</v>
      </c>
      <c r="J712" s="33" t="s">
        <v>40</v>
      </c>
      <c r="K712" s="33" t="s">
        <v>41</v>
      </c>
      <c r="L712" s="33">
        <v>5</v>
      </c>
    </row>
    <row r="713" spans="1:12" s="33" customFormat="1" hidden="1" x14ac:dyDescent="0.3">
      <c r="A713" s="39">
        <v>46105.632187499999</v>
      </c>
      <c r="B713" s="33" t="s">
        <v>48</v>
      </c>
      <c r="C713" s="33">
        <v>35998628040</v>
      </c>
      <c r="E713" s="33">
        <v>3</v>
      </c>
      <c r="F713" s="33">
        <v>0</v>
      </c>
      <c r="G713" s="33" t="s">
        <v>47</v>
      </c>
      <c r="H713" s="33" t="s">
        <v>7264</v>
      </c>
      <c r="I713" s="33" t="s">
        <v>46</v>
      </c>
      <c r="J713" s="33" t="s">
        <v>40</v>
      </c>
    </row>
    <row r="714" spans="1:12" s="33" customFormat="1" hidden="1" x14ac:dyDescent="0.3">
      <c r="A714" s="39">
        <v>46105.632025462961</v>
      </c>
      <c r="B714" s="33" t="s">
        <v>48</v>
      </c>
      <c r="C714" s="33">
        <v>35998628040</v>
      </c>
      <c r="E714" s="33">
        <v>1</v>
      </c>
      <c r="F714" s="33">
        <v>0</v>
      </c>
      <c r="G714" s="33" t="s">
        <v>47</v>
      </c>
      <c r="H714" s="33" t="s">
        <v>7265</v>
      </c>
      <c r="I714" s="33" t="s">
        <v>46</v>
      </c>
      <c r="J714" s="33" t="s">
        <v>40</v>
      </c>
    </row>
    <row r="715" spans="1:12" s="33" customFormat="1" hidden="1" x14ac:dyDescent="0.3">
      <c r="A715" s="39">
        <v>46105.632025462961</v>
      </c>
      <c r="B715" s="33">
        <v>4436351138</v>
      </c>
      <c r="C715" s="33" t="s">
        <v>37</v>
      </c>
      <c r="D715" s="33">
        <v>4430265054</v>
      </c>
      <c r="E715" s="33">
        <v>1594</v>
      </c>
      <c r="F715" s="33">
        <v>1532</v>
      </c>
      <c r="G715" s="33" t="s">
        <v>38</v>
      </c>
      <c r="H715" s="33" t="s">
        <v>7266</v>
      </c>
      <c r="I715" s="33" t="s">
        <v>39</v>
      </c>
      <c r="J715" s="33" t="s">
        <v>40</v>
      </c>
      <c r="K715" s="33" t="s">
        <v>41</v>
      </c>
    </row>
    <row r="716" spans="1:12" s="33" customFormat="1" hidden="1" x14ac:dyDescent="0.3">
      <c r="A716" s="39">
        <v>46105.631689814814</v>
      </c>
      <c r="B716" s="33">
        <v>44999976008</v>
      </c>
      <c r="C716" s="33">
        <v>4430265054</v>
      </c>
      <c r="D716" s="33">
        <v>4430265054</v>
      </c>
      <c r="E716" s="33">
        <v>23</v>
      </c>
      <c r="F716" s="33">
        <v>23</v>
      </c>
      <c r="G716" s="33" t="s">
        <v>3449</v>
      </c>
      <c r="H716" s="33" t="s">
        <v>7267</v>
      </c>
      <c r="I716" s="33" t="s">
        <v>39</v>
      </c>
      <c r="J716" s="33" t="s">
        <v>3451</v>
      </c>
    </row>
    <row r="717" spans="1:12" s="33" customFormat="1" hidden="1" x14ac:dyDescent="0.3">
      <c r="A717" s="39">
        <v>46105.630497685182</v>
      </c>
      <c r="B717" s="33">
        <v>44999743444</v>
      </c>
      <c r="C717" s="33" t="s">
        <v>43</v>
      </c>
      <c r="D717" s="33">
        <v>4430265054</v>
      </c>
      <c r="E717" s="33">
        <v>839</v>
      </c>
      <c r="F717" s="33">
        <v>801</v>
      </c>
      <c r="G717" s="33" t="s">
        <v>38</v>
      </c>
      <c r="H717" s="33" t="s">
        <v>7268</v>
      </c>
      <c r="I717" s="33" t="s">
        <v>39</v>
      </c>
      <c r="J717" s="33" t="s">
        <v>40</v>
      </c>
      <c r="K717" s="33" t="s">
        <v>41</v>
      </c>
      <c r="L717" s="33">
        <v>5</v>
      </c>
    </row>
    <row r="718" spans="1:12" s="33" customFormat="1" hidden="1" x14ac:dyDescent="0.3">
      <c r="A718" s="39">
        <v>46105.628321759257</v>
      </c>
      <c r="B718" s="33" t="s">
        <v>44</v>
      </c>
      <c r="C718" s="33">
        <v>4532541802</v>
      </c>
      <c r="E718" s="33">
        <v>350</v>
      </c>
      <c r="F718" s="33">
        <v>349</v>
      </c>
      <c r="G718" s="33" t="s">
        <v>38</v>
      </c>
      <c r="H718" s="33" t="s">
        <v>7269</v>
      </c>
      <c r="I718" s="33" t="s">
        <v>46</v>
      </c>
      <c r="J718" s="33" t="s">
        <v>40</v>
      </c>
    </row>
    <row r="719" spans="1:12" s="33" customFormat="1" hidden="1" x14ac:dyDescent="0.3">
      <c r="A719" s="39">
        <v>46105.622847222221</v>
      </c>
      <c r="B719" s="33" t="s">
        <v>5173</v>
      </c>
      <c r="C719" s="33">
        <v>11950670798</v>
      </c>
      <c r="E719" s="33">
        <v>229</v>
      </c>
      <c r="F719" s="33">
        <v>223</v>
      </c>
      <c r="G719" s="33" t="s">
        <v>38</v>
      </c>
      <c r="H719" s="33" t="s">
        <v>7270</v>
      </c>
      <c r="I719" s="33" t="s">
        <v>46</v>
      </c>
      <c r="J719" s="33" t="s">
        <v>3629</v>
      </c>
    </row>
    <row r="720" spans="1:12" s="33" customFormat="1" hidden="1" x14ac:dyDescent="0.3">
      <c r="A720" s="39">
        <v>46105.622152777774</v>
      </c>
      <c r="B720" s="33" t="s">
        <v>43</v>
      </c>
      <c r="C720" s="33">
        <v>44999090169</v>
      </c>
      <c r="E720" s="33">
        <v>404</v>
      </c>
      <c r="F720" s="33">
        <v>386</v>
      </c>
      <c r="G720" s="33" t="s">
        <v>38</v>
      </c>
      <c r="H720" s="33" t="s">
        <v>7271</v>
      </c>
      <c r="I720" s="33" t="s">
        <v>46</v>
      </c>
      <c r="J720" s="33" t="s">
        <v>40</v>
      </c>
    </row>
    <row r="721" spans="1:11" s="33" customFormat="1" hidden="1" x14ac:dyDescent="0.3">
      <c r="A721" s="39">
        <v>46105.621087962965</v>
      </c>
      <c r="B721" s="33" t="s">
        <v>43</v>
      </c>
      <c r="C721" s="33">
        <v>4434531529</v>
      </c>
      <c r="E721" s="33">
        <v>9</v>
      </c>
      <c r="F721" s="33">
        <v>0</v>
      </c>
      <c r="G721" s="33" t="s">
        <v>47</v>
      </c>
      <c r="H721" s="33" t="s">
        <v>7272</v>
      </c>
      <c r="I721" s="33" t="s">
        <v>46</v>
      </c>
      <c r="J721" s="33" t="s">
        <v>40</v>
      </c>
    </row>
    <row r="722" spans="1:11" s="33" customFormat="1" hidden="1" x14ac:dyDescent="0.3">
      <c r="A722" s="39">
        <v>46105.620879629627</v>
      </c>
      <c r="B722" s="33" t="s">
        <v>43</v>
      </c>
      <c r="C722" s="33">
        <v>4434531529</v>
      </c>
      <c r="E722" s="33">
        <v>4</v>
      </c>
      <c r="F722" s="33">
        <v>0</v>
      </c>
      <c r="G722" s="33" t="s">
        <v>47</v>
      </c>
      <c r="H722" s="33" t="s">
        <v>7273</v>
      </c>
      <c r="I722" s="33" t="s">
        <v>46</v>
      </c>
      <c r="J722" s="33" t="s">
        <v>40</v>
      </c>
    </row>
    <row r="723" spans="1:11" s="33" customFormat="1" hidden="1" x14ac:dyDescent="0.3">
      <c r="A723" s="39">
        <v>46105.620706018519</v>
      </c>
      <c r="B723" s="33" t="s">
        <v>43</v>
      </c>
      <c r="C723" s="33">
        <v>4434531529</v>
      </c>
      <c r="E723" s="33">
        <v>4</v>
      </c>
      <c r="F723" s="33">
        <v>0</v>
      </c>
      <c r="G723" s="33" t="s">
        <v>47</v>
      </c>
      <c r="H723" s="33" t="s">
        <v>7274</v>
      </c>
      <c r="I723" s="33" t="s">
        <v>46</v>
      </c>
      <c r="J723" s="33" t="s">
        <v>40</v>
      </c>
    </row>
    <row r="724" spans="1:11" s="33" customFormat="1" hidden="1" x14ac:dyDescent="0.3">
      <c r="A724" s="39">
        <v>46105.620613425926</v>
      </c>
      <c r="B724" s="33" t="s">
        <v>43</v>
      </c>
      <c r="C724" s="33">
        <v>4434531529</v>
      </c>
      <c r="E724" s="33">
        <v>2</v>
      </c>
      <c r="F724" s="33">
        <v>0</v>
      </c>
      <c r="G724" s="33" t="s">
        <v>47</v>
      </c>
      <c r="H724" s="33" t="s">
        <v>7275</v>
      </c>
      <c r="I724" s="33" t="s">
        <v>46</v>
      </c>
      <c r="J724" s="33" t="s">
        <v>40</v>
      </c>
    </row>
    <row r="725" spans="1:11" s="33" customFormat="1" hidden="1" x14ac:dyDescent="0.3">
      <c r="A725" s="39">
        <v>46105.617002314815</v>
      </c>
      <c r="B725" s="33" t="s">
        <v>5173</v>
      </c>
      <c r="C725" s="33">
        <v>71999076621</v>
      </c>
      <c r="E725" s="33">
        <v>46</v>
      </c>
      <c r="F725" s="33">
        <v>11</v>
      </c>
      <c r="G725" s="33" t="s">
        <v>38</v>
      </c>
      <c r="H725" s="33" t="s">
        <v>7276</v>
      </c>
      <c r="I725" s="33" t="s">
        <v>46</v>
      </c>
      <c r="J725" s="33" t="s">
        <v>3629</v>
      </c>
    </row>
    <row r="726" spans="1:11" s="33" customFormat="1" hidden="1" x14ac:dyDescent="0.3">
      <c r="A726" s="39">
        <v>46105.616712962961</v>
      </c>
      <c r="B726" s="33" t="s">
        <v>5173</v>
      </c>
      <c r="C726" s="33">
        <v>15997930818</v>
      </c>
      <c r="E726" s="33">
        <v>9</v>
      </c>
      <c r="F726" s="33">
        <v>0</v>
      </c>
      <c r="G726" s="33" t="s">
        <v>47</v>
      </c>
      <c r="H726" s="33" t="s">
        <v>7277</v>
      </c>
      <c r="I726" s="33" t="s">
        <v>46</v>
      </c>
      <c r="J726" s="33" t="s">
        <v>3629</v>
      </c>
    </row>
    <row r="727" spans="1:11" s="33" customFormat="1" hidden="1" x14ac:dyDescent="0.3">
      <c r="A727" s="39">
        <v>46105.616400462961</v>
      </c>
      <c r="B727" s="33" t="s">
        <v>5173</v>
      </c>
      <c r="C727" s="33">
        <v>15997930818</v>
      </c>
      <c r="E727" s="33">
        <v>8</v>
      </c>
      <c r="F727" s="33">
        <v>0</v>
      </c>
      <c r="G727" s="33" t="s">
        <v>47</v>
      </c>
      <c r="H727" s="33" t="s">
        <v>7278</v>
      </c>
      <c r="I727" s="33" t="s">
        <v>46</v>
      </c>
      <c r="J727" s="33" t="s">
        <v>3629</v>
      </c>
    </row>
    <row r="728" spans="1:11" s="33" customFormat="1" hidden="1" x14ac:dyDescent="0.3">
      <c r="A728" s="39">
        <v>46105.615752314814</v>
      </c>
      <c r="B728" s="33" t="s">
        <v>5173</v>
      </c>
      <c r="C728" s="33">
        <v>41996508121</v>
      </c>
      <c r="E728" s="33">
        <v>28</v>
      </c>
      <c r="F728" s="33">
        <v>0</v>
      </c>
      <c r="G728" s="33" t="s">
        <v>38</v>
      </c>
      <c r="H728" s="33" t="s">
        <v>7279</v>
      </c>
      <c r="I728" s="33" t="s">
        <v>46</v>
      </c>
      <c r="J728" s="33" t="s">
        <v>3629</v>
      </c>
    </row>
    <row r="729" spans="1:11" s="33" customFormat="1" hidden="1" x14ac:dyDescent="0.3">
      <c r="A729" s="39">
        <v>46105.615243055552</v>
      </c>
      <c r="B729" s="33" t="s">
        <v>5173</v>
      </c>
      <c r="C729" s="33">
        <v>35998384192</v>
      </c>
      <c r="E729" s="33">
        <v>0</v>
      </c>
      <c r="F729" s="33">
        <v>0</v>
      </c>
      <c r="G729" s="33" t="s">
        <v>47</v>
      </c>
      <c r="H729" s="33" t="s">
        <v>7280</v>
      </c>
      <c r="I729" s="33" t="s">
        <v>46</v>
      </c>
      <c r="J729" s="33" t="s">
        <v>3629</v>
      </c>
    </row>
    <row r="730" spans="1:11" s="33" customFormat="1" hidden="1" x14ac:dyDescent="0.3">
      <c r="A730" s="39">
        <v>46105.614999999998</v>
      </c>
      <c r="B730" s="33" t="s">
        <v>5173</v>
      </c>
      <c r="C730" s="33">
        <v>35998384192</v>
      </c>
      <c r="E730" s="33">
        <v>10</v>
      </c>
      <c r="F730" s="33">
        <v>4</v>
      </c>
      <c r="G730" s="33" t="s">
        <v>38</v>
      </c>
      <c r="H730" s="33" t="s">
        <v>7281</v>
      </c>
      <c r="I730" s="33" t="s">
        <v>46</v>
      </c>
      <c r="J730" s="33" t="s">
        <v>3629</v>
      </c>
    </row>
    <row r="731" spans="1:11" s="33" customFormat="1" hidden="1" x14ac:dyDescent="0.3">
      <c r="A731" s="39">
        <v>46105.614328703705</v>
      </c>
      <c r="B731" s="33" t="s">
        <v>5173</v>
      </c>
      <c r="C731" s="33">
        <v>21970207047</v>
      </c>
      <c r="E731" s="33">
        <v>42</v>
      </c>
      <c r="F731" s="33">
        <v>17</v>
      </c>
      <c r="G731" s="33" t="s">
        <v>38</v>
      </c>
      <c r="H731" s="33" t="s">
        <v>7282</v>
      </c>
      <c r="I731" s="33" t="s">
        <v>46</v>
      </c>
      <c r="J731" s="33" t="s">
        <v>3629</v>
      </c>
    </row>
    <row r="732" spans="1:11" s="33" customFormat="1" hidden="1" x14ac:dyDescent="0.3">
      <c r="A732" s="39">
        <v>46105.613483796296</v>
      </c>
      <c r="B732" s="33" t="s">
        <v>5173</v>
      </c>
      <c r="C732" s="33">
        <v>27997643188</v>
      </c>
      <c r="E732" s="33">
        <v>24</v>
      </c>
      <c r="F732" s="33">
        <v>11</v>
      </c>
      <c r="G732" s="33" t="s">
        <v>38</v>
      </c>
      <c r="H732" s="33" t="s">
        <v>7283</v>
      </c>
      <c r="I732" s="33" t="s">
        <v>46</v>
      </c>
      <c r="J732" s="33" t="s">
        <v>3629</v>
      </c>
    </row>
    <row r="733" spans="1:11" s="33" customFormat="1" hidden="1" x14ac:dyDescent="0.3">
      <c r="A733" s="39">
        <v>46105.611168981479</v>
      </c>
      <c r="B733" s="33">
        <v>4121413325</v>
      </c>
      <c r="C733" s="33" t="s">
        <v>43</v>
      </c>
      <c r="D733" s="33">
        <v>4531273165</v>
      </c>
      <c r="E733" s="33">
        <v>58</v>
      </c>
      <c r="F733" s="33">
        <v>3</v>
      </c>
      <c r="G733" s="33" t="s">
        <v>38</v>
      </c>
      <c r="H733" s="33" t="s">
        <v>7284</v>
      </c>
      <c r="I733" s="33" t="s">
        <v>39</v>
      </c>
      <c r="J733" s="33" t="s">
        <v>40</v>
      </c>
      <c r="K733" s="33" t="s">
        <v>41</v>
      </c>
    </row>
    <row r="734" spans="1:11" s="33" customFormat="1" hidden="1" x14ac:dyDescent="0.3">
      <c r="A734" s="39">
        <v>46105.607268518521</v>
      </c>
      <c r="B734" s="33">
        <v>4433660210</v>
      </c>
      <c r="C734" s="33">
        <v>4430265054</v>
      </c>
      <c r="D734" s="33">
        <v>4430265054</v>
      </c>
      <c r="E734" s="33">
        <v>58</v>
      </c>
      <c r="F734" s="33">
        <v>57</v>
      </c>
      <c r="G734" s="33" t="s">
        <v>3449</v>
      </c>
      <c r="H734" s="33" t="s">
        <v>7285</v>
      </c>
      <c r="I734" s="33" t="s">
        <v>39</v>
      </c>
      <c r="J734" s="33" t="s">
        <v>3451</v>
      </c>
      <c r="K734" s="33" t="s">
        <v>41</v>
      </c>
    </row>
    <row r="735" spans="1:11" s="33" customFormat="1" hidden="1" x14ac:dyDescent="0.3">
      <c r="A735" s="39">
        <v>46105.605509259258</v>
      </c>
      <c r="B735" s="33" t="s">
        <v>5173</v>
      </c>
      <c r="C735" s="33">
        <v>15996371366</v>
      </c>
      <c r="E735" s="33">
        <v>5</v>
      </c>
      <c r="F735" s="33">
        <v>0</v>
      </c>
      <c r="G735" s="33" t="s">
        <v>47</v>
      </c>
      <c r="H735" s="33" t="s">
        <v>7286</v>
      </c>
      <c r="I735" s="33" t="s">
        <v>46</v>
      </c>
      <c r="J735" s="33" t="s">
        <v>3629</v>
      </c>
    </row>
    <row r="736" spans="1:11" s="33" customFormat="1" hidden="1" x14ac:dyDescent="0.3">
      <c r="A736" s="39">
        <v>46105.600381944445</v>
      </c>
      <c r="B736" s="33" t="s">
        <v>5173</v>
      </c>
      <c r="C736" s="33">
        <v>61996772431</v>
      </c>
      <c r="E736" s="33">
        <v>394</v>
      </c>
      <c r="F736" s="33">
        <v>385</v>
      </c>
      <c r="G736" s="33" t="s">
        <v>38</v>
      </c>
      <c r="H736" s="33" t="s">
        <v>7287</v>
      </c>
      <c r="I736" s="33" t="s">
        <v>46</v>
      </c>
      <c r="J736" s="33" t="s">
        <v>3629</v>
      </c>
    </row>
    <row r="737" spans="1:12" s="33" customFormat="1" hidden="1" x14ac:dyDescent="0.3">
      <c r="A737" s="39">
        <v>46105.596770833334</v>
      </c>
      <c r="B737" s="33">
        <v>44999387742</v>
      </c>
      <c r="C737" s="33" t="s">
        <v>48</v>
      </c>
      <c r="D737" s="33">
        <v>4430265054</v>
      </c>
      <c r="E737" s="33">
        <v>450</v>
      </c>
      <c r="F737" s="33">
        <v>414</v>
      </c>
      <c r="G737" s="33" t="s">
        <v>38</v>
      </c>
      <c r="H737" s="33" t="s">
        <v>7288</v>
      </c>
      <c r="I737" s="33" t="s">
        <v>39</v>
      </c>
      <c r="J737" s="33" t="s">
        <v>40</v>
      </c>
      <c r="K737" s="33" t="s">
        <v>41</v>
      </c>
      <c r="L737" s="33">
        <v>5</v>
      </c>
    </row>
    <row r="738" spans="1:12" s="33" customFormat="1" hidden="1" x14ac:dyDescent="0.3">
      <c r="A738" s="39">
        <v>46105.596203703702</v>
      </c>
      <c r="B738" s="33">
        <v>4532541802</v>
      </c>
      <c r="C738" s="33" t="s">
        <v>37</v>
      </c>
      <c r="D738" s="33">
        <v>4430265054</v>
      </c>
      <c r="E738" s="33">
        <v>157</v>
      </c>
      <c r="F738" s="33">
        <v>117</v>
      </c>
      <c r="G738" s="33" t="s">
        <v>38</v>
      </c>
      <c r="H738" s="33" t="s">
        <v>7289</v>
      </c>
      <c r="I738" s="33" t="s">
        <v>39</v>
      </c>
      <c r="J738" s="33" t="s">
        <v>40</v>
      </c>
      <c r="K738" s="33" t="s">
        <v>41</v>
      </c>
    </row>
    <row r="739" spans="1:12" s="33" customFormat="1" hidden="1" x14ac:dyDescent="0.3">
      <c r="A739" s="39">
        <v>46105.59337962963</v>
      </c>
      <c r="B739" s="33">
        <v>4532541802</v>
      </c>
      <c r="C739" s="33" t="s">
        <v>44</v>
      </c>
      <c r="D739" s="33">
        <v>4430265054</v>
      </c>
      <c r="E739" s="33">
        <v>327</v>
      </c>
      <c r="F739" s="33">
        <v>125</v>
      </c>
      <c r="G739" s="33" t="s">
        <v>38</v>
      </c>
      <c r="H739" s="33" t="s">
        <v>7290</v>
      </c>
      <c r="I739" s="33" t="s">
        <v>39</v>
      </c>
      <c r="J739" s="33" t="s">
        <v>40</v>
      </c>
      <c r="K739" s="33" t="s">
        <v>41</v>
      </c>
    </row>
    <row r="740" spans="1:12" s="33" customFormat="1" hidden="1" x14ac:dyDescent="0.3">
      <c r="A740" s="39">
        <v>46105.590254629627</v>
      </c>
      <c r="B740" s="33" t="s">
        <v>37</v>
      </c>
      <c r="C740" s="33">
        <v>1131043888</v>
      </c>
      <c r="E740" s="33">
        <v>127</v>
      </c>
      <c r="F740" s="33">
        <v>125</v>
      </c>
      <c r="G740" s="33" t="s">
        <v>38</v>
      </c>
      <c r="H740" s="33" t="s">
        <v>7291</v>
      </c>
      <c r="I740" s="33" t="s">
        <v>46</v>
      </c>
      <c r="J740" s="33" t="s">
        <v>40</v>
      </c>
    </row>
    <row r="741" spans="1:12" s="33" customFormat="1" hidden="1" x14ac:dyDescent="0.3">
      <c r="A741" s="39">
        <v>46105.584143518521</v>
      </c>
      <c r="B741" s="33" t="s">
        <v>45</v>
      </c>
      <c r="C741" s="33">
        <v>1131043888</v>
      </c>
      <c r="E741" s="33">
        <v>4058</v>
      </c>
      <c r="F741" s="33">
        <v>4057</v>
      </c>
      <c r="G741" s="33" t="s">
        <v>38</v>
      </c>
      <c r="H741" s="33" t="s">
        <v>7292</v>
      </c>
      <c r="I741" s="33" t="s">
        <v>46</v>
      </c>
      <c r="J741" s="33" t="s">
        <v>40</v>
      </c>
    </row>
    <row r="742" spans="1:12" s="33" customFormat="1" hidden="1" x14ac:dyDescent="0.3">
      <c r="A742" s="39">
        <v>46105.583958333336</v>
      </c>
      <c r="B742" s="33">
        <v>35998295948</v>
      </c>
      <c r="C742" s="33" t="s">
        <v>37</v>
      </c>
      <c r="D742" s="33">
        <v>4430265054</v>
      </c>
      <c r="E742" s="33">
        <v>322</v>
      </c>
      <c r="F742" s="33">
        <v>228</v>
      </c>
      <c r="G742" s="33" t="s">
        <v>38</v>
      </c>
      <c r="H742" s="33" t="s">
        <v>7293</v>
      </c>
      <c r="I742" s="33" t="s">
        <v>39</v>
      </c>
      <c r="J742" s="33" t="s">
        <v>40</v>
      </c>
      <c r="K742" s="33" t="s">
        <v>41</v>
      </c>
    </row>
    <row r="743" spans="1:12" s="33" customFormat="1" hidden="1" x14ac:dyDescent="0.3">
      <c r="A743" s="39">
        <v>46105.580578703702</v>
      </c>
      <c r="B743" s="33">
        <v>4434531529</v>
      </c>
      <c r="C743" s="33" t="s">
        <v>43</v>
      </c>
      <c r="D743" s="33">
        <v>4430265054</v>
      </c>
      <c r="E743" s="33">
        <v>1438</v>
      </c>
      <c r="F743" s="33">
        <v>1383</v>
      </c>
      <c r="G743" s="33" t="s">
        <v>38</v>
      </c>
      <c r="H743" s="33" t="s">
        <v>7294</v>
      </c>
      <c r="I743" s="33" t="s">
        <v>39</v>
      </c>
      <c r="J743" s="33" t="s">
        <v>40</v>
      </c>
      <c r="K743" s="33" t="s">
        <v>41</v>
      </c>
    </row>
    <row r="744" spans="1:12" s="33" customFormat="1" hidden="1" x14ac:dyDescent="0.3">
      <c r="A744" s="39">
        <v>46105.578564814816</v>
      </c>
      <c r="B744" s="33" t="s">
        <v>42</v>
      </c>
      <c r="C744" s="33">
        <v>1131043888</v>
      </c>
      <c r="E744" s="33">
        <v>277</v>
      </c>
      <c r="F744" s="33">
        <v>276</v>
      </c>
      <c r="G744" s="33" t="s">
        <v>38</v>
      </c>
      <c r="H744" s="33" t="s">
        <v>7295</v>
      </c>
      <c r="I744" s="33" t="s">
        <v>46</v>
      </c>
      <c r="J744" s="33" t="s">
        <v>40</v>
      </c>
      <c r="L744" s="33">
        <v>5</v>
      </c>
    </row>
    <row r="745" spans="1:12" s="33" customFormat="1" hidden="1" x14ac:dyDescent="0.3">
      <c r="A745" s="39">
        <v>46105.574930555558</v>
      </c>
      <c r="B745" s="33">
        <v>4430145172</v>
      </c>
      <c r="C745" s="33" t="s">
        <v>44</v>
      </c>
      <c r="D745" s="33">
        <v>4430265054</v>
      </c>
      <c r="E745" s="33">
        <v>194</v>
      </c>
      <c r="F745" s="33">
        <v>129</v>
      </c>
      <c r="G745" s="33" t="s">
        <v>38</v>
      </c>
      <c r="H745" s="33" t="s">
        <v>7296</v>
      </c>
      <c r="I745" s="33" t="s">
        <v>39</v>
      </c>
      <c r="J745" s="33" t="s">
        <v>40</v>
      </c>
      <c r="K745" s="33" t="s">
        <v>41</v>
      </c>
    </row>
    <row r="746" spans="1:12" s="33" customFormat="1" hidden="1" x14ac:dyDescent="0.3">
      <c r="A746" s="39">
        <v>46105.565671296295</v>
      </c>
      <c r="B746" s="33">
        <v>11964449514</v>
      </c>
      <c r="C746" s="33" t="s">
        <v>45</v>
      </c>
      <c r="D746" s="33">
        <v>4431268225</v>
      </c>
      <c r="E746" s="33">
        <v>1570</v>
      </c>
      <c r="F746" s="33">
        <v>1532</v>
      </c>
      <c r="G746" s="33" t="s">
        <v>38</v>
      </c>
      <c r="H746" s="33" t="s">
        <v>7297</v>
      </c>
      <c r="I746" s="33" t="s">
        <v>39</v>
      </c>
      <c r="J746" s="33" t="s">
        <v>40</v>
      </c>
      <c r="K746" s="33" t="s">
        <v>41</v>
      </c>
    </row>
    <row r="747" spans="1:12" s="33" customFormat="1" hidden="1" x14ac:dyDescent="0.3">
      <c r="A747" s="39">
        <v>46105.563055555554</v>
      </c>
      <c r="B747" s="33">
        <v>44991354005</v>
      </c>
      <c r="C747" s="33" t="s">
        <v>43</v>
      </c>
      <c r="D747" s="33">
        <v>4430265054</v>
      </c>
      <c r="E747" s="33">
        <v>579</v>
      </c>
      <c r="F747" s="33">
        <v>518</v>
      </c>
      <c r="G747" s="33" t="s">
        <v>38</v>
      </c>
      <c r="H747" s="33" t="s">
        <v>7298</v>
      </c>
      <c r="I747" s="33" t="s">
        <v>39</v>
      </c>
      <c r="J747" s="33" t="s">
        <v>40</v>
      </c>
      <c r="K747" s="33" t="s">
        <v>41</v>
      </c>
    </row>
    <row r="748" spans="1:12" s="33" customFormat="1" x14ac:dyDescent="0.3">
      <c r="A748" s="39">
        <v>46105.56287037037</v>
      </c>
      <c r="B748" s="33">
        <v>4334226481</v>
      </c>
      <c r="C748" s="33" t="s">
        <v>42</v>
      </c>
      <c r="D748" s="33">
        <v>4430265054</v>
      </c>
      <c r="E748" s="33">
        <v>1214</v>
      </c>
      <c r="F748" s="33">
        <v>1155</v>
      </c>
      <c r="G748" s="33" t="s">
        <v>38</v>
      </c>
      <c r="H748" s="33" t="s">
        <v>7299</v>
      </c>
      <c r="I748" s="33" t="s">
        <v>39</v>
      </c>
      <c r="J748" s="33" t="s">
        <v>40</v>
      </c>
      <c r="K748" s="33" t="s">
        <v>41</v>
      </c>
      <c r="L748" s="33">
        <v>5</v>
      </c>
    </row>
    <row r="749" spans="1:12" s="33" customFormat="1" hidden="1" x14ac:dyDescent="0.3">
      <c r="A749" s="39">
        <v>46105.562743055554</v>
      </c>
      <c r="B749" s="33">
        <v>44991814587</v>
      </c>
      <c r="C749" s="33" t="s">
        <v>37</v>
      </c>
      <c r="D749" s="33">
        <v>4430265054</v>
      </c>
      <c r="E749" s="33">
        <v>756</v>
      </c>
      <c r="F749" s="33">
        <v>691</v>
      </c>
      <c r="G749" s="33" t="s">
        <v>38</v>
      </c>
      <c r="H749" s="33" t="s">
        <v>7300</v>
      </c>
      <c r="I749" s="33" t="s">
        <v>39</v>
      </c>
      <c r="J749" s="33" t="s">
        <v>40</v>
      </c>
      <c r="K749" s="33" t="s">
        <v>41</v>
      </c>
      <c r="L749" s="33">
        <v>5</v>
      </c>
    </row>
    <row r="750" spans="1:12" s="33" customFormat="1" hidden="1" x14ac:dyDescent="0.3">
      <c r="A750" s="39">
        <v>46105.562118055554</v>
      </c>
      <c r="B750" s="33">
        <v>4334232912</v>
      </c>
      <c r="C750" s="33">
        <v>4430265054</v>
      </c>
      <c r="D750" s="33">
        <v>4430265054</v>
      </c>
      <c r="E750" s="33">
        <v>29</v>
      </c>
      <c r="F750" s="33">
        <v>29</v>
      </c>
      <c r="G750" s="33" t="s">
        <v>3449</v>
      </c>
      <c r="H750" s="33" t="s">
        <v>7301</v>
      </c>
      <c r="I750" s="33" t="s">
        <v>39</v>
      </c>
      <c r="J750" s="33" t="s">
        <v>3451</v>
      </c>
    </row>
    <row r="751" spans="1:12" s="33" customFormat="1" hidden="1" x14ac:dyDescent="0.3">
      <c r="A751" s="39">
        <v>46105.561851851853</v>
      </c>
      <c r="B751" s="33">
        <v>44991354005</v>
      </c>
      <c r="C751" s="33">
        <v>4430265054</v>
      </c>
      <c r="D751" s="33">
        <v>4430265054</v>
      </c>
      <c r="E751" s="33">
        <v>22</v>
      </c>
      <c r="F751" s="33">
        <v>21</v>
      </c>
      <c r="G751" s="33" t="s">
        <v>3449</v>
      </c>
      <c r="H751" s="33" t="s">
        <v>7302</v>
      </c>
      <c r="I751" s="33" t="s">
        <v>39</v>
      </c>
      <c r="J751" s="33" t="s">
        <v>3451</v>
      </c>
    </row>
    <row r="752" spans="1:12" s="33" customFormat="1" hidden="1" x14ac:dyDescent="0.3">
      <c r="A752" s="39">
        <v>46105.550729166665</v>
      </c>
      <c r="B752" s="33">
        <v>4434531529</v>
      </c>
      <c r="C752" s="33">
        <v>4430265054</v>
      </c>
      <c r="D752" s="33">
        <v>4430265054</v>
      </c>
      <c r="E752" s="33">
        <v>16</v>
      </c>
      <c r="F752" s="33">
        <v>15</v>
      </c>
      <c r="G752" s="33" t="s">
        <v>3449</v>
      </c>
      <c r="H752" s="33" t="s">
        <v>7303</v>
      </c>
      <c r="I752" s="33" t="s">
        <v>39</v>
      </c>
      <c r="J752" s="33" t="s">
        <v>3451</v>
      </c>
    </row>
    <row r="753" spans="1:12" s="33" customFormat="1" hidden="1" x14ac:dyDescent="0.3">
      <c r="A753" s="39">
        <v>46105.522962962961</v>
      </c>
      <c r="B753" s="33">
        <v>1131043888</v>
      </c>
      <c r="C753" s="33">
        <v>4430265054</v>
      </c>
      <c r="D753" s="33">
        <v>4430265054</v>
      </c>
      <c r="E753" s="33">
        <v>28</v>
      </c>
      <c r="F753" s="33">
        <v>28</v>
      </c>
      <c r="G753" s="33" t="s">
        <v>3449</v>
      </c>
      <c r="H753" s="33" t="s">
        <v>7304</v>
      </c>
      <c r="I753" s="33" t="s">
        <v>39</v>
      </c>
      <c r="J753" s="33" t="s">
        <v>3451</v>
      </c>
    </row>
    <row r="754" spans="1:12" s="33" customFormat="1" hidden="1" x14ac:dyDescent="0.3">
      <c r="A754" s="39">
        <v>46105.4924537037</v>
      </c>
      <c r="B754" s="33">
        <v>1131043888</v>
      </c>
      <c r="C754" s="33" t="s">
        <v>45</v>
      </c>
      <c r="D754" s="33">
        <v>4430265054</v>
      </c>
      <c r="E754" s="33">
        <v>139</v>
      </c>
      <c r="F754" s="33">
        <v>81</v>
      </c>
      <c r="G754" s="33" t="s">
        <v>38</v>
      </c>
      <c r="H754" s="33" t="s">
        <v>7305</v>
      </c>
      <c r="I754" s="33" t="s">
        <v>39</v>
      </c>
      <c r="J754" s="33" t="s">
        <v>40</v>
      </c>
      <c r="K754" s="33" t="s">
        <v>41</v>
      </c>
    </row>
    <row r="755" spans="1:12" s="33" customFormat="1" hidden="1" x14ac:dyDescent="0.3">
      <c r="A755" s="39">
        <v>46105.484918981485</v>
      </c>
      <c r="B755" s="33">
        <v>4435226025</v>
      </c>
      <c r="C755" s="33" t="s">
        <v>43</v>
      </c>
      <c r="D755" s="33">
        <v>4430265054</v>
      </c>
      <c r="E755" s="33">
        <v>344</v>
      </c>
      <c r="F755" s="33">
        <v>242</v>
      </c>
      <c r="G755" s="33" t="s">
        <v>38</v>
      </c>
      <c r="H755" s="33" t="s">
        <v>7306</v>
      </c>
      <c r="I755" s="33" t="s">
        <v>39</v>
      </c>
      <c r="J755" s="33" t="s">
        <v>40</v>
      </c>
      <c r="K755" s="33" t="s">
        <v>41</v>
      </c>
    </row>
    <row r="756" spans="1:12" s="33" customFormat="1" hidden="1" x14ac:dyDescent="0.3">
      <c r="A756" s="39">
        <v>46105.484340277777</v>
      </c>
      <c r="B756" s="33">
        <v>35998295948</v>
      </c>
      <c r="C756" s="33" t="s">
        <v>37</v>
      </c>
      <c r="D756" s="33">
        <v>4430265054</v>
      </c>
      <c r="E756" s="33">
        <v>787</v>
      </c>
      <c r="F756" s="33">
        <v>768</v>
      </c>
      <c r="G756" s="33" t="s">
        <v>38</v>
      </c>
      <c r="H756" s="33" t="s">
        <v>7307</v>
      </c>
      <c r="I756" s="33" t="s">
        <v>39</v>
      </c>
      <c r="J756" s="33" t="s">
        <v>40</v>
      </c>
      <c r="K756" s="33" t="s">
        <v>41</v>
      </c>
    </row>
    <row r="757" spans="1:12" s="33" customFormat="1" hidden="1" x14ac:dyDescent="0.3">
      <c r="A757" s="39">
        <v>46105.483425925922</v>
      </c>
      <c r="B757" s="33">
        <v>4130760170</v>
      </c>
      <c r="C757" s="33" t="s">
        <v>42</v>
      </c>
      <c r="D757" s="33">
        <v>4430265054</v>
      </c>
      <c r="E757" s="33">
        <v>539</v>
      </c>
      <c r="F757" s="33">
        <v>461</v>
      </c>
      <c r="G757" s="33" t="s">
        <v>38</v>
      </c>
      <c r="H757" s="33" t="s">
        <v>7308</v>
      </c>
      <c r="I757" s="33" t="s">
        <v>39</v>
      </c>
      <c r="J757" s="33" t="s">
        <v>40</v>
      </c>
      <c r="K757" s="33" t="s">
        <v>41</v>
      </c>
    </row>
    <row r="758" spans="1:12" s="33" customFormat="1" hidden="1" x14ac:dyDescent="0.3">
      <c r="A758" s="39">
        <v>46105.473368055558</v>
      </c>
      <c r="B758" s="33">
        <v>44999647912</v>
      </c>
      <c r="C758" s="33" t="s">
        <v>42</v>
      </c>
      <c r="D758" s="33">
        <v>4430265054</v>
      </c>
      <c r="E758" s="33">
        <v>230</v>
      </c>
      <c r="F758" s="33">
        <v>167</v>
      </c>
      <c r="G758" s="33" t="s">
        <v>38</v>
      </c>
      <c r="H758" s="33" t="s">
        <v>7309</v>
      </c>
      <c r="I758" s="33" t="s">
        <v>39</v>
      </c>
      <c r="J758" s="33" t="s">
        <v>40</v>
      </c>
      <c r="K758" s="33" t="s">
        <v>41</v>
      </c>
    </row>
    <row r="759" spans="1:12" s="33" customFormat="1" hidden="1" x14ac:dyDescent="0.3">
      <c r="A759" s="39">
        <v>46105.472037037034</v>
      </c>
      <c r="B759" s="33">
        <v>4432443131</v>
      </c>
      <c r="C759" s="33" t="s">
        <v>43</v>
      </c>
      <c r="D759" s="33">
        <v>4430265054</v>
      </c>
      <c r="E759" s="33">
        <v>407</v>
      </c>
      <c r="F759" s="33">
        <v>295</v>
      </c>
      <c r="G759" s="33" t="s">
        <v>38</v>
      </c>
      <c r="H759" s="33" t="s">
        <v>7310</v>
      </c>
      <c r="I759" s="33" t="s">
        <v>39</v>
      </c>
      <c r="J759" s="33" t="s">
        <v>40</v>
      </c>
      <c r="K759" s="33" t="s">
        <v>41</v>
      </c>
    </row>
    <row r="760" spans="1:12" s="33" customFormat="1" hidden="1" x14ac:dyDescent="0.3">
      <c r="A760" s="39">
        <v>46105.460277777776</v>
      </c>
      <c r="B760" s="33">
        <v>43999829064</v>
      </c>
      <c r="C760" s="33" t="s">
        <v>44</v>
      </c>
      <c r="D760" s="33">
        <v>4430265054</v>
      </c>
      <c r="E760" s="33">
        <v>183</v>
      </c>
      <c r="F760" s="33">
        <v>102</v>
      </c>
      <c r="G760" s="33" t="s">
        <v>38</v>
      </c>
      <c r="H760" s="33" t="s">
        <v>7311</v>
      </c>
      <c r="I760" s="33" t="s">
        <v>39</v>
      </c>
      <c r="J760" s="33" t="s">
        <v>40</v>
      </c>
      <c r="K760" s="33" t="s">
        <v>41</v>
      </c>
    </row>
    <row r="761" spans="1:12" s="33" customFormat="1" hidden="1" x14ac:dyDescent="0.3">
      <c r="A761" s="39">
        <v>46105.458379629628</v>
      </c>
      <c r="B761" s="33">
        <v>35998295948</v>
      </c>
      <c r="C761" s="33" t="s">
        <v>43</v>
      </c>
      <c r="D761" s="33">
        <v>4430265054</v>
      </c>
      <c r="E761" s="33">
        <v>611</v>
      </c>
      <c r="F761" s="33">
        <v>557</v>
      </c>
      <c r="G761" s="33" t="s">
        <v>38</v>
      </c>
      <c r="H761" s="33" t="s">
        <v>7312</v>
      </c>
      <c r="I761" s="33" t="s">
        <v>39</v>
      </c>
      <c r="J761" s="33" t="s">
        <v>40</v>
      </c>
      <c r="K761" s="33" t="s">
        <v>41</v>
      </c>
    </row>
    <row r="762" spans="1:12" s="33" customFormat="1" hidden="1" x14ac:dyDescent="0.3">
      <c r="A762" s="39">
        <v>46105.457245370373</v>
      </c>
      <c r="B762" s="33">
        <v>44997456641</v>
      </c>
      <c r="C762" s="33" t="s">
        <v>37</v>
      </c>
      <c r="D762" s="33">
        <v>4430265054</v>
      </c>
      <c r="E762" s="33">
        <v>371</v>
      </c>
      <c r="F762" s="33">
        <v>289</v>
      </c>
      <c r="G762" s="33" t="s">
        <v>38</v>
      </c>
      <c r="H762" s="33" t="s">
        <v>7313</v>
      </c>
      <c r="I762" s="33" t="s">
        <v>39</v>
      </c>
      <c r="J762" s="33" t="s">
        <v>40</v>
      </c>
      <c r="K762" s="33" t="s">
        <v>41</v>
      </c>
      <c r="L762" s="33">
        <v>5</v>
      </c>
    </row>
    <row r="763" spans="1:12" s="33" customFormat="1" hidden="1" x14ac:dyDescent="0.3">
      <c r="A763" s="39">
        <v>46105.455520833333</v>
      </c>
      <c r="B763" s="33" t="s">
        <v>48</v>
      </c>
      <c r="C763" s="33">
        <v>4430451715</v>
      </c>
      <c r="E763" s="33">
        <v>829</v>
      </c>
      <c r="F763" s="33">
        <v>823</v>
      </c>
      <c r="G763" s="33" t="s">
        <v>38</v>
      </c>
      <c r="H763" s="33" t="s">
        <v>7314</v>
      </c>
      <c r="I763" s="33" t="s">
        <v>46</v>
      </c>
      <c r="J763" s="33" t="s">
        <v>40</v>
      </c>
    </row>
    <row r="764" spans="1:12" s="33" customFormat="1" hidden="1" x14ac:dyDescent="0.3">
      <c r="A764" s="39">
        <v>46105.451273148145</v>
      </c>
      <c r="B764" s="33">
        <v>4330333542</v>
      </c>
      <c r="C764" s="33" t="s">
        <v>37</v>
      </c>
      <c r="D764" s="33">
        <v>4430265054</v>
      </c>
      <c r="E764" s="33">
        <v>555</v>
      </c>
      <c r="F764" s="33">
        <v>451</v>
      </c>
      <c r="G764" s="33" t="s">
        <v>38</v>
      </c>
      <c r="H764" s="33" t="s">
        <v>7315</v>
      </c>
      <c r="I764" s="33" t="s">
        <v>39</v>
      </c>
      <c r="J764" s="33" t="s">
        <v>40</v>
      </c>
      <c r="K764" s="33" t="s">
        <v>41</v>
      </c>
      <c r="L764" s="33">
        <v>5</v>
      </c>
    </row>
    <row r="765" spans="1:12" s="33" customFormat="1" hidden="1" x14ac:dyDescent="0.3">
      <c r="A765" s="39">
        <v>46105.450358796297</v>
      </c>
      <c r="B765" s="33">
        <v>4435228300</v>
      </c>
      <c r="C765" s="33" t="s">
        <v>48</v>
      </c>
      <c r="D765" s="33">
        <v>4430265054</v>
      </c>
      <c r="E765" s="33">
        <v>281</v>
      </c>
      <c r="F765" s="33">
        <v>281</v>
      </c>
      <c r="G765" s="33" t="s">
        <v>38</v>
      </c>
      <c r="H765" s="33" t="s">
        <v>7316</v>
      </c>
      <c r="I765" s="33" t="s">
        <v>39</v>
      </c>
      <c r="J765" s="33" t="s">
        <v>40</v>
      </c>
      <c r="K765" s="33" t="s">
        <v>41</v>
      </c>
    </row>
    <row r="766" spans="1:12" s="33" customFormat="1" hidden="1" x14ac:dyDescent="0.3">
      <c r="A766" s="39">
        <v>46105.446701388886</v>
      </c>
      <c r="B766" s="33">
        <v>4430450103</v>
      </c>
      <c r="C766" s="33" t="s">
        <v>44</v>
      </c>
      <c r="D766" s="33">
        <v>4430265054</v>
      </c>
      <c r="E766" s="33">
        <v>825</v>
      </c>
      <c r="F766" s="33">
        <v>698</v>
      </c>
      <c r="G766" s="33" t="s">
        <v>38</v>
      </c>
      <c r="H766" s="33" t="s">
        <v>7317</v>
      </c>
      <c r="I766" s="33" t="s">
        <v>39</v>
      </c>
      <c r="J766" s="33" t="s">
        <v>40</v>
      </c>
      <c r="K766" s="33" t="s">
        <v>41</v>
      </c>
      <c r="L766" s="33">
        <v>5</v>
      </c>
    </row>
    <row r="767" spans="1:12" s="33" customFormat="1" hidden="1" x14ac:dyDescent="0.3">
      <c r="A767" s="39">
        <v>46105.445810185185</v>
      </c>
      <c r="B767" s="33">
        <v>91984985454</v>
      </c>
      <c r="C767" s="33" t="s">
        <v>43</v>
      </c>
      <c r="D767" s="33">
        <v>4430265054</v>
      </c>
      <c r="E767" s="33">
        <v>842</v>
      </c>
      <c r="F767" s="33">
        <v>809</v>
      </c>
      <c r="G767" s="33" t="s">
        <v>38</v>
      </c>
      <c r="H767" s="33" t="s">
        <v>7318</v>
      </c>
      <c r="I767" s="33" t="s">
        <v>39</v>
      </c>
      <c r="J767" s="33" t="s">
        <v>40</v>
      </c>
      <c r="K767" s="33" t="s">
        <v>41</v>
      </c>
    </row>
    <row r="768" spans="1:12" s="33" customFormat="1" hidden="1" x14ac:dyDescent="0.3">
      <c r="A768" s="39">
        <v>46105.44327546296</v>
      </c>
      <c r="B768" s="33" t="s">
        <v>43</v>
      </c>
      <c r="C768" s="33">
        <v>91984985454</v>
      </c>
      <c r="E768" s="33">
        <v>60</v>
      </c>
      <c r="F768" s="33">
        <v>28</v>
      </c>
      <c r="G768" s="33" t="s">
        <v>38</v>
      </c>
      <c r="H768" s="33" t="s">
        <v>7319</v>
      </c>
      <c r="I768" s="33" t="s">
        <v>46</v>
      </c>
      <c r="J768" s="33" t="s">
        <v>40</v>
      </c>
    </row>
    <row r="769" spans="1:12" s="33" customFormat="1" hidden="1" x14ac:dyDescent="0.3">
      <c r="A769" s="39">
        <v>46105.442893518521</v>
      </c>
      <c r="B769" s="33" t="s">
        <v>43</v>
      </c>
      <c r="C769" s="33">
        <v>91984985454</v>
      </c>
      <c r="E769" s="33">
        <v>36</v>
      </c>
      <c r="F769" s="33">
        <v>28</v>
      </c>
      <c r="G769" s="33" t="s">
        <v>38</v>
      </c>
      <c r="H769" s="33" t="s">
        <v>7320</v>
      </c>
      <c r="I769" s="33" t="s">
        <v>46</v>
      </c>
      <c r="J769" s="33" t="s">
        <v>40</v>
      </c>
    </row>
    <row r="770" spans="1:12" s="33" customFormat="1" hidden="1" x14ac:dyDescent="0.3">
      <c r="A770" s="39">
        <v>46105.441157407404</v>
      </c>
      <c r="B770" s="33">
        <v>91984985454</v>
      </c>
      <c r="C770" s="33" t="s">
        <v>43</v>
      </c>
      <c r="D770" s="33">
        <v>4430265054</v>
      </c>
      <c r="E770" s="33">
        <v>145</v>
      </c>
      <c r="F770" s="33">
        <v>74</v>
      </c>
      <c r="G770" s="33" t="s">
        <v>38</v>
      </c>
      <c r="H770" s="33" t="s">
        <v>7321</v>
      </c>
      <c r="I770" s="33" t="s">
        <v>39</v>
      </c>
      <c r="J770" s="33" t="s">
        <v>40</v>
      </c>
      <c r="K770" s="33" t="s">
        <v>41</v>
      </c>
    </row>
    <row r="771" spans="1:12" s="33" customFormat="1" hidden="1" x14ac:dyDescent="0.3">
      <c r="A771" s="39">
        <v>46105.438645833332</v>
      </c>
      <c r="B771" s="33">
        <v>4432321232</v>
      </c>
      <c r="C771" s="33" t="s">
        <v>44</v>
      </c>
      <c r="D771" s="33">
        <v>4430265054</v>
      </c>
      <c r="E771" s="33">
        <v>565</v>
      </c>
      <c r="F771" s="33">
        <v>402</v>
      </c>
      <c r="G771" s="33" t="s">
        <v>38</v>
      </c>
      <c r="H771" s="33" t="s">
        <v>7322</v>
      </c>
      <c r="I771" s="33" t="s">
        <v>39</v>
      </c>
      <c r="J771" s="33" t="s">
        <v>40</v>
      </c>
      <c r="K771" s="33" t="s">
        <v>41</v>
      </c>
    </row>
    <row r="772" spans="1:12" s="33" customFormat="1" x14ac:dyDescent="0.3">
      <c r="A772" s="39">
        <v>46105.438287037039</v>
      </c>
      <c r="B772" s="33">
        <v>35998295948</v>
      </c>
      <c r="C772" s="33" t="s">
        <v>42</v>
      </c>
      <c r="D772" s="33">
        <v>4430265054</v>
      </c>
      <c r="E772" s="33">
        <v>894</v>
      </c>
      <c r="F772" s="33">
        <v>789</v>
      </c>
      <c r="G772" s="33" t="s">
        <v>38</v>
      </c>
      <c r="H772" s="33" t="s">
        <v>7323</v>
      </c>
      <c r="I772" s="33" t="s">
        <v>39</v>
      </c>
      <c r="J772" s="33" t="s">
        <v>40</v>
      </c>
      <c r="K772" s="33" t="s">
        <v>41</v>
      </c>
      <c r="L772" s="33">
        <v>5</v>
      </c>
    </row>
    <row r="773" spans="1:12" s="33" customFormat="1" hidden="1" x14ac:dyDescent="0.3">
      <c r="A773" s="39">
        <v>46105.429942129631</v>
      </c>
      <c r="B773" s="33">
        <v>4432462382</v>
      </c>
      <c r="C773" s="33" t="s">
        <v>43</v>
      </c>
      <c r="D773" s="33">
        <v>4430265054</v>
      </c>
      <c r="E773" s="33">
        <v>241</v>
      </c>
      <c r="F773" s="33">
        <v>202</v>
      </c>
      <c r="G773" s="33" t="s">
        <v>38</v>
      </c>
      <c r="H773" s="33" t="s">
        <v>7324</v>
      </c>
      <c r="I773" s="33" t="s">
        <v>39</v>
      </c>
      <c r="J773" s="33" t="s">
        <v>40</v>
      </c>
      <c r="K773" s="33" t="s">
        <v>41</v>
      </c>
    </row>
    <row r="774" spans="1:12" s="33" customFormat="1" hidden="1" x14ac:dyDescent="0.3">
      <c r="A774" s="39">
        <v>46105.429699074077</v>
      </c>
      <c r="B774" s="33" t="s">
        <v>43</v>
      </c>
      <c r="C774" s="33">
        <v>4432461449</v>
      </c>
      <c r="E774" s="33">
        <v>2</v>
      </c>
      <c r="F774" s="33">
        <v>0</v>
      </c>
      <c r="G774" s="33" t="s">
        <v>47</v>
      </c>
      <c r="H774" s="33" t="s">
        <v>7325</v>
      </c>
      <c r="I774" s="33" t="s">
        <v>46</v>
      </c>
      <c r="J774" s="33" t="s">
        <v>40</v>
      </c>
    </row>
    <row r="775" spans="1:12" s="33" customFormat="1" hidden="1" x14ac:dyDescent="0.3">
      <c r="A775" s="39">
        <v>46105.4296412037</v>
      </c>
      <c r="B775" s="33" t="s">
        <v>43</v>
      </c>
      <c r="C775" s="33">
        <v>4432461449</v>
      </c>
      <c r="E775" s="33">
        <v>4</v>
      </c>
      <c r="F775" s="33">
        <v>0</v>
      </c>
      <c r="G775" s="33" t="s">
        <v>47</v>
      </c>
      <c r="H775" s="33" t="s">
        <v>7326</v>
      </c>
      <c r="I775" s="33" t="s">
        <v>46</v>
      </c>
      <c r="J775" s="33" t="s">
        <v>40</v>
      </c>
    </row>
    <row r="776" spans="1:12" s="33" customFormat="1" hidden="1" x14ac:dyDescent="0.3">
      <c r="A776" s="39">
        <v>46105.429224537038</v>
      </c>
      <c r="B776" s="33">
        <v>44991284259</v>
      </c>
      <c r="C776" s="33" t="s">
        <v>45</v>
      </c>
      <c r="D776" s="33">
        <v>4430265054</v>
      </c>
      <c r="E776" s="33">
        <v>3120</v>
      </c>
      <c r="F776" s="33">
        <v>3088</v>
      </c>
      <c r="G776" s="33" t="s">
        <v>38</v>
      </c>
      <c r="H776" s="33" t="s">
        <v>7327</v>
      </c>
      <c r="I776" s="33" t="s">
        <v>39</v>
      </c>
      <c r="J776" s="33" t="s">
        <v>40</v>
      </c>
      <c r="K776" s="33" t="s">
        <v>41</v>
      </c>
      <c r="L776" s="33">
        <v>5</v>
      </c>
    </row>
    <row r="777" spans="1:12" s="33" customFormat="1" hidden="1" x14ac:dyDescent="0.3">
      <c r="A777" s="39">
        <v>46105.428611111114</v>
      </c>
      <c r="B777" s="33">
        <v>1732146970</v>
      </c>
      <c r="C777" s="33" t="s">
        <v>44</v>
      </c>
      <c r="D777" s="33">
        <v>4431268225</v>
      </c>
      <c r="E777" s="33">
        <v>196</v>
      </c>
      <c r="F777" s="33">
        <v>137</v>
      </c>
      <c r="G777" s="33" t="s">
        <v>38</v>
      </c>
      <c r="H777" s="33" t="s">
        <v>7328</v>
      </c>
      <c r="I777" s="33" t="s">
        <v>39</v>
      </c>
      <c r="J777" s="33" t="s">
        <v>40</v>
      </c>
      <c r="K777" s="33" t="s">
        <v>41</v>
      </c>
    </row>
    <row r="778" spans="1:12" s="33" customFormat="1" hidden="1" x14ac:dyDescent="0.3">
      <c r="A778" s="39">
        <v>46105.428136574075</v>
      </c>
      <c r="B778" s="33">
        <v>44997650834</v>
      </c>
      <c r="C778" s="33" t="s">
        <v>37</v>
      </c>
      <c r="D778" s="33">
        <v>4430265054</v>
      </c>
      <c r="E778" s="33">
        <v>1894</v>
      </c>
      <c r="F778" s="33">
        <v>1874</v>
      </c>
      <c r="G778" s="33" t="s">
        <v>38</v>
      </c>
      <c r="H778" s="33" t="s">
        <v>7329</v>
      </c>
      <c r="I778" s="33" t="s">
        <v>39</v>
      </c>
      <c r="J778" s="33" t="s">
        <v>40</v>
      </c>
      <c r="K778" s="33" t="s">
        <v>41</v>
      </c>
      <c r="L778" s="33">
        <v>5</v>
      </c>
    </row>
    <row r="779" spans="1:12" s="33" customFormat="1" hidden="1" x14ac:dyDescent="0.3">
      <c r="A779" s="39">
        <v>46105.42800925926</v>
      </c>
      <c r="B779" s="33">
        <v>4121413723</v>
      </c>
      <c r="C779" s="33">
        <v>4531273158</v>
      </c>
      <c r="D779" s="33">
        <v>4531273158</v>
      </c>
      <c r="E779" s="33">
        <v>57</v>
      </c>
      <c r="F779" s="33">
        <v>57</v>
      </c>
      <c r="G779" s="33" t="s">
        <v>3449</v>
      </c>
      <c r="H779" s="33" t="s">
        <v>7330</v>
      </c>
      <c r="I779" s="33" t="s">
        <v>39</v>
      </c>
      <c r="J779" s="33" t="s">
        <v>3451</v>
      </c>
      <c r="K779" s="33" t="s">
        <v>41</v>
      </c>
    </row>
    <row r="780" spans="1:12" s="33" customFormat="1" hidden="1" x14ac:dyDescent="0.3">
      <c r="A780" s="39">
        <v>46105.427245370367</v>
      </c>
      <c r="B780" s="33" t="s">
        <v>43</v>
      </c>
      <c r="C780" s="33">
        <v>4432464586</v>
      </c>
      <c r="E780" s="33">
        <v>1</v>
      </c>
      <c r="F780" s="33">
        <v>0</v>
      </c>
      <c r="G780" s="33" t="s">
        <v>47</v>
      </c>
      <c r="H780" s="33" t="s">
        <v>7331</v>
      </c>
      <c r="I780" s="33" t="s">
        <v>46</v>
      </c>
      <c r="J780" s="33" t="s">
        <v>40</v>
      </c>
    </row>
    <row r="781" spans="1:12" s="33" customFormat="1" hidden="1" x14ac:dyDescent="0.3">
      <c r="A781" s="39">
        <v>46105.427106481482</v>
      </c>
      <c r="B781" s="33">
        <v>4432461449</v>
      </c>
      <c r="C781" s="33" t="s">
        <v>43</v>
      </c>
      <c r="D781" s="33">
        <v>4430265054</v>
      </c>
      <c r="E781" s="33">
        <v>197</v>
      </c>
      <c r="F781" s="33">
        <v>168</v>
      </c>
      <c r="G781" s="33" t="s">
        <v>38</v>
      </c>
      <c r="H781" s="33" t="s">
        <v>7332</v>
      </c>
      <c r="I781" s="33" t="s">
        <v>39</v>
      </c>
      <c r="J781" s="33" t="s">
        <v>40</v>
      </c>
      <c r="K781" s="33" t="s">
        <v>41</v>
      </c>
    </row>
    <row r="782" spans="1:12" s="33" customFormat="1" hidden="1" x14ac:dyDescent="0.3">
      <c r="A782" s="39">
        <v>46105.426655092589</v>
      </c>
      <c r="B782" s="33" t="s">
        <v>43</v>
      </c>
      <c r="C782" s="33">
        <v>4432464586</v>
      </c>
      <c r="E782" s="33">
        <v>1</v>
      </c>
      <c r="F782" s="33">
        <v>0</v>
      </c>
      <c r="G782" s="33" t="s">
        <v>47</v>
      </c>
      <c r="H782" s="33" t="s">
        <v>7333</v>
      </c>
      <c r="I782" s="33" t="s">
        <v>46</v>
      </c>
      <c r="J782" s="33" t="s">
        <v>40</v>
      </c>
    </row>
    <row r="783" spans="1:12" s="33" customFormat="1" hidden="1" x14ac:dyDescent="0.3">
      <c r="A783" s="39">
        <v>46105.426550925928</v>
      </c>
      <c r="B783" s="33" t="s">
        <v>43</v>
      </c>
      <c r="C783" s="33">
        <v>4432464586</v>
      </c>
      <c r="E783" s="33">
        <v>8</v>
      </c>
      <c r="F783" s="33">
        <v>0</v>
      </c>
      <c r="G783" s="33" t="s">
        <v>47</v>
      </c>
      <c r="H783" s="33" t="s">
        <v>7334</v>
      </c>
      <c r="I783" s="33" t="s">
        <v>46</v>
      </c>
      <c r="J783" s="33" t="s">
        <v>40</v>
      </c>
    </row>
    <row r="784" spans="1:12" s="33" customFormat="1" hidden="1" x14ac:dyDescent="0.3">
      <c r="A784" s="39">
        <v>46105.420173611114</v>
      </c>
      <c r="B784" s="33">
        <v>1131043888</v>
      </c>
      <c r="C784" s="33" t="s">
        <v>42</v>
      </c>
      <c r="D784" s="33">
        <v>4430265054</v>
      </c>
      <c r="E784" s="33">
        <v>1435</v>
      </c>
      <c r="F784" s="33">
        <v>1291</v>
      </c>
      <c r="G784" s="33" t="s">
        <v>38</v>
      </c>
      <c r="H784" s="33" t="s">
        <v>7335</v>
      </c>
      <c r="I784" s="33" t="s">
        <v>39</v>
      </c>
      <c r="J784" s="33" t="s">
        <v>40</v>
      </c>
      <c r="K784" s="33" t="s">
        <v>41</v>
      </c>
    </row>
    <row r="785" spans="1:12" s="33" customFormat="1" hidden="1" x14ac:dyDescent="0.3">
      <c r="A785" s="39">
        <v>46105.414560185185</v>
      </c>
      <c r="B785" s="33">
        <v>4431230400</v>
      </c>
      <c r="C785" s="33" t="s">
        <v>44</v>
      </c>
      <c r="D785" s="33">
        <v>4430265054</v>
      </c>
      <c r="E785" s="33">
        <v>1111</v>
      </c>
      <c r="F785" s="33">
        <v>1014</v>
      </c>
      <c r="G785" s="33" t="s">
        <v>38</v>
      </c>
      <c r="H785" s="33" t="s">
        <v>7336</v>
      </c>
      <c r="I785" s="33" t="s">
        <v>39</v>
      </c>
      <c r="J785" s="33" t="s">
        <v>40</v>
      </c>
      <c r="K785" s="33" t="s">
        <v>41</v>
      </c>
      <c r="L785" s="33">
        <v>5</v>
      </c>
    </row>
    <row r="786" spans="1:12" s="33" customFormat="1" hidden="1" x14ac:dyDescent="0.3">
      <c r="A786" s="39">
        <v>46105.403969907406</v>
      </c>
      <c r="B786" s="33">
        <v>35998295948</v>
      </c>
      <c r="C786" s="33" t="s">
        <v>45</v>
      </c>
      <c r="D786" s="33">
        <v>4430265054</v>
      </c>
      <c r="E786" s="33">
        <v>1683</v>
      </c>
      <c r="F786" s="33">
        <v>1618</v>
      </c>
      <c r="G786" s="33" t="s">
        <v>38</v>
      </c>
      <c r="H786" s="33" t="s">
        <v>7337</v>
      </c>
      <c r="I786" s="33" t="s">
        <v>39</v>
      </c>
      <c r="J786" s="33" t="s">
        <v>40</v>
      </c>
      <c r="K786" s="33" t="s">
        <v>41</v>
      </c>
    </row>
    <row r="787" spans="1:12" s="33" customFormat="1" hidden="1" x14ac:dyDescent="0.3">
      <c r="A787" s="39">
        <v>46105.403368055559</v>
      </c>
      <c r="B787" s="33">
        <v>44999451200</v>
      </c>
      <c r="C787" s="33" t="s">
        <v>48</v>
      </c>
      <c r="D787" s="33">
        <v>4430265054</v>
      </c>
      <c r="E787" s="33">
        <v>464</v>
      </c>
      <c r="F787" s="33">
        <v>386</v>
      </c>
      <c r="G787" s="33" t="s">
        <v>38</v>
      </c>
      <c r="H787" s="33" t="s">
        <v>7338</v>
      </c>
      <c r="I787" s="33" t="s">
        <v>39</v>
      </c>
      <c r="J787" s="33" t="s">
        <v>40</v>
      </c>
      <c r="K787" s="33" t="s">
        <v>41</v>
      </c>
      <c r="L787" s="33">
        <v>5</v>
      </c>
    </row>
    <row r="788" spans="1:12" s="33" customFormat="1" hidden="1" x14ac:dyDescent="0.3">
      <c r="A788" s="39">
        <v>46105.401759259257</v>
      </c>
      <c r="B788" s="33">
        <v>4432464586</v>
      </c>
      <c r="C788" s="33" t="s">
        <v>43</v>
      </c>
      <c r="D788" s="33">
        <v>4430265054</v>
      </c>
      <c r="E788" s="33">
        <v>2133</v>
      </c>
      <c r="F788" s="33">
        <v>2072</v>
      </c>
      <c r="G788" s="33" t="s">
        <v>38</v>
      </c>
      <c r="H788" s="33" t="s">
        <v>7339</v>
      </c>
      <c r="I788" s="33" t="s">
        <v>39</v>
      </c>
      <c r="J788" s="33" t="s">
        <v>40</v>
      </c>
      <c r="K788" s="33" t="s">
        <v>41</v>
      </c>
    </row>
    <row r="789" spans="1:12" s="33" customFormat="1" hidden="1" x14ac:dyDescent="0.3">
      <c r="A789" s="39">
        <v>46105.401284722226</v>
      </c>
      <c r="B789" s="33">
        <v>91981481202</v>
      </c>
      <c r="C789" s="33" t="s">
        <v>45</v>
      </c>
      <c r="D789" s="33">
        <v>4430265054</v>
      </c>
      <c r="E789" s="33">
        <v>301</v>
      </c>
      <c r="F789" s="33">
        <v>277</v>
      </c>
      <c r="G789" s="33" t="s">
        <v>38</v>
      </c>
      <c r="H789" s="33" t="s">
        <v>7340</v>
      </c>
      <c r="I789" s="33" t="s">
        <v>39</v>
      </c>
      <c r="J789" s="33" t="s">
        <v>40</v>
      </c>
      <c r="K789" s="33" t="s">
        <v>41</v>
      </c>
    </row>
    <row r="790" spans="1:12" s="33" customFormat="1" hidden="1" x14ac:dyDescent="0.3">
      <c r="A790" s="39">
        <v>46105.400995370372</v>
      </c>
      <c r="B790" s="33">
        <v>4435228300</v>
      </c>
      <c r="C790" s="33" t="s">
        <v>43</v>
      </c>
      <c r="D790" s="33">
        <v>4430265054</v>
      </c>
      <c r="E790" s="33">
        <v>386</v>
      </c>
      <c r="F790" s="33">
        <v>372</v>
      </c>
      <c r="G790" s="33" t="s">
        <v>38</v>
      </c>
      <c r="H790" s="33" t="s">
        <v>7341</v>
      </c>
      <c r="I790" s="33" t="s">
        <v>39</v>
      </c>
      <c r="J790" s="33" t="s">
        <v>40</v>
      </c>
      <c r="K790" s="33" t="s">
        <v>41</v>
      </c>
    </row>
    <row r="791" spans="1:12" s="33" customFormat="1" hidden="1" x14ac:dyDescent="0.3">
      <c r="A791" s="39">
        <v>46105.397881944446</v>
      </c>
      <c r="B791" s="33" t="s">
        <v>43</v>
      </c>
      <c r="C791" s="33">
        <v>42984012429</v>
      </c>
      <c r="E791" s="33">
        <v>39</v>
      </c>
      <c r="F791" s="33">
        <v>0</v>
      </c>
      <c r="G791" s="33" t="s">
        <v>47</v>
      </c>
      <c r="H791" s="33" t="s">
        <v>7342</v>
      </c>
      <c r="I791" s="33" t="s">
        <v>46</v>
      </c>
      <c r="J791" s="33" t="s">
        <v>40</v>
      </c>
    </row>
    <row r="792" spans="1:12" s="33" customFormat="1" hidden="1" x14ac:dyDescent="0.3">
      <c r="A792" s="39">
        <v>46105.397303240738</v>
      </c>
      <c r="B792" s="33">
        <v>4430152533</v>
      </c>
      <c r="C792" s="33" t="s">
        <v>37</v>
      </c>
      <c r="D792" s="33">
        <v>4430265054</v>
      </c>
      <c r="E792" s="33">
        <v>1413</v>
      </c>
      <c r="F792" s="33">
        <v>1391</v>
      </c>
      <c r="G792" s="33" t="s">
        <v>38</v>
      </c>
      <c r="H792" s="33" t="s">
        <v>7343</v>
      </c>
      <c r="I792" s="33" t="s">
        <v>39</v>
      </c>
      <c r="J792" s="33" t="s">
        <v>40</v>
      </c>
      <c r="K792" s="33" t="s">
        <v>41</v>
      </c>
      <c r="L792" s="33">
        <v>5</v>
      </c>
    </row>
    <row r="793" spans="1:12" s="33" customFormat="1" x14ac:dyDescent="0.3">
      <c r="A793" s="39">
        <v>46105.394560185188</v>
      </c>
      <c r="B793" s="33">
        <v>44999647912</v>
      </c>
      <c r="C793" s="33" t="s">
        <v>42</v>
      </c>
      <c r="D793" s="33">
        <v>4430265054</v>
      </c>
      <c r="E793" s="33">
        <v>502</v>
      </c>
      <c r="F793" s="33">
        <v>424</v>
      </c>
      <c r="G793" s="33" t="s">
        <v>38</v>
      </c>
      <c r="H793" s="33" t="s">
        <v>7344</v>
      </c>
      <c r="I793" s="33" t="s">
        <v>39</v>
      </c>
      <c r="J793" s="33" t="s">
        <v>40</v>
      </c>
      <c r="K793" s="33" t="s">
        <v>41</v>
      </c>
      <c r="L793" s="33">
        <v>5</v>
      </c>
    </row>
    <row r="794" spans="1:12" s="33" customFormat="1" hidden="1" x14ac:dyDescent="0.3">
      <c r="A794" s="39">
        <v>46105.394247685188</v>
      </c>
      <c r="B794" s="33">
        <v>44991443785</v>
      </c>
      <c r="C794" s="33" t="s">
        <v>44</v>
      </c>
      <c r="D794" s="33">
        <v>4430265054</v>
      </c>
      <c r="E794" s="33">
        <v>337</v>
      </c>
      <c r="F794" s="33">
        <v>248</v>
      </c>
      <c r="G794" s="33" t="s">
        <v>38</v>
      </c>
      <c r="H794" s="33" t="s">
        <v>7345</v>
      </c>
      <c r="I794" s="33" t="s">
        <v>39</v>
      </c>
      <c r="J794" s="33" t="s">
        <v>40</v>
      </c>
      <c r="K794" s="33" t="s">
        <v>41</v>
      </c>
    </row>
    <row r="795" spans="1:12" s="33" customFormat="1" hidden="1" x14ac:dyDescent="0.3">
      <c r="A795" s="39">
        <v>46105.391886574071</v>
      </c>
      <c r="B795" s="33">
        <v>44999647912</v>
      </c>
      <c r="C795" s="33">
        <v>4430265054</v>
      </c>
      <c r="D795" s="33">
        <v>4430265054</v>
      </c>
      <c r="E795" s="33">
        <v>79</v>
      </c>
      <c r="F795" s="33">
        <v>78</v>
      </c>
      <c r="G795" s="33" t="s">
        <v>3449</v>
      </c>
      <c r="H795" s="33" t="s">
        <v>7346</v>
      </c>
      <c r="I795" s="33" t="s">
        <v>39</v>
      </c>
      <c r="J795" s="33" t="s">
        <v>3451</v>
      </c>
      <c r="K795" s="33" t="s">
        <v>41</v>
      </c>
    </row>
    <row r="796" spans="1:12" s="33" customFormat="1" hidden="1" x14ac:dyDescent="0.3">
      <c r="A796" s="39">
        <v>46105.387708333335</v>
      </c>
      <c r="B796" s="33">
        <v>81983567163</v>
      </c>
      <c r="C796" s="33" t="s">
        <v>45</v>
      </c>
      <c r="D796" s="33">
        <v>4430265054</v>
      </c>
      <c r="E796" s="33">
        <v>523</v>
      </c>
      <c r="F796" s="33">
        <v>464</v>
      </c>
      <c r="G796" s="33" t="s">
        <v>38</v>
      </c>
      <c r="H796" s="33" t="s">
        <v>7347</v>
      </c>
      <c r="I796" s="33" t="s">
        <v>39</v>
      </c>
      <c r="J796" s="33" t="s">
        <v>40</v>
      </c>
      <c r="K796" s="33" t="s">
        <v>41</v>
      </c>
    </row>
    <row r="797" spans="1:12" s="33" customFormat="1" hidden="1" x14ac:dyDescent="0.3">
      <c r="A797" s="39">
        <v>46105.387303240743</v>
      </c>
      <c r="B797" s="33">
        <v>81983567163</v>
      </c>
      <c r="C797" s="33">
        <v>4431268225</v>
      </c>
      <c r="D797" s="33">
        <v>4431268225</v>
      </c>
      <c r="E797" s="33">
        <v>16</v>
      </c>
      <c r="F797" s="33">
        <v>15</v>
      </c>
      <c r="G797" s="33" t="s">
        <v>3449</v>
      </c>
      <c r="H797" s="33" t="s">
        <v>7348</v>
      </c>
      <c r="I797" s="33" t="s">
        <v>39</v>
      </c>
      <c r="J797" s="33" t="s">
        <v>3451</v>
      </c>
    </row>
    <row r="798" spans="1:12" s="33" customFormat="1" hidden="1" x14ac:dyDescent="0.3">
      <c r="A798" s="39">
        <v>46105.386921296296</v>
      </c>
      <c r="B798" s="33">
        <v>81983567163</v>
      </c>
      <c r="C798" s="33">
        <v>4431268225</v>
      </c>
      <c r="D798" s="33">
        <v>4431268225</v>
      </c>
      <c r="E798" s="33">
        <v>21</v>
      </c>
      <c r="F798" s="33">
        <v>21</v>
      </c>
      <c r="G798" s="33" t="s">
        <v>3449</v>
      </c>
      <c r="H798" s="33" t="s">
        <v>7349</v>
      </c>
      <c r="I798" s="33" t="s">
        <v>39</v>
      </c>
      <c r="J798" s="33" t="s">
        <v>3451</v>
      </c>
    </row>
    <row r="799" spans="1:12" s="33" customFormat="1" hidden="1" x14ac:dyDescent="0.3">
      <c r="A799" s="39">
        <v>46105.3752662037</v>
      </c>
      <c r="B799" s="33">
        <v>4435228300</v>
      </c>
      <c r="C799" s="33" t="s">
        <v>45</v>
      </c>
      <c r="D799" s="33">
        <v>4430265054</v>
      </c>
      <c r="E799" s="33">
        <v>169</v>
      </c>
      <c r="F799" s="33">
        <v>103</v>
      </c>
      <c r="G799" s="33" t="s">
        <v>38</v>
      </c>
      <c r="H799" s="33" t="s">
        <v>7350</v>
      </c>
      <c r="I799" s="33" t="s">
        <v>39</v>
      </c>
      <c r="J799" s="33" t="s">
        <v>40</v>
      </c>
      <c r="K799" s="33" t="s">
        <v>41</v>
      </c>
      <c r="L799" s="33">
        <v>5</v>
      </c>
    </row>
    <row r="800" spans="1:12" s="33" customFormat="1" hidden="1" x14ac:dyDescent="0.3">
      <c r="A800" s="39">
        <v>46105.374594907407</v>
      </c>
      <c r="B800" s="33">
        <v>4435226025</v>
      </c>
      <c r="C800" s="33">
        <v>4430265054</v>
      </c>
      <c r="D800" s="33">
        <v>4430265054</v>
      </c>
      <c r="E800" s="33">
        <v>17</v>
      </c>
      <c r="F800" s="33">
        <v>17</v>
      </c>
      <c r="G800" s="33" t="s">
        <v>3449</v>
      </c>
      <c r="H800" s="33" t="s">
        <v>7351</v>
      </c>
      <c r="I800" s="33" t="s">
        <v>39</v>
      </c>
      <c r="J800" s="33" t="s">
        <v>3451</v>
      </c>
    </row>
    <row r="801" spans="1:12" s="33" customFormat="1" hidden="1" x14ac:dyDescent="0.3">
      <c r="A801" s="39">
        <v>46105.370289351849</v>
      </c>
      <c r="B801" s="33">
        <v>44988067937</v>
      </c>
      <c r="C801" s="33" t="s">
        <v>43</v>
      </c>
      <c r="D801" s="33">
        <v>4430265054</v>
      </c>
      <c r="E801" s="33">
        <v>1305</v>
      </c>
      <c r="F801" s="33">
        <v>1140</v>
      </c>
      <c r="G801" s="33" t="s">
        <v>38</v>
      </c>
      <c r="H801" s="33" t="s">
        <v>7352</v>
      </c>
      <c r="I801" s="33" t="s">
        <v>39</v>
      </c>
      <c r="J801" s="33" t="s">
        <v>40</v>
      </c>
      <c r="K801" s="33" t="s">
        <v>41</v>
      </c>
    </row>
    <row r="802" spans="1:12" s="33" customFormat="1" hidden="1" x14ac:dyDescent="0.3">
      <c r="A802" s="39">
        <v>46105.360648148147</v>
      </c>
      <c r="B802" s="33">
        <v>4432462558</v>
      </c>
      <c r="C802" s="33" t="s">
        <v>37</v>
      </c>
      <c r="D802" s="33">
        <v>4430265054</v>
      </c>
      <c r="E802" s="33">
        <v>2136</v>
      </c>
      <c r="F802" s="33">
        <v>2114</v>
      </c>
      <c r="G802" s="33" t="s">
        <v>38</v>
      </c>
      <c r="H802" s="33" t="s">
        <v>7353</v>
      </c>
      <c r="I802" s="33" t="s">
        <v>39</v>
      </c>
      <c r="J802" s="33" t="s">
        <v>40</v>
      </c>
      <c r="K802" s="33" t="s">
        <v>41</v>
      </c>
      <c r="L802" s="33">
        <v>5</v>
      </c>
    </row>
    <row r="803" spans="1:12" s="33" customFormat="1" hidden="1" x14ac:dyDescent="0.3">
      <c r="A803" s="39">
        <v>46105.356203703705</v>
      </c>
      <c r="B803" s="33">
        <v>4430282545</v>
      </c>
      <c r="C803" s="33" t="s">
        <v>43</v>
      </c>
      <c r="D803" s="33">
        <v>4430265054</v>
      </c>
      <c r="E803" s="33">
        <v>395</v>
      </c>
      <c r="F803" s="33">
        <v>246</v>
      </c>
      <c r="G803" s="33" t="s">
        <v>38</v>
      </c>
      <c r="H803" s="33" t="s">
        <v>7354</v>
      </c>
      <c r="I803" s="33" t="s">
        <v>39</v>
      </c>
      <c r="J803" s="33" t="s">
        <v>40</v>
      </c>
      <c r="K803" s="33" t="s">
        <v>41</v>
      </c>
    </row>
    <row r="804" spans="1:12" s="33" customFormat="1" hidden="1" x14ac:dyDescent="0.3">
      <c r="A804" s="39">
        <v>46105.356076388889</v>
      </c>
      <c r="B804" s="33">
        <v>67992169496</v>
      </c>
      <c r="C804" s="33" t="s">
        <v>44</v>
      </c>
      <c r="D804" s="33">
        <v>4430265054</v>
      </c>
      <c r="E804" s="33">
        <v>343</v>
      </c>
      <c r="F804" s="33">
        <v>272</v>
      </c>
      <c r="G804" s="33" t="s">
        <v>38</v>
      </c>
      <c r="H804" s="33" t="s">
        <v>7355</v>
      </c>
      <c r="I804" s="33" t="s">
        <v>39</v>
      </c>
      <c r="J804" s="33" t="s">
        <v>40</v>
      </c>
      <c r="K804" s="33" t="s">
        <v>41</v>
      </c>
    </row>
    <row r="805" spans="1:12" s="33" customFormat="1" hidden="1" x14ac:dyDescent="0.3">
      <c r="A805" s="39">
        <v>46105.35434027778</v>
      </c>
      <c r="B805" s="33">
        <v>44999647912</v>
      </c>
      <c r="C805" s="33" t="s">
        <v>45</v>
      </c>
      <c r="D805" s="33">
        <v>4430265054</v>
      </c>
      <c r="E805" s="33">
        <v>517</v>
      </c>
      <c r="F805" s="33">
        <v>442</v>
      </c>
      <c r="G805" s="33" t="s">
        <v>38</v>
      </c>
      <c r="H805" s="33" t="s">
        <v>7356</v>
      </c>
      <c r="I805" s="33" t="s">
        <v>39</v>
      </c>
      <c r="J805" s="33" t="s">
        <v>40</v>
      </c>
      <c r="K805" s="33" t="s">
        <v>41</v>
      </c>
      <c r="L805" s="33">
        <v>5</v>
      </c>
    </row>
    <row r="806" spans="1:12" s="33" customFormat="1" hidden="1" x14ac:dyDescent="0.3">
      <c r="A806" s="39">
        <v>46105.3516087963</v>
      </c>
      <c r="B806" s="33">
        <v>4432462382</v>
      </c>
      <c r="C806" s="33">
        <v>4430265054</v>
      </c>
      <c r="D806" s="33">
        <v>4430265054</v>
      </c>
      <c r="E806" s="33">
        <v>13</v>
      </c>
      <c r="F806" s="33">
        <v>12</v>
      </c>
      <c r="G806" s="33" t="s">
        <v>3449</v>
      </c>
      <c r="H806" s="33" t="s">
        <v>7357</v>
      </c>
      <c r="I806" s="33" t="s">
        <v>39</v>
      </c>
      <c r="J806" s="33" t="s">
        <v>3451</v>
      </c>
    </row>
    <row r="807" spans="1:12" s="33" customFormat="1" hidden="1" x14ac:dyDescent="0.3">
      <c r="A807" s="39">
        <v>46105.341377314813</v>
      </c>
      <c r="B807" s="33">
        <v>44988067937</v>
      </c>
      <c r="C807" s="33">
        <v>4430265054</v>
      </c>
      <c r="D807" s="33">
        <v>4430265054</v>
      </c>
      <c r="E807" s="33">
        <v>12</v>
      </c>
      <c r="F807" s="33">
        <v>12</v>
      </c>
      <c r="G807" s="33" t="s">
        <v>3449</v>
      </c>
      <c r="H807" s="33" t="s">
        <v>7358</v>
      </c>
      <c r="I807" s="33" t="s">
        <v>39</v>
      </c>
      <c r="J807" s="33" t="s">
        <v>3451</v>
      </c>
    </row>
    <row r="808" spans="1:12" s="33" customFormat="1" hidden="1" x14ac:dyDescent="0.3">
      <c r="A808" s="39">
        <v>46105.341041666667</v>
      </c>
      <c r="B808" s="33">
        <v>44999647912</v>
      </c>
      <c r="C808" s="33">
        <v>4430265054</v>
      </c>
      <c r="D808" s="33">
        <v>4430265054</v>
      </c>
      <c r="E808" s="33">
        <v>22</v>
      </c>
      <c r="F808" s="33">
        <v>21</v>
      </c>
      <c r="G808" s="33" t="s">
        <v>3449</v>
      </c>
      <c r="H808" s="33" t="s">
        <v>7359</v>
      </c>
      <c r="I808" s="33" t="s">
        <v>39</v>
      </c>
      <c r="J808" s="33" t="s">
        <v>3451</v>
      </c>
    </row>
    <row r="809" spans="1:12" s="33" customFormat="1" hidden="1" x14ac:dyDescent="0.3">
      <c r="A809" s="39">
        <v>46104.733749999999</v>
      </c>
      <c r="B809" s="33">
        <v>93991829019</v>
      </c>
      <c r="C809" s="33" t="s">
        <v>37</v>
      </c>
      <c r="D809" s="33">
        <v>4430265054</v>
      </c>
      <c r="E809" s="33">
        <v>1220</v>
      </c>
      <c r="F809" s="33">
        <v>1155</v>
      </c>
      <c r="G809" s="33" t="s">
        <v>38</v>
      </c>
      <c r="H809" s="33" t="s">
        <v>7360</v>
      </c>
      <c r="I809" s="33" t="s">
        <v>39</v>
      </c>
      <c r="J809" s="33" t="s">
        <v>40</v>
      </c>
      <c r="K809" s="33" t="s">
        <v>41</v>
      </c>
    </row>
    <row r="810" spans="1:12" s="33" customFormat="1" hidden="1" x14ac:dyDescent="0.3">
      <c r="A810" s="39">
        <v>46104.731249999997</v>
      </c>
      <c r="B810" s="33">
        <v>44998860140</v>
      </c>
      <c r="C810" s="33" t="s">
        <v>42</v>
      </c>
      <c r="D810" s="33">
        <v>4430265054</v>
      </c>
      <c r="E810" s="33">
        <v>405</v>
      </c>
      <c r="F810" s="33">
        <v>364</v>
      </c>
      <c r="G810" s="33" t="s">
        <v>38</v>
      </c>
      <c r="H810" s="33" t="s">
        <v>7361</v>
      </c>
      <c r="I810" s="33" t="s">
        <v>39</v>
      </c>
      <c r="J810" s="33" t="s">
        <v>40</v>
      </c>
      <c r="K810" s="33" t="s">
        <v>41</v>
      </c>
    </row>
    <row r="811" spans="1:12" s="33" customFormat="1" hidden="1" x14ac:dyDescent="0.3">
      <c r="A811" s="39">
        <v>46104.718657407408</v>
      </c>
      <c r="B811" s="33">
        <v>67992169496</v>
      </c>
      <c r="C811" s="33" t="s">
        <v>44</v>
      </c>
      <c r="D811" s="33">
        <v>4430265054</v>
      </c>
      <c r="E811" s="33">
        <v>245</v>
      </c>
      <c r="F811" s="33">
        <v>158</v>
      </c>
      <c r="G811" s="33" t="s">
        <v>38</v>
      </c>
      <c r="H811" s="33" t="s">
        <v>7362</v>
      </c>
      <c r="I811" s="33" t="s">
        <v>39</v>
      </c>
      <c r="J811" s="33" t="s">
        <v>40</v>
      </c>
      <c r="K811" s="33" t="s">
        <v>41</v>
      </c>
    </row>
    <row r="812" spans="1:12" s="33" customFormat="1" hidden="1" x14ac:dyDescent="0.3">
      <c r="A812" s="39">
        <v>46104.704907407409</v>
      </c>
      <c r="B812" s="33">
        <v>4121413325</v>
      </c>
      <c r="C812" s="33">
        <v>4531273164</v>
      </c>
      <c r="D812" s="33">
        <v>4531273164</v>
      </c>
      <c r="E812" s="33">
        <v>56</v>
      </c>
      <c r="F812" s="33">
        <v>55</v>
      </c>
      <c r="G812" s="33" t="s">
        <v>3449</v>
      </c>
      <c r="H812" s="33" t="s">
        <v>7363</v>
      </c>
      <c r="I812" s="33" t="s">
        <v>39</v>
      </c>
      <c r="J812" s="33" t="s">
        <v>3451</v>
      </c>
      <c r="K812" s="33" t="s">
        <v>41</v>
      </c>
    </row>
    <row r="813" spans="1:12" s="33" customFormat="1" hidden="1" x14ac:dyDescent="0.3">
      <c r="A813" s="39">
        <v>46104.7034375</v>
      </c>
      <c r="B813" s="33">
        <v>4430162384</v>
      </c>
      <c r="C813" s="33" t="s">
        <v>42</v>
      </c>
      <c r="D813" s="33">
        <v>4430265054</v>
      </c>
      <c r="E813" s="33">
        <v>1634</v>
      </c>
      <c r="F813" s="33">
        <v>1611</v>
      </c>
      <c r="G813" s="33" t="s">
        <v>38</v>
      </c>
      <c r="H813" s="33" t="s">
        <v>7364</v>
      </c>
      <c r="I813" s="33" t="s">
        <v>39</v>
      </c>
      <c r="J813" s="33" t="s">
        <v>40</v>
      </c>
      <c r="K813" s="33" t="s">
        <v>41</v>
      </c>
    </row>
    <row r="814" spans="1:12" s="33" customFormat="1" hidden="1" x14ac:dyDescent="0.3">
      <c r="A814" s="39">
        <v>46104.702766203707</v>
      </c>
      <c r="B814" s="33">
        <v>4430162384</v>
      </c>
      <c r="C814" s="33" t="s">
        <v>37</v>
      </c>
      <c r="D814" s="33">
        <v>4430265054</v>
      </c>
      <c r="E814" s="33">
        <v>44</v>
      </c>
      <c r="F814" s="33">
        <v>24</v>
      </c>
      <c r="G814" s="33" t="s">
        <v>38</v>
      </c>
      <c r="H814" s="33" t="s">
        <v>7365</v>
      </c>
      <c r="I814" s="33" t="s">
        <v>39</v>
      </c>
      <c r="J814" s="33" t="s">
        <v>40</v>
      </c>
      <c r="K814" s="33" t="s">
        <v>41</v>
      </c>
    </row>
    <row r="815" spans="1:12" s="33" customFormat="1" hidden="1" x14ac:dyDescent="0.3">
      <c r="A815" s="39">
        <v>46104.700092592589</v>
      </c>
      <c r="B815" s="33">
        <v>47999760576</v>
      </c>
      <c r="C815" s="33" t="s">
        <v>45</v>
      </c>
      <c r="D815" s="33">
        <v>4430265054</v>
      </c>
      <c r="E815" s="33">
        <v>545</v>
      </c>
      <c r="F815" s="33">
        <v>408</v>
      </c>
      <c r="G815" s="33" t="s">
        <v>38</v>
      </c>
      <c r="H815" s="33" t="s">
        <v>7366</v>
      </c>
      <c r="I815" s="33" t="s">
        <v>39</v>
      </c>
      <c r="J815" s="33" t="s">
        <v>40</v>
      </c>
      <c r="K815" s="33" t="s">
        <v>41</v>
      </c>
      <c r="L815" s="33">
        <v>5</v>
      </c>
    </row>
    <row r="816" spans="1:12" s="33" customFormat="1" hidden="1" x14ac:dyDescent="0.3">
      <c r="A816" s="39">
        <v>46104.697523148148</v>
      </c>
      <c r="B816" s="33">
        <v>4436249360</v>
      </c>
      <c r="C816" s="33" t="s">
        <v>48</v>
      </c>
      <c r="D816" s="33">
        <v>4430265054</v>
      </c>
      <c r="E816" s="33">
        <v>492</v>
      </c>
      <c r="F816" s="33">
        <v>417</v>
      </c>
      <c r="G816" s="33" t="s">
        <v>38</v>
      </c>
      <c r="H816" s="33" t="s">
        <v>7367</v>
      </c>
      <c r="I816" s="33" t="s">
        <v>39</v>
      </c>
      <c r="J816" s="33" t="s">
        <v>40</v>
      </c>
      <c r="K816" s="33" t="s">
        <v>41</v>
      </c>
    </row>
    <row r="817" spans="1:12" s="33" customFormat="1" hidden="1" x14ac:dyDescent="0.3">
      <c r="A817" s="39">
        <v>46104.697129629632</v>
      </c>
      <c r="B817" s="33">
        <v>91984985454</v>
      </c>
      <c r="C817" s="33" t="s">
        <v>43</v>
      </c>
      <c r="D817" s="33">
        <v>4430265054</v>
      </c>
      <c r="E817" s="33">
        <v>685</v>
      </c>
      <c r="F817" s="33">
        <v>636</v>
      </c>
      <c r="G817" s="33" t="s">
        <v>38</v>
      </c>
      <c r="H817" s="33" t="s">
        <v>7368</v>
      </c>
      <c r="I817" s="33" t="s">
        <v>39</v>
      </c>
      <c r="J817" s="33" t="s">
        <v>40</v>
      </c>
      <c r="K817" s="33" t="s">
        <v>41</v>
      </c>
    </row>
    <row r="818" spans="1:12" s="33" customFormat="1" hidden="1" x14ac:dyDescent="0.3">
      <c r="A818" s="39">
        <v>46104.691168981481</v>
      </c>
      <c r="B818" s="33">
        <v>44991041123</v>
      </c>
      <c r="C818" s="33" t="s">
        <v>37</v>
      </c>
      <c r="D818" s="33">
        <v>4430265054</v>
      </c>
      <c r="E818" s="33">
        <v>444</v>
      </c>
      <c r="F818" s="33">
        <v>405</v>
      </c>
      <c r="G818" s="33" t="s">
        <v>38</v>
      </c>
      <c r="H818" s="33" t="s">
        <v>7369</v>
      </c>
      <c r="I818" s="33" t="s">
        <v>39</v>
      </c>
      <c r="J818" s="33" t="s">
        <v>40</v>
      </c>
      <c r="K818" s="33" t="s">
        <v>41</v>
      </c>
    </row>
    <row r="819" spans="1:12" s="33" customFormat="1" hidden="1" x14ac:dyDescent="0.3">
      <c r="A819" s="39">
        <v>46104.690497685187</v>
      </c>
      <c r="B819" s="33">
        <v>4435228300</v>
      </c>
      <c r="C819" s="33" t="s">
        <v>42</v>
      </c>
      <c r="D819" s="33">
        <v>4430265054</v>
      </c>
      <c r="E819" s="33">
        <v>892</v>
      </c>
      <c r="F819" s="33">
        <v>849</v>
      </c>
      <c r="G819" s="33" t="s">
        <v>38</v>
      </c>
      <c r="H819" s="33" t="s">
        <v>7370</v>
      </c>
      <c r="I819" s="33" t="s">
        <v>39</v>
      </c>
      <c r="J819" s="33" t="s">
        <v>40</v>
      </c>
      <c r="K819" s="33" t="s">
        <v>41</v>
      </c>
    </row>
    <row r="820" spans="1:12" s="33" customFormat="1" hidden="1" x14ac:dyDescent="0.3">
      <c r="A820" s="39">
        <v>46104.674502314818</v>
      </c>
      <c r="B820" s="33" t="s">
        <v>37</v>
      </c>
      <c r="C820" s="33">
        <v>44991234625</v>
      </c>
      <c r="E820" s="33">
        <v>573</v>
      </c>
      <c r="F820" s="33">
        <v>561</v>
      </c>
      <c r="G820" s="33" t="s">
        <v>38</v>
      </c>
      <c r="H820" s="33" t="s">
        <v>7371</v>
      </c>
      <c r="I820" s="33" t="s">
        <v>46</v>
      </c>
      <c r="J820" s="33" t="s">
        <v>40</v>
      </c>
      <c r="L820" s="33">
        <v>5</v>
      </c>
    </row>
    <row r="821" spans="1:12" s="33" customFormat="1" hidden="1" x14ac:dyDescent="0.3">
      <c r="A821" s="39">
        <v>46104.673692129632</v>
      </c>
      <c r="B821" s="33">
        <v>93991829019</v>
      </c>
      <c r="C821" s="33" t="s">
        <v>45</v>
      </c>
      <c r="D821" s="33">
        <v>4430265054</v>
      </c>
      <c r="E821" s="33">
        <v>1773</v>
      </c>
      <c r="F821" s="33">
        <v>1684</v>
      </c>
      <c r="G821" s="33" t="s">
        <v>38</v>
      </c>
      <c r="H821" s="33" t="s">
        <v>7372</v>
      </c>
      <c r="I821" s="33" t="s">
        <v>39</v>
      </c>
      <c r="J821" s="33" t="s">
        <v>40</v>
      </c>
      <c r="K821" s="33" t="s">
        <v>41</v>
      </c>
    </row>
    <row r="822" spans="1:12" s="33" customFormat="1" hidden="1" x14ac:dyDescent="0.3">
      <c r="A822" s="39">
        <v>46104.670127314814</v>
      </c>
      <c r="B822" s="33" t="s">
        <v>43</v>
      </c>
      <c r="C822" s="33">
        <v>11965990735</v>
      </c>
      <c r="E822" s="33">
        <v>593</v>
      </c>
      <c r="F822" s="33">
        <v>580</v>
      </c>
      <c r="G822" s="33" t="s">
        <v>38</v>
      </c>
      <c r="H822" s="33" t="s">
        <v>7373</v>
      </c>
      <c r="I822" s="33" t="s">
        <v>46</v>
      </c>
      <c r="J822" s="33" t="s">
        <v>40</v>
      </c>
    </row>
    <row r="823" spans="1:12" s="33" customFormat="1" hidden="1" x14ac:dyDescent="0.3">
      <c r="A823" s="39">
        <v>46104.668564814812</v>
      </c>
      <c r="B823" s="33">
        <v>45999334612</v>
      </c>
      <c r="C823" s="33" t="s">
        <v>45</v>
      </c>
      <c r="D823" s="33">
        <v>4430265054</v>
      </c>
      <c r="E823" s="33">
        <v>401</v>
      </c>
      <c r="F823" s="33">
        <v>380</v>
      </c>
      <c r="G823" s="33" t="s">
        <v>38</v>
      </c>
      <c r="H823" s="33" t="s">
        <v>7374</v>
      </c>
      <c r="I823" s="33" t="s">
        <v>39</v>
      </c>
      <c r="J823" s="33" t="s">
        <v>40</v>
      </c>
      <c r="K823" s="33" t="s">
        <v>41</v>
      </c>
    </row>
    <row r="824" spans="1:12" s="33" customFormat="1" hidden="1" x14ac:dyDescent="0.3">
      <c r="A824" s="39">
        <v>46104.660578703704</v>
      </c>
      <c r="B824" s="33" t="s">
        <v>37</v>
      </c>
      <c r="C824" s="33">
        <v>3432424736</v>
      </c>
      <c r="E824" s="33">
        <v>460</v>
      </c>
      <c r="F824" s="33">
        <v>459</v>
      </c>
      <c r="G824" s="33" t="s">
        <v>38</v>
      </c>
      <c r="H824" s="33" t="s">
        <v>7375</v>
      </c>
      <c r="I824" s="33" t="s">
        <v>46</v>
      </c>
      <c r="J824" s="33" t="s">
        <v>40</v>
      </c>
    </row>
    <row r="825" spans="1:12" s="33" customFormat="1" hidden="1" x14ac:dyDescent="0.3">
      <c r="A825" s="39">
        <v>46104.645520833335</v>
      </c>
      <c r="B825" s="33">
        <v>4433050408</v>
      </c>
      <c r="C825" s="33" t="s">
        <v>37</v>
      </c>
      <c r="D825" s="33">
        <v>4430265054</v>
      </c>
      <c r="E825" s="33">
        <v>587</v>
      </c>
      <c r="F825" s="33">
        <v>559</v>
      </c>
      <c r="G825" s="33" t="s">
        <v>38</v>
      </c>
      <c r="H825" s="33" t="s">
        <v>7376</v>
      </c>
      <c r="I825" s="33" t="s">
        <v>39</v>
      </c>
      <c r="J825" s="33" t="s">
        <v>40</v>
      </c>
      <c r="K825" s="33" t="s">
        <v>41</v>
      </c>
    </row>
    <row r="826" spans="1:12" s="33" customFormat="1" hidden="1" x14ac:dyDescent="0.3">
      <c r="A826" s="39">
        <v>46104.642407407409</v>
      </c>
      <c r="B826" s="33" t="s">
        <v>48</v>
      </c>
      <c r="C826" s="33">
        <v>1131043888</v>
      </c>
      <c r="E826" s="33">
        <v>577</v>
      </c>
      <c r="F826" s="33">
        <v>576</v>
      </c>
      <c r="G826" s="33" t="s">
        <v>38</v>
      </c>
      <c r="H826" s="33" t="s">
        <v>7377</v>
      </c>
      <c r="I826" s="33" t="s">
        <v>46</v>
      </c>
      <c r="J826" s="33" t="s">
        <v>40</v>
      </c>
      <c r="L826" s="33">
        <v>5</v>
      </c>
    </row>
    <row r="827" spans="1:12" s="33" customFormat="1" hidden="1" x14ac:dyDescent="0.3">
      <c r="A827" s="39">
        <v>46104.636979166666</v>
      </c>
      <c r="B827" s="33">
        <v>44999647912</v>
      </c>
      <c r="C827" s="33" t="s">
        <v>37</v>
      </c>
      <c r="D827" s="33">
        <v>4430265054</v>
      </c>
      <c r="E827" s="33">
        <v>342</v>
      </c>
      <c r="F827" s="33">
        <v>279</v>
      </c>
      <c r="G827" s="33" t="s">
        <v>38</v>
      </c>
      <c r="H827" s="33" t="s">
        <v>7378</v>
      </c>
      <c r="I827" s="33" t="s">
        <v>39</v>
      </c>
      <c r="J827" s="33" t="s">
        <v>40</v>
      </c>
      <c r="K827" s="33" t="s">
        <v>41</v>
      </c>
      <c r="L827" s="33">
        <v>5</v>
      </c>
    </row>
    <row r="828" spans="1:12" s="33" customFormat="1" hidden="1" x14ac:dyDescent="0.3">
      <c r="A828" s="39">
        <v>46104.635775462964</v>
      </c>
      <c r="B828" s="33">
        <v>11965990735</v>
      </c>
      <c r="C828" s="33" t="s">
        <v>43</v>
      </c>
      <c r="D828" s="33">
        <v>4430265054</v>
      </c>
      <c r="E828" s="33">
        <v>932</v>
      </c>
      <c r="F828" s="33">
        <v>861</v>
      </c>
      <c r="G828" s="33" t="s">
        <v>38</v>
      </c>
      <c r="H828" s="33" t="s">
        <v>7379</v>
      </c>
      <c r="I828" s="33" t="s">
        <v>39</v>
      </c>
      <c r="J828" s="33" t="s">
        <v>40</v>
      </c>
      <c r="K828" s="33" t="s">
        <v>41</v>
      </c>
      <c r="L828" s="33">
        <v>5</v>
      </c>
    </row>
    <row r="829" spans="1:12" s="33" customFormat="1" hidden="1" x14ac:dyDescent="0.3">
      <c r="A829" s="39">
        <v>46104.618460648147</v>
      </c>
      <c r="B829" s="33">
        <v>62994086124</v>
      </c>
      <c r="C829" s="33" t="s">
        <v>45</v>
      </c>
      <c r="D829" s="33">
        <v>4430265054</v>
      </c>
      <c r="E829" s="33">
        <v>955</v>
      </c>
      <c r="F829" s="33">
        <v>886</v>
      </c>
      <c r="G829" s="33" t="s">
        <v>38</v>
      </c>
      <c r="H829" s="33" t="s">
        <v>7380</v>
      </c>
      <c r="I829" s="33" t="s">
        <v>39</v>
      </c>
      <c r="J829" s="33" t="s">
        <v>40</v>
      </c>
      <c r="K829" s="33" t="s">
        <v>41</v>
      </c>
      <c r="L829" s="33">
        <v>5</v>
      </c>
    </row>
    <row r="830" spans="1:12" s="33" customFormat="1" hidden="1" x14ac:dyDescent="0.3">
      <c r="A830" s="39">
        <v>46104.613854166666</v>
      </c>
      <c r="B830" s="33">
        <v>4436281154</v>
      </c>
      <c r="C830" s="33" t="s">
        <v>37</v>
      </c>
      <c r="D830" s="33">
        <v>4430265054</v>
      </c>
      <c r="E830" s="33">
        <v>472</v>
      </c>
      <c r="F830" s="33">
        <v>430</v>
      </c>
      <c r="G830" s="33" t="s">
        <v>38</v>
      </c>
      <c r="H830" s="33" t="s">
        <v>7381</v>
      </c>
      <c r="I830" s="33" t="s">
        <v>39</v>
      </c>
      <c r="J830" s="33" t="s">
        <v>40</v>
      </c>
      <c r="K830" s="33" t="s">
        <v>41</v>
      </c>
      <c r="L830" s="33">
        <v>3</v>
      </c>
    </row>
    <row r="831" spans="1:12" s="33" customFormat="1" hidden="1" x14ac:dyDescent="0.3">
      <c r="A831" s="39">
        <v>46104.610381944447</v>
      </c>
      <c r="B831" s="33">
        <v>11965990735</v>
      </c>
      <c r="C831" s="33" t="s">
        <v>45</v>
      </c>
      <c r="D831" s="33">
        <v>4430265054</v>
      </c>
      <c r="E831" s="33">
        <v>539</v>
      </c>
      <c r="F831" s="33">
        <v>497</v>
      </c>
      <c r="G831" s="33" t="s">
        <v>38</v>
      </c>
      <c r="H831" s="33" t="s">
        <v>7382</v>
      </c>
      <c r="I831" s="33" t="s">
        <v>39</v>
      </c>
      <c r="J831" s="33" t="s">
        <v>40</v>
      </c>
      <c r="K831" s="33" t="s">
        <v>41</v>
      </c>
      <c r="L831" s="33">
        <v>5</v>
      </c>
    </row>
    <row r="832" spans="1:12" s="33" customFormat="1" hidden="1" x14ac:dyDescent="0.3">
      <c r="A832" s="39">
        <v>46104.607314814813</v>
      </c>
      <c r="B832" s="33">
        <v>44988182098</v>
      </c>
      <c r="C832" s="33" t="s">
        <v>45</v>
      </c>
      <c r="D832" s="33">
        <v>4430265054</v>
      </c>
      <c r="E832" s="33">
        <v>120</v>
      </c>
      <c r="F832" s="33">
        <v>48</v>
      </c>
      <c r="G832" s="33" t="s">
        <v>38</v>
      </c>
      <c r="H832" s="33" t="s">
        <v>7383</v>
      </c>
      <c r="I832" s="33" t="s">
        <v>39</v>
      </c>
      <c r="J832" s="33" t="s">
        <v>40</v>
      </c>
      <c r="K832" s="33" t="s">
        <v>41</v>
      </c>
    </row>
    <row r="833" spans="1:12" s="33" customFormat="1" hidden="1" x14ac:dyDescent="0.3">
      <c r="A833" s="39">
        <v>46104.601909722223</v>
      </c>
      <c r="B833" s="33">
        <v>44991486467</v>
      </c>
      <c r="C833" s="33" t="s">
        <v>48</v>
      </c>
      <c r="D833" s="33">
        <v>4430265054</v>
      </c>
      <c r="E833" s="33">
        <v>1235</v>
      </c>
      <c r="F833" s="33">
        <v>1165</v>
      </c>
      <c r="G833" s="33" t="s">
        <v>38</v>
      </c>
      <c r="H833" s="33" t="s">
        <v>7384</v>
      </c>
      <c r="I833" s="33" t="s">
        <v>39</v>
      </c>
      <c r="J833" s="33" t="s">
        <v>40</v>
      </c>
      <c r="K833" s="33" t="s">
        <v>41</v>
      </c>
    </row>
    <row r="834" spans="1:12" s="33" customFormat="1" hidden="1" x14ac:dyDescent="0.3">
      <c r="A834" s="39">
        <v>46104.601319444446</v>
      </c>
      <c r="B834" s="33">
        <v>44991388221</v>
      </c>
      <c r="C834" s="33" t="s">
        <v>44</v>
      </c>
      <c r="D834" s="33">
        <v>4430265054</v>
      </c>
      <c r="E834" s="33">
        <v>776</v>
      </c>
      <c r="F834" s="33">
        <v>612</v>
      </c>
      <c r="G834" s="33" t="s">
        <v>38</v>
      </c>
      <c r="H834" s="33" t="s">
        <v>7385</v>
      </c>
      <c r="I834" s="33" t="s">
        <v>39</v>
      </c>
      <c r="J834" s="33" t="s">
        <v>40</v>
      </c>
      <c r="K834" s="33" t="s">
        <v>41</v>
      </c>
    </row>
    <row r="835" spans="1:12" s="33" customFormat="1" hidden="1" x14ac:dyDescent="0.3">
      <c r="A835" s="39">
        <v>46104.599652777775</v>
      </c>
      <c r="B835" s="33">
        <v>44997618065</v>
      </c>
      <c r="C835" s="33" t="s">
        <v>42</v>
      </c>
      <c r="D835" s="33">
        <v>4430265054</v>
      </c>
      <c r="E835" s="33">
        <v>1088</v>
      </c>
      <c r="F835" s="33">
        <v>1075</v>
      </c>
      <c r="G835" s="33" t="s">
        <v>38</v>
      </c>
      <c r="H835" s="33" t="s">
        <v>7386</v>
      </c>
      <c r="I835" s="33" t="s">
        <v>39</v>
      </c>
      <c r="J835" s="33" t="s">
        <v>40</v>
      </c>
      <c r="K835" s="33" t="s">
        <v>41</v>
      </c>
    </row>
    <row r="836" spans="1:12" s="33" customFormat="1" hidden="1" x14ac:dyDescent="0.3">
      <c r="A836" s="39">
        <v>46104.597314814811</v>
      </c>
      <c r="B836" s="33">
        <v>4121413723</v>
      </c>
      <c r="C836" s="33">
        <v>4531273160</v>
      </c>
      <c r="D836" s="33">
        <v>4531273160</v>
      </c>
      <c r="E836" s="33">
        <v>56</v>
      </c>
      <c r="F836" s="33">
        <v>55</v>
      </c>
      <c r="G836" s="33" t="s">
        <v>3449</v>
      </c>
      <c r="H836" s="33" t="s">
        <v>7387</v>
      </c>
      <c r="I836" s="33" t="s">
        <v>39</v>
      </c>
      <c r="J836" s="33" t="s">
        <v>3451</v>
      </c>
      <c r="K836" s="33" t="s">
        <v>41</v>
      </c>
    </row>
    <row r="837" spans="1:12" s="33" customFormat="1" x14ac:dyDescent="0.3">
      <c r="A837" s="39">
        <v>46104.590428240743</v>
      </c>
      <c r="B837" s="33">
        <v>11965990735</v>
      </c>
      <c r="C837" s="33" t="s">
        <v>42</v>
      </c>
      <c r="D837" s="33">
        <v>4430265054</v>
      </c>
      <c r="E837" s="33">
        <v>714</v>
      </c>
      <c r="F837" s="33">
        <v>705</v>
      </c>
      <c r="G837" s="33" t="s">
        <v>38</v>
      </c>
      <c r="H837" s="33" t="s">
        <v>7388</v>
      </c>
      <c r="I837" s="33" t="s">
        <v>39</v>
      </c>
      <c r="J837" s="33" t="s">
        <v>40</v>
      </c>
      <c r="K837" s="33" t="s">
        <v>41</v>
      </c>
      <c r="L837" s="33">
        <v>5</v>
      </c>
    </row>
    <row r="838" spans="1:12" s="33" customFormat="1" hidden="1" x14ac:dyDescent="0.3">
      <c r="A838" s="39">
        <v>46104.588240740741</v>
      </c>
      <c r="B838" s="33" t="s">
        <v>44</v>
      </c>
      <c r="C838" s="33">
        <v>4430191401</v>
      </c>
      <c r="E838" s="33">
        <v>319</v>
      </c>
      <c r="F838" s="33">
        <v>316</v>
      </c>
      <c r="G838" s="33" t="s">
        <v>38</v>
      </c>
      <c r="H838" s="33" t="s">
        <v>7389</v>
      </c>
      <c r="I838" s="33" t="s">
        <v>46</v>
      </c>
      <c r="J838" s="33" t="s">
        <v>40</v>
      </c>
    </row>
    <row r="839" spans="1:12" s="33" customFormat="1" hidden="1" x14ac:dyDescent="0.3">
      <c r="A839" s="39">
        <v>46104.585717592592</v>
      </c>
      <c r="B839" s="33">
        <v>44991234625</v>
      </c>
      <c r="C839" s="33" t="s">
        <v>37</v>
      </c>
      <c r="D839" s="33">
        <v>4430265054</v>
      </c>
      <c r="E839" s="33">
        <v>1147</v>
      </c>
      <c r="F839" s="33">
        <v>1070</v>
      </c>
      <c r="G839" s="33" t="s">
        <v>38</v>
      </c>
      <c r="H839" s="33" t="s">
        <v>7390</v>
      </c>
      <c r="I839" s="33" t="s">
        <v>39</v>
      </c>
      <c r="J839" s="33" t="s">
        <v>40</v>
      </c>
      <c r="K839" s="33" t="s">
        <v>41</v>
      </c>
    </row>
    <row r="840" spans="1:12" s="33" customFormat="1" hidden="1" x14ac:dyDescent="0.3">
      <c r="A840" s="39">
        <v>46104.584618055553</v>
      </c>
      <c r="B840" s="33">
        <v>44988182098</v>
      </c>
      <c r="C840" s="33" t="s">
        <v>48</v>
      </c>
      <c r="D840" s="33">
        <v>4430265054</v>
      </c>
      <c r="E840" s="33">
        <v>843</v>
      </c>
      <c r="F840" s="33">
        <v>842</v>
      </c>
      <c r="G840" s="33" t="s">
        <v>38</v>
      </c>
      <c r="H840" s="33" t="s">
        <v>7391</v>
      </c>
      <c r="I840" s="33" t="s">
        <v>39</v>
      </c>
      <c r="J840" s="33" t="s">
        <v>40</v>
      </c>
      <c r="K840" s="33" t="s">
        <v>41</v>
      </c>
    </row>
    <row r="841" spans="1:12" s="33" customFormat="1" hidden="1" x14ac:dyDescent="0.3">
      <c r="A841" s="39">
        <v>46104.578773148147</v>
      </c>
      <c r="B841" s="33">
        <v>4436281154</v>
      </c>
      <c r="C841" s="33" t="s">
        <v>44</v>
      </c>
      <c r="D841" s="33">
        <v>4430265054</v>
      </c>
      <c r="E841" s="33">
        <v>756</v>
      </c>
      <c r="F841" s="33">
        <v>615</v>
      </c>
      <c r="G841" s="33" t="s">
        <v>38</v>
      </c>
      <c r="H841" s="33" t="s">
        <v>7392</v>
      </c>
      <c r="I841" s="33" t="s">
        <v>39</v>
      </c>
      <c r="J841" s="33" t="s">
        <v>40</v>
      </c>
      <c r="K841" s="33" t="s">
        <v>41</v>
      </c>
      <c r="L841" s="33">
        <v>5</v>
      </c>
    </row>
    <row r="842" spans="1:12" s="33" customFormat="1" hidden="1" x14ac:dyDescent="0.3">
      <c r="A842" s="39">
        <v>46104.577499999999</v>
      </c>
      <c r="B842" s="33">
        <v>4430289386</v>
      </c>
      <c r="C842" s="33" t="s">
        <v>42</v>
      </c>
      <c r="D842" s="33">
        <v>4430265054</v>
      </c>
      <c r="E842" s="33">
        <v>512</v>
      </c>
      <c r="F842" s="33">
        <v>442</v>
      </c>
      <c r="G842" s="33" t="s">
        <v>38</v>
      </c>
      <c r="H842" s="33" t="s">
        <v>7393</v>
      </c>
      <c r="I842" s="33" t="s">
        <v>39</v>
      </c>
      <c r="J842" s="33" t="s">
        <v>40</v>
      </c>
      <c r="K842" s="33" t="s">
        <v>41</v>
      </c>
    </row>
    <row r="843" spans="1:12" s="33" customFormat="1" hidden="1" x14ac:dyDescent="0.3">
      <c r="A843" s="39">
        <v>46104.577453703707</v>
      </c>
      <c r="B843" s="33" t="s">
        <v>43</v>
      </c>
      <c r="C843" s="33">
        <v>4432462558</v>
      </c>
      <c r="E843" s="33">
        <v>1320</v>
      </c>
      <c r="F843" s="33">
        <v>1306</v>
      </c>
      <c r="G843" s="33" t="s">
        <v>38</v>
      </c>
      <c r="H843" s="33" t="s">
        <v>7394</v>
      </c>
      <c r="I843" s="33" t="s">
        <v>46</v>
      </c>
      <c r="J843" s="33" t="s">
        <v>40</v>
      </c>
    </row>
    <row r="844" spans="1:12" s="33" customFormat="1" hidden="1" x14ac:dyDescent="0.3">
      <c r="A844" s="39">
        <v>46104.577372685184</v>
      </c>
      <c r="B844" s="33" t="s">
        <v>43</v>
      </c>
      <c r="C844" s="33">
        <v>4432462558</v>
      </c>
      <c r="E844" s="33">
        <v>6</v>
      </c>
      <c r="F844" s="33">
        <v>0</v>
      </c>
      <c r="G844" s="33" t="s">
        <v>47</v>
      </c>
      <c r="H844" s="33" t="s">
        <v>7395</v>
      </c>
      <c r="I844" s="33" t="s">
        <v>46</v>
      </c>
      <c r="J844" s="33" t="s">
        <v>40</v>
      </c>
    </row>
    <row r="845" spans="1:12" s="33" customFormat="1" hidden="1" x14ac:dyDescent="0.3">
      <c r="A845" s="39">
        <v>46104.572754629633</v>
      </c>
      <c r="B845" s="33">
        <v>4430562296</v>
      </c>
      <c r="C845" s="33" t="s">
        <v>37</v>
      </c>
      <c r="D845" s="33">
        <v>4430265054</v>
      </c>
      <c r="E845" s="33">
        <v>600</v>
      </c>
      <c r="F845" s="33">
        <v>382</v>
      </c>
      <c r="G845" s="33" t="s">
        <v>38</v>
      </c>
      <c r="H845" s="33" t="s">
        <v>7396</v>
      </c>
      <c r="I845" s="33" t="s">
        <v>39</v>
      </c>
      <c r="J845" s="33" t="s">
        <v>40</v>
      </c>
      <c r="K845" s="33" t="s">
        <v>41</v>
      </c>
    </row>
    <row r="846" spans="1:12" s="33" customFormat="1" x14ac:dyDescent="0.3">
      <c r="A846" s="39">
        <v>46104.5700462963</v>
      </c>
      <c r="B846" s="33">
        <v>45999334612</v>
      </c>
      <c r="C846" s="33" t="s">
        <v>42</v>
      </c>
      <c r="D846" s="33">
        <v>4430265054</v>
      </c>
      <c r="E846" s="33">
        <v>119</v>
      </c>
      <c r="F846" s="33">
        <v>59</v>
      </c>
      <c r="G846" s="33" t="s">
        <v>38</v>
      </c>
      <c r="H846" s="33" t="s">
        <v>7397</v>
      </c>
      <c r="I846" s="33" t="s">
        <v>39</v>
      </c>
      <c r="J846" s="33" t="s">
        <v>40</v>
      </c>
      <c r="K846" s="33" t="s">
        <v>41</v>
      </c>
      <c r="L846" s="33">
        <v>5</v>
      </c>
    </row>
    <row r="847" spans="1:12" s="33" customFormat="1" hidden="1" x14ac:dyDescent="0.3">
      <c r="A847" s="39">
        <v>46104.568703703706</v>
      </c>
      <c r="B847" s="33" t="s">
        <v>45</v>
      </c>
      <c r="C847" s="33">
        <v>44988067937</v>
      </c>
      <c r="E847" s="33">
        <v>1503</v>
      </c>
      <c r="F847" s="33">
        <v>1492</v>
      </c>
      <c r="G847" s="33" t="s">
        <v>38</v>
      </c>
      <c r="H847" s="33" t="s">
        <v>7398</v>
      </c>
      <c r="I847" s="33" t="s">
        <v>46</v>
      </c>
      <c r="J847" s="33" t="s">
        <v>40</v>
      </c>
    </row>
    <row r="848" spans="1:12" s="33" customFormat="1" hidden="1" x14ac:dyDescent="0.3">
      <c r="A848" s="39">
        <v>46104.56863425926</v>
      </c>
      <c r="B848" s="33" t="s">
        <v>45</v>
      </c>
      <c r="C848" s="33">
        <v>44988067937</v>
      </c>
      <c r="E848" s="33">
        <v>4</v>
      </c>
      <c r="F848" s="33">
        <v>0</v>
      </c>
      <c r="G848" s="33" t="s">
        <v>47</v>
      </c>
      <c r="H848" s="33" t="s">
        <v>7399</v>
      </c>
      <c r="I848" s="33" t="s">
        <v>46</v>
      </c>
      <c r="J848" s="33" t="s">
        <v>40</v>
      </c>
    </row>
    <row r="849" spans="1:12" s="33" customFormat="1" hidden="1" x14ac:dyDescent="0.3">
      <c r="A849" s="39">
        <v>46104.568206018521</v>
      </c>
      <c r="B849" s="33" t="s">
        <v>44</v>
      </c>
      <c r="C849" s="33">
        <v>44984241715</v>
      </c>
      <c r="E849" s="33">
        <v>908</v>
      </c>
      <c r="F849" s="33">
        <v>888</v>
      </c>
      <c r="G849" s="33" t="s">
        <v>38</v>
      </c>
      <c r="H849" s="33" t="s">
        <v>7400</v>
      </c>
      <c r="I849" s="33" t="s">
        <v>46</v>
      </c>
      <c r="J849" s="33" t="s">
        <v>40</v>
      </c>
    </row>
    <row r="850" spans="1:12" s="33" customFormat="1" hidden="1" x14ac:dyDescent="0.3">
      <c r="A850" s="39">
        <v>46104.568055555559</v>
      </c>
      <c r="B850" s="33">
        <v>4436281154</v>
      </c>
      <c r="C850" s="33">
        <v>4430265054</v>
      </c>
      <c r="D850" s="33">
        <v>4430265054</v>
      </c>
      <c r="E850" s="33">
        <v>45</v>
      </c>
      <c r="F850" s="33">
        <v>45</v>
      </c>
      <c r="G850" s="33" t="s">
        <v>3449</v>
      </c>
      <c r="H850" s="33" t="s">
        <v>7401</v>
      </c>
      <c r="I850" s="33" t="s">
        <v>39</v>
      </c>
      <c r="J850" s="33" t="s">
        <v>3451</v>
      </c>
      <c r="K850" s="33" t="s">
        <v>41</v>
      </c>
    </row>
    <row r="851" spans="1:12" s="33" customFormat="1" hidden="1" x14ac:dyDescent="0.3">
      <c r="A851" s="39">
        <v>46104.563599537039</v>
      </c>
      <c r="B851" s="33">
        <v>44991234625</v>
      </c>
      <c r="C851" s="33" t="s">
        <v>37</v>
      </c>
      <c r="D851" s="33">
        <v>4430265054</v>
      </c>
      <c r="E851" s="33">
        <v>697</v>
      </c>
      <c r="F851" s="33">
        <v>597</v>
      </c>
      <c r="G851" s="33" t="s">
        <v>38</v>
      </c>
      <c r="H851" s="33" t="s">
        <v>7402</v>
      </c>
      <c r="I851" s="33" t="s">
        <v>39</v>
      </c>
      <c r="J851" s="33" t="s">
        <v>40</v>
      </c>
      <c r="K851" s="33" t="s">
        <v>41</v>
      </c>
    </row>
    <row r="852" spans="1:12" s="33" customFormat="1" hidden="1" x14ac:dyDescent="0.3">
      <c r="A852" s="39">
        <v>46104.563101851854</v>
      </c>
      <c r="B852" s="33" t="s">
        <v>45</v>
      </c>
      <c r="C852" s="33">
        <v>45999211357</v>
      </c>
      <c r="E852" s="33">
        <v>356</v>
      </c>
      <c r="F852" s="33">
        <v>345</v>
      </c>
      <c r="G852" s="33" t="s">
        <v>38</v>
      </c>
      <c r="H852" s="33" t="s">
        <v>7403</v>
      </c>
      <c r="I852" s="33" t="s">
        <v>46</v>
      </c>
      <c r="J852" s="33" t="s">
        <v>40</v>
      </c>
      <c r="L852" s="33">
        <v>4</v>
      </c>
    </row>
    <row r="853" spans="1:12" s="33" customFormat="1" hidden="1" x14ac:dyDescent="0.3">
      <c r="A853" s="39">
        <v>46104.562650462962</v>
      </c>
      <c r="B853" s="33" t="s">
        <v>45</v>
      </c>
      <c r="C853" s="33">
        <v>45999334612</v>
      </c>
      <c r="E853" s="33">
        <v>64</v>
      </c>
      <c r="F853" s="33">
        <v>44</v>
      </c>
      <c r="G853" s="33" t="s">
        <v>38</v>
      </c>
      <c r="H853" s="33" t="s">
        <v>7404</v>
      </c>
      <c r="I853" s="33" t="s">
        <v>46</v>
      </c>
      <c r="J853" s="33" t="s">
        <v>40</v>
      </c>
      <c r="L853" s="33">
        <v>5</v>
      </c>
    </row>
    <row r="854" spans="1:12" s="33" customFormat="1" hidden="1" x14ac:dyDescent="0.3">
      <c r="A854" s="39">
        <v>46104.560752314814</v>
      </c>
      <c r="B854" s="33" t="s">
        <v>45</v>
      </c>
      <c r="C854" s="33">
        <v>45999211333</v>
      </c>
      <c r="E854" s="33">
        <v>71</v>
      </c>
      <c r="F854" s="33">
        <v>31</v>
      </c>
      <c r="G854" s="33" t="s">
        <v>38</v>
      </c>
      <c r="H854" s="33" t="s">
        <v>7405</v>
      </c>
      <c r="I854" s="33" t="s">
        <v>46</v>
      </c>
      <c r="J854" s="33" t="s">
        <v>40</v>
      </c>
    </row>
    <row r="855" spans="1:12" s="33" customFormat="1" hidden="1" x14ac:dyDescent="0.3">
      <c r="A855" s="39">
        <v>46104.558391203704</v>
      </c>
      <c r="B855" s="33">
        <v>45999211357</v>
      </c>
      <c r="C855" s="33">
        <v>4431268225</v>
      </c>
      <c r="D855" s="33">
        <v>4431268225</v>
      </c>
      <c r="E855" s="33">
        <v>28</v>
      </c>
      <c r="F855" s="33">
        <v>28</v>
      </c>
      <c r="G855" s="33" t="s">
        <v>3449</v>
      </c>
      <c r="H855" s="33" t="s">
        <v>7406</v>
      </c>
      <c r="I855" s="33" t="s">
        <v>39</v>
      </c>
      <c r="J855" s="33" t="s">
        <v>3451</v>
      </c>
    </row>
    <row r="856" spans="1:12" s="33" customFormat="1" hidden="1" x14ac:dyDescent="0.3">
      <c r="A856" s="39">
        <v>46104.557939814818</v>
      </c>
      <c r="B856" s="33" t="s">
        <v>45</v>
      </c>
      <c r="C856" s="33">
        <v>45999211357</v>
      </c>
      <c r="E856" s="33">
        <v>54</v>
      </c>
      <c r="F856" s="33">
        <v>34</v>
      </c>
      <c r="G856" s="33" t="s">
        <v>38</v>
      </c>
      <c r="H856" s="33" t="s">
        <v>7407</v>
      </c>
      <c r="I856" s="33" t="s">
        <v>46</v>
      </c>
      <c r="J856" s="33" t="s">
        <v>40</v>
      </c>
    </row>
    <row r="857" spans="1:12" s="33" customFormat="1" hidden="1" x14ac:dyDescent="0.3">
      <c r="A857" s="39">
        <v>46104.509791666664</v>
      </c>
      <c r="B857" s="33">
        <v>4121413723</v>
      </c>
      <c r="C857" s="33">
        <v>4531273165</v>
      </c>
      <c r="D857" s="33">
        <v>4531273165</v>
      </c>
      <c r="E857" s="33">
        <v>28</v>
      </c>
      <c r="F857" s="33">
        <v>28</v>
      </c>
      <c r="G857" s="33" t="s">
        <v>3449</v>
      </c>
      <c r="H857" s="33" t="s">
        <v>7408</v>
      </c>
      <c r="I857" s="33" t="s">
        <v>39</v>
      </c>
      <c r="J857" s="33" t="s">
        <v>3451</v>
      </c>
    </row>
    <row r="858" spans="1:12" s="33" customFormat="1" hidden="1" x14ac:dyDescent="0.3">
      <c r="A858" s="39">
        <v>46104.492256944446</v>
      </c>
      <c r="B858" s="33" t="s">
        <v>44</v>
      </c>
      <c r="C858" s="33">
        <v>44984241715</v>
      </c>
      <c r="E858" s="33">
        <v>57</v>
      </c>
      <c r="F858" s="33">
        <v>30</v>
      </c>
      <c r="G858" s="33" t="s">
        <v>38</v>
      </c>
      <c r="H858" s="33" t="s">
        <v>7409</v>
      </c>
      <c r="I858" s="33" t="s">
        <v>46</v>
      </c>
      <c r="J858" s="33" t="s">
        <v>40</v>
      </c>
    </row>
    <row r="859" spans="1:12" s="33" customFormat="1" hidden="1" x14ac:dyDescent="0.3">
      <c r="A859" s="39">
        <v>46104.491875</v>
      </c>
      <c r="B859" s="33" t="s">
        <v>44</v>
      </c>
      <c r="C859" s="33">
        <v>44984241715</v>
      </c>
      <c r="E859" s="33">
        <v>57</v>
      </c>
      <c r="F859" s="33">
        <v>29</v>
      </c>
      <c r="G859" s="33" t="s">
        <v>38</v>
      </c>
      <c r="H859" s="33" t="s">
        <v>7410</v>
      </c>
      <c r="I859" s="33" t="s">
        <v>46</v>
      </c>
      <c r="J859" s="33" t="s">
        <v>40</v>
      </c>
    </row>
    <row r="860" spans="1:12" s="33" customFormat="1" hidden="1" x14ac:dyDescent="0.3">
      <c r="A860" s="39">
        <v>46104.49181712963</v>
      </c>
      <c r="B860" s="33" t="s">
        <v>44</v>
      </c>
      <c r="C860" s="33">
        <v>44984241715</v>
      </c>
      <c r="E860" s="33">
        <v>5</v>
      </c>
      <c r="F860" s="33">
        <v>0</v>
      </c>
      <c r="G860" s="33" t="s">
        <v>47</v>
      </c>
      <c r="H860" s="33" t="s">
        <v>7411</v>
      </c>
      <c r="I860" s="33" t="s">
        <v>46</v>
      </c>
      <c r="J860" s="33" t="s">
        <v>40</v>
      </c>
    </row>
    <row r="861" spans="1:12" s="33" customFormat="1" hidden="1" x14ac:dyDescent="0.3">
      <c r="A861" s="39">
        <v>46104.48710648148</v>
      </c>
      <c r="B861" s="33" t="s">
        <v>45</v>
      </c>
      <c r="C861" s="33">
        <v>45999211357</v>
      </c>
      <c r="E861" s="33">
        <v>3</v>
      </c>
      <c r="F861" s="33">
        <v>0</v>
      </c>
      <c r="G861" s="33" t="s">
        <v>47</v>
      </c>
      <c r="H861" s="33" t="s">
        <v>7412</v>
      </c>
      <c r="I861" s="33" t="s">
        <v>46</v>
      </c>
      <c r="J861" s="33" t="s">
        <v>40</v>
      </c>
    </row>
    <row r="862" spans="1:12" s="33" customFormat="1" hidden="1" x14ac:dyDescent="0.3">
      <c r="A862" s="39">
        <v>46104.483668981484</v>
      </c>
      <c r="B862" s="33">
        <v>44991388221</v>
      </c>
      <c r="C862" s="33" t="s">
        <v>42</v>
      </c>
      <c r="D862" s="33">
        <v>4430265054</v>
      </c>
      <c r="E862" s="33">
        <v>159</v>
      </c>
      <c r="F862" s="33">
        <v>108</v>
      </c>
      <c r="G862" s="33" t="s">
        <v>38</v>
      </c>
      <c r="H862" s="33" t="s">
        <v>7413</v>
      </c>
      <c r="I862" s="33" t="s">
        <v>39</v>
      </c>
      <c r="J862" s="33" t="s">
        <v>40</v>
      </c>
      <c r="K862" s="33" t="s">
        <v>41</v>
      </c>
    </row>
    <row r="863" spans="1:12" s="33" customFormat="1" x14ac:dyDescent="0.3">
      <c r="A863" s="39">
        <v>46104.481238425928</v>
      </c>
      <c r="B863" s="33">
        <v>45999334612</v>
      </c>
      <c r="C863" s="33" t="s">
        <v>42</v>
      </c>
      <c r="D863" s="33">
        <v>4430265054</v>
      </c>
      <c r="E863" s="33">
        <v>129</v>
      </c>
      <c r="F863" s="33">
        <v>69</v>
      </c>
      <c r="G863" s="33" t="s">
        <v>38</v>
      </c>
      <c r="H863" s="33" t="s">
        <v>7414</v>
      </c>
      <c r="I863" s="33" t="s">
        <v>39</v>
      </c>
      <c r="J863" s="33" t="s">
        <v>40</v>
      </c>
      <c r="K863" s="33" t="s">
        <v>41</v>
      </c>
      <c r="L863" s="33">
        <v>5</v>
      </c>
    </row>
    <row r="864" spans="1:12" s="33" customFormat="1" hidden="1" x14ac:dyDescent="0.3">
      <c r="A864" s="39">
        <v>46104.475405092591</v>
      </c>
      <c r="B864" s="33">
        <v>44984241715</v>
      </c>
      <c r="C864" s="33" t="s">
        <v>44</v>
      </c>
      <c r="D864" s="33">
        <v>4430265054</v>
      </c>
      <c r="E864" s="33">
        <v>124</v>
      </c>
      <c r="F864" s="33">
        <v>91</v>
      </c>
      <c r="G864" s="33" t="s">
        <v>38</v>
      </c>
      <c r="H864" s="33" t="s">
        <v>7415</v>
      </c>
      <c r="I864" s="33" t="s">
        <v>39</v>
      </c>
      <c r="J864" s="33" t="s">
        <v>40</v>
      </c>
      <c r="K864" s="33" t="s">
        <v>41</v>
      </c>
    </row>
    <row r="865" spans="1:12" s="33" customFormat="1" hidden="1" x14ac:dyDescent="0.3">
      <c r="A865" s="39">
        <v>46104.470601851855</v>
      </c>
      <c r="B865" s="33">
        <v>45999211357</v>
      </c>
      <c r="C865" s="33" t="s">
        <v>45</v>
      </c>
      <c r="D865" s="33">
        <v>4431268225</v>
      </c>
      <c r="E865" s="33">
        <v>1112</v>
      </c>
      <c r="F865" s="33">
        <v>1028</v>
      </c>
      <c r="G865" s="33" t="s">
        <v>38</v>
      </c>
      <c r="H865" s="33" t="s">
        <v>7416</v>
      </c>
      <c r="I865" s="33" t="s">
        <v>39</v>
      </c>
      <c r="J865" s="33" t="s">
        <v>40</v>
      </c>
      <c r="K865" s="33" t="s">
        <v>41</v>
      </c>
    </row>
    <row r="866" spans="1:12" s="33" customFormat="1" hidden="1" x14ac:dyDescent="0.3">
      <c r="A866" s="39">
        <v>46104.467974537038</v>
      </c>
      <c r="B866" s="33">
        <v>4121413723</v>
      </c>
      <c r="C866" s="33" t="s">
        <v>42</v>
      </c>
      <c r="D866" s="33">
        <v>4531273158</v>
      </c>
      <c r="E866" s="33">
        <v>61</v>
      </c>
      <c r="F866" s="33">
        <v>10</v>
      </c>
      <c r="G866" s="33" t="s">
        <v>38</v>
      </c>
      <c r="H866" s="33" t="s">
        <v>7417</v>
      </c>
      <c r="I866" s="33" t="s">
        <v>39</v>
      </c>
      <c r="J866" s="33" t="s">
        <v>40</v>
      </c>
      <c r="K866" s="33" t="s">
        <v>41</v>
      </c>
    </row>
    <row r="867" spans="1:12" s="33" customFormat="1" hidden="1" x14ac:dyDescent="0.3">
      <c r="A867" s="39">
        <v>46104.466435185182</v>
      </c>
      <c r="B867" s="33">
        <v>1131043888</v>
      </c>
      <c r="C867" s="33" t="s">
        <v>45</v>
      </c>
      <c r="D867" s="33">
        <v>4430265054</v>
      </c>
      <c r="E867" s="33">
        <v>374</v>
      </c>
      <c r="F867" s="33">
        <v>246</v>
      </c>
      <c r="G867" s="33" t="s">
        <v>38</v>
      </c>
      <c r="H867" s="33" t="s">
        <v>7418</v>
      </c>
      <c r="I867" s="33" t="s">
        <v>39</v>
      </c>
      <c r="J867" s="33" t="s">
        <v>40</v>
      </c>
      <c r="K867" s="33" t="s">
        <v>41</v>
      </c>
    </row>
    <row r="868" spans="1:12" s="33" customFormat="1" hidden="1" x14ac:dyDescent="0.3">
      <c r="A868" s="39">
        <v>46104.461875000001</v>
      </c>
      <c r="B868" s="33">
        <v>44984241715</v>
      </c>
      <c r="C868" s="33" t="s">
        <v>44</v>
      </c>
      <c r="D868" s="33">
        <v>4430265054</v>
      </c>
      <c r="E868" s="33">
        <v>1155</v>
      </c>
      <c r="F868" s="33">
        <v>1121</v>
      </c>
      <c r="G868" s="33" t="s">
        <v>38</v>
      </c>
      <c r="H868" s="33" t="s">
        <v>7419</v>
      </c>
      <c r="I868" s="33" t="s">
        <v>39</v>
      </c>
      <c r="J868" s="33" t="s">
        <v>40</v>
      </c>
      <c r="K868" s="33" t="s">
        <v>41</v>
      </c>
    </row>
    <row r="869" spans="1:12" s="33" customFormat="1" hidden="1" x14ac:dyDescent="0.3">
      <c r="A869" s="39">
        <v>46104.45988425926</v>
      </c>
      <c r="B869" s="33">
        <v>4121413325</v>
      </c>
      <c r="C869" s="33" t="s">
        <v>44</v>
      </c>
      <c r="D869" s="33">
        <v>4430265054</v>
      </c>
      <c r="E869" s="33">
        <v>56</v>
      </c>
      <c r="F869" s="33">
        <v>24</v>
      </c>
      <c r="G869" s="33" t="s">
        <v>38</v>
      </c>
      <c r="H869" s="33" t="s">
        <v>7420</v>
      </c>
      <c r="I869" s="33" t="s">
        <v>39</v>
      </c>
      <c r="J869" s="33" t="s">
        <v>40</v>
      </c>
      <c r="K869" s="33" t="s">
        <v>41</v>
      </c>
    </row>
    <row r="870" spans="1:12" s="33" customFormat="1" hidden="1" x14ac:dyDescent="0.3">
      <c r="A870" s="39">
        <v>46104.459340277775</v>
      </c>
      <c r="B870" s="33">
        <v>4432520077</v>
      </c>
      <c r="C870" s="33" t="s">
        <v>42</v>
      </c>
      <c r="D870" s="33">
        <v>4430265054</v>
      </c>
      <c r="E870" s="33">
        <v>455</v>
      </c>
      <c r="F870" s="33">
        <v>423</v>
      </c>
      <c r="G870" s="33" t="s">
        <v>38</v>
      </c>
      <c r="H870" s="33" t="s">
        <v>7421</v>
      </c>
      <c r="I870" s="33" t="s">
        <v>39</v>
      </c>
      <c r="J870" s="33" t="s">
        <v>40</v>
      </c>
      <c r="K870" s="33" t="s">
        <v>41</v>
      </c>
    </row>
    <row r="871" spans="1:12" s="33" customFormat="1" hidden="1" x14ac:dyDescent="0.3">
      <c r="A871" s="39">
        <v>46104.458877314813</v>
      </c>
      <c r="B871" s="33">
        <v>4432462558</v>
      </c>
      <c r="C871" s="33" t="s">
        <v>43</v>
      </c>
      <c r="D871" s="33">
        <v>4430265054</v>
      </c>
      <c r="E871" s="33">
        <v>340</v>
      </c>
      <c r="F871" s="33">
        <v>229</v>
      </c>
      <c r="G871" s="33" t="s">
        <v>38</v>
      </c>
      <c r="H871" s="33" t="s">
        <v>7422</v>
      </c>
      <c r="I871" s="33" t="s">
        <v>39</v>
      </c>
      <c r="J871" s="33" t="s">
        <v>40</v>
      </c>
      <c r="K871" s="33" t="s">
        <v>41</v>
      </c>
    </row>
    <row r="872" spans="1:12" s="33" customFormat="1" hidden="1" x14ac:dyDescent="0.3">
      <c r="A872" s="39">
        <v>46104.445231481484</v>
      </c>
      <c r="B872" s="33" t="s">
        <v>48</v>
      </c>
      <c r="C872" s="33">
        <v>4430459001</v>
      </c>
      <c r="E872" s="33">
        <v>218</v>
      </c>
      <c r="F872" s="33">
        <v>209</v>
      </c>
      <c r="G872" s="33" t="s">
        <v>38</v>
      </c>
      <c r="H872" s="33" t="s">
        <v>7423</v>
      </c>
      <c r="I872" s="33" t="s">
        <v>46</v>
      </c>
      <c r="J872" s="33" t="s">
        <v>40</v>
      </c>
    </row>
    <row r="873" spans="1:12" s="33" customFormat="1" hidden="1" x14ac:dyDescent="0.3">
      <c r="A873" s="39">
        <v>46104.444756944446</v>
      </c>
      <c r="B873" s="33" t="s">
        <v>45</v>
      </c>
      <c r="C873" s="33">
        <v>45999334612</v>
      </c>
      <c r="E873" s="33">
        <v>226</v>
      </c>
      <c r="F873" s="33">
        <v>213</v>
      </c>
      <c r="G873" s="33" t="s">
        <v>38</v>
      </c>
      <c r="H873" s="33" t="s">
        <v>7424</v>
      </c>
      <c r="I873" s="33" t="s">
        <v>46</v>
      </c>
      <c r="J873" s="33" t="s">
        <v>40</v>
      </c>
      <c r="L873" s="33">
        <v>5</v>
      </c>
    </row>
    <row r="874" spans="1:12" s="33" customFormat="1" hidden="1" x14ac:dyDescent="0.3">
      <c r="A874" s="39">
        <v>46104.436932870369</v>
      </c>
      <c r="B874" s="33">
        <v>4430459032</v>
      </c>
      <c r="C874" s="33" t="s">
        <v>37</v>
      </c>
      <c r="D874" s="33">
        <v>4430265054</v>
      </c>
      <c r="E874" s="33">
        <v>4640</v>
      </c>
      <c r="F874" s="33">
        <v>4531</v>
      </c>
      <c r="G874" s="33" t="s">
        <v>38</v>
      </c>
      <c r="H874" s="33" t="s">
        <v>7425</v>
      </c>
      <c r="I874" s="33" t="s">
        <v>39</v>
      </c>
      <c r="J874" s="33" t="s">
        <v>40</v>
      </c>
      <c r="K874" s="33" t="s">
        <v>41</v>
      </c>
    </row>
    <row r="875" spans="1:12" s="33" customFormat="1" hidden="1" x14ac:dyDescent="0.3">
      <c r="A875" s="39">
        <v>46104.436724537038</v>
      </c>
      <c r="B875" s="33">
        <v>41999102968</v>
      </c>
      <c r="C875" s="33" t="s">
        <v>44</v>
      </c>
      <c r="D875" s="33">
        <v>4430265054</v>
      </c>
      <c r="E875" s="33">
        <v>296</v>
      </c>
      <c r="F875" s="33">
        <v>221</v>
      </c>
      <c r="G875" s="33" t="s">
        <v>38</v>
      </c>
      <c r="H875" s="33" t="s">
        <v>7426</v>
      </c>
      <c r="I875" s="33" t="s">
        <v>39</v>
      </c>
      <c r="J875" s="33" t="s">
        <v>40</v>
      </c>
      <c r="K875" s="33" t="s">
        <v>41</v>
      </c>
    </row>
    <row r="876" spans="1:12" s="33" customFormat="1" hidden="1" x14ac:dyDescent="0.3">
      <c r="A876" s="39">
        <v>46104.431226851855</v>
      </c>
      <c r="B876" s="33" t="s">
        <v>45</v>
      </c>
      <c r="C876" s="33">
        <v>44999451200</v>
      </c>
      <c r="E876" s="33">
        <v>968</v>
      </c>
      <c r="F876" s="33">
        <v>954</v>
      </c>
      <c r="G876" s="33" t="s">
        <v>38</v>
      </c>
      <c r="H876" s="33" t="s">
        <v>7427</v>
      </c>
      <c r="I876" s="33" t="s">
        <v>46</v>
      </c>
      <c r="J876" s="33" t="s">
        <v>40</v>
      </c>
      <c r="L876" s="33">
        <v>5</v>
      </c>
    </row>
    <row r="877" spans="1:12" s="33" customFormat="1" hidden="1" x14ac:dyDescent="0.3">
      <c r="A877" s="39">
        <v>46104.431157407409</v>
      </c>
      <c r="B877" s="33" t="s">
        <v>45</v>
      </c>
      <c r="C877" s="33">
        <v>44999451200</v>
      </c>
      <c r="E877" s="33">
        <v>2</v>
      </c>
      <c r="F877" s="33">
        <v>0</v>
      </c>
      <c r="G877" s="33" t="s">
        <v>47</v>
      </c>
      <c r="H877" s="33" t="s">
        <v>7428</v>
      </c>
      <c r="I877" s="33" t="s">
        <v>46</v>
      </c>
      <c r="J877" s="33" t="s">
        <v>40</v>
      </c>
    </row>
    <row r="878" spans="1:12" s="33" customFormat="1" hidden="1" x14ac:dyDescent="0.3">
      <c r="A878" s="39">
        <v>46104.420648148145</v>
      </c>
      <c r="B878" s="33" t="s">
        <v>43</v>
      </c>
      <c r="C878" s="33">
        <v>44999654761</v>
      </c>
      <c r="E878" s="33">
        <v>36</v>
      </c>
      <c r="F878" s="33">
        <v>0</v>
      </c>
      <c r="G878" s="33" t="s">
        <v>47</v>
      </c>
      <c r="H878" s="33" t="s">
        <v>7429</v>
      </c>
      <c r="I878" s="33" t="s">
        <v>46</v>
      </c>
      <c r="J878" s="33" t="s">
        <v>40</v>
      </c>
    </row>
    <row r="879" spans="1:12" s="33" customFormat="1" hidden="1" x14ac:dyDescent="0.3">
      <c r="A879" s="39">
        <v>46104.414247685185</v>
      </c>
      <c r="B879" s="33">
        <v>4432321428</v>
      </c>
      <c r="C879" s="33" t="s">
        <v>43</v>
      </c>
      <c r="D879" s="33">
        <v>4430265054</v>
      </c>
      <c r="E879" s="33">
        <v>422</v>
      </c>
      <c r="F879" s="33">
        <v>357</v>
      </c>
      <c r="G879" s="33" t="s">
        <v>38</v>
      </c>
      <c r="H879" s="33" t="s">
        <v>7430</v>
      </c>
      <c r="I879" s="33" t="s">
        <v>39</v>
      </c>
      <c r="J879" s="33" t="s">
        <v>40</v>
      </c>
      <c r="K879" s="33" t="s">
        <v>41</v>
      </c>
    </row>
    <row r="880" spans="1:12" s="33" customFormat="1" hidden="1" x14ac:dyDescent="0.3">
      <c r="A880" s="39">
        <v>46104.413182870368</v>
      </c>
      <c r="B880" s="33">
        <v>4434212150</v>
      </c>
      <c r="C880" s="33" t="s">
        <v>37</v>
      </c>
      <c r="D880" s="33">
        <v>4430265054</v>
      </c>
      <c r="E880" s="33">
        <v>260</v>
      </c>
      <c r="F880" s="33">
        <v>233</v>
      </c>
      <c r="G880" s="33" t="s">
        <v>38</v>
      </c>
      <c r="H880" s="33" t="s">
        <v>7431</v>
      </c>
      <c r="I880" s="33" t="s">
        <v>39</v>
      </c>
      <c r="J880" s="33" t="s">
        <v>40</v>
      </c>
      <c r="K880" s="33" t="s">
        <v>41</v>
      </c>
    </row>
    <row r="881" spans="1:12" s="33" customFormat="1" hidden="1" x14ac:dyDescent="0.3">
      <c r="A881" s="39">
        <v>46104.411666666667</v>
      </c>
      <c r="B881" s="33" t="s">
        <v>51</v>
      </c>
      <c r="C881" s="33">
        <v>4430232404</v>
      </c>
      <c r="E881" s="33">
        <v>34</v>
      </c>
      <c r="F881" s="33">
        <v>15</v>
      </c>
      <c r="G881" s="33" t="s">
        <v>38</v>
      </c>
      <c r="H881" s="33" t="s">
        <v>7432</v>
      </c>
      <c r="I881" s="33" t="s">
        <v>46</v>
      </c>
      <c r="J881" s="33" t="s">
        <v>3629</v>
      </c>
    </row>
    <row r="882" spans="1:12" s="33" customFormat="1" hidden="1" x14ac:dyDescent="0.3">
      <c r="A882" s="39">
        <v>46104.410069444442</v>
      </c>
      <c r="B882" s="33">
        <v>44997650834</v>
      </c>
      <c r="C882" s="33" t="s">
        <v>45</v>
      </c>
      <c r="D882" s="33">
        <v>4430265054</v>
      </c>
      <c r="E882" s="33">
        <v>1459</v>
      </c>
      <c r="F882" s="33">
        <v>1381</v>
      </c>
      <c r="G882" s="33" t="s">
        <v>38</v>
      </c>
      <c r="H882" s="33" t="s">
        <v>7433</v>
      </c>
      <c r="I882" s="33" t="s">
        <v>39</v>
      </c>
      <c r="J882" s="33" t="s">
        <v>40</v>
      </c>
      <c r="K882" s="33" t="s">
        <v>41</v>
      </c>
      <c r="L882" s="33">
        <v>5</v>
      </c>
    </row>
    <row r="883" spans="1:12" s="33" customFormat="1" hidden="1" x14ac:dyDescent="0.3">
      <c r="A883" s="39">
        <v>46104.402083333334</v>
      </c>
      <c r="B883" s="33">
        <v>4430191401</v>
      </c>
      <c r="C883" s="33" t="s">
        <v>44</v>
      </c>
      <c r="D883" s="33">
        <v>4430265054</v>
      </c>
      <c r="E883" s="33">
        <v>1988</v>
      </c>
      <c r="F883" s="33">
        <v>1929</v>
      </c>
      <c r="G883" s="33" t="s">
        <v>38</v>
      </c>
      <c r="H883" s="33" t="s">
        <v>7434</v>
      </c>
      <c r="I883" s="33" t="s">
        <v>39</v>
      </c>
      <c r="J883" s="33" t="s">
        <v>40</v>
      </c>
      <c r="K883" s="33" t="s">
        <v>41</v>
      </c>
    </row>
    <row r="884" spans="1:12" s="33" customFormat="1" hidden="1" x14ac:dyDescent="0.3">
      <c r="A884" s="39">
        <v>46104.39366898148</v>
      </c>
      <c r="B884" s="33">
        <v>44999654761</v>
      </c>
      <c r="C884" s="33" t="s">
        <v>43</v>
      </c>
      <c r="D884" s="33">
        <v>4430265054</v>
      </c>
      <c r="E884" s="33">
        <v>1200</v>
      </c>
      <c r="F884" s="33">
        <v>1079</v>
      </c>
      <c r="G884" s="33" t="s">
        <v>38</v>
      </c>
      <c r="H884" s="33" t="s">
        <v>7435</v>
      </c>
      <c r="I884" s="33" t="s">
        <v>39</v>
      </c>
      <c r="J884" s="33" t="s">
        <v>40</v>
      </c>
      <c r="K884" s="33" t="s">
        <v>41</v>
      </c>
    </row>
    <row r="885" spans="1:12" s="33" customFormat="1" hidden="1" x14ac:dyDescent="0.3">
      <c r="A885" s="39">
        <v>46104.392511574071</v>
      </c>
      <c r="B885" s="33">
        <v>44988067937</v>
      </c>
      <c r="C885" s="33" t="s">
        <v>45</v>
      </c>
      <c r="D885" s="33">
        <v>4430265054</v>
      </c>
      <c r="E885" s="33">
        <v>1138</v>
      </c>
      <c r="F885" s="33">
        <v>1076</v>
      </c>
      <c r="G885" s="33" t="s">
        <v>38</v>
      </c>
      <c r="H885" s="33" t="s">
        <v>7436</v>
      </c>
      <c r="I885" s="33" t="s">
        <v>39</v>
      </c>
      <c r="J885" s="33" t="s">
        <v>40</v>
      </c>
      <c r="K885" s="33" t="s">
        <v>41</v>
      </c>
    </row>
    <row r="886" spans="1:12" s="33" customFormat="1" hidden="1" x14ac:dyDescent="0.3">
      <c r="A886" s="39">
        <v>46104.387094907404</v>
      </c>
      <c r="B886" s="33">
        <v>43999965552</v>
      </c>
      <c r="C886" s="33" t="s">
        <v>42</v>
      </c>
      <c r="D886" s="33">
        <v>4430265054</v>
      </c>
      <c r="E886" s="33">
        <v>2381</v>
      </c>
      <c r="F886" s="33">
        <v>2320</v>
      </c>
      <c r="G886" s="33" t="s">
        <v>38</v>
      </c>
      <c r="H886" s="33" t="s">
        <v>7437</v>
      </c>
      <c r="I886" s="33" t="s">
        <v>39</v>
      </c>
      <c r="J886" s="33" t="s">
        <v>40</v>
      </c>
      <c r="K886" s="33" t="s">
        <v>41</v>
      </c>
    </row>
    <row r="887" spans="1:12" s="33" customFormat="1" hidden="1" x14ac:dyDescent="0.3">
      <c r="A887" s="39">
        <v>46104.384965277779</v>
      </c>
      <c r="B887" s="33">
        <v>44991041123</v>
      </c>
      <c r="C887" s="33" t="s">
        <v>44</v>
      </c>
      <c r="D887" s="33">
        <v>4430265054</v>
      </c>
      <c r="E887" s="33">
        <v>119</v>
      </c>
      <c r="F887" s="33">
        <v>91</v>
      </c>
      <c r="G887" s="33" t="s">
        <v>38</v>
      </c>
      <c r="H887" s="33" t="s">
        <v>7438</v>
      </c>
      <c r="I887" s="33" t="s">
        <v>39</v>
      </c>
      <c r="J887" s="33" t="s">
        <v>40</v>
      </c>
      <c r="K887" s="33" t="s">
        <v>41</v>
      </c>
    </row>
    <row r="888" spans="1:12" s="33" customFormat="1" hidden="1" x14ac:dyDescent="0.3">
      <c r="A888" s="39">
        <v>46104.376030092593</v>
      </c>
      <c r="B888" s="33">
        <v>44999451200</v>
      </c>
      <c r="C888" s="33" t="s">
        <v>45</v>
      </c>
      <c r="D888" s="33">
        <v>4430265054</v>
      </c>
      <c r="E888" s="33">
        <v>1292</v>
      </c>
      <c r="F888" s="33">
        <v>1152</v>
      </c>
      <c r="G888" s="33" t="s">
        <v>38</v>
      </c>
      <c r="H888" s="33" t="s">
        <v>7439</v>
      </c>
      <c r="I888" s="33" t="s">
        <v>39</v>
      </c>
      <c r="J888" s="33" t="s">
        <v>40</v>
      </c>
      <c r="K888" s="33" t="s">
        <v>41</v>
      </c>
    </row>
    <row r="889" spans="1:12" s="33" customFormat="1" hidden="1" x14ac:dyDescent="0.3">
      <c r="A889" s="39">
        <v>46104.375810185185</v>
      </c>
      <c r="B889" s="33">
        <v>44988255390</v>
      </c>
      <c r="C889" s="33" t="s">
        <v>43</v>
      </c>
      <c r="D889" s="33">
        <v>4430265054</v>
      </c>
      <c r="E889" s="33">
        <v>412</v>
      </c>
      <c r="F889" s="33">
        <v>338</v>
      </c>
      <c r="G889" s="33" t="s">
        <v>38</v>
      </c>
      <c r="H889" s="33" t="s">
        <v>7440</v>
      </c>
      <c r="I889" s="33" t="s">
        <v>39</v>
      </c>
      <c r="J889" s="33" t="s">
        <v>40</v>
      </c>
      <c r="K889" s="33" t="s">
        <v>41</v>
      </c>
    </row>
    <row r="890" spans="1:12" s="33" customFormat="1" x14ac:dyDescent="0.3">
      <c r="A890" s="39">
        <v>46104.359479166669</v>
      </c>
      <c r="B890" s="33">
        <v>11965990735</v>
      </c>
      <c r="C890" s="33" t="s">
        <v>42</v>
      </c>
      <c r="D890" s="33">
        <v>4430265054</v>
      </c>
      <c r="E890" s="33">
        <v>577</v>
      </c>
      <c r="F890" s="33">
        <v>556</v>
      </c>
      <c r="G890" s="33" t="s">
        <v>38</v>
      </c>
      <c r="H890" s="33" t="s">
        <v>7441</v>
      </c>
      <c r="I890" s="33" t="s">
        <v>39</v>
      </c>
      <c r="J890" s="33" t="s">
        <v>40</v>
      </c>
      <c r="K890" s="33" t="s">
        <v>41</v>
      </c>
      <c r="L890" s="33">
        <v>5</v>
      </c>
    </row>
    <row r="891" spans="1:12" s="33" customFormat="1" hidden="1" x14ac:dyDescent="0.3">
      <c r="A891" s="39">
        <v>46104.35659722222</v>
      </c>
      <c r="B891" s="33">
        <v>4430145899</v>
      </c>
      <c r="C891" s="33" t="s">
        <v>43</v>
      </c>
      <c r="D891" s="33">
        <v>4430265054</v>
      </c>
      <c r="E891" s="33">
        <v>365</v>
      </c>
      <c r="F891" s="33">
        <v>312</v>
      </c>
      <c r="G891" s="33" t="s">
        <v>38</v>
      </c>
      <c r="H891" s="33" t="s">
        <v>7442</v>
      </c>
      <c r="I891" s="33" t="s">
        <v>39</v>
      </c>
      <c r="J891" s="33" t="s">
        <v>40</v>
      </c>
      <c r="K891" s="33" t="s">
        <v>41</v>
      </c>
      <c r="L891" s="33">
        <v>5</v>
      </c>
    </row>
    <row r="892" spans="1:12" s="33" customFormat="1" hidden="1" x14ac:dyDescent="0.3">
      <c r="A892" s="39">
        <v>46104.354409722226</v>
      </c>
      <c r="B892" s="33">
        <v>44991041123</v>
      </c>
      <c r="C892" s="33" t="s">
        <v>44</v>
      </c>
      <c r="D892" s="33">
        <v>4430265054</v>
      </c>
      <c r="E892" s="33">
        <v>411</v>
      </c>
      <c r="F892" s="33">
        <v>371</v>
      </c>
      <c r="G892" s="33" t="s">
        <v>38</v>
      </c>
      <c r="H892" s="33" t="s">
        <v>7443</v>
      </c>
      <c r="I892" s="33" t="s">
        <v>39</v>
      </c>
      <c r="J892" s="33" t="s">
        <v>40</v>
      </c>
      <c r="K892" s="33" t="s">
        <v>41</v>
      </c>
    </row>
    <row r="893" spans="1:12" s="33" customFormat="1" hidden="1" x14ac:dyDescent="0.3">
      <c r="A893" s="39">
        <v>46104.35261574074</v>
      </c>
      <c r="B893" s="33" t="s">
        <v>37</v>
      </c>
      <c r="C893" s="33">
        <v>3432424736</v>
      </c>
      <c r="E893" s="33">
        <v>1390</v>
      </c>
      <c r="F893" s="33">
        <v>1389</v>
      </c>
      <c r="G893" s="33" t="s">
        <v>38</v>
      </c>
      <c r="H893" s="33" t="s">
        <v>7444</v>
      </c>
      <c r="I893" s="33" t="s">
        <v>46</v>
      </c>
      <c r="J893" s="33" t="s">
        <v>40</v>
      </c>
      <c r="L893" s="33">
        <v>5</v>
      </c>
    </row>
    <row r="894" spans="1:12" s="33" customFormat="1" hidden="1" x14ac:dyDescent="0.3">
      <c r="A894" s="39">
        <v>46104.345023148147</v>
      </c>
      <c r="B894" s="33" t="s">
        <v>37</v>
      </c>
      <c r="C894" s="33">
        <v>3432424736</v>
      </c>
      <c r="E894" s="33">
        <v>618</v>
      </c>
      <c r="F894" s="33">
        <v>616</v>
      </c>
      <c r="G894" s="33" t="s">
        <v>38</v>
      </c>
      <c r="H894" s="33" t="s">
        <v>7445</v>
      </c>
      <c r="I894" s="33" t="s">
        <v>46</v>
      </c>
      <c r="J894" s="33" t="s">
        <v>40</v>
      </c>
    </row>
    <row r="895" spans="1:12" s="33" customFormat="1" hidden="1" x14ac:dyDescent="0.3">
      <c r="A895" s="39">
        <v>46101.74015046296</v>
      </c>
      <c r="B895" s="33">
        <v>44997618065</v>
      </c>
      <c r="C895" s="33" t="s">
        <v>42</v>
      </c>
      <c r="D895" s="33">
        <v>4430265054</v>
      </c>
      <c r="E895" s="33">
        <v>602</v>
      </c>
      <c r="F895" s="33">
        <v>485</v>
      </c>
      <c r="G895" s="33" t="s">
        <v>38</v>
      </c>
      <c r="H895" s="33" t="s">
        <v>7446</v>
      </c>
      <c r="I895" s="33" t="s">
        <v>39</v>
      </c>
      <c r="J895" s="33" t="s">
        <v>40</v>
      </c>
      <c r="K895" s="33" t="s">
        <v>41</v>
      </c>
    </row>
    <row r="896" spans="1:12" s="33" customFormat="1" hidden="1" x14ac:dyDescent="0.3">
      <c r="A896" s="39">
        <v>46101.723344907405</v>
      </c>
      <c r="B896" s="33">
        <v>44999387742</v>
      </c>
      <c r="C896" s="33" t="s">
        <v>37</v>
      </c>
      <c r="D896" s="33">
        <v>4430265054</v>
      </c>
      <c r="E896" s="33">
        <v>783</v>
      </c>
      <c r="F896" s="33">
        <v>741</v>
      </c>
      <c r="G896" s="33" t="s">
        <v>38</v>
      </c>
      <c r="H896" s="33" t="s">
        <v>7447</v>
      </c>
      <c r="I896" s="33" t="s">
        <v>39</v>
      </c>
      <c r="J896" s="33" t="s">
        <v>40</v>
      </c>
      <c r="K896" s="33" t="s">
        <v>41</v>
      </c>
    </row>
    <row r="897" spans="1:12" s="33" customFormat="1" hidden="1" x14ac:dyDescent="0.3">
      <c r="A897" s="39">
        <v>46101.719363425924</v>
      </c>
      <c r="B897" s="33">
        <v>44997749003</v>
      </c>
      <c r="C897" s="33" t="s">
        <v>43</v>
      </c>
      <c r="D897" s="33">
        <v>4430265054</v>
      </c>
      <c r="E897" s="33">
        <v>247</v>
      </c>
      <c r="F897" s="33">
        <v>160</v>
      </c>
      <c r="G897" s="33" t="s">
        <v>38</v>
      </c>
      <c r="H897" s="33" t="s">
        <v>7448</v>
      </c>
      <c r="I897" s="33" t="s">
        <v>39</v>
      </c>
      <c r="J897" s="33" t="s">
        <v>40</v>
      </c>
      <c r="K897" s="33" t="s">
        <v>41</v>
      </c>
    </row>
    <row r="898" spans="1:12" s="33" customFormat="1" hidden="1" x14ac:dyDescent="0.3">
      <c r="A898" s="39">
        <v>46101.713240740741</v>
      </c>
      <c r="B898" s="33" t="s">
        <v>42</v>
      </c>
      <c r="C898" s="33">
        <v>4434212150</v>
      </c>
      <c r="E898" s="33">
        <v>373</v>
      </c>
      <c r="F898" s="33">
        <v>365</v>
      </c>
      <c r="G898" s="33" t="s">
        <v>38</v>
      </c>
      <c r="H898" s="33" t="s">
        <v>7449</v>
      </c>
      <c r="I898" s="33" t="s">
        <v>46</v>
      </c>
      <c r="J898" s="33" t="s">
        <v>40</v>
      </c>
    </row>
    <row r="899" spans="1:12" s="33" customFormat="1" hidden="1" x14ac:dyDescent="0.3">
      <c r="A899" s="39">
        <v>46101.711446759262</v>
      </c>
      <c r="B899" s="33" t="s">
        <v>3627</v>
      </c>
      <c r="C899" s="33">
        <v>61981494246</v>
      </c>
      <c r="E899" s="33">
        <v>9</v>
      </c>
      <c r="F899" s="33">
        <v>0</v>
      </c>
      <c r="G899" s="33" t="s">
        <v>47</v>
      </c>
      <c r="H899" s="33" t="s">
        <v>7450</v>
      </c>
      <c r="I899" s="33" t="s">
        <v>46</v>
      </c>
      <c r="J899" s="33" t="s">
        <v>3629</v>
      </c>
    </row>
    <row r="900" spans="1:12" s="33" customFormat="1" hidden="1" x14ac:dyDescent="0.3">
      <c r="A900" s="39">
        <v>46101.709803240738</v>
      </c>
      <c r="B900" s="33" t="s">
        <v>3627</v>
      </c>
      <c r="C900" s="33">
        <v>63992510094</v>
      </c>
      <c r="E900" s="33">
        <v>24</v>
      </c>
      <c r="F900" s="33">
        <v>6</v>
      </c>
      <c r="G900" s="33" t="s">
        <v>38</v>
      </c>
      <c r="H900" s="33" t="s">
        <v>7451</v>
      </c>
      <c r="I900" s="33" t="s">
        <v>46</v>
      </c>
      <c r="J900" s="33" t="s">
        <v>3629</v>
      </c>
    </row>
    <row r="901" spans="1:12" s="33" customFormat="1" hidden="1" x14ac:dyDescent="0.3">
      <c r="A901" s="39">
        <v>46101.708622685182</v>
      </c>
      <c r="B901" s="33" t="s">
        <v>3627</v>
      </c>
      <c r="C901" s="33">
        <v>1143172165</v>
      </c>
      <c r="E901" s="33">
        <v>26</v>
      </c>
      <c r="F901" s="33">
        <v>21</v>
      </c>
      <c r="G901" s="33" t="s">
        <v>38</v>
      </c>
      <c r="H901" s="33" t="s">
        <v>7452</v>
      </c>
      <c r="I901" s="33" t="s">
        <v>46</v>
      </c>
      <c r="J901" s="33" t="s">
        <v>3629</v>
      </c>
    </row>
    <row r="902" spans="1:12" s="33" customFormat="1" hidden="1" x14ac:dyDescent="0.3">
      <c r="A902" s="39">
        <v>46101.704976851855</v>
      </c>
      <c r="B902" s="33" t="s">
        <v>3627</v>
      </c>
      <c r="C902" s="33">
        <v>65998193954</v>
      </c>
      <c r="E902" s="33">
        <v>7</v>
      </c>
      <c r="F902" s="33">
        <v>6</v>
      </c>
      <c r="G902" s="33" t="s">
        <v>38</v>
      </c>
      <c r="H902" s="33" t="s">
        <v>7453</v>
      </c>
      <c r="I902" s="33" t="s">
        <v>46</v>
      </c>
      <c r="J902" s="33" t="s">
        <v>3629</v>
      </c>
    </row>
    <row r="903" spans="1:12" s="33" customFormat="1" hidden="1" x14ac:dyDescent="0.3">
      <c r="A903" s="39">
        <v>46101.701747685183</v>
      </c>
      <c r="B903" s="33">
        <v>11964449514</v>
      </c>
      <c r="C903" s="33" t="s">
        <v>37</v>
      </c>
      <c r="D903" s="33">
        <v>4431268225</v>
      </c>
      <c r="E903" s="33">
        <v>1360</v>
      </c>
      <c r="F903" s="33">
        <v>1268</v>
      </c>
      <c r="G903" s="33" t="s">
        <v>38</v>
      </c>
      <c r="H903" s="33" t="s">
        <v>7454</v>
      </c>
      <c r="I903" s="33" t="s">
        <v>39</v>
      </c>
      <c r="J903" s="33" t="s">
        <v>40</v>
      </c>
      <c r="K903" s="33" t="s">
        <v>41</v>
      </c>
    </row>
    <row r="904" spans="1:12" s="33" customFormat="1" hidden="1" x14ac:dyDescent="0.3">
      <c r="A904" s="39">
        <v>46101.701157407406</v>
      </c>
      <c r="B904" s="33">
        <v>11964449514</v>
      </c>
      <c r="C904" s="33">
        <v>4431268225</v>
      </c>
      <c r="D904" s="33">
        <v>4431268225</v>
      </c>
      <c r="E904" s="33">
        <v>16</v>
      </c>
      <c r="F904" s="33">
        <v>16</v>
      </c>
      <c r="G904" s="33" t="s">
        <v>3449</v>
      </c>
      <c r="H904" s="33" t="s">
        <v>7455</v>
      </c>
      <c r="I904" s="33" t="s">
        <v>39</v>
      </c>
      <c r="J904" s="33" t="s">
        <v>3451</v>
      </c>
    </row>
    <row r="905" spans="1:12" s="33" customFormat="1" hidden="1" x14ac:dyDescent="0.3">
      <c r="A905" s="39">
        <v>46101.699629629627</v>
      </c>
      <c r="B905" s="33">
        <v>44997618065</v>
      </c>
      <c r="C905" s="33" t="s">
        <v>42</v>
      </c>
      <c r="D905" s="33">
        <v>4430265054</v>
      </c>
      <c r="E905" s="33">
        <v>707</v>
      </c>
      <c r="F905" s="33">
        <v>615</v>
      </c>
      <c r="G905" s="33" t="s">
        <v>38</v>
      </c>
      <c r="H905" s="33" t="s">
        <v>7456</v>
      </c>
      <c r="I905" s="33" t="s">
        <v>39</v>
      </c>
      <c r="J905" s="33" t="s">
        <v>40</v>
      </c>
      <c r="K905" s="33" t="s">
        <v>41</v>
      </c>
    </row>
    <row r="906" spans="1:12" s="33" customFormat="1" hidden="1" x14ac:dyDescent="0.3">
      <c r="A906" s="39">
        <v>46101.699259259258</v>
      </c>
      <c r="B906" s="33">
        <v>4430141533</v>
      </c>
      <c r="C906" s="33" t="s">
        <v>44</v>
      </c>
      <c r="D906" s="33">
        <v>4430265054</v>
      </c>
      <c r="E906" s="33">
        <v>781</v>
      </c>
      <c r="F906" s="33">
        <v>696</v>
      </c>
      <c r="G906" s="33" t="s">
        <v>38</v>
      </c>
      <c r="H906" s="33" t="s">
        <v>7457</v>
      </c>
      <c r="I906" s="33" t="s">
        <v>39</v>
      </c>
      <c r="J906" s="33" t="s">
        <v>40</v>
      </c>
      <c r="K906" s="33" t="s">
        <v>41</v>
      </c>
    </row>
    <row r="907" spans="1:12" s="33" customFormat="1" hidden="1" x14ac:dyDescent="0.3">
      <c r="A907" s="39">
        <v>46101.698495370372</v>
      </c>
      <c r="B907" s="33">
        <v>45999334612</v>
      </c>
      <c r="C907" s="33" t="s">
        <v>45</v>
      </c>
      <c r="D907" s="33">
        <v>4430265054</v>
      </c>
      <c r="E907" s="33">
        <v>3594</v>
      </c>
      <c r="F907" s="33">
        <v>3568</v>
      </c>
      <c r="G907" s="33" t="s">
        <v>38</v>
      </c>
      <c r="H907" s="33" t="s">
        <v>7458</v>
      </c>
      <c r="I907" s="33" t="s">
        <v>39</v>
      </c>
      <c r="J907" s="33" t="s">
        <v>40</v>
      </c>
      <c r="K907" s="33" t="s">
        <v>41</v>
      </c>
      <c r="L907" s="33">
        <v>5</v>
      </c>
    </row>
    <row r="908" spans="1:12" s="33" customFormat="1" hidden="1" x14ac:dyDescent="0.3">
      <c r="A908" s="39">
        <v>46101.697824074072</v>
      </c>
      <c r="B908" s="33">
        <v>44997734943</v>
      </c>
      <c r="C908" s="33" t="s">
        <v>37</v>
      </c>
      <c r="D908" s="33">
        <v>4430265054</v>
      </c>
      <c r="E908" s="33">
        <v>246</v>
      </c>
      <c r="F908" s="33">
        <v>224</v>
      </c>
      <c r="G908" s="33" t="s">
        <v>38</v>
      </c>
      <c r="H908" s="33" t="s">
        <v>7459</v>
      </c>
      <c r="I908" s="33" t="s">
        <v>39</v>
      </c>
      <c r="J908" s="33" t="s">
        <v>40</v>
      </c>
      <c r="K908" s="33" t="s">
        <v>41</v>
      </c>
    </row>
    <row r="909" spans="1:12" s="33" customFormat="1" hidden="1" x14ac:dyDescent="0.3">
      <c r="A909" s="39">
        <v>46101.694745370369</v>
      </c>
      <c r="B909" s="33">
        <v>44988067937</v>
      </c>
      <c r="C909" s="33" t="s">
        <v>43</v>
      </c>
      <c r="D909" s="33">
        <v>4430265054</v>
      </c>
      <c r="E909" s="33">
        <v>998</v>
      </c>
      <c r="F909" s="33">
        <v>946</v>
      </c>
      <c r="G909" s="33" t="s">
        <v>38</v>
      </c>
      <c r="H909" s="33" t="s">
        <v>7460</v>
      </c>
      <c r="I909" s="33" t="s">
        <v>39</v>
      </c>
      <c r="J909" s="33" t="s">
        <v>40</v>
      </c>
      <c r="K909" s="33" t="s">
        <v>41</v>
      </c>
    </row>
    <row r="910" spans="1:12" s="33" customFormat="1" hidden="1" x14ac:dyDescent="0.3">
      <c r="A910" s="39">
        <v>46101.692233796297</v>
      </c>
      <c r="B910" s="33" t="s">
        <v>45</v>
      </c>
      <c r="C910" s="33">
        <v>4330261969</v>
      </c>
      <c r="E910" s="33">
        <v>307</v>
      </c>
      <c r="F910" s="33">
        <v>300</v>
      </c>
      <c r="G910" s="33" t="s">
        <v>38</v>
      </c>
      <c r="H910" s="33" t="s">
        <v>7461</v>
      </c>
      <c r="I910" s="33" t="s">
        <v>46</v>
      </c>
      <c r="J910" s="33" t="s">
        <v>40</v>
      </c>
    </row>
    <row r="911" spans="1:12" s="33" customFormat="1" hidden="1" x14ac:dyDescent="0.3">
      <c r="A911" s="39">
        <v>46101.692141203705</v>
      </c>
      <c r="B911" s="33">
        <v>11964449514</v>
      </c>
      <c r="C911" s="33">
        <v>4431268225</v>
      </c>
      <c r="D911" s="33">
        <v>4431268225</v>
      </c>
      <c r="E911" s="33">
        <v>18</v>
      </c>
      <c r="F911" s="33">
        <v>17</v>
      </c>
      <c r="G911" s="33" t="s">
        <v>3449</v>
      </c>
      <c r="H911" s="33" t="s">
        <v>7462</v>
      </c>
      <c r="I911" s="33" t="s">
        <v>39</v>
      </c>
      <c r="J911" s="33" t="s">
        <v>3451</v>
      </c>
    </row>
    <row r="912" spans="1:12" s="33" customFormat="1" hidden="1" x14ac:dyDescent="0.3">
      <c r="A912" s="39">
        <v>46101.690752314818</v>
      </c>
      <c r="B912" s="33" t="s">
        <v>51</v>
      </c>
      <c r="C912" s="33" t="s">
        <v>5173</v>
      </c>
      <c r="E912" s="33">
        <v>638</v>
      </c>
      <c r="F912" s="33">
        <v>630</v>
      </c>
      <c r="G912" s="33" t="s">
        <v>38</v>
      </c>
      <c r="H912" s="33" t="s">
        <v>7463</v>
      </c>
      <c r="I912" s="33" t="s">
        <v>52</v>
      </c>
      <c r="J912" s="33" t="s">
        <v>3629</v>
      </c>
    </row>
    <row r="913" spans="1:12" s="33" customFormat="1" hidden="1" x14ac:dyDescent="0.3">
      <c r="A913" s="39">
        <v>46101.690254629626</v>
      </c>
      <c r="B913" s="33">
        <v>45999334612</v>
      </c>
      <c r="C913" s="33" t="s">
        <v>45</v>
      </c>
      <c r="D913" s="33">
        <v>4430265054</v>
      </c>
      <c r="E913" s="33">
        <v>144</v>
      </c>
      <c r="F913" s="33">
        <v>44</v>
      </c>
      <c r="G913" s="33" t="s">
        <v>38</v>
      </c>
      <c r="H913" s="33" t="s">
        <v>7464</v>
      </c>
      <c r="I913" s="33" t="s">
        <v>39</v>
      </c>
      <c r="J913" s="33" t="s">
        <v>40</v>
      </c>
      <c r="K913" s="33" t="s">
        <v>41</v>
      </c>
    </row>
    <row r="914" spans="1:12" s="33" customFormat="1" hidden="1" x14ac:dyDescent="0.3">
      <c r="A914" s="39">
        <v>46101.68650462963</v>
      </c>
      <c r="B914" s="33">
        <v>4434212150</v>
      </c>
      <c r="C914" s="33" t="s">
        <v>42</v>
      </c>
      <c r="D914" s="33">
        <v>4430265054</v>
      </c>
      <c r="E914" s="33">
        <v>497</v>
      </c>
      <c r="F914" s="33">
        <v>436</v>
      </c>
      <c r="G914" s="33" t="s">
        <v>38</v>
      </c>
      <c r="H914" s="33" t="s">
        <v>7465</v>
      </c>
      <c r="I914" s="33" t="s">
        <v>39</v>
      </c>
      <c r="J914" s="33" t="s">
        <v>40</v>
      </c>
      <c r="K914" s="33" t="s">
        <v>41</v>
      </c>
    </row>
    <row r="915" spans="1:12" s="33" customFormat="1" hidden="1" x14ac:dyDescent="0.3">
      <c r="A915" s="39">
        <v>46101.678854166668</v>
      </c>
      <c r="B915" s="33" t="s">
        <v>3627</v>
      </c>
      <c r="C915" s="33">
        <v>4430329750</v>
      </c>
      <c r="E915" s="33">
        <v>0</v>
      </c>
      <c r="F915" s="33">
        <v>0</v>
      </c>
      <c r="G915" s="33" t="s">
        <v>47</v>
      </c>
      <c r="H915" s="33" t="s">
        <v>7466</v>
      </c>
      <c r="I915" s="33" t="s">
        <v>46</v>
      </c>
      <c r="J915" s="33" t="s">
        <v>3629</v>
      </c>
    </row>
    <row r="916" spans="1:12" s="33" customFormat="1" hidden="1" x14ac:dyDescent="0.3">
      <c r="A916" s="39">
        <v>46101.677719907406</v>
      </c>
      <c r="B916" s="33" t="s">
        <v>42</v>
      </c>
      <c r="C916" s="33">
        <v>4334226481</v>
      </c>
      <c r="E916" s="33">
        <v>67</v>
      </c>
      <c r="F916" s="33">
        <v>59</v>
      </c>
      <c r="G916" s="33" t="s">
        <v>38</v>
      </c>
      <c r="H916" s="33" t="s">
        <v>7467</v>
      </c>
      <c r="I916" s="33" t="s">
        <v>46</v>
      </c>
      <c r="J916" s="33" t="s">
        <v>40</v>
      </c>
    </row>
    <row r="917" spans="1:12" s="33" customFormat="1" hidden="1" x14ac:dyDescent="0.3">
      <c r="A917" s="39">
        <v>46101.675486111111</v>
      </c>
      <c r="B917" s="33">
        <v>4334226481</v>
      </c>
      <c r="C917" s="33" t="s">
        <v>42</v>
      </c>
      <c r="D917" s="33">
        <v>4430265054</v>
      </c>
      <c r="E917" s="33">
        <v>95</v>
      </c>
      <c r="F917" s="33">
        <v>70</v>
      </c>
      <c r="G917" s="33" t="s">
        <v>38</v>
      </c>
      <c r="H917" s="33" t="s">
        <v>7468</v>
      </c>
      <c r="I917" s="33" t="s">
        <v>39</v>
      </c>
      <c r="J917" s="33" t="s">
        <v>40</v>
      </c>
      <c r="K917" s="33" t="s">
        <v>41</v>
      </c>
    </row>
    <row r="918" spans="1:12" s="33" customFormat="1" hidden="1" x14ac:dyDescent="0.3">
      <c r="A918" s="39">
        <v>46101.672326388885</v>
      </c>
      <c r="B918" s="33">
        <v>44997734943</v>
      </c>
      <c r="C918" s="33" t="s">
        <v>45</v>
      </c>
      <c r="D918" s="33">
        <v>4430265054</v>
      </c>
      <c r="E918" s="33">
        <v>245</v>
      </c>
      <c r="F918" s="33">
        <v>206</v>
      </c>
      <c r="G918" s="33" t="s">
        <v>38</v>
      </c>
      <c r="H918" s="33" t="s">
        <v>7469</v>
      </c>
      <c r="I918" s="33" t="s">
        <v>39</v>
      </c>
      <c r="J918" s="33" t="s">
        <v>40</v>
      </c>
      <c r="K918" s="33" t="s">
        <v>41</v>
      </c>
      <c r="L918" s="33">
        <v>5</v>
      </c>
    </row>
    <row r="919" spans="1:12" s="33" customFormat="1" hidden="1" x14ac:dyDescent="0.3">
      <c r="A919" s="39">
        <v>46101.670775462961</v>
      </c>
      <c r="B919" s="33">
        <v>4334232912</v>
      </c>
      <c r="C919" s="33">
        <v>4430265054</v>
      </c>
      <c r="D919" s="33">
        <v>4430265054</v>
      </c>
      <c r="E919" s="33">
        <v>28</v>
      </c>
      <c r="F919" s="33">
        <v>27</v>
      </c>
      <c r="G919" s="33" t="s">
        <v>3449</v>
      </c>
      <c r="H919" s="33" t="s">
        <v>7470</v>
      </c>
      <c r="I919" s="33" t="s">
        <v>39</v>
      </c>
      <c r="J919" s="33" t="s">
        <v>3451</v>
      </c>
      <c r="K919" s="33" t="s">
        <v>41</v>
      </c>
    </row>
    <row r="920" spans="1:12" s="33" customFormat="1" x14ac:dyDescent="0.3">
      <c r="A920" s="39">
        <v>46101.668599537035</v>
      </c>
      <c r="B920" s="33">
        <v>44997650834</v>
      </c>
      <c r="C920" s="33" t="s">
        <v>42</v>
      </c>
      <c r="D920" s="33">
        <v>4430265054</v>
      </c>
      <c r="E920" s="33">
        <v>406</v>
      </c>
      <c r="F920" s="33">
        <v>326</v>
      </c>
      <c r="G920" s="33" t="s">
        <v>38</v>
      </c>
      <c r="H920" s="33" t="s">
        <v>7471</v>
      </c>
      <c r="I920" s="33" t="s">
        <v>39</v>
      </c>
      <c r="J920" s="33" t="s">
        <v>40</v>
      </c>
      <c r="K920" s="33" t="s">
        <v>41</v>
      </c>
      <c r="L920" s="33">
        <v>5</v>
      </c>
    </row>
    <row r="921" spans="1:12" s="33" customFormat="1" hidden="1" x14ac:dyDescent="0.3">
      <c r="A921" s="39">
        <v>46101.667812500003</v>
      </c>
      <c r="B921" s="33" t="s">
        <v>45</v>
      </c>
      <c r="C921" s="33">
        <v>4334226481</v>
      </c>
      <c r="E921" s="33">
        <v>43</v>
      </c>
      <c r="F921" s="33">
        <v>35</v>
      </c>
      <c r="G921" s="33" t="s">
        <v>38</v>
      </c>
      <c r="H921" s="33" t="s">
        <v>7472</v>
      </c>
      <c r="I921" s="33" t="s">
        <v>46</v>
      </c>
      <c r="J921" s="33" t="s">
        <v>40</v>
      </c>
    </row>
    <row r="922" spans="1:12" s="33" customFormat="1" hidden="1" x14ac:dyDescent="0.3">
      <c r="A922" s="39">
        <v>46101.66741898148</v>
      </c>
      <c r="B922" s="33" t="s">
        <v>43</v>
      </c>
      <c r="C922" s="33">
        <v>4435228300</v>
      </c>
      <c r="E922" s="33">
        <v>210</v>
      </c>
      <c r="F922" s="33">
        <v>202</v>
      </c>
      <c r="G922" s="33" t="s">
        <v>38</v>
      </c>
      <c r="H922" s="33" t="s">
        <v>7473</v>
      </c>
      <c r="I922" s="33" t="s">
        <v>46</v>
      </c>
      <c r="J922" s="33" t="s">
        <v>40</v>
      </c>
    </row>
    <row r="923" spans="1:12" s="33" customFormat="1" hidden="1" x14ac:dyDescent="0.3">
      <c r="A923" s="39">
        <v>46101.664467592593</v>
      </c>
      <c r="B923" s="33">
        <v>4435228300</v>
      </c>
      <c r="C923" s="33" t="s">
        <v>45</v>
      </c>
      <c r="D923" s="33">
        <v>4430265054</v>
      </c>
      <c r="E923" s="33">
        <v>76</v>
      </c>
      <c r="F923" s="33">
        <v>0</v>
      </c>
      <c r="G923" s="33" t="s">
        <v>38</v>
      </c>
      <c r="H923" s="33" t="s">
        <v>7474</v>
      </c>
      <c r="I923" s="33" t="s">
        <v>39</v>
      </c>
      <c r="J923" s="33" t="s">
        <v>40</v>
      </c>
      <c r="K923" s="33" t="s">
        <v>41</v>
      </c>
    </row>
    <row r="924" spans="1:12" s="33" customFormat="1" hidden="1" x14ac:dyDescent="0.3">
      <c r="A924" s="39">
        <v>46101.650914351849</v>
      </c>
      <c r="B924" s="33" t="s">
        <v>51</v>
      </c>
      <c r="C924" s="33" t="s">
        <v>5173</v>
      </c>
      <c r="E924" s="33">
        <v>378</v>
      </c>
      <c r="F924" s="33">
        <v>374</v>
      </c>
      <c r="G924" s="33" t="s">
        <v>38</v>
      </c>
      <c r="H924" s="33" t="s">
        <v>7475</v>
      </c>
      <c r="I924" s="33" t="s">
        <v>52</v>
      </c>
      <c r="J924" s="33" t="s">
        <v>3629</v>
      </c>
    </row>
    <row r="925" spans="1:12" s="33" customFormat="1" hidden="1" x14ac:dyDescent="0.3">
      <c r="A925" s="39">
        <v>46101.644363425927</v>
      </c>
      <c r="B925" s="33">
        <v>1128787060</v>
      </c>
      <c r="C925" s="33">
        <v>4430265054</v>
      </c>
      <c r="D925" s="33">
        <v>4430265054</v>
      </c>
      <c r="E925" s="33">
        <v>2</v>
      </c>
      <c r="F925" s="33">
        <v>1</v>
      </c>
      <c r="G925" s="33" t="s">
        <v>3449</v>
      </c>
      <c r="H925" s="33" t="s">
        <v>7476</v>
      </c>
      <c r="I925" s="33" t="s">
        <v>39</v>
      </c>
      <c r="J925" s="33" t="s">
        <v>3451</v>
      </c>
    </row>
    <row r="926" spans="1:12" s="33" customFormat="1" hidden="1" x14ac:dyDescent="0.3">
      <c r="A926" s="39">
        <v>46101.638993055552</v>
      </c>
      <c r="B926" s="33">
        <v>1128897100</v>
      </c>
      <c r="C926" s="33" t="s">
        <v>48</v>
      </c>
      <c r="D926" s="33">
        <v>4430265054</v>
      </c>
      <c r="E926" s="33">
        <v>458</v>
      </c>
      <c r="F926" s="33">
        <v>435</v>
      </c>
      <c r="G926" s="33" t="s">
        <v>38</v>
      </c>
      <c r="H926" s="33" t="s">
        <v>7477</v>
      </c>
      <c r="I926" s="33" t="s">
        <v>39</v>
      </c>
      <c r="J926" s="33" t="s">
        <v>40</v>
      </c>
      <c r="K926" s="33" t="s">
        <v>41</v>
      </c>
    </row>
    <row r="927" spans="1:12" s="33" customFormat="1" hidden="1" x14ac:dyDescent="0.3">
      <c r="A927" s="39">
        <v>46101.637152777781</v>
      </c>
      <c r="B927" s="33">
        <v>45999334612</v>
      </c>
      <c r="C927" s="33" t="s">
        <v>43</v>
      </c>
      <c r="D927" s="33">
        <v>4430265054</v>
      </c>
      <c r="E927" s="33">
        <v>278</v>
      </c>
      <c r="F927" s="33">
        <v>170</v>
      </c>
      <c r="G927" s="33" t="s">
        <v>38</v>
      </c>
      <c r="H927" s="33" t="s">
        <v>7478</v>
      </c>
      <c r="I927" s="33" t="s">
        <v>39</v>
      </c>
      <c r="J927" s="33" t="s">
        <v>40</v>
      </c>
      <c r="K927" s="33" t="s">
        <v>41</v>
      </c>
      <c r="L927" s="33">
        <v>5</v>
      </c>
    </row>
    <row r="928" spans="1:12" s="33" customFormat="1" hidden="1" x14ac:dyDescent="0.3">
      <c r="A928" s="39">
        <v>46101.631574074076</v>
      </c>
      <c r="B928" s="33" t="s">
        <v>3627</v>
      </c>
      <c r="C928" s="33">
        <v>88993425664</v>
      </c>
      <c r="E928" s="33">
        <v>17</v>
      </c>
      <c r="F928" s="33">
        <v>0</v>
      </c>
      <c r="G928" s="33" t="s">
        <v>47</v>
      </c>
      <c r="H928" s="33" t="s">
        <v>7479</v>
      </c>
      <c r="I928" s="33" t="s">
        <v>46</v>
      </c>
      <c r="J928" s="33" t="s">
        <v>3629</v>
      </c>
    </row>
    <row r="929" spans="1:12" s="33" customFormat="1" hidden="1" x14ac:dyDescent="0.3">
      <c r="A929" s="39">
        <v>46101.630601851852</v>
      </c>
      <c r="B929" s="33">
        <v>44999449519</v>
      </c>
      <c r="C929" s="33">
        <v>4430265054</v>
      </c>
      <c r="D929" s="33">
        <v>4430265054</v>
      </c>
      <c r="E929" s="33">
        <v>76</v>
      </c>
      <c r="F929" s="33">
        <v>76</v>
      </c>
      <c r="G929" s="33" t="s">
        <v>3449</v>
      </c>
      <c r="H929" s="33" t="s">
        <v>7480</v>
      </c>
      <c r="I929" s="33" t="s">
        <v>39</v>
      </c>
      <c r="J929" s="33" t="s">
        <v>3451</v>
      </c>
      <c r="K929" s="33" t="s">
        <v>41</v>
      </c>
    </row>
    <row r="930" spans="1:12" s="33" customFormat="1" hidden="1" x14ac:dyDescent="0.3">
      <c r="A930" s="39">
        <v>46101.624479166669</v>
      </c>
      <c r="B930" s="33" t="s">
        <v>3627</v>
      </c>
      <c r="C930" s="33">
        <v>92991478899</v>
      </c>
      <c r="E930" s="33">
        <v>3</v>
      </c>
      <c r="F930" s="33">
        <v>0</v>
      </c>
      <c r="G930" s="33" t="s">
        <v>47</v>
      </c>
      <c r="H930" s="33" t="s">
        <v>7481</v>
      </c>
      <c r="I930" s="33" t="s">
        <v>46</v>
      </c>
      <c r="J930" s="33" t="s">
        <v>3629</v>
      </c>
    </row>
    <row r="931" spans="1:12" s="33" customFormat="1" hidden="1" x14ac:dyDescent="0.3">
      <c r="A931" s="39">
        <v>46101.622488425928</v>
      </c>
      <c r="B931" s="33" t="s">
        <v>3627</v>
      </c>
      <c r="C931" s="33">
        <v>11941027955</v>
      </c>
      <c r="E931" s="33">
        <v>9</v>
      </c>
      <c r="F931" s="33">
        <v>4</v>
      </c>
      <c r="G931" s="33" t="s">
        <v>38</v>
      </c>
      <c r="H931" s="33" t="s">
        <v>7482</v>
      </c>
      <c r="I931" s="33" t="s">
        <v>46</v>
      </c>
      <c r="J931" s="33" t="s">
        <v>3629</v>
      </c>
    </row>
    <row r="932" spans="1:12" s="33" customFormat="1" hidden="1" x14ac:dyDescent="0.3">
      <c r="A932" s="39">
        <v>46101.620243055557</v>
      </c>
      <c r="B932" s="33" t="s">
        <v>42</v>
      </c>
      <c r="C932" s="33">
        <v>4330333558</v>
      </c>
      <c r="E932" s="33">
        <v>268</v>
      </c>
      <c r="F932" s="33">
        <v>255</v>
      </c>
      <c r="G932" s="33" t="s">
        <v>38</v>
      </c>
      <c r="H932" s="33" t="s">
        <v>7483</v>
      </c>
      <c r="I932" s="33" t="s">
        <v>46</v>
      </c>
      <c r="J932" s="33" t="s">
        <v>40</v>
      </c>
    </row>
    <row r="933" spans="1:12" s="33" customFormat="1" hidden="1" x14ac:dyDescent="0.3">
      <c r="A933" s="39">
        <v>46101.620243055557</v>
      </c>
      <c r="B933" s="33" t="s">
        <v>3627</v>
      </c>
      <c r="C933" s="33">
        <v>82999879939</v>
      </c>
      <c r="E933" s="33">
        <v>65</v>
      </c>
      <c r="F933" s="33">
        <v>58</v>
      </c>
      <c r="G933" s="33" t="s">
        <v>38</v>
      </c>
      <c r="H933" s="33" t="s">
        <v>7484</v>
      </c>
      <c r="I933" s="33" t="s">
        <v>46</v>
      </c>
      <c r="J933" s="33" t="s">
        <v>3629</v>
      </c>
    </row>
    <row r="934" spans="1:12" s="33" customFormat="1" hidden="1" x14ac:dyDescent="0.3">
      <c r="A934" s="39">
        <v>46101.620069444441</v>
      </c>
      <c r="B934" s="33" t="s">
        <v>42</v>
      </c>
      <c r="C934" s="33">
        <v>4333033558</v>
      </c>
      <c r="E934" s="33">
        <v>9</v>
      </c>
      <c r="F934" s="33">
        <v>0</v>
      </c>
      <c r="G934" s="33" t="s">
        <v>47</v>
      </c>
      <c r="H934" s="33" t="s">
        <v>7485</v>
      </c>
      <c r="I934" s="33" t="s">
        <v>46</v>
      </c>
      <c r="J934" s="33" t="s">
        <v>40</v>
      </c>
    </row>
    <row r="935" spans="1:12" s="33" customFormat="1" hidden="1" x14ac:dyDescent="0.3">
      <c r="A935" s="39">
        <v>46101.619930555556</v>
      </c>
      <c r="B935" s="33" t="s">
        <v>42</v>
      </c>
      <c r="C935" s="33">
        <v>4333033558</v>
      </c>
      <c r="E935" s="33">
        <v>2</v>
      </c>
      <c r="F935" s="33">
        <v>0</v>
      </c>
      <c r="G935" s="33" t="s">
        <v>47</v>
      </c>
      <c r="H935" s="33" t="s">
        <v>7486</v>
      </c>
      <c r="I935" s="33" t="s">
        <v>46</v>
      </c>
      <c r="J935" s="33" t="s">
        <v>40</v>
      </c>
    </row>
    <row r="936" spans="1:12" s="33" customFormat="1" hidden="1" x14ac:dyDescent="0.3">
      <c r="A936" s="39">
        <v>46101.61824074074</v>
      </c>
      <c r="B936" s="33" t="s">
        <v>3627</v>
      </c>
      <c r="C936" s="33">
        <v>42984428095</v>
      </c>
      <c r="E936" s="33">
        <v>22</v>
      </c>
      <c r="F936" s="33">
        <v>0</v>
      </c>
      <c r="G936" s="33" t="s">
        <v>47</v>
      </c>
      <c r="H936" s="33" t="s">
        <v>7487</v>
      </c>
      <c r="I936" s="33" t="s">
        <v>46</v>
      </c>
      <c r="J936" s="33" t="s">
        <v>3629</v>
      </c>
    </row>
    <row r="937" spans="1:12" s="33" customFormat="1" hidden="1" x14ac:dyDescent="0.3">
      <c r="A937" s="39">
        <v>46101.611666666664</v>
      </c>
      <c r="B937" s="33" t="s">
        <v>3627</v>
      </c>
      <c r="C937" s="33">
        <v>31972178489</v>
      </c>
      <c r="E937" s="33">
        <v>15</v>
      </c>
      <c r="F937" s="33">
        <v>0</v>
      </c>
      <c r="G937" s="33" t="s">
        <v>47</v>
      </c>
      <c r="H937" s="33" t="s">
        <v>7488</v>
      </c>
      <c r="I937" s="33" t="s">
        <v>46</v>
      </c>
      <c r="J937" s="33" t="s">
        <v>3629</v>
      </c>
    </row>
    <row r="938" spans="1:12" s="33" customFormat="1" hidden="1" x14ac:dyDescent="0.3">
      <c r="A938" s="39">
        <v>46101.609305555554</v>
      </c>
      <c r="B938" s="33" t="s">
        <v>3627</v>
      </c>
      <c r="C938" s="33">
        <v>21976529042</v>
      </c>
      <c r="E938" s="33">
        <v>17</v>
      </c>
      <c r="F938" s="33">
        <v>14</v>
      </c>
      <c r="G938" s="33" t="s">
        <v>38</v>
      </c>
      <c r="H938" s="33" t="s">
        <v>7489</v>
      </c>
      <c r="I938" s="33" t="s">
        <v>46</v>
      </c>
      <c r="J938" s="33" t="s">
        <v>3629</v>
      </c>
    </row>
    <row r="939" spans="1:12" s="33" customFormat="1" hidden="1" x14ac:dyDescent="0.3">
      <c r="A939" s="39">
        <v>46101.608078703706</v>
      </c>
      <c r="B939" s="33" t="s">
        <v>48</v>
      </c>
      <c r="C939" s="33">
        <v>4532541802</v>
      </c>
      <c r="E939" s="33">
        <v>1329</v>
      </c>
      <c r="F939" s="33">
        <v>1328</v>
      </c>
      <c r="G939" s="33" t="s">
        <v>38</v>
      </c>
      <c r="H939" s="33" t="s">
        <v>7490</v>
      </c>
      <c r="I939" s="33" t="s">
        <v>46</v>
      </c>
      <c r="J939" s="33" t="s">
        <v>40</v>
      </c>
      <c r="L939" s="33">
        <v>5</v>
      </c>
    </row>
    <row r="940" spans="1:12" s="33" customFormat="1" hidden="1" x14ac:dyDescent="0.3">
      <c r="A940" s="39">
        <v>46101.599166666667</v>
      </c>
      <c r="B940" s="33" t="s">
        <v>3627</v>
      </c>
      <c r="C940" s="33">
        <v>61993260710</v>
      </c>
      <c r="E940" s="33">
        <v>21</v>
      </c>
      <c r="F940" s="33">
        <v>0</v>
      </c>
      <c r="G940" s="33" t="s">
        <v>47</v>
      </c>
      <c r="H940" s="33" t="s">
        <v>7491</v>
      </c>
      <c r="I940" s="33" t="s">
        <v>46</v>
      </c>
      <c r="J940" s="33" t="s">
        <v>3629</v>
      </c>
    </row>
    <row r="941" spans="1:12" s="33" customFormat="1" hidden="1" x14ac:dyDescent="0.3">
      <c r="A941" s="39">
        <v>46101.595949074072</v>
      </c>
      <c r="B941" s="33" t="s">
        <v>3627</v>
      </c>
      <c r="C941" s="33">
        <v>91985120275</v>
      </c>
      <c r="E941" s="33">
        <v>11</v>
      </c>
      <c r="F941" s="33">
        <v>6</v>
      </c>
      <c r="G941" s="33" t="s">
        <v>38</v>
      </c>
      <c r="H941" s="33" t="s">
        <v>7492</v>
      </c>
      <c r="I941" s="33" t="s">
        <v>46</v>
      </c>
      <c r="J941" s="33" t="s">
        <v>3629</v>
      </c>
    </row>
    <row r="942" spans="1:12" s="33" customFormat="1" hidden="1" x14ac:dyDescent="0.3">
      <c r="A942" s="39">
        <v>46101.594942129632</v>
      </c>
      <c r="B942" s="33">
        <v>91981481202</v>
      </c>
      <c r="C942" s="33" t="s">
        <v>44</v>
      </c>
      <c r="D942" s="33">
        <v>4430265054</v>
      </c>
      <c r="E942" s="33">
        <v>358</v>
      </c>
      <c r="F942" s="33">
        <v>241</v>
      </c>
      <c r="G942" s="33" t="s">
        <v>38</v>
      </c>
      <c r="H942" s="33" t="s">
        <v>7493</v>
      </c>
      <c r="I942" s="33" t="s">
        <v>39</v>
      </c>
      <c r="J942" s="33" t="s">
        <v>40</v>
      </c>
      <c r="K942" s="33" t="s">
        <v>41</v>
      </c>
    </row>
    <row r="943" spans="1:12" s="33" customFormat="1" hidden="1" x14ac:dyDescent="0.3">
      <c r="A943" s="39">
        <v>46101.594861111109</v>
      </c>
      <c r="B943" s="33" t="s">
        <v>3627</v>
      </c>
      <c r="C943" s="33">
        <v>11960752253</v>
      </c>
      <c r="E943" s="33">
        <v>35</v>
      </c>
      <c r="F943" s="33">
        <v>0</v>
      </c>
      <c r="G943" s="33" t="s">
        <v>47</v>
      </c>
      <c r="H943" s="33" t="s">
        <v>7494</v>
      </c>
      <c r="I943" s="33" t="s">
        <v>46</v>
      </c>
      <c r="J943" s="33" t="s">
        <v>3629</v>
      </c>
    </row>
    <row r="944" spans="1:12" s="33" customFormat="1" hidden="1" x14ac:dyDescent="0.3">
      <c r="A944" s="39">
        <v>46101.593935185185</v>
      </c>
      <c r="B944" s="33">
        <v>62994086124</v>
      </c>
      <c r="C944" s="33" t="s">
        <v>43</v>
      </c>
      <c r="D944" s="33">
        <v>4430265054</v>
      </c>
      <c r="E944" s="33">
        <v>2351</v>
      </c>
      <c r="F944" s="33">
        <v>2306</v>
      </c>
      <c r="G944" s="33" t="s">
        <v>38</v>
      </c>
      <c r="H944" s="33" t="s">
        <v>7495</v>
      </c>
      <c r="I944" s="33" t="s">
        <v>39</v>
      </c>
      <c r="J944" s="33" t="s">
        <v>40</v>
      </c>
      <c r="K944" s="33" t="s">
        <v>41</v>
      </c>
    </row>
    <row r="945" spans="1:12" s="33" customFormat="1" hidden="1" x14ac:dyDescent="0.3">
      <c r="A945" s="39">
        <v>46101.59039351852</v>
      </c>
      <c r="B945" s="33" t="s">
        <v>45</v>
      </c>
      <c r="C945" s="33">
        <v>45999334612</v>
      </c>
      <c r="E945" s="33">
        <v>648</v>
      </c>
      <c r="F945" s="33">
        <v>637</v>
      </c>
      <c r="G945" s="33" t="s">
        <v>38</v>
      </c>
      <c r="H945" s="33" t="s">
        <v>7496</v>
      </c>
      <c r="I945" s="33" t="s">
        <v>46</v>
      </c>
      <c r="J945" s="33" t="s">
        <v>40</v>
      </c>
      <c r="L945" s="33">
        <v>5</v>
      </c>
    </row>
    <row r="946" spans="1:12" s="33" customFormat="1" hidden="1" x14ac:dyDescent="0.3">
      <c r="A946" s="39">
        <v>46101.573888888888</v>
      </c>
      <c r="B946" s="33">
        <v>45999334612</v>
      </c>
      <c r="C946" s="33" t="s">
        <v>45</v>
      </c>
      <c r="D946" s="33">
        <v>4430265054</v>
      </c>
      <c r="E946" s="33">
        <v>669</v>
      </c>
      <c r="F946" s="33">
        <v>589</v>
      </c>
      <c r="G946" s="33" t="s">
        <v>38</v>
      </c>
      <c r="H946" s="33" t="s">
        <v>7497</v>
      </c>
      <c r="I946" s="33" t="s">
        <v>39</v>
      </c>
      <c r="J946" s="33" t="s">
        <v>40</v>
      </c>
      <c r="K946" s="33" t="s">
        <v>41</v>
      </c>
      <c r="L946" s="33">
        <v>5</v>
      </c>
    </row>
    <row r="947" spans="1:12" s="33" customFormat="1" hidden="1" x14ac:dyDescent="0.3">
      <c r="A947" s="39">
        <v>46101.568391203706</v>
      </c>
      <c r="B947" s="33" t="s">
        <v>45</v>
      </c>
      <c r="C947" s="33">
        <v>51996390529</v>
      </c>
      <c r="E947" s="33">
        <v>39</v>
      </c>
      <c r="F947" s="33">
        <v>26</v>
      </c>
      <c r="G947" s="33" t="s">
        <v>38</v>
      </c>
      <c r="H947" s="33" t="s">
        <v>7498</v>
      </c>
      <c r="I947" s="33" t="s">
        <v>46</v>
      </c>
      <c r="J947" s="33" t="s">
        <v>40</v>
      </c>
    </row>
    <row r="948" spans="1:12" s="33" customFormat="1" hidden="1" x14ac:dyDescent="0.3">
      <c r="A948" s="39">
        <v>46101.567777777775</v>
      </c>
      <c r="B948" s="33">
        <v>44999451200</v>
      </c>
      <c r="C948" s="33" t="s">
        <v>37</v>
      </c>
      <c r="D948" s="33">
        <v>4430265054</v>
      </c>
      <c r="E948" s="33">
        <v>1331</v>
      </c>
      <c r="F948" s="33">
        <v>1306</v>
      </c>
      <c r="G948" s="33" t="s">
        <v>38</v>
      </c>
      <c r="H948" s="33" t="s">
        <v>7499</v>
      </c>
      <c r="I948" s="33" t="s">
        <v>39</v>
      </c>
      <c r="J948" s="33" t="s">
        <v>40</v>
      </c>
      <c r="K948" s="33" t="s">
        <v>41</v>
      </c>
      <c r="L948" s="33">
        <v>5</v>
      </c>
    </row>
    <row r="949" spans="1:12" s="33" customFormat="1" hidden="1" x14ac:dyDescent="0.3">
      <c r="A949" s="39">
        <v>46101.564837962964</v>
      </c>
      <c r="B949" s="33">
        <v>4430318515</v>
      </c>
      <c r="C949" s="33" t="s">
        <v>44</v>
      </c>
      <c r="D949" s="33">
        <v>4430265054</v>
      </c>
      <c r="E949" s="33">
        <v>192</v>
      </c>
      <c r="F949" s="33">
        <v>139</v>
      </c>
      <c r="G949" s="33" t="s">
        <v>38</v>
      </c>
      <c r="H949" s="33" t="s">
        <v>7500</v>
      </c>
      <c r="I949" s="33" t="s">
        <v>39</v>
      </c>
      <c r="J949" s="33" t="s">
        <v>40</v>
      </c>
      <c r="K949" s="33" t="s">
        <v>41</v>
      </c>
    </row>
    <row r="950" spans="1:12" s="33" customFormat="1" hidden="1" x14ac:dyDescent="0.3">
      <c r="A950" s="39">
        <v>46101.551736111112</v>
      </c>
      <c r="B950" s="33">
        <v>44999451200</v>
      </c>
      <c r="C950" s="33">
        <v>4430265054</v>
      </c>
      <c r="D950" s="33">
        <v>4430265054</v>
      </c>
      <c r="E950" s="33">
        <v>13</v>
      </c>
      <c r="F950" s="33">
        <v>12</v>
      </c>
      <c r="G950" s="33" t="s">
        <v>3449</v>
      </c>
      <c r="H950" s="33" t="s">
        <v>7501</v>
      </c>
      <c r="I950" s="33" t="s">
        <v>39</v>
      </c>
      <c r="J950" s="33" t="s">
        <v>3451</v>
      </c>
    </row>
    <row r="951" spans="1:12" s="33" customFormat="1" hidden="1" x14ac:dyDescent="0.3">
      <c r="A951" s="39">
        <v>46101.549259259256</v>
      </c>
      <c r="B951" s="33">
        <v>4121413325</v>
      </c>
      <c r="C951" s="33">
        <v>4531273155</v>
      </c>
      <c r="D951" s="33">
        <v>4531273155</v>
      </c>
      <c r="E951" s="33">
        <v>29</v>
      </c>
      <c r="F951" s="33">
        <v>29</v>
      </c>
      <c r="G951" s="33" t="s">
        <v>3449</v>
      </c>
      <c r="H951" s="33" t="s">
        <v>7502</v>
      </c>
      <c r="I951" s="33" t="s">
        <v>39</v>
      </c>
      <c r="J951" s="33" t="s">
        <v>3451</v>
      </c>
    </row>
    <row r="952" spans="1:12" s="33" customFormat="1" hidden="1" x14ac:dyDescent="0.3">
      <c r="A952" s="39">
        <v>46101.487349537034</v>
      </c>
      <c r="B952" s="33">
        <v>4430450103</v>
      </c>
      <c r="C952" s="33" t="s">
        <v>45</v>
      </c>
      <c r="D952" s="33">
        <v>4430265054</v>
      </c>
      <c r="E952" s="33">
        <v>211</v>
      </c>
      <c r="F952" s="33">
        <v>152</v>
      </c>
      <c r="G952" s="33" t="s">
        <v>38</v>
      </c>
      <c r="H952" s="33" t="s">
        <v>7503</v>
      </c>
      <c r="I952" s="33" t="s">
        <v>39</v>
      </c>
      <c r="J952" s="33" t="s">
        <v>40</v>
      </c>
      <c r="K952" s="33" t="s">
        <v>41</v>
      </c>
    </row>
    <row r="953" spans="1:12" s="33" customFormat="1" hidden="1" x14ac:dyDescent="0.3">
      <c r="A953" s="39">
        <v>46101.486215277779</v>
      </c>
      <c r="B953" s="33">
        <v>44998717172</v>
      </c>
      <c r="C953" s="33" t="s">
        <v>37</v>
      </c>
      <c r="D953" s="33">
        <v>4430265054</v>
      </c>
      <c r="E953" s="33">
        <v>311</v>
      </c>
      <c r="F953" s="33">
        <v>223</v>
      </c>
      <c r="G953" s="33" t="s">
        <v>38</v>
      </c>
      <c r="H953" s="33" t="s">
        <v>7504</v>
      </c>
      <c r="I953" s="33" t="s">
        <v>39</v>
      </c>
      <c r="J953" s="33" t="s">
        <v>40</v>
      </c>
      <c r="K953" s="33" t="s">
        <v>41</v>
      </c>
    </row>
    <row r="954" spans="1:12" s="33" customFormat="1" hidden="1" x14ac:dyDescent="0.3">
      <c r="A954" s="39">
        <v>46101.465856481482</v>
      </c>
      <c r="B954" s="33" t="s">
        <v>43</v>
      </c>
      <c r="C954" s="33">
        <v>4430191465</v>
      </c>
      <c r="E954" s="33">
        <v>91</v>
      </c>
      <c r="F954" s="33">
        <v>75</v>
      </c>
      <c r="G954" s="33" t="s">
        <v>38</v>
      </c>
      <c r="H954" s="33" t="s">
        <v>7505</v>
      </c>
      <c r="I954" s="33" t="s">
        <v>46</v>
      </c>
      <c r="J954" s="33" t="s">
        <v>40</v>
      </c>
    </row>
    <row r="955" spans="1:12" s="33" customFormat="1" hidden="1" x14ac:dyDescent="0.3">
      <c r="A955" s="39">
        <v>46101.459490740737</v>
      </c>
      <c r="B955" s="33">
        <v>44999387742</v>
      </c>
      <c r="C955" s="33" t="s">
        <v>43</v>
      </c>
      <c r="D955" s="33">
        <v>4430265054</v>
      </c>
      <c r="E955" s="33">
        <v>340</v>
      </c>
      <c r="F955" s="33">
        <v>281</v>
      </c>
      <c r="G955" s="33" t="s">
        <v>38</v>
      </c>
      <c r="H955" s="33" t="s">
        <v>7506</v>
      </c>
      <c r="I955" s="33" t="s">
        <v>39</v>
      </c>
      <c r="J955" s="33" t="s">
        <v>40</v>
      </c>
      <c r="K955" s="33" t="s">
        <v>41</v>
      </c>
    </row>
    <row r="956" spans="1:12" s="33" customFormat="1" hidden="1" x14ac:dyDescent="0.3">
      <c r="A956" s="39">
        <v>46101.456030092595</v>
      </c>
      <c r="B956" s="33">
        <v>4432524636</v>
      </c>
      <c r="C956" s="33" t="s">
        <v>44</v>
      </c>
      <c r="D956" s="33">
        <v>4430265054</v>
      </c>
      <c r="E956" s="33">
        <v>1020</v>
      </c>
      <c r="F956" s="33">
        <v>922</v>
      </c>
      <c r="G956" s="33" t="s">
        <v>38</v>
      </c>
      <c r="H956" s="33" t="s">
        <v>7507</v>
      </c>
      <c r="I956" s="33" t="s">
        <v>39</v>
      </c>
      <c r="J956" s="33" t="s">
        <v>40</v>
      </c>
      <c r="K956" s="33" t="s">
        <v>41</v>
      </c>
    </row>
    <row r="957" spans="1:12" s="33" customFormat="1" hidden="1" x14ac:dyDescent="0.3">
      <c r="A957" s="39">
        <v>46101.448460648149</v>
      </c>
      <c r="B957" s="33">
        <v>4436313274</v>
      </c>
      <c r="C957" s="33" t="s">
        <v>37</v>
      </c>
      <c r="D957" s="33">
        <v>4430265054</v>
      </c>
      <c r="E957" s="33">
        <v>1012</v>
      </c>
      <c r="F957" s="33">
        <v>989</v>
      </c>
      <c r="G957" s="33" t="s">
        <v>38</v>
      </c>
      <c r="H957" s="33" t="s">
        <v>7508</v>
      </c>
      <c r="I957" s="33" t="s">
        <v>39</v>
      </c>
      <c r="J957" s="33" t="s">
        <v>40</v>
      </c>
      <c r="K957" s="33" t="s">
        <v>41</v>
      </c>
    </row>
    <row r="958" spans="1:12" s="33" customFormat="1" hidden="1" x14ac:dyDescent="0.3">
      <c r="A958" s="39">
        <v>46101.447268518517</v>
      </c>
      <c r="B958" s="33">
        <v>41999865917</v>
      </c>
      <c r="C958" s="33" t="s">
        <v>45</v>
      </c>
      <c r="D958" s="33">
        <v>4431268225</v>
      </c>
      <c r="E958" s="33">
        <v>3080</v>
      </c>
      <c r="F958" s="33">
        <v>2979</v>
      </c>
      <c r="G958" s="33" t="s">
        <v>38</v>
      </c>
      <c r="H958" s="33" t="s">
        <v>7509</v>
      </c>
      <c r="I958" s="33" t="s">
        <v>39</v>
      </c>
      <c r="J958" s="33" t="s">
        <v>40</v>
      </c>
      <c r="K958" s="33" t="s">
        <v>41</v>
      </c>
    </row>
    <row r="959" spans="1:12" s="33" customFormat="1" hidden="1" x14ac:dyDescent="0.3">
      <c r="A959" s="39">
        <v>46101.44672453704</v>
      </c>
      <c r="B959" s="33">
        <v>44997343311</v>
      </c>
      <c r="C959" s="33" t="s">
        <v>45</v>
      </c>
      <c r="D959" s="33">
        <v>4430265054</v>
      </c>
      <c r="E959" s="33">
        <v>282</v>
      </c>
      <c r="F959" s="33">
        <v>170</v>
      </c>
      <c r="G959" s="33" t="s">
        <v>38</v>
      </c>
      <c r="H959" s="33" t="s">
        <v>7510</v>
      </c>
      <c r="I959" s="33" t="s">
        <v>39</v>
      </c>
      <c r="J959" s="33" t="s">
        <v>40</v>
      </c>
      <c r="K959" s="33" t="s">
        <v>41</v>
      </c>
      <c r="L959" s="33">
        <v>5</v>
      </c>
    </row>
    <row r="960" spans="1:12" s="33" customFormat="1" hidden="1" x14ac:dyDescent="0.3">
      <c r="A960" s="39">
        <v>46101.439606481479</v>
      </c>
      <c r="B960" s="33">
        <v>91981481202</v>
      </c>
      <c r="C960" s="33" t="s">
        <v>45</v>
      </c>
      <c r="D960" s="33">
        <v>4430265054</v>
      </c>
      <c r="E960" s="33">
        <v>321</v>
      </c>
      <c r="F960" s="33">
        <v>258</v>
      </c>
      <c r="G960" s="33" t="s">
        <v>38</v>
      </c>
      <c r="H960" s="33" t="s">
        <v>7511</v>
      </c>
      <c r="I960" s="33" t="s">
        <v>39</v>
      </c>
      <c r="J960" s="33" t="s">
        <v>40</v>
      </c>
      <c r="K960" s="33" t="s">
        <v>41</v>
      </c>
    </row>
    <row r="961" spans="1:12" s="33" customFormat="1" hidden="1" x14ac:dyDescent="0.3">
      <c r="A961" s="39">
        <v>46101.437673611108</v>
      </c>
      <c r="B961" s="33">
        <v>4430162384</v>
      </c>
      <c r="C961" s="33" t="s">
        <v>37</v>
      </c>
      <c r="D961" s="33">
        <v>4430265054</v>
      </c>
      <c r="E961" s="33">
        <v>320</v>
      </c>
      <c r="F961" s="33">
        <v>257</v>
      </c>
      <c r="G961" s="33" t="s">
        <v>38</v>
      </c>
      <c r="H961" s="33" t="s">
        <v>7512</v>
      </c>
      <c r="I961" s="33" t="s">
        <v>39</v>
      </c>
      <c r="J961" s="33" t="s">
        <v>40</v>
      </c>
      <c r="K961" s="33" t="s">
        <v>41</v>
      </c>
    </row>
    <row r="962" spans="1:12" s="33" customFormat="1" hidden="1" x14ac:dyDescent="0.3">
      <c r="A962" s="39">
        <v>46101.432476851849</v>
      </c>
      <c r="B962" s="33">
        <v>4121413325</v>
      </c>
      <c r="C962" s="33" t="s">
        <v>37</v>
      </c>
      <c r="D962" s="33">
        <v>4531273159</v>
      </c>
      <c r="E962" s="33">
        <v>85</v>
      </c>
      <c r="F962" s="33">
        <v>13</v>
      </c>
      <c r="G962" s="33" t="s">
        <v>38</v>
      </c>
      <c r="H962" s="33" t="s">
        <v>7513</v>
      </c>
      <c r="I962" s="33" t="s">
        <v>39</v>
      </c>
      <c r="J962" s="33" t="s">
        <v>40</v>
      </c>
      <c r="K962" s="33" t="s">
        <v>41</v>
      </c>
    </row>
    <row r="963" spans="1:12" s="33" customFormat="1" hidden="1" x14ac:dyDescent="0.3">
      <c r="A963" s="39">
        <v>46101.429583333331</v>
      </c>
      <c r="B963" s="33" t="s">
        <v>37</v>
      </c>
      <c r="C963" s="33">
        <v>4430414545</v>
      </c>
      <c r="E963" s="33">
        <v>86</v>
      </c>
      <c r="F963" s="33">
        <v>80</v>
      </c>
      <c r="G963" s="33" t="s">
        <v>38</v>
      </c>
      <c r="H963" s="33" t="s">
        <v>7514</v>
      </c>
      <c r="I963" s="33" t="s">
        <v>46</v>
      </c>
      <c r="J963" s="33" t="s">
        <v>40</v>
      </c>
    </row>
    <row r="964" spans="1:12" s="33" customFormat="1" hidden="1" x14ac:dyDescent="0.3">
      <c r="A964" s="39">
        <v>46101.429386574076</v>
      </c>
      <c r="B964" s="33">
        <v>4532541802</v>
      </c>
      <c r="C964" s="33" t="s">
        <v>37</v>
      </c>
      <c r="D964" s="33">
        <v>4430265054</v>
      </c>
      <c r="E964" s="33">
        <v>176</v>
      </c>
      <c r="F964" s="33">
        <v>57</v>
      </c>
      <c r="G964" s="33" t="s">
        <v>38</v>
      </c>
      <c r="H964" s="33" t="s">
        <v>7515</v>
      </c>
      <c r="I964" s="33" t="s">
        <v>39</v>
      </c>
      <c r="J964" s="33" t="s">
        <v>40</v>
      </c>
      <c r="K964" s="33" t="s">
        <v>41</v>
      </c>
    </row>
    <row r="965" spans="1:12" s="33" customFormat="1" hidden="1" x14ac:dyDescent="0.3">
      <c r="A965" s="39">
        <v>46101.427986111114</v>
      </c>
      <c r="B965" s="33">
        <v>1131515685</v>
      </c>
      <c r="C965" s="33" t="s">
        <v>44</v>
      </c>
      <c r="D965" s="33">
        <v>4430265054</v>
      </c>
      <c r="E965" s="33">
        <v>339</v>
      </c>
      <c r="F965" s="33">
        <v>323</v>
      </c>
      <c r="G965" s="33" t="s">
        <v>38</v>
      </c>
      <c r="H965" s="33" t="s">
        <v>7516</v>
      </c>
      <c r="I965" s="33" t="s">
        <v>39</v>
      </c>
      <c r="J965" s="33" t="s">
        <v>40</v>
      </c>
      <c r="K965" s="33" t="s">
        <v>41</v>
      </c>
      <c r="L965" s="33">
        <v>5</v>
      </c>
    </row>
    <row r="966" spans="1:12" s="33" customFormat="1" hidden="1" x14ac:dyDescent="0.3">
      <c r="A966" s="39">
        <v>46101.427465277775</v>
      </c>
      <c r="B966" s="33">
        <v>4433660210</v>
      </c>
      <c r="C966" s="33" t="s">
        <v>42</v>
      </c>
      <c r="D966" s="33">
        <v>4430265054</v>
      </c>
      <c r="E966" s="33">
        <v>57</v>
      </c>
      <c r="F966" s="33">
        <v>21</v>
      </c>
      <c r="G966" s="33" t="s">
        <v>38</v>
      </c>
      <c r="H966" s="33" t="s">
        <v>7517</v>
      </c>
      <c r="I966" s="33" t="s">
        <v>39</v>
      </c>
      <c r="J966" s="33" t="s">
        <v>40</v>
      </c>
      <c r="K966" s="33" t="s">
        <v>41</v>
      </c>
    </row>
    <row r="967" spans="1:12" s="33" customFormat="1" hidden="1" x14ac:dyDescent="0.3">
      <c r="A967" s="39">
        <v>46101.426354166666</v>
      </c>
      <c r="B967" s="33" t="s">
        <v>45</v>
      </c>
      <c r="C967" s="33">
        <v>44984225332</v>
      </c>
      <c r="E967" s="33">
        <v>10</v>
      </c>
      <c r="F967" s="33">
        <v>0</v>
      </c>
      <c r="G967" s="33" t="s">
        <v>47</v>
      </c>
      <c r="H967" s="33" t="s">
        <v>7518</v>
      </c>
      <c r="I967" s="33" t="s">
        <v>46</v>
      </c>
      <c r="J967" s="33" t="s">
        <v>40</v>
      </c>
    </row>
    <row r="968" spans="1:12" s="33" customFormat="1" hidden="1" x14ac:dyDescent="0.3">
      <c r="A968" s="39">
        <v>46101.426307870373</v>
      </c>
      <c r="B968" s="33" t="s">
        <v>45</v>
      </c>
      <c r="C968" s="33">
        <v>44984225332</v>
      </c>
      <c r="E968" s="33">
        <v>2</v>
      </c>
      <c r="F968" s="33">
        <v>0</v>
      </c>
      <c r="G968" s="33" t="s">
        <v>47</v>
      </c>
      <c r="H968" s="33" t="s">
        <v>7519</v>
      </c>
      <c r="I968" s="33" t="s">
        <v>46</v>
      </c>
      <c r="J968" s="33" t="s">
        <v>40</v>
      </c>
    </row>
    <row r="969" spans="1:12" s="33" customFormat="1" hidden="1" x14ac:dyDescent="0.3">
      <c r="A969" s="39">
        <v>46101.425081018519</v>
      </c>
      <c r="B969" s="33">
        <v>47999760576</v>
      </c>
      <c r="C969" s="33" t="s">
        <v>43</v>
      </c>
      <c r="D969" s="33">
        <v>4430265054</v>
      </c>
      <c r="E969" s="33">
        <v>1554</v>
      </c>
      <c r="F969" s="33">
        <v>1389</v>
      </c>
      <c r="G969" s="33" t="s">
        <v>38</v>
      </c>
      <c r="H969" s="33" t="s">
        <v>7520</v>
      </c>
      <c r="I969" s="33" t="s">
        <v>39</v>
      </c>
      <c r="J969" s="33" t="s">
        <v>40</v>
      </c>
      <c r="K969" s="33" t="s">
        <v>41</v>
      </c>
    </row>
    <row r="970" spans="1:12" s="33" customFormat="1" hidden="1" x14ac:dyDescent="0.3">
      <c r="A970" s="39">
        <v>46101.42391203704</v>
      </c>
      <c r="B970" s="33">
        <v>41996175686</v>
      </c>
      <c r="C970" s="33" t="s">
        <v>45</v>
      </c>
      <c r="D970" s="33">
        <v>4430265054</v>
      </c>
      <c r="E970" s="33">
        <v>169</v>
      </c>
      <c r="F970" s="33">
        <v>131</v>
      </c>
      <c r="G970" s="33" t="s">
        <v>38</v>
      </c>
      <c r="H970" s="33" t="s">
        <v>7521</v>
      </c>
      <c r="I970" s="33" t="s">
        <v>39</v>
      </c>
      <c r="J970" s="33" t="s">
        <v>40</v>
      </c>
      <c r="K970" s="33" t="s">
        <v>41</v>
      </c>
      <c r="L970" s="33">
        <v>5</v>
      </c>
    </row>
    <row r="971" spans="1:12" s="33" customFormat="1" hidden="1" x14ac:dyDescent="0.3">
      <c r="A971" s="39">
        <v>46101.423182870371</v>
      </c>
      <c r="B971" s="33">
        <v>4532541802</v>
      </c>
      <c r="C971" s="33">
        <v>4430265054</v>
      </c>
      <c r="D971" s="33">
        <v>4430265054</v>
      </c>
      <c r="E971" s="33">
        <v>5</v>
      </c>
      <c r="F971" s="33">
        <v>5</v>
      </c>
      <c r="G971" s="33" t="s">
        <v>3449</v>
      </c>
      <c r="H971" s="33" t="s">
        <v>7522</v>
      </c>
      <c r="I971" s="33" t="s">
        <v>39</v>
      </c>
      <c r="J971" s="33" t="s">
        <v>3451</v>
      </c>
    </row>
    <row r="972" spans="1:12" s="33" customFormat="1" hidden="1" x14ac:dyDescent="0.3">
      <c r="A972" s="39">
        <v>46101.423159722224</v>
      </c>
      <c r="B972" s="33">
        <v>4532541802</v>
      </c>
      <c r="C972" s="33">
        <v>4430265054</v>
      </c>
      <c r="D972" s="33">
        <v>4430265054</v>
      </c>
      <c r="E972" s="33">
        <v>61</v>
      </c>
      <c r="F972" s="33">
        <v>60</v>
      </c>
      <c r="G972" s="33" t="s">
        <v>3449</v>
      </c>
      <c r="H972" s="33" t="s">
        <v>7523</v>
      </c>
      <c r="I972" s="33" t="s">
        <v>39</v>
      </c>
      <c r="J972" s="33" t="s">
        <v>3451</v>
      </c>
      <c r="K972" s="33" t="s">
        <v>41</v>
      </c>
    </row>
    <row r="973" spans="1:12" s="33" customFormat="1" hidden="1" x14ac:dyDescent="0.3">
      <c r="A973" s="39">
        <v>46101.420937499999</v>
      </c>
      <c r="B973" s="33">
        <v>4436311970</v>
      </c>
      <c r="C973" s="33" t="s">
        <v>37</v>
      </c>
      <c r="D973" s="33">
        <v>4430265054</v>
      </c>
      <c r="E973" s="33">
        <v>343</v>
      </c>
      <c r="F973" s="33">
        <v>315</v>
      </c>
      <c r="G973" s="33" t="s">
        <v>38</v>
      </c>
      <c r="H973" s="33" t="s">
        <v>7524</v>
      </c>
      <c r="I973" s="33" t="s">
        <v>39</v>
      </c>
      <c r="J973" s="33" t="s">
        <v>40</v>
      </c>
      <c r="K973" s="33" t="s">
        <v>41</v>
      </c>
    </row>
    <row r="974" spans="1:12" s="33" customFormat="1" hidden="1" x14ac:dyDescent="0.3">
      <c r="A974" s="39">
        <v>46101.420914351853</v>
      </c>
      <c r="B974" s="33">
        <v>44997400641</v>
      </c>
      <c r="C974" s="33" t="s">
        <v>45</v>
      </c>
      <c r="D974" s="33">
        <v>4430265054</v>
      </c>
      <c r="E974" s="33">
        <v>258</v>
      </c>
      <c r="F974" s="33">
        <v>175</v>
      </c>
      <c r="G974" s="33" t="s">
        <v>38</v>
      </c>
      <c r="H974" s="33" t="s">
        <v>7525</v>
      </c>
      <c r="I974" s="33" t="s">
        <v>39</v>
      </c>
      <c r="J974" s="33" t="s">
        <v>40</v>
      </c>
      <c r="K974" s="33" t="s">
        <v>41</v>
      </c>
    </row>
    <row r="975" spans="1:12" s="33" customFormat="1" hidden="1" x14ac:dyDescent="0.3">
      <c r="A975" s="39">
        <v>46101.419953703706</v>
      </c>
      <c r="B975" s="33">
        <v>91985176746</v>
      </c>
      <c r="C975" s="33" t="s">
        <v>43</v>
      </c>
      <c r="D975" s="33">
        <v>4430265054</v>
      </c>
      <c r="E975" s="33">
        <v>399</v>
      </c>
      <c r="F975" s="33">
        <v>366</v>
      </c>
      <c r="G975" s="33" t="s">
        <v>38</v>
      </c>
      <c r="H975" s="33" t="s">
        <v>7526</v>
      </c>
      <c r="I975" s="33" t="s">
        <v>39</v>
      </c>
      <c r="J975" s="33" t="s">
        <v>40</v>
      </c>
      <c r="K975" s="33" t="s">
        <v>41</v>
      </c>
      <c r="L975" s="33">
        <v>5</v>
      </c>
    </row>
    <row r="976" spans="1:12" s="33" customFormat="1" hidden="1" x14ac:dyDescent="0.3">
      <c r="A976" s="39">
        <v>46101.418240740742</v>
      </c>
      <c r="B976" s="33">
        <v>4334234629</v>
      </c>
      <c r="C976" s="33" t="s">
        <v>44</v>
      </c>
      <c r="D976" s="33">
        <v>4430265054</v>
      </c>
      <c r="E976" s="33">
        <v>258</v>
      </c>
      <c r="F976" s="33">
        <v>207</v>
      </c>
      <c r="G976" s="33" t="s">
        <v>38</v>
      </c>
      <c r="H976" s="33" t="s">
        <v>7527</v>
      </c>
      <c r="I976" s="33" t="s">
        <v>39</v>
      </c>
      <c r="J976" s="33" t="s">
        <v>40</v>
      </c>
      <c r="K976" s="33" t="s">
        <v>41</v>
      </c>
    </row>
    <row r="977" spans="1:12" s="33" customFormat="1" hidden="1" x14ac:dyDescent="0.3">
      <c r="A977" s="39">
        <v>46101.417997685188</v>
      </c>
      <c r="B977" s="33">
        <v>4432321232</v>
      </c>
      <c r="C977" s="33" t="s">
        <v>3627</v>
      </c>
      <c r="D977" s="33">
        <v>4430265054</v>
      </c>
      <c r="E977" s="33">
        <v>407</v>
      </c>
      <c r="F977" s="33">
        <v>382</v>
      </c>
      <c r="G977" s="33" t="s">
        <v>38</v>
      </c>
      <c r="H977" s="33" t="s">
        <v>7528</v>
      </c>
      <c r="I977" s="33" t="s">
        <v>39</v>
      </c>
      <c r="J977" s="33" t="s">
        <v>3629</v>
      </c>
      <c r="K977" s="33" t="s">
        <v>50</v>
      </c>
    </row>
    <row r="978" spans="1:12" s="33" customFormat="1" hidden="1" x14ac:dyDescent="0.3">
      <c r="A978" s="39">
        <v>46101.417025462964</v>
      </c>
      <c r="B978" s="33">
        <v>4334226481</v>
      </c>
      <c r="C978" s="33">
        <v>4430265054</v>
      </c>
      <c r="D978" s="33">
        <v>4430265054</v>
      </c>
      <c r="E978" s="33">
        <v>16</v>
      </c>
      <c r="F978" s="33">
        <v>16</v>
      </c>
      <c r="G978" s="33" t="s">
        <v>3449</v>
      </c>
      <c r="H978" s="33" t="s">
        <v>7529</v>
      </c>
      <c r="I978" s="33" t="s">
        <v>39</v>
      </c>
      <c r="J978" s="33" t="s">
        <v>3451</v>
      </c>
    </row>
    <row r="979" spans="1:12" s="33" customFormat="1" hidden="1" x14ac:dyDescent="0.3">
      <c r="A979" s="39">
        <v>46101.417025462964</v>
      </c>
      <c r="B979" s="33">
        <v>4436372125</v>
      </c>
      <c r="C979" s="33">
        <v>4430265054</v>
      </c>
      <c r="D979" s="33">
        <v>4430265054</v>
      </c>
      <c r="E979" s="33">
        <v>74</v>
      </c>
      <c r="F979" s="33">
        <v>74</v>
      </c>
      <c r="G979" s="33" t="s">
        <v>3449</v>
      </c>
      <c r="H979" s="33" t="s">
        <v>7530</v>
      </c>
      <c r="I979" s="33" t="s">
        <v>39</v>
      </c>
      <c r="J979" s="33" t="s">
        <v>3451</v>
      </c>
      <c r="K979" s="33" t="s">
        <v>41</v>
      </c>
    </row>
    <row r="980" spans="1:12" s="33" customFormat="1" hidden="1" x14ac:dyDescent="0.3">
      <c r="A980" s="39">
        <v>46101.415231481478</v>
      </c>
      <c r="B980" s="33" t="s">
        <v>3627</v>
      </c>
      <c r="C980" s="33">
        <v>4430329750</v>
      </c>
      <c r="E980" s="33">
        <v>0</v>
      </c>
      <c r="F980" s="33">
        <v>0</v>
      </c>
      <c r="G980" s="33" t="s">
        <v>47</v>
      </c>
      <c r="H980" s="33" t="s">
        <v>7531</v>
      </c>
      <c r="I980" s="33" t="s">
        <v>46</v>
      </c>
      <c r="J980" s="33" t="s">
        <v>3629</v>
      </c>
    </row>
    <row r="981" spans="1:12" s="33" customFormat="1" hidden="1" x14ac:dyDescent="0.3">
      <c r="A981" s="39">
        <v>46101.40960648148</v>
      </c>
      <c r="B981" s="33">
        <v>44991814587</v>
      </c>
      <c r="C981" s="33" t="s">
        <v>37</v>
      </c>
      <c r="D981" s="33">
        <v>4430265054</v>
      </c>
      <c r="E981" s="33">
        <v>333</v>
      </c>
      <c r="F981" s="33">
        <v>178</v>
      </c>
      <c r="G981" s="33" t="s">
        <v>38</v>
      </c>
      <c r="H981" s="33" t="s">
        <v>7532</v>
      </c>
      <c r="I981" s="33" t="s">
        <v>39</v>
      </c>
      <c r="J981" s="33" t="s">
        <v>40</v>
      </c>
      <c r="K981" s="33" t="s">
        <v>41</v>
      </c>
    </row>
    <row r="982" spans="1:12" s="33" customFormat="1" hidden="1" x14ac:dyDescent="0.3">
      <c r="A982" s="39">
        <v>46101.404027777775</v>
      </c>
      <c r="B982" s="33">
        <v>4430191617</v>
      </c>
      <c r="C982" s="33" t="s">
        <v>37</v>
      </c>
      <c r="D982" s="33">
        <v>4430265054</v>
      </c>
      <c r="E982" s="33">
        <v>159</v>
      </c>
      <c r="F982" s="33">
        <v>136</v>
      </c>
      <c r="G982" s="33" t="s">
        <v>38</v>
      </c>
      <c r="H982" s="33" t="s">
        <v>7533</v>
      </c>
      <c r="I982" s="33" t="s">
        <v>39</v>
      </c>
      <c r="J982" s="33" t="s">
        <v>40</v>
      </c>
      <c r="K982" s="33" t="s">
        <v>41</v>
      </c>
    </row>
    <row r="983" spans="1:12" s="33" customFormat="1" hidden="1" x14ac:dyDescent="0.3">
      <c r="A983" s="39">
        <v>46101.396527777775</v>
      </c>
      <c r="B983" s="33" t="s">
        <v>37</v>
      </c>
      <c r="C983" s="33">
        <v>4430414545</v>
      </c>
      <c r="E983" s="33">
        <v>115</v>
      </c>
      <c r="F983" s="33">
        <v>108</v>
      </c>
      <c r="G983" s="33" t="s">
        <v>38</v>
      </c>
      <c r="H983" s="33" t="s">
        <v>7534</v>
      </c>
      <c r="I983" s="33" t="s">
        <v>46</v>
      </c>
      <c r="J983" s="33" t="s">
        <v>40</v>
      </c>
    </row>
    <row r="984" spans="1:12" s="33" customFormat="1" hidden="1" x14ac:dyDescent="0.3">
      <c r="A984" s="39">
        <v>46101.396458333336</v>
      </c>
      <c r="B984" s="33" t="s">
        <v>37</v>
      </c>
      <c r="C984" s="33">
        <v>4430414545</v>
      </c>
      <c r="E984" s="33">
        <v>5</v>
      </c>
      <c r="F984" s="33">
        <v>0</v>
      </c>
      <c r="G984" s="33" t="s">
        <v>47</v>
      </c>
      <c r="H984" s="33" t="s">
        <v>7535</v>
      </c>
      <c r="I984" s="33" t="s">
        <v>46</v>
      </c>
      <c r="J984" s="33" t="s">
        <v>40</v>
      </c>
    </row>
    <row r="985" spans="1:12" s="33" customFormat="1" hidden="1" x14ac:dyDescent="0.3">
      <c r="A985" s="39">
        <v>46101.395648148151</v>
      </c>
      <c r="B985" s="33">
        <v>62991155122</v>
      </c>
      <c r="C985" s="33" t="s">
        <v>42</v>
      </c>
      <c r="D985" s="33">
        <v>4430265054</v>
      </c>
      <c r="E985" s="33">
        <v>846</v>
      </c>
      <c r="F985" s="33">
        <v>805</v>
      </c>
      <c r="G985" s="33" t="s">
        <v>38</v>
      </c>
      <c r="H985" s="33" t="s">
        <v>7536</v>
      </c>
      <c r="I985" s="33" t="s">
        <v>39</v>
      </c>
      <c r="J985" s="33" t="s">
        <v>40</v>
      </c>
      <c r="K985" s="33" t="s">
        <v>41</v>
      </c>
    </row>
    <row r="986" spans="1:12" s="33" customFormat="1" hidden="1" x14ac:dyDescent="0.3">
      <c r="A986" s="39">
        <v>46101.393252314818</v>
      </c>
      <c r="B986" s="33">
        <v>91985176746</v>
      </c>
      <c r="C986" s="33" t="s">
        <v>43</v>
      </c>
      <c r="D986" s="33">
        <v>4430265054</v>
      </c>
      <c r="E986" s="33">
        <v>611</v>
      </c>
      <c r="F986" s="33">
        <v>472</v>
      </c>
      <c r="G986" s="33" t="s">
        <v>38</v>
      </c>
      <c r="H986" s="33" t="s">
        <v>7537</v>
      </c>
      <c r="I986" s="33" t="s">
        <v>39</v>
      </c>
      <c r="J986" s="33" t="s">
        <v>40</v>
      </c>
      <c r="K986" s="33" t="s">
        <v>41</v>
      </c>
      <c r="L986" s="33">
        <v>5</v>
      </c>
    </row>
    <row r="987" spans="1:12" s="33" customFormat="1" hidden="1" x14ac:dyDescent="0.3">
      <c r="A987" s="39">
        <v>46101.392581018517</v>
      </c>
      <c r="B987" s="33" t="s">
        <v>45</v>
      </c>
      <c r="C987" s="33">
        <v>41999865917</v>
      </c>
      <c r="E987" s="33">
        <v>616</v>
      </c>
      <c r="F987" s="33">
        <v>614</v>
      </c>
      <c r="G987" s="33" t="s">
        <v>38</v>
      </c>
      <c r="H987" s="33" t="s">
        <v>7538</v>
      </c>
      <c r="I987" s="33" t="s">
        <v>46</v>
      </c>
      <c r="J987" s="33" t="s">
        <v>40</v>
      </c>
    </row>
    <row r="988" spans="1:12" s="33" customFormat="1" hidden="1" x14ac:dyDescent="0.3">
      <c r="A988" s="39">
        <v>46101.385300925926</v>
      </c>
      <c r="B988" s="33">
        <v>45999211357</v>
      </c>
      <c r="C988" s="33" t="s">
        <v>44</v>
      </c>
      <c r="D988" s="33">
        <v>4431268225</v>
      </c>
      <c r="E988" s="33">
        <v>499</v>
      </c>
      <c r="F988" s="33">
        <v>480</v>
      </c>
      <c r="G988" s="33" t="s">
        <v>38</v>
      </c>
      <c r="H988" s="33" t="s">
        <v>7539</v>
      </c>
      <c r="I988" s="33" t="s">
        <v>39</v>
      </c>
      <c r="J988" s="33" t="s">
        <v>40</v>
      </c>
      <c r="K988" s="33" t="s">
        <v>41</v>
      </c>
    </row>
    <row r="989" spans="1:12" s="33" customFormat="1" hidden="1" x14ac:dyDescent="0.3">
      <c r="A989" s="39">
        <v>46101.382685185185</v>
      </c>
      <c r="B989" s="33">
        <v>44984225332</v>
      </c>
      <c r="C989" s="33" t="s">
        <v>45</v>
      </c>
      <c r="D989" s="33">
        <v>4430265054</v>
      </c>
      <c r="E989" s="33">
        <v>819</v>
      </c>
      <c r="F989" s="33">
        <v>795</v>
      </c>
      <c r="G989" s="33" t="s">
        <v>38</v>
      </c>
      <c r="H989" s="33" t="s">
        <v>7540</v>
      </c>
      <c r="I989" s="33" t="s">
        <v>39</v>
      </c>
      <c r="J989" s="33" t="s">
        <v>40</v>
      </c>
      <c r="K989" s="33" t="s">
        <v>41</v>
      </c>
    </row>
    <row r="990" spans="1:12" s="33" customFormat="1" hidden="1" x14ac:dyDescent="0.3">
      <c r="A990" s="39">
        <v>46101.381238425929</v>
      </c>
      <c r="B990" s="33">
        <v>44984225332</v>
      </c>
      <c r="C990" s="33">
        <v>4430265054</v>
      </c>
      <c r="D990" s="33">
        <v>4430265054</v>
      </c>
      <c r="E990" s="33">
        <v>24</v>
      </c>
      <c r="F990" s="33">
        <v>23</v>
      </c>
      <c r="G990" s="33" t="s">
        <v>3449</v>
      </c>
      <c r="H990" s="33" t="s">
        <v>7541</v>
      </c>
      <c r="I990" s="33" t="s">
        <v>39</v>
      </c>
      <c r="J990" s="33" t="s">
        <v>3451</v>
      </c>
    </row>
    <row r="991" spans="1:12" s="33" customFormat="1" hidden="1" x14ac:dyDescent="0.3">
      <c r="A991" s="39">
        <v>46101.380856481483</v>
      </c>
      <c r="B991" s="33">
        <v>6434530674</v>
      </c>
      <c r="C991" s="33" t="s">
        <v>45</v>
      </c>
      <c r="D991" s="33">
        <v>4430265054</v>
      </c>
      <c r="E991" s="33">
        <v>119</v>
      </c>
      <c r="F991" s="33">
        <v>102</v>
      </c>
      <c r="G991" s="33" t="s">
        <v>38</v>
      </c>
      <c r="H991" s="33" t="s">
        <v>7542</v>
      </c>
      <c r="I991" s="33" t="s">
        <v>39</v>
      </c>
      <c r="J991" s="33" t="s">
        <v>40</v>
      </c>
      <c r="K991" s="33" t="s">
        <v>41</v>
      </c>
    </row>
    <row r="992" spans="1:12" s="33" customFormat="1" hidden="1" x14ac:dyDescent="0.3">
      <c r="A992" s="39">
        <v>46101.380127314813</v>
      </c>
      <c r="B992" s="33" t="s">
        <v>45</v>
      </c>
      <c r="C992" s="33">
        <v>4433050408</v>
      </c>
      <c r="E992" s="33">
        <v>2</v>
      </c>
      <c r="F992" s="33">
        <v>0</v>
      </c>
      <c r="G992" s="33" t="s">
        <v>47</v>
      </c>
      <c r="H992" s="33" t="s">
        <v>7543</v>
      </c>
      <c r="I992" s="33" t="s">
        <v>46</v>
      </c>
      <c r="J992" s="33" t="s">
        <v>40</v>
      </c>
    </row>
    <row r="993" spans="1:12" s="33" customFormat="1" hidden="1" x14ac:dyDescent="0.3">
      <c r="A993" s="39">
        <v>46101.378981481481</v>
      </c>
      <c r="B993" s="33">
        <v>45999211357</v>
      </c>
      <c r="C993" s="33">
        <v>4431268225</v>
      </c>
      <c r="D993" s="33">
        <v>4431268225</v>
      </c>
      <c r="E993" s="33">
        <v>106</v>
      </c>
      <c r="F993" s="33">
        <v>105</v>
      </c>
      <c r="G993" s="33" t="s">
        <v>3449</v>
      </c>
      <c r="H993" s="33" t="s">
        <v>7544</v>
      </c>
      <c r="I993" s="33" t="s">
        <v>39</v>
      </c>
      <c r="J993" s="33" t="s">
        <v>3451</v>
      </c>
      <c r="K993" s="33" t="s">
        <v>41</v>
      </c>
    </row>
    <row r="994" spans="1:12" s="33" customFormat="1" hidden="1" x14ac:dyDescent="0.3">
      <c r="A994" s="39">
        <v>46101.378148148149</v>
      </c>
      <c r="B994" s="33" t="s">
        <v>45</v>
      </c>
      <c r="C994" s="33">
        <v>44984225332</v>
      </c>
      <c r="E994" s="33">
        <v>44</v>
      </c>
      <c r="F994" s="33">
        <v>30</v>
      </c>
      <c r="G994" s="33" t="s">
        <v>38</v>
      </c>
      <c r="H994" s="33" t="s">
        <v>7545</v>
      </c>
      <c r="I994" s="33" t="s">
        <v>46</v>
      </c>
      <c r="J994" s="33" t="s">
        <v>40</v>
      </c>
    </row>
    <row r="995" spans="1:12" s="33" customFormat="1" hidden="1" x14ac:dyDescent="0.3">
      <c r="A995" s="39">
        <v>46101.378067129626</v>
      </c>
      <c r="B995" s="33" t="s">
        <v>45</v>
      </c>
      <c r="C995" s="33">
        <v>44984225332</v>
      </c>
      <c r="E995" s="33">
        <v>5</v>
      </c>
      <c r="F995" s="33">
        <v>0</v>
      </c>
      <c r="G995" s="33" t="s">
        <v>47</v>
      </c>
      <c r="H995" s="33" t="s">
        <v>7546</v>
      </c>
      <c r="I995" s="33" t="s">
        <v>46</v>
      </c>
      <c r="J995" s="33" t="s">
        <v>40</v>
      </c>
    </row>
    <row r="996" spans="1:12" s="33" customFormat="1" hidden="1" x14ac:dyDescent="0.3">
      <c r="A996" s="39">
        <v>46101.378009259257</v>
      </c>
      <c r="B996" s="33" t="s">
        <v>45</v>
      </c>
      <c r="C996" s="33">
        <v>44984225332</v>
      </c>
      <c r="E996" s="33">
        <v>2</v>
      </c>
      <c r="F996" s="33">
        <v>0</v>
      </c>
      <c r="G996" s="33" t="s">
        <v>47</v>
      </c>
      <c r="H996" s="33" t="s">
        <v>7547</v>
      </c>
      <c r="I996" s="33" t="s">
        <v>46</v>
      </c>
      <c r="J996" s="33" t="s">
        <v>40</v>
      </c>
    </row>
    <row r="997" spans="1:12" s="33" customFormat="1" hidden="1" x14ac:dyDescent="0.3">
      <c r="A997" s="39">
        <v>46101.377557870372</v>
      </c>
      <c r="B997" s="33" t="s">
        <v>45</v>
      </c>
      <c r="C997" s="33">
        <v>44984225332</v>
      </c>
      <c r="E997" s="33">
        <v>4</v>
      </c>
      <c r="F997" s="33">
        <v>0</v>
      </c>
      <c r="G997" s="33" t="s">
        <v>47</v>
      </c>
      <c r="H997" s="33" t="s">
        <v>7548</v>
      </c>
      <c r="I997" s="33" t="s">
        <v>46</v>
      </c>
      <c r="J997" s="33" t="s">
        <v>40</v>
      </c>
    </row>
    <row r="998" spans="1:12" s="33" customFormat="1" hidden="1" x14ac:dyDescent="0.3">
      <c r="A998" s="39">
        <v>46101.377326388887</v>
      </c>
      <c r="B998" s="33">
        <v>43988030048</v>
      </c>
      <c r="C998" s="33" t="s">
        <v>43</v>
      </c>
      <c r="D998" s="33">
        <v>4430265054</v>
      </c>
      <c r="E998" s="33">
        <v>1266</v>
      </c>
      <c r="F998" s="33">
        <v>1221</v>
      </c>
      <c r="G998" s="33" t="s">
        <v>38</v>
      </c>
      <c r="H998" s="33" t="s">
        <v>7549</v>
      </c>
      <c r="I998" s="33" t="s">
        <v>39</v>
      </c>
      <c r="J998" s="33" t="s">
        <v>40</v>
      </c>
      <c r="K998" s="33" t="s">
        <v>41</v>
      </c>
    </row>
    <row r="999" spans="1:12" s="33" customFormat="1" hidden="1" x14ac:dyDescent="0.3">
      <c r="A999" s="39">
        <v>46101.374374999999</v>
      </c>
      <c r="B999" s="33">
        <v>44984225332</v>
      </c>
      <c r="C999" s="33" t="s">
        <v>45</v>
      </c>
      <c r="D999" s="33">
        <v>4430265054</v>
      </c>
      <c r="E999" s="33">
        <v>270</v>
      </c>
      <c r="F999" s="33">
        <v>182</v>
      </c>
      <c r="G999" s="33" t="s">
        <v>38</v>
      </c>
      <c r="H999" s="33" t="s">
        <v>7550</v>
      </c>
      <c r="I999" s="33" t="s">
        <v>39</v>
      </c>
      <c r="J999" s="33" t="s">
        <v>40</v>
      </c>
      <c r="K999" s="33" t="s">
        <v>41</v>
      </c>
    </row>
    <row r="1000" spans="1:12" s="33" customFormat="1" hidden="1" x14ac:dyDescent="0.3">
      <c r="A1000" s="39">
        <v>46101.370023148149</v>
      </c>
      <c r="B1000" s="33">
        <v>4430414545</v>
      </c>
      <c r="C1000" s="33" t="s">
        <v>37</v>
      </c>
      <c r="D1000" s="33">
        <v>4430265054</v>
      </c>
      <c r="E1000" s="33">
        <v>1523</v>
      </c>
      <c r="F1000" s="33">
        <v>1485</v>
      </c>
      <c r="G1000" s="33" t="s">
        <v>38</v>
      </c>
      <c r="H1000" s="33" t="s">
        <v>7551</v>
      </c>
      <c r="I1000" s="33" t="s">
        <v>39</v>
      </c>
      <c r="J1000" s="33" t="s">
        <v>40</v>
      </c>
      <c r="K1000" s="33" t="s">
        <v>41</v>
      </c>
    </row>
    <row r="1001" spans="1:12" s="33" customFormat="1" hidden="1" x14ac:dyDescent="0.3">
      <c r="A1001" s="39">
        <v>46101.369340277779</v>
      </c>
      <c r="B1001" s="33">
        <v>4430291622</v>
      </c>
      <c r="C1001" s="33">
        <v>4430265054</v>
      </c>
      <c r="D1001" s="33">
        <v>4430265054</v>
      </c>
      <c r="E1001" s="33">
        <v>47</v>
      </c>
      <c r="F1001" s="33">
        <v>47</v>
      </c>
      <c r="G1001" s="33" t="s">
        <v>3449</v>
      </c>
      <c r="H1001" s="33" t="s">
        <v>7552</v>
      </c>
      <c r="I1001" s="33" t="s">
        <v>39</v>
      </c>
      <c r="J1001" s="33" t="s">
        <v>3451</v>
      </c>
      <c r="K1001" s="33" t="s">
        <v>41</v>
      </c>
    </row>
    <row r="1002" spans="1:12" s="33" customFormat="1" hidden="1" x14ac:dyDescent="0.3">
      <c r="A1002" s="39">
        <v>46101.366342592592</v>
      </c>
      <c r="B1002" s="33">
        <v>4430414545</v>
      </c>
      <c r="C1002" s="33">
        <v>4430265054</v>
      </c>
      <c r="D1002" s="33">
        <v>4430265054</v>
      </c>
      <c r="E1002" s="33">
        <v>141</v>
      </c>
      <c r="F1002" s="33">
        <v>141</v>
      </c>
      <c r="G1002" s="33" t="s">
        <v>3449</v>
      </c>
      <c r="H1002" s="33" t="s">
        <v>7553</v>
      </c>
      <c r="I1002" s="33" t="s">
        <v>39</v>
      </c>
      <c r="J1002" s="33" t="s">
        <v>3451</v>
      </c>
      <c r="K1002" s="33" t="s">
        <v>41</v>
      </c>
    </row>
    <row r="1003" spans="1:12" s="33" customFormat="1" hidden="1" x14ac:dyDescent="0.3">
      <c r="A1003" s="39">
        <v>46101.365671296298</v>
      </c>
      <c r="B1003" s="33">
        <v>44937562600</v>
      </c>
      <c r="C1003" s="33" t="s">
        <v>43</v>
      </c>
      <c r="D1003" s="33">
        <v>4430265054</v>
      </c>
      <c r="E1003" s="33">
        <v>256</v>
      </c>
      <c r="F1003" s="33">
        <v>229</v>
      </c>
      <c r="G1003" s="33" t="s">
        <v>38</v>
      </c>
      <c r="H1003" s="33" t="s">
        <v>7554</v>
      </c>
      <c r="I1003" s="33" t="s">
        <v>39</v>
      </c>
      <c r="J1003" s="33" t="s">
        <v>40</v>
      </c>
      <c r="K1003" s="33" t="s">
        <v>41</v>
      </c>
    </row>
    <row r="1004" spans="1:12" s="33" customFormat="1" hidden="1" x14ac:dyDescent="0.3">
      <c r="A1004" s="39">
        <v>46101.36451388889</v>
      </c>
      <c r="B1004" s="33">
        <v>4430288517</v>
      </c>
      <c r="C1004" s="33" t="s">
        <v>44</v>
      </c>
      <c r="D1004" s="33">
        <v>4430265054</v>
      </c>
      <c r="E1004" s="33">
        <v>776</v>
      </c>
      <c r="F1004" s="33">
        <v>652</v>
      </c>
      <c r="G1004" s="33" t="s">
        <v>38</v>
      </c>
      <c r="H1004" s="33" t="s">
        <v>7555</v>
      </c>
      <c r="I1004" s="33" t="s">
        <v>39</v>
      </c>
      <c r="J1004" s="33" t="s">
        <v>40</v>
      </c>
      <c r="K1004" s="33" t="s">
        <v>41</v>
      </c>
    </row>
    <row r="1005" spans="1:12" s="33" customFormat="1" hidden="1" x14ac:dyDescent="0.3">
      <c r="A1005" s="39">
        <v>46101.363923611112</v>
      </c>
      <c r="B1005" s="33">
        <v>73982188717</v>
      </c>
      <c r="C1005" s="33" t="s">
        <v>45</v>
      </c>
      <c r="D1005" s="33">
        <v>4430265054</v>
      </c>
      <c r="E1005" s="33">
        <v>925</v>
      </c>
      <c r="F1005" s="33">
        <v>897</v>
      </c>
      <c r="G1005" s="33" t="s">
        <v>38</v>
      </c>
      <c r="H1005" s="33" t="s">
        <v>7556</v>
      </c>
      <c r="I1005" s="33" t="s">
        <v>39</v>
      </c>
      <c r="J1005" s="33" t="s">
        <v>40</v>
      </c>
      <c r="K1005" s="33" t="s">
        <v>41</v>
      </c>
    </row>
    <row r="1006" spans="1:12" s="33" customFormat="1" hidden="1" x14ac:dyDescent="0.3">
      <c r="A1006" s="39">
        <v>46101.360833333332</v>
      </c>
      <c r="B1006" s="33" t="s">
        <v>37</v>
      </c>
      <c r="C1006" s="33">
        <v>3432424736</v>
      </c>
      <c r="E1006" s="33">
        <v>434</v>
      </c>
      <c r="F1006" s="33">
        <v>433</v>
      </c>
      <c r="G1006" s="33" t="s">
        <v>38</v>
      </c>
      <c r="H1006" s="33" t="s">
        <v>7557</v>
      </c>
      <c r="I1006" s="33" t="s">
        <v>46</v>
      </c>
      <c r="J1006" s="33" t="s">
        <v>40</v>
      </c>
      <c r="L1006" s="33">
        <v>5</v>
      </c>
    </row>
    <row r="1007" spans="1:12" s="33" customFormat="1" hidden="1" x14ac:dyDescent="0.3">
      <c r="A1007" s="39">
        <v>46101.355439814812</v>
      </c>
      <c r="B1007" s="33">
        <v>43984040334</v>
      </c>
      <c r="C1007" s="33" t="s">
        <v>45</v>
      </c>
      <c r="D1007" s="33">
        <v>4430265054</v>
      </c>
      <c r="E1007" s="33">
        <v>486</v>
      </c>
      <c r="F1007" s="33">
        <v>412</v>
      </c>
      <c r="G1007" s="33" t="s">
        <v>38</v>
      </c>
      <c r="H1007" s="33" t="s">
        <v>7558</v>
      </c>
      <c r="I1007" s="33" t="s">
        <v>39</v>
      </c>
      <c r="J1007" s="33" t="s">
        <v>40</v>
      </c>
      <c r="K1007" s="33" t="s">
        <v>41</v>
      </c>
      <c r="L1007" s="33">
        <v>5</v>
      </c>
    </row>
    <row r="1008" spans="1:12" s="33" customFormat="1" hidden="1" x14ac:dyDescent="0.3">
      <c r="A1008" s="39">
        <v>46101.350601851853</v>
      </c>
      <c r="B1008" s="33">
        <v>43984040334</v>
      </c>
      <c r="C1008" s="33">
        <v>4430265054</v>
      </c>
      <c r="D1008" s="33">
        <v>4430265054</v>
      </c>
      <c r="E1008" s="33">
        <v>9</v>
      </c>
      <c r="F1008" s="33">
        <v>9</v>
      </c>
      <c r="G1008" s="33" t="s">
        <v>3449</v>
      </c>
      <c r="H1008" s="33" t="s">
        <v>7559</v>
      </c>
      <c r="I1008" s="33" t="s">
        <v>39</v>
      </c>
      <c r="J1008" s="33" t="s">
        <v>3451</v>
      </c>
    </row>
    <row r="1009" spans="1:10" s="33" customFormat="1" hidden="1" x14ac:dyDescent="0.3">
      <c r="A1009" s="39">
        <v>46101.348530092589</v>
      </c>
      <c r="B1009" s="33">
        <v>4430318515</v>
      </c>
      <c r="C1009" s="33">
        <v>4430265054</v>
      </c>
      <c r="D1009" s="33">
        <v>4430265054</v>
      </c>
      <c r="E1009" s="33">
        <v>13</v>
      </c>
      <c r="F1009" s="33">
        <v>12</v>
      </c>
      <c r="G1009" s="33" t="s">
        <v>3449</v>
      </c>
      <c r="H1009" s="33" t="s">
        <v>7560</v>
      </c>
      <c r="I1009" s="33" t="s">
        <v>39</v>
      </c>
      <c r="J1009" s="33" t="s">
        <v>3451</v>
      </c>
    </row>
    <row r="1010" spans="1:10" s="33" customFormat="1" hidden="1" x14ac:dyDescent="0.3">
      <c r="A1010" s="39">
        <v>46101.347986111112</v>
      </c>
      <c r="B1010" s="33">
        <v>4430318514</v>
      </c>
      <c r="C1010" s="33">
        <v>4430265054</v>
      </c>
      <c r="D1010" s="33">
        <v>4430265054</v>
      </c>
      <c r="E1010" s="33">
        <v>29</v>
      </c>
      <c r="F1010" s="33">
        <v>28</v>
      </c>
      <c r="G1010" s="33" t="s">
        <v>3449</v>
      </c>
      <c r="H1010" s="33" t="s">
        <v>7561</v>
      </c>
      <c r="I1010" s="33" t="s">
        <v>39</v>
      </c>
      <c r="J1010" s="33" t="s">
        <v>3451</v>
      </c>
    </row>
    <row r="1011" spans="1:10" s="33" customFormat="1" hidden="1" x14ac:dyDescent="0.3">
      <c r="A1011" s="39">
        <v>46101.337939814817</v>
      </c>
      <c r="B1011" s="33" t="s">
        <v>48</v>
      </c>
      <c r="C1011" s="33">
        <v>4436296238</v>
      </c>
      <c r="E1011" s="33">
        <v>585</v>
      </c>
      <c r="F1011" s="33">
        <v>570</v>
      </c>
      <c r="G1011" s="33" t="s">
        <v>38</v>
      </c>
      <c r="H1011" s="33" t="s">
        <v>7562</v>
      </c>
      <c r="I1011" s="33" t="s">
        <v>46</v>
      </c>
      <c r="J1011" s="33" t="s">
        <v>40</v>
      </c>
    </row>
    <row r="1012" spans="1:10" s="33" customFormat="1" hidden="1" x14ac:dyDescent="0.3">
      <c r="A1012" s="39">
        <v>46101.337465277778</v>
      </c>
      <c r="B1012" s="33" t="s">
        <v>48</v>
      </c>
      <c r="C1012" s="33">
        <v>4436311970</v>
      </c>
      <c r="E1012" s="33">
        <v>39</v>
      </c>
      <c r="F1012" s="33">
        <v>31</v>
      </c>
      <c r="G1012" s="33" t="s">
        <v>38</v>
      </c>
      <c r="H1012" s="33" t="s">
        <v>7563</v>
      </c>
      <c r="I1012" s="33" t="s">
        <v>46</v>
      </c>
      <c r="J1012" s="33" t="s">
        <v>40</v>
      </c>
    </row>
    <row r="1013" spans="1:10" s="33" customFormat="1" hidden="1" x14ac:dyDescent="0.3">
      <c r="A1013" s="39">
        <v>46100.740844907406</v>
      </c>
      <c r="B1013" s="33" t="s">
        <v>42</v>
      </c>
      <c r="C1013" s="33">
        <v>6434533677</v>
      </c>
      <c r="E1013" s="33">
        <v>78</v>
      </c>
      <c r="F1013" s="33">
        <v>71</v>
      </c>
      <c r="G1013" s="33" t="s">
        <v>38</v>
      </c>
      <c r="H1013" s="33" t="s">
        <v>7564</v>
      </c>
      <c r="I1013" s="33" t="s">
        <v>46</v>
      </c>
      <c r="J1013" s="33" t="s">
        <v>40</v>
      </c>
    </row>
    <row r="1014" spans="1:10" s="33" customFormat="1" hidden="1" x14ac:dyDescent="0.3">
      <c r="A1014" s="39">
        <v>46100.729803240742</v>
      </c>
      <c r="B1014" s="33" t="s">
        <v>42</v>
      </c>
      <c r="C1014" s="33">
        <v>4430153305</v>
      </c>
      <c r="E1014" s="33">
        <v>572</v>
      </c>
      <c r="F1014" s="33">
        <v>562</v>
      </c>
      <c r="G1014" s="33" t="s">
        <v>38</v>
      </c>
      <c r="H1014" s="33" t="s">
        <v>7565</v>
      </c>
      <c r="I1014" s="33" t="s">
        <v>46</v>
      </c>
      <c r="J1014" s="33" t="s">
        <v>40</v>
      </c>
    </row>
    <row r="1015" spans="1:10" s="33" customFormat="1" hidden="1" x14ac:dyDescent="0.3">
      <c r="A1015" s="39">
        <v>46100.72960648148</v>
      </c>
      <c r="B1015" s="33" t="s">
        <v>42</v>
      </c>
      <c r="C1015" s="33">
        <v>4430153305</v>
      </c>
      <c r="E1015" s="33">
        <v>12</v>
      </c>
      <c r="F1015" s="33">
        <v>1</v>
      </c>
      <c r="G1015" s="33" t="s">
        <v>38</v>
      </c>
      <c r="H1015" s="33" t="s">
        <v>7566</v>
      </c>
      <c r="I1015" s="33" t="s">
        <v>46</v>
      </c>
      <c r="J1015" s="33" t="s">
        <v>40</v>
      </c>
    </row>
    <row r="1016" spans="1:10" s="33" customFormat="1" hidden="1" x14ac:dyDescent="0.3">
      <c r="A1016" s="39">
        <v>46100.729513888888</v>
      </c>
      <c r="B1016" s="33" t="s">
        <v>42</v>
      </c>
      <c r="C1016" s="33">
        <v>4430153305</v>
      </c>
      <c r="E1016" s="33">
        <v>3</v>
      </c>
      <c r="F1016" s="33">
        <v>0</v>
      </c>
      <c r="G1016" s="33" t="s">
        <v>47</v>
      </c>
      <c r="H1016" s="33" t="s">
        <v>7567</v>
      </c>
      <c r="I1016" s="33" t="s">
        <v>46</v>
      </c>
      <c r="J1016" s="33" t="s">
        <v>40</v>
      </c>
    </row>
    <row r="1017" spans="1:10" s="33" customFormat="1" hidden="1" x14ac:dyDescent="0.3">
      <c r="A1017" s="39">
        <v>46100.728356481479</v>
      </c>
      <c r="B1017" s="33" t="s">
        <v>3627</v>
      </c>
      <c r="C1017" s="33">
        <v>19995809815</v>
      </c>
      <c r="E1017" s="33">
        <v>7</v>
      </c>
      <c r="F1017" s="33">
        <v>0</v>
      </c>
      <c r="G1017" s="33" t="s">
        <v>47</v>
      </c>
      <c r="H1017" s="33" t="s">
        <v>7568</v>
      </c>
      <c r="I1017" s="33" t="s">
        <v>46</v>
      </c>
      <c r="J1017" s="33" t="s">
        <v>3629</v>
      </c>
    </row>
    <row r="1018" spans="1:10" s="33" customFormat="1" hidden="1" x14ac:dyDescent="0.3">
      <c r="A1018" s="39">
        <v>46100.724097222221</v>
      </c>
      <c r="B1018" s="33" t="s">
        <v>3627</v>
      </c>
      <c r="C1018" s="33">
        <v>88997085592</v>
      </c>
      <c r="E1018" s="33">
        <v>13</v>
      </c>
      <c r="F1018" s="33">
        <v>1</v>
      </c>
      <c r="G1018" s="33" t="s">
        <v>38</v>
      </c>
      <c r="H1018" s="33" t="s">
        <v>7569</v>
      </c>
      <c r="I1018" s="33" t="s">
        <v>46</v>
      </c>
      <c r="J1018" s="33" t="s">
        <v>3629</v>
      </c>
    </row>
    <row r="1019" spans="1:10" s="33" customFormat="1" hidden="1" x14ac:dyDescent="0.3">
      <c r="A1019" s="39">
        <v>46100.722268518519</v>
      </c>
      <c r="B1019" s="33" t="s">
        <v>3627</v>
      </c>
      <c r="C1019" s="33">
        <v>2130125200</v>
      </c>
      <c r="E1019" s="33">
        <v>7</v>
      </c>
      <c r="F1019" s="33">
        <v>0</v>
      </c>
      <c r="G1019" s="33" t="s">
        <v>47</v>
      </c>
      <c r="H1019" s="33" t="s">
        <v>7570</v>
      </c>
      <c r="I1019" s="33" t="s">
        <v>46</v>
      </c>
      <c r="J1019" s="33" t="s">
        <v>3629</v>
      </c>
    </row>
    <row r="1020" spans="1:10" s="33" customFormat="1" hidden="1" x14ac:dyDescent="0.3">
      <c r="A1020" s="39">
        <v>46100.721701388888</v>
      </c>
      <c r="B1020" s="33" t="s">
        <v>3627</v>
      </c>
      <c r="C1020" s="33">
        <v>41985116224</v>
      </c>
      <c r="E1020" s="33">
        <v>5</v>
      </c>
      <c r="F1020" s="33">
        <v>0</v>
      </c>
      <c r="G1020" s="33" t="s">
        <v>47</v>
      </c>
      <c r="H1020" s="33" t="s">
        <v>7571</v>
      </c>
      <c r="I1020" s="33" t="s">
        <v>46</v>
      </c>
      <c r="J1020" s="33" t="s">
        <v>3629</v>
      </c>
    </row>
    <row r="1021" spans="1:10" s="33" customFormat="1" hidden="1" x14ac:dyDescent="0.3">
      <c r="A1021" s="39">
        <v>46100.721134259256</v>
      </c>
      <c r="B1021" s="33" t="s">
        <v>45</v>
      </c>
      <c r="C1021" s="33">
        <v>4436372125</v>
      </c>
      <c r="E1021" s="33">
        <v>56</v>
      </c>
      <c r="F1021" s="33">
        <v>40</v>
      </c>
      <c r="G1021" s="33" t="s">
        <v>38</v>
      </c>
      <c r="H1021" s="33" t="s">
        <v>7572</v>
      </c>
      <c r="I1021" s="33" t="s">
        <v>46</v>
      </c>
      <c r="J1021" s="33" t="s">
        <v>40</v>
      </c>
    </row>
    <row r="1022" spans="1:10" s="33" customFormat="1" hidden="1" x14ac:dyDescent="0.3">
      <c r="A1022" s="39">
        <v>46100.719675925924</v>
      </c>
      <c r="B1022" s="33" t="s">
        <v>3627</v>
      </c>
      <c r="C1022" s="33">
        <v>8131269078</v>
      </c>
      <c r="E1022" s="33">
        <v>75</v>
      </c>
      <c r="F1022" s="33">
        <v>67</v>
      </c>
      <c r="G1022" s="33" t="s">
        <v>38</v>
      </c>
      <c r="H1022" s="33" t="s">
        <v>7573</v>
      </c>
      <c r="I1022" s="33" t="s">
        <v>46</v>
      </c>
      <c r="J1022" s="33" t="s">
        <v>3629</v>
      </c>
    </row>
    <row r="1023" spans="1:10" s="33" customFormat="1" hidden="1" x14ac:dyDescent="0.3">
      <c r="A1023" s="39">
        <v>46100.714548611111</v>
      </c>
      <c r="B1023" s="33" t="s">
        <v>3627</v>
      </c>
      <c r="C1023" s="33">
        <v>27997115606</v>
      </c>
      <c r="E1023" s="33">
        <v>23</v>
      </c>
      <c r="F1023" s="33">
        <v>15</v>
      </c>
      <c r="G1023" s="33" t="s">
        <v>38</v>
      </c>
      <c r="H1023" s="33" t="s">
        <v>7574</v>
      </c>
      <c r="I1023" s="33" t="s">
        <v>46</v>
      </c>
      <c r="J1023" s="33" t="s">
        <v>3629</v>
      </c>
    </row>
    <row r="1024" spans="1:10" s="33" customFormat="1" hidden="1" x14ac:dyDescent="0.3">
      <c r="A1024" s="39">
        <v>46100.713842592595</v>
      </c>
      <c r="B1024" s="33" t="s">
        <v>3627</v>
      </c>
      <c r="C1024" s="33">
        <v>2127963311</v>
      </c>
      <c r="E1024" s="33">
        <v>24</v>
      </c>
      <c r="F1024" s="33">
        <v>0</v>
      </c>
      <c r="G1024" s="33" t="s">
        <v>47</v>
      </c>
      <c r="H1024" s="33" t="s">
        <v>7575</v>
      </c>
      <c r="I1024" s="33" t="s">
        <v>46</v>
      </c>
      <c r="J1024" s="33" t="s">
        <v>3629</v>
      </c>
    </row>
    <row r="1025" spans="1:11" s="33" customFormat="1" hidden="1" x14ac:dyDescent="0.3">
      <c r="A1025" s="39">
        <v>46100.711909722224</v>
      </c>
      <c r="B1025" s="33" t="s">
        <v>3627</v>
      </c>
      <c r="C1025" s="33">
        <v>11973857568</v>
      </c>
      <c r="E1025" s="33">
        <v>5</v>
      </c>
      <c r="F1025" s="33">
        <v>0</v>
      </c>
      <c r="G1025" s="33" t="s">
        <v>47</v>
      </c>
      <c r="H1025" s="33" t="s">
        <v>7576</v>
      </c>
      <c r="I1025" s="33" t="s">
        <v>46</v>
      </c>
      <c r="J1025" s="33" t="s">
        <v>3629</v>
      </c>
    </row>
    <row r="1026" spans="1:11" s="33" customFormat="1" hidden="1" x14ac:dyDescent="0.3">
      <c r="A1026" s="39">
        <v>46100.711053240739</v>
      </c>
      <c r="B1026" s="33">
        <v>4334232912</v>
      </c>
      <c r="C1026" s="33" t="s">
        <v>44</v>
      </c>
      <c r="D1026" s="33">
        <v>4430265054</v>
      </c>
      <c r="E1026" s="33">
        <v>468</v>
      </c>
      <c r="F1026" s="33">
        <v>417</v>
      </c>
      <c r="G1026" s="33" t="s">
        <v>38</v>
      </c>
      <c r="H1026" s="33" t="s">
        <v>7577</v>
      </c>
      <c r="I1026" s="33" t="s">
        <v>39</v>
      </c>
      <c r="J1026" s="33" t="s">
        <v>40</v>
      </c>
      <c r="K1026" s="33" t="s">
        <v>41</v>
      </c>
    </row>
    <row r="1027" spans="1:11" s="33" customFormat="1" hidden="1" x14ac:dyDescent="0.3">
      <c r="A1027" s="39">
        <v>46100.710324074076</v>
      </c>
      <c r="B1027" s="33" t="s">
        <v>3627</v>
      </c>
      <c r="C1027" s="33">
        <v>15998341182</v>
      </c>
      <c r="E1027" s="33">
        <v>19</v>
      </c>
      <c r="F1027" s="33">
        <v>3</v>
      </c>
      <c r="G1027" s="33" t="s">
        <v>38</v>
      </c>
      <c r="H1027" s="33" t="s">
        <v>7578</v>
      </c>
      <c r="I1027" s="33" t="s">
        <v>46</v>
      </c>
      <c r="J1027" s="33" t="s">
        <v>3629</v>
      </c>
    </row>
    <row r="1028" spans="1:11" s="33" customFormat="1" hidden="1" x14ac:dyDescent="0.3">
      <c r="A1028" s="39">
        <v>46100.709467592591</v>
      </c>
      <c r="B1028" s="33" t="s">
        <v>3627</v>
      </c>
      <c r="C1028" s="33">
        <v>43988367015</v>
      </c>
      <c r="E1028" s="33">
        <v>43</v>
      </c>
      <c r="F1028" s="33">
        <v>4</v>
      </c>
      <c r="G1028" s="33" t="s">
        <v>38</v>
      </c>
      <c r="H1028" s="33" t="s">
        <v>7579</v>
      </c>
      <c r="I1028" s="33" t="s">
        <v>46</v>
      </c>
      <c r="J1028" s="33" t="s">
        <v>3629</v>
      </c>
    </row>
    <row r="1029" spans="1:11" s="33" customFormat="1" hidden="1" x14ac:dyDescent="0.3">
      <c r="A1029" s="39">
        <v>46100.706076388888</v>
      </c>
      <c r="B1029" s="33">
        <v>4430459001</v>
      </c>
      <c r="C1029" s="33" t="s">
        <v>37</v>
      </c>
      <c r="D1029" s="33">
        <v>4430265054</v>
      </c>
      <c r="E1029" s="33">
        <v>815</v>
      </c>
      <c r="F1029" s="33">
        <v>682</v>
      </c>
      <c r="G1029" s="33" t="s">
        <v>38</v>
      </c>
      <c r="H1029" s="33" t="s">
        <v>7580</v>
      </c>
      <c r="I1029" s="33" t="s">
        <v>39</v>
      </c>
      <c r="J1029" s="33" t="s">
        <v>40</v>
      </c>
      <c r="K1029" s="33" t="s">
        <v>41</v>
      </c>
    </row>
    <row r="1030" spans="1:11" s="33" customFormat="1" hidden="1" x14ac:dyDescent="0.3">
      <c r="A1030" s="39">
        <v>46100.705231481479</v>
      </c>
      <c r="B1030" s="33">
        <v>44991354005</v>
      </c>
      <c r="C1030" s="33" t="s">
        <v>44</v>
      </c>
      <c r="D1030" s="33">
        <v>4430265054</v>
      </c>
      <c r="E1030" s="33">
        <v>445</v>
      </c>
      <c r="F1030" s="33">
        <v>323</v>
      </c>
      <c r="G1030" s="33" t="s">
        <v>38</v>
      </c>
      <c r="H1030" s="33" t="s">
        <v>7581</v>
      </c>
      <c r="I1030" s="33" t="s">
        <v>39</v>
      </c>
      <c r="J1030" s="33" t="s">
        <v>40</v>
      </c>
      <c r="K1030" s="33" t="s">
        <v>41</v>
      </c>
    </row>
    <row r="1031" spans="1:11" s="33" customFormat="1" hidden="1" x14ac:dyDescent="0.3">
      <c r="A1031" s="39">
        <v>46100.700196759259</v>
      </c>
      <c r="B1031" s="33">
        <v>44999387742</v>
      </c>
      <c r="C1031" s="33">
        <v>4430265054</v>
      </c>
      <c r="D1031" s="33">
        <v>4430265054</v>
      </c>
      <c r="E1031" s="33">
        <v>27</v>
      </c>
      <c r="F1031" s="33">
        <v>27</v>
      </c>
      <c r="G1031" s="33" t="s">
        <v>3449</v>
      </c>
      <c r="H1031" s="33" t="s">
        <v>7582</v>
      </c>
      <c r="I1031" s="33" t="s">
        <v>39</v>
      </c>
      <c r="J1031" s="33" t="s">
        <v>3451</v>
      </c>
      <c r="K1031" s="33" t="s">
        <v>41</v>
      </c>
    </row>
    <row r="1032" spans="1:11" s="33" customFormat="1" hidden="1" x14ac:dyDescent="0.3">
      <c r="A1032" s="39">
        <v>46100.69939814815</v>
      </c>
      <c r="B1032" s="33">
        <v>6434538540</v>
      </c>
      <c r="C1032" s="33" t="s">
        <v>42</v>
      </c>
      <c r="D1032" s="33">
        <v>4430265054</v>
      </c>
      <c r="E1032" s="33">
        <v>1651</v>
      </c>
      <c r="F1032" s="33">
        <v>1603</v>
      </c>
      <c r="G1032" s="33" t="s">
        <v>38</v>
      </c>
      <c r="H1032" s="33" t="s">
        <v>7583</v>
      </c>
      <c r="I1032" s="33" t="s">
        <v>39</v>
      </c>
      <c r="J1032" s="33" t="s">
        <v>40</v>
      </c>
      <c r="K1032" s="33" t="s">
        <v>41</v>
      </c>
    </row>
    <row r="1033" spans="1:11" s="33" customFormat="1" hidden="1" x14ac:dyDescent="0.3">
      <c r="A1033" s="39">
        <v>46100.69803240741</v>
      </c>
      <c r="B1033" s="33" t="s">
        <v>48</v>
      </c>
      <c r="C1033" s="33">
        <v>42984012429</v>
      </c>
      <c r="E1033" s="33">
        <v>51</v>
      </c>
      <c r="F1033" s="33">
        <v>25</v>
      </c>
      <c r="G1033" s="33" t="s">
        <v>38</v>
      </c>
      <c r="H1033" s="33" t="s">
        <v>7584</v>
      </c>
      <c r="I1033" s="33" t="s">
        <v>46</v>
      </c>
      <c r="J1033" s="33" t="s">
        <v>40</v>
      </c>
    </row>
    <row r="1034" spans="1:11" s="33" customFormat="1" hidden="1" x14ac:dyDescent="0.3">
      <c r="A1034" s="39">
        <v>46100.697893518518</v>
      </c>
      <c r="B1034" s="33" t="s">
        <v>3627</v>
      </c>
      <c r="C1034" s="33">
        <v>67992607047</v>
      </c>
      <c r="E1034" s="33">
        <v>16</v>
      </c>
      <c r="F1034" s="33">
        <v>0</v>
      </c>
      <c r="G1034" s="33" t="s">
        <v>47</v>
      </c>
      <c r="H1034" s="33" t="s">
        <v>7585</v>
      </c>
      <c r="I1034" s="33" t="s">
        <v>46</v>
      </c>
      <c r="J1034" s="33" t="s">
        <v>3629</v>
      </c>
    </row>
    <row r="1035" spans="1:11" s="33" customFormat="1" hidden="1" x14ac:dyDescent="0.3">
      <c r="A1035" s="39">
        <v>46100.697245370371</v>
      </c>
      <c r="B1035" s="33" t="s">
        <v>3627</v>
      </c>
      <c r="C1035" s="33">
        <v>11940143345</v>
      </c>
      <c r="E1035" s="33">
        <v>9</v>
      </c>
      <c r="F1035" s="33">
        <v>2</v>
      </c>
      <c r="G1035" s="33" t="s">
        <v>38</v>
      </c>
      <c r="H1035" s="33" t="s">
        <v>7586</v>
      </c>
      <c r="I1035" s="33" t="s">
        <v>46</v>
      </c>
      <c r="J1035" s="33" t="s">
        <v>3629</v>
      </c>
    </row>
    <row r="1036" spans="1:11" s="33" customFormat="1" hidden="1" x14ac:dyDescent="0.3">
      <c r="A1036" s="39">
        <v>46100.695567129631</v>
      </c>
      <c r="B1036" s="33" t="s">
        <v>48</v>
      </c>
      <c r="C1036" s="33">
        <v>44907377127</v>
      </c>
      <c r="E1036" s="33">
        <v>1</v>
      </c>
      <c r="F1036" s="33">
        <v>0</v>
      </c>
      <c r="G1036" s="33" t="s">
        <v>47</v>
      </c>
      <c r="H1036" s="33" t="s">
        <v>7587</v>
      </c>
      <c r="I1036" s="33" t="s">
        <v>46</v>
      </c>
      <c r="J1036" s="33" t="s">
        <v>40</v>
      </c>
    </row>
    <row r="1037" spans="1:11" s="33" customFormat="1" hidden="1" x14ac:dyDescent="0.3">
      <c r="A1037" s="39">
        <v>46100.695405092592</v>
      </c>
      <c r="B1037" s="33" t="s">
        <v>3627</v>
      </c>
      <c r="C1037" s="33">
        <v>48998589278</v>
      </c>
      <c r="E1037" s="33">
        <v>43</v>
      </c>
      <c r="F1037" s="33">
        <v>36</v>
      </c>
      <c r="G1037" s="33" t="s">
        <v>38</v>
      </c>
      <c r="H1037" s="33" t="s">
        <v>7588</v>
      </c>
      <c r="I1037" s="33" t="s">
        <v>46</v>
      </c>
      <c r="J1037" s="33" t="s">
        <v>3629</v>
      </c>
    </row>
    <row r="1038" spans="1:11" s="33" customFormat="1" hidden="1" x14ac:dyDescent="0.3">
      <c r="A1038" s="39">
        <v>46100.6953125</v>
      </c>
      <c r="B1038" s="33">
        <v>4430141533</v>
      </c>
      <c r="C1038" s="33" t="s">
        <v>42</v>
      </c>
      <c r="D1038" s="33">
        <v>4430265054</v>
      </c>
      <c r="E1038" s="33">
        <v>277</v>
      </c>
      <c r="F1038" s="33">
        <v>192</v>
      </c>
      <c r="G1038" s="33" t="s">
        <v>38</v>
      </c>
      <c r="H1038" s="33" t="s">
        <v>7589</v>
      </c>
      <c r="I1038" s="33" t="s">
        <v>39</v>
      </c>
      <c r="J1038" s="33" t="s">
        <v>40</v>
      </c>
      <c r="K1038" s="33" t="s">
        <v>41</v>
      </c>
    </row>
    <row r="1039" spans="1:11" s="33" customFormat="1" hidden="1" x14ac:dyDescent="0.3">
      <c r="A1039" s="39">
        <v>46100.693032407406</v>
      </c>
      <c r="B1039" s="33" t="s">
        <v>3627</v>
      </c>
      <c r="C1039" s="33">
        <v>27996322853</v>
      </c>
      <c r="E1039" s="33">
        <v>11</v>
      </c>
      <c r="F1039" s="33">
        <v>3</v>
      </c>
      <c r="G1039" s="33" t="s">
        <v>38</v>
      </c>
      <c r="H1039" s="33" t="s">
        <v>7590</v>
      </c>
      <c r="I1039" s="33" t="s">
        <v>46</v>
      </c>
      <c r="J1039" s="33" t="s">
        <v>3629</v>
      </c>
    </row>
    <row r="1040" spans="1:11" s="33" customFormat="1" hidden="1" x14ac:dyDescent="0.3">
      <c r="A1040" s="39">
        <v>46100.691030092596</v>
      </c>
      <c r="B1040" s="33" t="s">
        <v>3627</v>
      </c>
      <c r="C1040" s="33">
        <v>14996790963</v>
      </c>
      <c r="E1040" s="33">
        <v>18</v>
      </c>
      <c r="F1040" s="33">
        <v>9</v>
      </c>
      <c r="G1040" s="33" t="s">
        <v>38</v>
      </c>
      <c r="H1040" s="33" t="s">
        <v>7591</v>
      </c>
      <c r="I1040" s="33" t="s">
        <v>46</v>
      </c>
      <c r="J1040" s="33" t="s">
        <v>3629</v>
      </c>
    </row>
    <row r="1041" spans="1:12" s="33" customFormat="1" hidden="1" x14ac:dyDescent="0.3">
      <c r="A1041" s="39">
        <v>46100.68917824074</v>
      </c>
      <c r="B1041" s="33" t="s">
        <v>45</v>
      </c>
      <c r="C1041" s="33">
        <v>41999865917</v>
      </c>
      <c r="E1041" s="33">
        <v>2746</v>
      </c>
      <c r="F1041" s="33">
        <v>2742</v>
      </c>
      <c r="G1041" s="33" t="s">
        <v>38</v>
      </c>
      <c r="H1041" s="33" t="s">
        <v>7592</v>
      </c>
      <c r="I1041" s="33" t="s">
        <v>46</v>
      </c>
      <c r="J1041" s="33" t="s">
        <v>40</v>
      </c>
    </row>
    <row r="1042" spans="1:12" s="33" customFormat="1" hidden="1" x14ac:dyDescent="0.3">
      <c r="A1042" s="39">
        <v>46100.687627314815</v>
      </c>
      <c r="B1042" s="33" t="s">
        <v>3627</v>
      </c>
      <c r="C1042" s="33">
        <v>21999339365</v>
      </c>
      <c r="E1042" s="33">
        <v>3</v>
      </c>
      <c r="F1042" s="33">
        <v>0</v>
      </c>
      <c r="G1042" s="33" t="s">
        <v>47</v>
      </c>
      <c r="H1042" s="33" t="s">
        <v>7593</v>
      </c>
      <c r="I1042" s="33" t="s">
        <v>46</v>
      </c>
      <c r="J1042" s="33" t="s">
        <v>3629</v>
      </c>
    </row>
    <row r="1043" spans="1:12" s="33" customFormat="1" hidden="1" x14ac:dyDescent="0.3">
      <c r="A1043" s="39">
        <v>46100.6871875</v>
      </c>
      <c r="B1043" s="33" t="s">
        <v>3627</v>
      </c>
      <c r="C1043" s="33">
        <v>31971159276</v>
      </c>
      <c r="E1043" s="33">
        <v>6</v>
      </c>
      <c r="F1043" s="33">
        <v>2</v>
      </c>
      <c r="G1043" s="33" t="s">
        <v>38</v>
      </c>
      <c r="H1043" s="33" t="s">
        <v>7594</v>
      </c>
      <c r="I1043" s="33" t="s">
        <v>46</v>
      </c>
      <c r="J1043" s="33" t="s">
        <v>3629</v>
      </c>
    </row>
    <row r="1044" spans="1:12" s="33" customFormat="1" hidden="1" x14ac:dyDescent="0.3">
      <c r="A1044" s="39">
        <v>46100.682997685188</v>
      </c>
      <c r="B1044" s="33" t="s">
        <v>3627</v>
      </c>
      <c r="C1044" s="33">
        <v>11961982618</v>
      </c>
      <c r="E1044" s="33">
        <v>11</v>
      </c>
      <c r="F1044" s="33">
        <v>0</v>
      </c>
      <c r="G1044" s="33" t="s">
        <v>47</v>
      </c>
      <c r="H1044" s="33" t="s">
        <v>7595</v>
      </c>
      <c r="I1044" s="33" t="s">
        <v>46</v>
      </c>
      <c r="J1044" s="33" t="s">
        <v>3629</v>
      </c>
    </row>
    <row r="1045" spans="1:12" s="33" customFormat="1" hidden="1" x14ac:dyDescent="0.3">
      <c r="A1045" s="39">
        <v>46100.682326388887</v>
      </c>
      <c r="B1045" s="33" t="s">
        <v>3627</v>
      </c>
      <c r="C1045" s="33">
        <v>81988036911</v>
      </c>
      <c r="E1045" s="33">
        <v>30</v>
      </c>
      <c r="F1045" s="33">
        <v>0</v>
      </c>
      <c r="G1045" s="33" t="s">
        <v>47</v>
      </c>
      <c r="H1045" s="33" t="s">
        <v>7596</v>
      </c>
      <c r="I1045" s="33" t="s">
        <v>46</v>
      </c>
      <c r="J1045" s="33" t="s">
        <v>3629</v>
      </c>
    </row>
    <row r="1046" spans="1:12" s="33" customFormat="1" hidden="1" x14ac:dyDescent="0.3">
      <c r="A1046" s="39">
        <v>46100.680196759262</v>
      </c>
      <c r="B1046" s="33" t="s">
        <v>45</v>
      </c>
      <c r="C1046" s="33">
        <v>4436372125</v>
      </c>
      <c r="E1046" s="33">
        <v>463</v>
      </c>
      <c r="F1046" s="33">
        <v>452</v>
      </c>
      <c r="G1046" s="33" t="s">
        <v>38</v>
      </c>
      <c r="H1046" s="33" t="s">
        <v>7597</v>
      </c>
      <c r="I1046" s="33" t="s">
        <v>46</v>
      </c>
      <c r="J1046" s="33" t="s">
        <v>40</v>
      </c>
    </row>
    <row r="1047" spans="1:12" s="33" customFormat="1" hidden="1" x14ac:dyDescent="0.3">
      <c r="A1047" s="39">
        <v>46100.679629629631</v>
      </c>
      <c r="B1047" s="33" t="s">
        <v>45</v>
      </c>
      <c r="C1047" s="33">
        <v>4130760170</v>
      </c>
      <c r="E1047" s="33">
        <v>48</v>
      </c>
      <c r="F1047" s="33">
        <v>21</v>
      </c>
      <c r="G1047" s="33" t="s">
        <v>38</v>
      </c>
      <c r="H1047" s="33" t="s">
        <v>7598</v>
      </c>
      <c r="I1047" s="33" t="s">
        <v>46</v>
      </c>
      <c r="J1047" s="33" t="s">
        <v>40</v>
      </c>
    </row>
    <row r="1048" spans="1:12" s="33" customFormat="1" hidden="1" x14ac:dyDescent="0.3">
      <c r="A1048" s="39">
        <v>46100.677858796298</v>
      </c>
      <c r="B1048" s="33">
        <v>4130760170</v>
      </c>
      <c r="C1048" s="33" t="s">
        <v>37</v>
      </c>
      <c r="D1048" s="33">
        <v>4430265054</v>
      </c>
      <c r="E1048" s="33">
        <v>1969</v>
      </c>
      <c r="F1048" s="33">
        <v>1923</v>
      </c>
      <c r="G1048" s="33" t="s">
        <v>38</v>
      </c>
      <c r="H1048" s="33" t="s">
        <v>7599</v>
      </c>
      <c r="I1048" s="33" t="s">
        <v>39</v>
      </c>
      <c r="J1048" s="33" t="s">
        <v>40</v>
      </c>
      <c r="K1048" s="33" t="s">
        <v>41</v>
      </c>
      <c r="L1048" s="33">
        <v>5</v>
      </c>
    </row>
    <row r="1049" spans="1:12" s="33" customFormat="1" hidden="1" x14ac:dyDescent="0.3">
      <c r="A1049" s="39">
        <v>46100.676817129628</v>
      </c>
      <c r="B1049" s="33">
        <v>4436372125</v>
      </c>
      <c r="C1049" s="33" t="s">
        <v>45</v>
      </c>
      <c r="D1049" s="33">
        <v>4430265054</v>
      </c>
      <c r="E1049" s="33">
        <v>117</v>
      </c>
      <c r="F1049" s="33">
        <v>98</v>
      </c>
      <c r="G1049" s="33" t="s">
        <v>38</v>
      </c>
      <c r="H1049" s="33" t="s">
        <v>7600</v>
      </c>
      <c r="I1049" s="33" t="s">
        <v>39</v>
      </c>
      <c r="J1049" s="33" t="s">
        <v>40</v>
      </c>
      <c r="K1049" s="33" t="s">
        <v>41</v>
      </c>
    </row>
    <row r="1050" spans="1:12" s="33" customFormat="1" hidden="1" x14ac:dyDescent="0.3">
      <c r="A1050" s="39">
        <v>46100.673101851855</v>
      </c>
      <c r="B1050" s="33">
        <v>44999387742</v>
      </c>
      <c r="C1050" s="33" t="s">
        <v>43</v>
      </c>
      <c r="D1050" s="33">
        <v>4430265054</v>
      </c>
      <c r="E1050" s="33">
        <v>1456</v>
      </c>
      <c r="F1050" s="33">
        <v>1317</v>
      </c>
      <c r="G1050" s="33" t="s">
        <v>38</v>
      </c>
      <c r="H1050" s="33" t="s">
        <v>7601</v>
      </c>
      <c r="I1050" s="33" t="s">
        <v>39</v>
      </c>
      <c r="J1050" s="33" t="s">
        <v>40</v>
      </c>
      <c r="K1050" s="33" t="s">
        <v>41</v>
      </c>
    </row>
    <row r="1051" spans="1:12" s="33" customFormat="1" hidden="1" x14ac:dyDescent="0.3">
      <c r="A1051" s="39">
        <v>46100.670127314814</v>
      </c>
      <c r="B1051" s="33" t="s">
        <v>48</v>
      </c>
      <c r="C1051" s="33">
        <v>4436249360</v>
      </c>
      <c r="E1051" s="33">
        <v>424</v>
      </c>
      <c r="F1051" s="33">
        <v>418</v>
      </c>
      <c r="G1051" s="33" t="s">
        <v>38</v>
      </c>
      <c r="H1051" s="33" t="s">
        <v>7602</v>
      </c>
      <c r="I1051" s="33" t="s">
        <v>46</v>
      </c>
      <c r="J1051" s="33" t="s">
        <v>40</v>
      </c>
    </row>
    <row r="1052" spans="1:12" s="33" customFormat="1" hidden="1" x14ac:dyDescent="0.3">
      <c r="A1052" s="39">
        <v>46100.667893518519</v>
      </c>
      <c r="B1052" s="33" t="s">
        <v>48</v>
      </c>
      <c r="C1052" s="33">
        <v>4436291629</v>
      </c>
      <c r="E1052" s="33">
        <v>167</v>
      </c>
      <c r="F1052" s="33">
        <v>151</v>
      </c>
      <c r="G1052" s="33" t="s">
        <v>38</v>
      </c>
      <c r="H1052" s="33" t="s">
        <v>7603</v>
      </c>
      <c r="I1052" s="33" t="s">
        <v>46</v>
      </c>
      <c r="J1052" s="33" t="s">
        <v>40</v>
      </c>
    </row>
    <row r="1053" spans="1:12" s="33" customFormat="1" hidden="1" x14ac:dyDescent="0.3">
      <c r="A1053" s="39">
        <v>46100.665729166663</v>
      </c>
      <c r="B1053" s="33">
        <v>6434534421</v>
      </c>
      <c r="C1053" s="33">
        <v>4430265054</v>
      </c>
      <c r="D1053" s="33">
        <v>4430265054</v>
      </c>
      <c r="E1053" s="33">
        <v>11</v>
      </c>
      <c r="F1053" s="33">
        <v>10</v>
      </c>
      <c r="G1053" s="33" t="s">
        <v>3449</v>
      </c>
      <c r="H1053" s="33" t="s">
        <v>7604</v>
      </c>
      <c r="I1053" s="33" t="s">
        <v>39</v>
      </c>
      <c r="J1053" s="33" t="s">
        <v>3451</v>
      </c>
    </row>
    <row r="1054" spans="1:12" s="33" customFormat="1" hidden="1" x14ac:dyDescent="0.3">
      <c r="A1054" s="39">
        <v>46100.665717592594</v>
      </c>
      <c r="B1054" s="33" t="s">
        <v>3627</v>
      </c>
      <c r="C1054" s="33">
        <v>48988264836</v>
      </c>
      <c r="E1054" s="33">
        <v>7</v>
      </c>
      <c r="F1054" s="33">
        <v>0</v>
      </c>
      <c r="G1054" s="33" t="s">
        <v>47</v>
      </c>
      <c r="H1054" s="33" t="s">
        <v>7605</v>
      </c>
      <c r="I1054" s="33" t="s">
        <v>46</v>
      </c>
      <c r="J1054" s="33" t="s">
        <v>3629</v>
      </c>
    </row>
    <row r="1055" spans="1:12" s="33" customFormat="1" hidden="1" x14ac:dyDescent="0.3">
      <c r="A1055" s="39">
        <v>46100.6641087963</v>
      </c>
      <c r="B1055" s="33" t="s">
        <v>44</v>
      </c>
      <c r="C1055" s="33">
        <v>6234347959</v>
      </c>
      <c r="E1055" s="33">
        <v>238</v>
      </c>
      <c r="F1055" s="33">
        <v>228</v>
      </c>
      <c r="G1055" s="33" t="s">
        <v>38</v>
      </c>
      <c r="H1055" s="33" t="s">
        <v>7606</v>
      </c>
      <c r="I1055" s="33" t="s">
        <v>46</v>
      </c>
      <c r="J1055" s="33" t="s">
        <v>40</v>
      </c>
    </row>
    <row r="1056" spans="1:12" s="33" customFormat="1" hidden="1" x14ac:dyDescent="0.3">
      <c r="A1056" s="39">
        <v>46100.663414351853</v>
      </c>
      <c r="B1056" s="33" t="s">
        <v>3627</v>
      </c>
      <c r="C1056" s="33">
        <v>51998838381</v>
      </c>
      <c r="E1056" s="33">
        <v>24</v>
      </c>
      <c r="F1056" s="33">
        <v>6</v>
      </c>
      <c r="G1056" s="33" t="s">
        <v>38</v>
      </c>
      <c r="H1056" s="33" t="s">
        <v>7607</v>
      </c>
      <c r="I1056" s="33" t="s">
        <v>46</v>
      </c>
      <c r="J1056" s="33" t="s">
        <v>3629</v>
      </c>
    </row>
    <row r="1057" spans="1:11" s="33" customFormat="1" hidden="1" x14ac:dyDescent="0.3">
      <c r="A1057" s="39">
        <v>46100.661597222221</v>
      </c>
      <c r="B1057" s="33">
        <v>44999859732</v>
      </c>
      <c r="C1057" s="33" t="s">
        <v>42</v>
      </c>
      <c r="D1057" s="33">
        <v>4430265054</v>
      </c>
      <c r="E1057" s="33">
        <v>663</v>
      </c>
      <c r="F1057" s="33">
        <v>566</v>
      </c>
      <c r="G1057" s="33" t="s">
        <v>38</v>
      </c>
      <c r="H1057" s="33" t="s">
        <v>7608</v>
      </c>
      <c r="I1057" s="33" t="s">
        <v>39</v>
      </c>
      <c r="J1057" s="33" t="s">
        <v>40</v>
      </c>
      <c r="K1057" s="33" t="s">
        <v>41</v>
      </c>
    </row>
    <row r="1058" spans="1:11" s="33" customFormat="1" hidden="1" x14ac:dyDescent="0.3">
      <c r="A1058" s="39">
        <v>46100.661226851851</v>
      </c>
      <c r="B1058" s="33" t="s">
        <v>48</v>
      </c>
      <c r="C1058" s="33">
        <v>4436292220</v>
      </c>
      <c r="E1058" s="33">
        <v>51</v>
      </c>
      <c r="F1058" s="33">
        <v>45</v>
      </c>
      <c r="G1058" s="33" t="s">
        <v>38</v>
      </c>
      <c r="H1058" s="33" t="s">
        <v>7609</v>
      </c>
      <c r="I1058" s="33" t="s">
        <v>46</v>
      </c>
      <c r="J1058" s="33" t="s">
        <v>40</v>
      </c>
    </row>
    <row r="1059" spans="1:11" s="33" customFormat="1" hidden="1" x14ac:dyDescent="0.3">
      <c r="A1059" s="39">
        <v>46100.653900462959</v>
      </c>
      <c r="B1059" s="33" t="s">
        <v>3627</v>
      </c>
      <c r="C1059" s="33">
        <v>4430329750</v>
      </c>
      <c r="E1059" s="33">
        <v>1</v>
      </c>
      <c r="F1059" s="33">
        <v>0</v>
      </c>
      <c r="G1059" s="33" t="s">
        <v>47</v>
      </c>
      <c r="H1059" s="33" t="s">
        <v>7610</v>
      </c>
      <c r="I1059" s="33" t="s">
        <v>46</v>
      </c>
      <c r="J1059" s="33" t="s">
        <v>3629</v>
      </c>
    </row>
    <row r="1060" spans="1:11" s="33" customFormat="1" hidden="1" x14ac:dyDescent="0.3">
      <c r="A1060" s="39">
        <v>46100.653090277781</v>
      </c>
      <c r="B1060" s="33" t="s">
        <v>3052</v>
      </c>
      <c r="C1060" s="33">
        <v>4430265054</v>
      </c>
      <c r="D1060" s="33">
        <v>4430265054</v>
      </c>
      <c r="E1060" s="33">
        <v>9</v>
      </c>
      <c r="F1060" s="33">
        <v>8</v>
      </c>
      <c r="G1060" s="33" t="s">
        <v>3449</v>
      </c>
      <c r="H1060" s="33" t="s">
        <v>7611</v>
      </c>
      <c r="I1060" s="33" t="s">
        <v>39</v>
      </c>
      <c r="J1060" s="33" t="s">
        <v>3451</v>
      </c>
    </row>
    <row r="1061" spans="1:11" s="33" customFormat="1" hidden="1" x14ac:dyDescent="0.3">
      <c r="A1061" s="39">
        <v>46100.650254629632</v>
      </c>
      <c r="B1061" s="33">
        <v>41999717893</v>
      </c>
      <c r="C1061" s="33" t="s">
        <v>42</v>
      </c>
      <c r="D1061" s="33">
        <v>4430265054</v>
      </c>
      <c r="E1061" s="33">
        <v>75</v>
      </c>
      <c r="F1061" s="33">
        <v>49</v>
      </c>
      <c r="G1061" s="33" t="s">
        <v>38</v>
      </c>
      <c r="H1061" s="33" t="s">
        <v>7612</v>
      </c>
      <c r="I1061" s="33" t="s">
        <v>39</v>
      </c>
      <c r="J1061" s="33" t="s">
        <v>40</v>
      </c>
      <c r="K1061" s="33" t="s">
        <v>41</v>
      </c>
    </row>
    <row r="1062" spans="1:11" s="33" customFormat="1" hidden="1" x14ac:dyDescent="0.3">
      <c r="A1062" s="39">
        <v>46100.64640046296</v>
      </c>
      <c r="B1062" s="33" t="s">
        <v>3627</v>
      </c>
      <c r="C1062" s="33">
        <v>41998094911</v>
      </c>
      <c r="E1062" s="33">
        <v>15</v>
      </c>
      <c r="F1062" s="33">
        <v>4</v>
      </c>
      <c r="G1062" s="33" t="s">
        <v>38</v>
      </c>
      <c r="H1062" s="33" t="s">
        <v>7613</v>
      </c>
      <c r="I1062" s="33" t="s">
        <v>46</v>
      </c>
      <c r="J1062" s="33" t="s">
        <v>3629</v>
      </c>
    </row>
    <row r="1063" spans="1:11" s="33" customFormat="1" hidden="1" x14ac:dyDescent="0.3">
      <c r="A1063" s="39">
        <v>46100.64472222222</v>
      </c>
      <c r="B1063" s="33">
        <v>18996991511</v>
      </c>
      <c r="C1063" s="33" t="s">
        <v>37</v>
      </c>
      <c r="D1063" s="33">
        <v>4430265054</v>
      </c>
      <c r="E1063" s="33">
        <v>1595</v>
      </c>
      <c r="F1063" s="33">
        <v>1563</v>
      </c>
      <c r="G1063" s="33" t="s">
        <v>38</v>
      </c>
      <c r="H1063" s="33" t="s">
        <v>7614</v>
      </c>
      <c r="I1063" s="33" t="s">
        <v>39</v>
      </c>
      <c r="J1063" s="33" t="s">
        <v>40</v>
      </c>
      <c r="K1063" s="33" t="s">
        <v>41</v>
      </c>
    </row>
    <row r="1064" spans="1:11" s="33" customFormat="1" hidden="1" x14ac:dyDescent="0.3">
      <c r="A1064" s="39">
        <v>46100.644629629627</v>
      </c>
      <c r="B1064" s="33">
        <v>44991388221</v>
      </c>
      <c r="C1064" s="33" t="s">
        <v>48</v>
      </c>
      <c r="D1064" s="33">
        <v>4430265054</v>
      </c>
      <c r="E1064" s="33">
        <v>690</v>
      </c>
      <c r="F1064" s="33">
        <v>606</v>
      </c>
      <c r="G1064" s="33" t="s">
        <v>38</v>
      </c>
      <c r="H1064" s="33" t="s">
        <v>7615</v>
      </c>
      <c r="I1064" s="33" t="s">
        <v>39</v>
      </c>
      <c r="J1064" s="33" t="s">
        <v>40</v>
      </c>
      <c r="K1064" s="33" t="s">
        <v>41</v>
      </c>
    </row>
    <row r="1065" spans="1:11" s="33" customFormat="1" hidden="1" x14ac:dyDescent="0.3">
      <c r="A1065" s="39">
        <v>46100.644363425927</v>
      </c>
      <c r="B1065" s="33" t="s">
        <v>37</v>
      </c>
      <c r="C1065" s="33">
        <v>18996991511</v>
      </c>
      <c r="E1065" s="33">
        <v>10</v>
      </c>
      <c r="F1065" s="33">
        <v>0</v>
      </c>
      <c r="G1065" s="33" t="s">
        <v>47</v>
      </c>
      <c r="H1065" s="33" t="s">
        <v>7616</v>
      </c>
      <c r="I1065" s="33" t="s">
        <v>46</v>
      </c>
      <c r="J1065" s="33" t="s">
        <v>40</v>
      </c>
    </row>
    <row r="1066" spans="1:11" s="33" customFormat="1" hidden="1" x14ac:dyDescent="0.3">
      <c r="A1066" s="39">
        <v>46100.643587962964</v>
      </c>
      <c r="B1066" s="33">
        <v>4121413723</v>
      </c>
      <c r="C1066" s="33" t="s">
        <v>48</v>
      </c>
      <c r="D1066" s="33">
        <v>4531273164</v>
      </c>
      <c r="E1066" s="33">
        <v>45</v>
      </c>
      <c r="F1066" s="33">
        <v>4</v>
      </c>
      <c r="G1066" s="33" t="s">
        <v>38</v>
      </c>
      <c r="H1066" s="33" t="s">
        <v>7617</v>
      </c>
      <c r="I1066" s="33" t="s">
        <v>39</v>
      </c>
      <c r="J1066" s="33" t="s">
        <v>40</v>
      </c>
      <c r="K1066" s="33" t="s">
        <v>41</v>
      </c>
    </row>
    <row r="1067" spans="1:11" s="33" customFormat="1" hidden="1" x14ac:dyDescent="0.3">
      <c r="A1067" s="39">
        <v>46100.643090277779</v>
      </c>
      <c r="B1067" s="33">
        <v>1128787060</v>
      </c>
      <c r="C1067" s="33" t="s">
        <v>43</v>
      </c>
      <c r="D1067" s="33">
        <v>4430265054</v>
      </c>
      <c r="E1067" s="33">
        <v>82</v>
      </c>
      <c r="F1067" s="33">
        <v>31</v>
      </c>
      <c r="G1067" s="33" t="s">
        <v>38</v>
      </c>
      <c r="H1067" s="33" t="s">
        <v>7618</v>
      </c>
      <c r="I1067" s="33" t="s">
        <v>39</v>
      </c>
      <c r="J1067" s="33" t="s">
        <v>40</v>
      </c>
      <c r="K1067" s="33" t="s">
        <v>41</v>
      </c>
    </row>
    <row r="1068" spans="1:11" s="33" customFormat="1" hidden="1" x14ac:dyDescent="0.3">
      <c r="A1068" s="39">
        <v>46100.641932870371</v>
      </c>
      <c r="B1068" s="33">
        <v>4434239353</v>
      </c>
      <c r="C1068" s="33" t="s">
        <v>42</v>
      </c>
      <c r="D1068" s="33">
        <v>4430265054</v>
      </c>
      <c r="E1068" s="33">
        <v>400</v>
      </c>
      <c r="F1068" s="33">
        <v>358</v>
      </c>
      <c r="G1068" s="33" t="s">
        <v>38</v>
      </c>
      <c r="H1068" s="33" t="s">
        <v>7619</v>
      </c>
      <c r="I1068" s="33" t="s">
        <v>39</v>
      </c>
      <c r="J1068" s="33" t="s">
        <v>40</v>
      </c>
      <c r="K1068" s="33" t="s">
        <v>41</v>
      </c>
    </row>
    <row r="1069" spans="1:11" s="33" customFormat="1" hidden="1" x14ac:dyDescent="0.3">
      <c r="A1069" s="39">
        <v>46100.640960648147</v>
      </c>
      <c r="B1069" s="33">
        <v>35998295948</v>
      </c>
      <c r="C1069" s="33" t="s">
        <v>48</v>
      </c>
      <c r="D1069" s="33">
        <v>4430265054</v>
      </c>
      <c r="E1069" s="33">
        <v>229</v>
      </c>
      <c r="F1069" s="33">
        <v>67</v>
      </c>
      <c r="G1069" s="33" t="s">
        <v>38</v>
      </c>
      <c r="H1069" s="33" t="s">
        <v>7620</v>
      </c>
      <c r="I1069" s="33" t="s">
        <v>39</v>
      </c>
      <c r="J1069" s="33" t="s">
        <v>40</v>
      </c>
      <c r="K1069" s="33" t="s">
        <v>41</v>
      </c>
    </row>
    <row r="1070" spans="1:11" s="33" customFormat="1" hidden="1" x14ac:dyDescent="0.3">
      <c r="A1070" s="39">
        <v>46100.636354166665</v>
      </c>
      <c r="B1070" s="33">
        <v>4133491428</v>
      </c>
      <c r="C1070" s="33" t="s">
        <v>48</v>
      </c>
      <c r="D1070" s="33">
        <v>4430265054</v>
      </c>
      <c r="E1070" s="33">
        <v>190</v>
      </c>
      <c r="F1070" s="33">
        <v>159</v>
      </c>
      <c r="G1070" s="33" t="s">
        <v>38</v>
      </c>
      <c r="H1070" s="33" t="s">
        <v>7621</v>
      </c>
      <c r="I1070" s="33" t="s">
        <v>39</v>
      </c>
      <c r="J1070" s="33" t="s">
        <v>40</v>
      </c>
      <c r="K1070" s="33" t="s">
        <v>41</v>
      </c>
    </row>
    <row r="1071" spans="1:11" s="33" customFormat="1" hidden="1" x14ac:dyDescent="0.3">
      <c r="A1071" s="39">
        <v>46100.636122685188</v>
      </c>
      <c r="B1071" s="33">
        <v>4330261969</v>
      </c>
      <c r="C1071" s="33" t="s">
        <v>43</v>
      </c>
      <c r="D1071" s="33">
        <v>4430265054</v>
      </c>
      <c r="E1071" s="33">
        <v>613</v>
      </c>
      <c r="F1071" s="33">
        <v>591</v>
      </c>
      <c r="G1071" s="33" t="s">
        <v>38</v>
      </c>
      <c r="H1071" s="33" t="s">
        <v>7622</v>
      </c>
      <c r="I1071" s="33" t="s">
        <v>39</v>
      </c>
      <c r="J1071" s="33" t="s">
        <v>40</v>
      </c>
      <c r="K1071" s="33" t="s">
        <v>41</v>
      </c>
    </row>
    <row r="1072" spans="1:11" s="33" customFormat="1" hidden="1" x14ac:dyDescent="0.3">
      <c r="A1072" s="39">
        <v>46100.635462962964</v>
      </c>
      <c r="B1072" s="33" t="s">
        <v>3627</v>
      </c>
      <c r="C1072" s="33">
        <v>47996502046</v>
      </c>
      <c r="E1072" s="33">
        <v>14</v>
      </c>
      <c r="F1072" s="33">
        <v>0</v>
      </c>
      <c r="G1072" s="33" t="s">
        <v>38</v>
      </c>
      <c r="H1072" s="33" t="s">
        <v>7623</v>
      </c>
      <c r="I1072" s="33" t="s">
        <v>46</v>
      </c>
      <c r="J1072" s="33" t="s">
        <v>3629</v>
      </c>
    </row>
    <row r="1073" spans="1:12" s="33" customFormat="1" hidden="1" x14ac:dyDescent="0.3">
      <c r="A1073" s="39">
        <v>46100.632326388892</v>
      </c>
      <c r="B1073" s="33">
        <v>6234347959</v>
      </c>
      <c r="C1073" s="33" t="s">
        <v>44</v>
      </c>
      <c r="D1073" s="33">
        <v>4430265054</v>
      </c>
      <c r="E1073" s="33">
        <v>2697</v>
      </c>
      <c r="F1073" s="33">
        <v>2555</v>
      </c>
      <c r="G1073" s="33" t="s">
        <v>38</v>
      </c>
      <c r="H1073" s="33" t="s">
        <v>7624</v>
      </c>
      <c r="I1073" s="33" t="s">
        <v>39</v>
      </c>
      <c r="J1073" s="33" t="s">
        <v>40</v>
      </c>
      <c r="K1073" s="33" t="s">
        <v>41</v>
      </c>
    </row>
    <row r="1074" spans="1:12" s="33" customFormat="1" hidden="1" x14ac:dyDescent="0.3">
      <c r="A1074" s="39">
        <v>46100.628738425927</v>
      </c>
      <c r="B1074" s="33" t="s">
        <v>43</v>
      </c>
      <c r="C1074" s="33">
        <v>44997719213</v>
      </c>
      <c r="E1074" s="33">
        <v>12</v>
      </c>
      <c r="F1074" s="33">
        <v>0</v>
      </c>
      <c r="G1074" s="33" t="s">
        <v>47</v>
      </c>
      <c r="H1074" s="33" t="s">
        <v>7625</v>
      </c>
      <c r="I1074" s="33" t="s">
        <v>46</v>
      </c>
      <c r="J1074" s="33" t="s">
        <v>40</v>
      </c>
    </row>
    <row r="1075" spans="1:12" s="33" customFormat="1" hidden="1" x14ac:dyDescent="0.3">
      <c r="A1075" s="39">
        <v>46100.628541666665</v>
      </c>
      <c r="B1075" s="33" t="s">
        <v>43</v>
      </c>
      <c r="C1075" s="33">
        <v>44997719213</v>
      </c>
      <c r="E1075" s="33">
        <v>10</v>
      </c>
      <c r="F1075" s="33">
        <v>0</v>
      </c>
      <c r="G1075" s="33" t="s">
        <v>47</v>
      </c>
      <c r="H1075" s="33" t="s">
        <v>7626</v>
      </c>
      <c r="I1075" s="33" t="s">
        <v>46</v>
      </c>
      <c r="J1075" s="33" t="s">
        <v>40</v>
      </c>
    </row>
    <row r="1076" spans="1:12" s="33" customFormat="1" hidden="1" x14ac:dyDescent="0.3">
      <c r="A1076" s="39">
        <v>46100.627916666665</v>
      </c>
      <c r="B1076" s="33">
        <v>44997650834</v>
      </c>
      <c r="C1076" s="33" t="s">
        <v>44</v>
      </c>
      <c r="D1076" s="33">
        <v>4430265054</v>
      </c>
      <c r="E1076" s="33">
        <v>234</v>
      </c>
      <c r="F1076" s="33">
        <v>194</v>
      </c>
      <c r="G1076" s="33" t="s">
        <v>38</v>
      </c>
      <c r="H1076" s="33" t="s">
        <v>7627</v>
      </c>
      <c r="I1076" s="33" t="s">
        <v>39</v>
      </c>
      <c r="J1076" s="33" t="s">
        <v>40</v>
      </c>
      <c r="K1076" s="33" t="s">
        <v>41</v>
      </c>
      <c r="L1076" s="33">
        <v>5</v>
      </c>
    </row>
    <row r="1077" spans="1:12" s="33" customFormat="1" hidden="1" x14ac:dyDescent="0.3">
      <c r="A1077" s="39">
        <v>46100.625567129631</v>
      </c>
      <c r="B1077" s="33">
        <v>41999865917</v>
      </c>
      <c r="C1077" s="33" t="s">
        <v>45</v>
      </c>
      <c r="D1077" s="33">
        <v>4430265054</v>
      </c>
      <c r="E1077" s="33">
        <v>3734</v>
      </c>
      <c r="F1077" s="33">
        <v>3638</v>
      </c>
      <c r="G1077" s="33" t="s">
        <v>38</v>
      </c>
      <c r="H1077" s="33" t="s">
        <v>7628</v>
      </c>
      <c r="I1077" s="33" t="s">
        <v>39</v>
      </c>
      <c r="J1077" s="33" t="s">
        <v>40</v>
      </c>
      <c r="K1077" s="33" t="s">
        <v>41</v>
      </c>
    </row>
    <row r="1078" spans="1:12" s="33" customFormat="1" hidden="1" x14ac:dyDescent="0.3">
      <c r="A1078" s="39">
        <v>46100.624780092592</v>
      </c>
      <c r="B1078" s="33">
        <v>41999717893</v>
      </c>
      <c r="C1078" s="33" t="s">
        <v>45</v>
      </c>
      <c r="D1078" s="33">
        <v>4430265054</v>
      </c>
      <c r="E1078" s="33">
        <v>59</v>
      </c>
      <c r="F1078" s="33">
        <v>27</v>
      </c>
      <c r="G1078" s="33" t="s">
        <v>38</v>
      </c>
      <c r="H1078" s="33" t="s">
        <v>7629</v>
      </c>
      <c r="I1078" s="33" t="s">
        <v>39</v>
      </c>
      <c r="J1078" s="33" t="s">
        <v>40</v>
      </c>
      <c r="K1078" s="33" t="s">
        <v>41</v>
      </c>
    </row>
    <row r="1079" spans="1:12" s="33" customFormat="1" hidden="1" x14ac:dyDescent="0.3">
      <c r="A1079" s="39">
        <v>46100.621782407405</v>
      </c>
      <c r="B1079" s="33">
        <v>4434231198</v>
      </c>
      <c r="C1079" s="33" t="s">
        <v>43</v>
      </c>
      <c r="D1079" s="33">
        <v>4430265054</v>
      </c>
      <c r="E1079" s="33">
        <v>329</v>
      </c>
      <c r="F1079" s="33">
        <v>263</v>
      </c>
      <c r="G1079" s="33" t="s">
        <v>38</v>
      </c>
      <c r="H1079" s="33" t="s">
        <v>7630</v>
      </c>
      <c r="I1079" s="33" t="s">
        <v>39</v>
      </c>
      <c r="J1079" s="33" t="s">
        <v>40</v>
      </c>
      <c r="K1079" s="33" t="s">
        <v>41</v>
      </c>
    </row>
    <row r="1080" spans="1:12" s="33" customFormat="1" hidden="1" x14ac:dyDescent="0.3">
      <c r="A1080" s="39">
        <v>46100.62128472222</v>
      </c>
      <c r="B1080" s="33">
        <v>44997235101</v>
      </c>
      <c r="C1080" s="33" t="s">
        <v>42</v>
      </c>
      <c r="D1080" s="33">
        <v>4430265054</v>
      </c>
      <c r="E1080" s="33">
        <v>1819</v>
      </c>
      <c r="F1080" s="33">
        <v>1767</v>
      </c>
      <c r="G1080" s="33" t="s">
        <v>38</v>
      </c>
      <c r="H1080" s="33" t="s">
        <v>7631</v>
      </c>
      <c r="I1080" s="33" t="s">
        <v>39</v>
      </c>
      <c r="J1080" s="33" t="s">
        <v>40</v>
      </c>
      <c r="K1080" s="33" t="s">
        <v>41</v>
      </c>
    </row>
    <row r="1081" spans="1:12" s="33" customFormat="1" hidden="1" x14ac:dyDescent="0.3">
      <c r="A1081" s="39">
        <v>46100.619745370372</v>
      </c>
      <c r="B1081" s="33">
        <v>4430562296</v>
      </c>
      <c r="C1081" s="33" t="s">
        <v>48</v>
      </c>
      <c r="D1081" s="33">
        <v>4430265054</v>
      </c>
      <c r="E1081" s="33">
        <v>434</v>
      </c>
      <c r="F1081" s="33">
        <v>434</v>
      </c>
      <c r="G1081" s="33" t="s">
        <v>38</v>
      </c>
      <c r="H1081" s="33" t="s">
        <v>7632</v>
      </c>
      <c r="I1081" s="33" t="s">
        <v>39</v>
      </c>
      <c r="J1081" s="33" t="s">
        <v>40</v>
      </c>
      <c r="K1081" s="33" t="s">
        <v>41</v>
      </c>
    </row>
    <row r="1082" spans="1:12" s="33" customFormat="1" hidden="1" x14ac:dyDescent="0.3">
      <c r="A1082" s="39">
        <v>46100.615914351853</v>
      </c>
      <c r="B1082" s="33">
        <v>44998039090</v>
      </c>
      <c r="C1082" s="33" t="s">
        <v>42</v>
      </c>
      <c r="D1082" s="33">
        <v>4430265054</v>
      </c>
      <c r="E1082" s="33">
        <v>162</v>
      </c>
      <c r="F1082" s="33">
        <v>136</v>
      </c>
      <c r="G1082" s="33" t="s">
        <v>38</v>
      </c>
      <c r="H1082" s="33" t="s">
        <v>7633</v>
      </c>
      <c r="I1082" s="33" t="s">
        <v>39</v>
      </c>
      <c r="J1082" s="33" t="s">
        <v>40</v>
      </c>
      <c r="K1082" s="33" t="s">
        <v>41</v>
      </c>
    </row>
    <row r="1083" spans="1:12" s="33" customFormat="1" hidden="1" x14ac:dyDescent="0.3">
      <c r="A1083" s="39">
        <v>46100.614722222221</v>
      </c>
      <c r="B1083" s="33">
        <v>1131043888</v>
      </c>
      <c r="C1083" s="33" t="s">
        <v>45</v>
      </c>
      <c r="D1083" s="33">
        <v>4430265054</v>
      </c>
      <c r="E1083" s="33">
        <v>867</v>
      </c>
      <c r="F1083" s="33">
        <v>779</v>
      </c>
      <c r="G1083" s="33" t="s">
        <v>38</v>
      </c>
      <c r="H1083" s="33" t="s">
        <v>7634</v>
      </c>
      <c r="I1083" s="33" t="s">
        <v>39</v>
      </c>
      <c r="J1083" s="33" t="s">
        <v>40</v>
      </c>
      <c r="K1083" s="33" t="s">
        <v>41</v>
      </c>
      <c r="L1083" s="33">
        <v>5</v>
      </c>
    </row>
    <row r="1084" spans="1:12" s="33" customFormat="1" hidden="1" x14ac:dyDescent="0.3">
      <c r="A1084" s="39">
        <v>46100.61277777778</v>
      </c>
      <c r="B1084" s="33">
        <v>18996991511</v>
      </c>
      <c r="C1084" s="33" t="s">
        <v>37</v>
      </c>
      <c r="D1084" s="33">
        <v>4430265054</v>
      </c>
      <c r="E1084" s="33">
        <v>2698</v>
      </c>
      <c r="F1084" s="33">
        <v>2662</v>
      </c>
      <c r="G1084" s="33" t="s">
        <v>38</v>
      </c>
      <c r="H1084" s="33" t="s">
        <v>7635</v>
      </c>
      <c r="I1084" s="33" t="s">
        <v>39</v>
      </c>
      <c r="J1084" s="33" t="s">
        <v>40</v>
      </c>
      <c r="K1084" s="33" t="s">
        <v>41</v>
      </c>
    </row>
    <row r="1085" spans="1:12" s="33" customFormat="1" hidden="1" x14ac:dyDescent="0.3">
      <c r="A1085" s="39">
        <v>46100.611250000002</v>
      </c>
      <c r="B1085" s="33" t="s">
        <v>37</v>
      </c>
      <c r="C1085" s="33">
        <v>18996991511</v>
      </c>
      <c r="E1085" s="33">
        <v>41</v>
      </c>
      <c r="F1085" s="33">
        <v>28</v>
      </c>
      <c r="G1085" s="33" t="s">
        <v>38</v>
      </c>
      <c r="H1085" s="33" t="s">
        <v>7636</v>
      </c>
      <c r="I1085" s="33" t="s">
        <v>46</v>
      </c>
      <c r="J1085" s="33" t="s">
        <v>40</v>
      </c>
    </row>
    <row r="1086" spans="1:12" s="33" customFormat="1" hidden="1" x14ac:dyDescent="0.3">
      <c r="A1086" s="39">
        <v>46100.610937500001</v>
      </c>
      <c r="B1086" s="33" t="s">
        <v>37</v>
      </c>
      <c r="C1086" s="33">
        <v>18996991511</v>
      </c>
      <c r="E1086" s="33">
        <v>11</v>
      </c>
      <c r="F1086" s="33">
        <v>0</v>
      </c>
      <c r="G1086" s="33" t="s">
        <v>47</v>
      </c>
      <c r="H1086" s="33" t="s">
        <v>7637</v>
      </c>
      <c r="I1086" s="33" t="s">
        <v>46</v>
      </c>
      <c r="J1086" s="33" t="s">
        <v>40</v>
      </c>
    </row>
    <row r="1087" spans="1:12" s="33" customFormat="1" hidden="1" x14ac:dyDescent="0.3">
      <c r="A1087" s="39">
        <v>46100.610347222224</v>
      </c>
      <c r="B1087" s="33">
        <v>47999115463</v>
      </c>
      <c r="C1087" s="33" t="s">
        <v>45</v>
      </c>
      <c r="D1087" s="33">
        <v>4430265054</v>
      </c>
      <c r="E1087" s="33">
        <v>231</v>
      </c>
      <c r="F1087" s="33">
        <v>206</v>
      </c>
      <c r="G1087" s="33" t="s">
        <v>38</v>
      </c>
      <c r="H1087" s="33" t="s">
        <v>7638</v>
      </c>
      <c r="I1087" s="33" t="s">
        <v>39</v>
      </c>
      <c r="J1087" s="33" t="s">
        <v>40</v>
      </c>
      <c r="K1087" s="33" t="s">
        <v>41</v>
      </c>
      <c r="L1087" s="33">
        <v>5</v>
      </c>
    </row>
    <row r="1088" spans="1:12" s="33" customFormat="1" hidden="1" x14ac:dyDescent="0.3">
      <c r="A1088" s="39">
        <v>46100.607303240744</v>
      </c>
      <c r="B1088" s="33">
        <v>44997719213</v>
      </c>
      <c r="C1088" s="33" t="s">
        <v>43</v>
      </c>
      <c r="D1088" s="33">
        <v>4430265054</v>
      </c>
      <c r="E1088" s="33">
        <v>478</v>
      </c>
      <c r="F1088" s="33">
        <v>463</v>
      </c>
      <c r="G1088" s="33" t="s">
        <v>38</v>
      </c>
      <c r="H1088" s="33" t="s">
        <v>7639</v>
      </c>
      <c r="I1088" s="33" t="s">
        <v>39</v>
      </c>
      <c r="J1088" s="33" t="s">
        <v>40</v>
      </c>
      <c r="K1088" s="33" t="s">
        <v>41</v>
      </c>
    </row>
    <row r="1089" spans="1:12" s="33" customFormat="1" hidden="1" x14ac:dyDescent="0.3">
      <c r="A1089" s="39">
        <v>46100.607025462959</v>
      </c>
      <c r="B1089" s="33">
        <v>44991041123</v>
      </c>
      <c r="C1089" s="33" t="s">
        <v>42</v>
      </c>
      <c r="D1089" s="33">
        <v>4430265054</v>
      </c>
      <c r="E1089" s="33">
        <v>628</v>
      </c>
      <c r="F1089" s="33">
        <v>587</v>
      </c>
      <c r="G1089" s="33" t="s">
        <v>38</v>
      </c>
      <c r="H1089" s="33" t="s">
        <v>7640</v>
      </c>
      <c r="I1089" s="33" t="s">
        <v>39</v>
      </c>
      <c r="J1089" s="33" t="s">
        <v>40</v>
      </c>
      <c r="K1089" s="33" t="s">
        <v>41</v>
      </c>
    </row>
    <row r="1090" spans="1:12" s="33" customFormat="1" hidden="1" x14ac:dyDescent="0.3">
      <c r="A1090" s="39">
        <v>46100.603333333333</v>
      </c>
      <c r="B1090" s="33" t="s">
        <v>44</v>
      </c>
      <c r="C1090" s="33">
        <v>3432424736</v>
      </c>
      <c r="E1090" s="33">
        <v>288</v>
      </c>
      <c r="F1090" s="33">
        <v>287</v>
      </c>
      <c r="G1090" s="33" t="s">
        <v>38</v>
      </c>
      <c r="H1090" s="33" t="s">
        <v>7641</v>
      </c>
      <c r="I1090" s="33" t="s">
        <v>46</v>
      </c>
      <c r="J1090" s="33" t="s">
        <v>40</v>
      </c>
    </row>
    <row r="1091" spans="1:12" s="33" customFormat="1" hidden="1" x14ac:dyDescent="0.3">
      <c r="A1091" s="39">
        <v>46100.603009259263</v>
      </c>
      <c r="B1091" s="33">
        <v>91981481202</v>
      </c>
      <c r="C1091" s="33" t="s">
        <v>43</v>
      </c>
      <c r="D1091" s="33">
        <v>4430265054</v>
      </c>
      <c r="E1091" s="33">
        <v>385</v>
      </c>
      <c r="F1091" s="33">
        <v>146</v>
      </c>
      <c r="G1091" s="33" t="s">
        <v>38</v>
      </c>
      <c r="H1091" s="33" t="s">
        <v>7642</v>
      </c>
      <c r="I1091" s="33" t="s">
        <v>39</v>
      </c>
      <c r="J1091" s="33" t="s">
        <v>40</v>
      </c>
      <c r="K1091" s="33" t="s">
        <v>41</v>
      </c>
    </row>
    <row r="1092" spans="1:12" s="33" customFormat="1" hidden="1" x14ac:dyDescent="0.3">
      <c r="A1092" s="39">
        <v>46100.602662037039</v>
      </c>
      <c r="B1092" s="33">
        <v>4436313274</v>
      </c>
      <c r="C1092" s="33" t="s">
        <v>45</v>
      </c>
      <c r="D1092" s="33">
        <v>4430265054</v>
      </c>
      <c r="E1092" s="33">
        <v>276</v>
      </c>
      <c r="F1092" s="33">
        <v>130</v>
      </c>
      <c r="G1092" s="33" t="s">
        <v>38</v>
      </c>
      <c r="H1092" s="33" t="s">
        <v>7643</v>
      </c>
      <c r="I1092" s="33" t="s">
        <v>39</v>
      </c>
      <c r="J1092" s="33" t="s">
        <v>40</v>
      </c>
      <c r="K1092" s="33" t="s">
        <v>41</v>
      </c>
    </row>
    <row r="1093" spans="1:12" s="33" customFormat="1" hidden="1" x14ac:dyDescent="0.3">
      <c r="A1093" s="39">
        <v>46100.598240740743</v>
      </c>
      <c r="B1093" s="33" t="s">
        <v>44</v>
      </c>
      <c r="C1093" s="33">
        <v>44999026971</v>
      </c>
      <c r="E1093" s="33">
        <v>80</v>
      </c>
      <c r="F1093" s="33">
        <v>39</v>
      </c>
      <c r="G1093" s="33" t="s">
        <v>38</v>
      </c>
      <c r="H1093" s="33" t="s">
        <v>7644</v>
      </c>
      <c r="I1093" s="33" t="s">
        <v>46</v>
      </c>
      <c r="J1093" s="33" t="s">
        <v>40</v>
      </c>
    </row>
    <row r="1094" spans="1:12" s="33" customFormat="1" hidden="1" x14ac:dyDescent="0.3">
      <c r="A1094" s="39">
        <v>46100.597858796296</v>
      </c>
      <c r="B1094" s="33">
        <v>44991388221</v>
      </c>
      <c r="C1094" s="33" t="s">
        <v>48</v>
      </c>
      <c r="D1094" s="33">
        <v>4430265054</v>
      </c>
      <c r="E1094" s="33">
        <v>1453</v>
      </c>
      <c r="F1094" s="33">
        <v>1381</v>
      </c>
      <c r="G1094" s="33" t="s">
        <v>38</v>
      </c>
      <c r="H1094" s="33" t="s">
        <v>7645</v>
      </c>
      <c r="I1094" s="33" t="s">
        <v>39</v>
      </c>
      <c r="J1094" s="33" t="s">
        <v>40</v>
      </c>
      <c r="K1094" s="33" t="s">
        <v>41</v>
      </c>
      <c r="L1094" s="33">
        <v>5</v>
      </c>
    </row>
    <row r="1095" spans="1:12" s="33" customFormat="1" hidden="1" x14ac:dyDescent="0.3">
      <c r="A1095" s="39">
        <v>46100.597766203704</v>
      </c>
      <c r="B1095" s="33">
        <v>4430345247</v>
      </c>
      <c r="C1095" s="33" t="s">
        <v>45</v>
      </c>
      <c r="D1095" s="33">
        <v>4430265054</v>
      </c>
      <c r="E1095" s="33">
        <v>544</v>
      </c>
      <c r="F1095" s="33">
        <v>447</v>
      </c>
      <c r="G1095" s="33" t="s">
        <v>38</v>
      </c>
      <c r="H1095" s="33" t="s">
        <v>7646</v>
      </c>
      <c r="I1095" s="33" t="s">
        <v>39</v>
      </c>
      <c r="J1095" s="33" t="s">
        <v>40</v>
      </c>
      <c r="K1095" s="33" t="s">
        <v>41</v>
      </c>
      <c r="L1095" s="33">
        <v>5</v>
      </c>
    </row>
    <row r="1096" spans="1:12" s="33" customFormat="1" hidden="1" x14ac:dyDescent="0.3">
      <c r="A1096" s="39">
        <v>46100.597361111111</v>
      </c>
      <c r="B1096" s="33">
        <v>4430459001</v>
      </c>
      <c r="C1096" s="33" t="s">
        <v>43</v>
      </c>
      <c r="D1096" s="33">
        <v>4430265054</v>
      </c>
      <c r="E1096" s="33">
        <v>455</v>
      </c>
      <c r="F1096" s="33">
        <v>417</v>
      </c>
      <c r="G1096" s="33" t="s">
        <v>38</v>
      </c>
      <c r="H1096" s="33" t="s">
        <v>7647</v>
      </c>
      <c r="I1096" s="33" t="s">
        <v>39</v>
      </c>
      <c r="J1096" s="33" t="s">
        <v>40</v>
      </c>
      <c r="K1096" s="33" t="s">
        <v>41</v>
      </c>
    </row>
    <row r="1097" spans="1:12" s="33" customFormat="1" hidden="1" x14ac:dyDescent="0.3">
      <c r="A1097" s="39">
        <v>46100.595034722224</v>
      </c>
      <c r="B1097" s="33">
        <v>44991041123</v>
      </c>
      <c r="C1097" s="33" t="s">
        <v>42</v>
      </c>
      <c r="D1097" s="33">
        <v>4430265054</v>
      </c>
      <c r="E1097" s="33">
        <v>357</v>
      </c>
      <c r="F1097" s="33">
        <v>240</v>
      </c>
      <c r="G1097" s="33" t="s">
        <v>38</v>
      </c>
      <c r="H1097" s="33" t="s">
        <v>7648</v>
      </c>
      <c r="I1097" s="33" t="s">
        <v>39</v>
      </c>
      <c r="J1097" s="33" t="s">
        <v>40</v>
      </c>
      <c r="K1097" s="33" t="s">
        <v>41</v>
      </c>
    </row>
    <row r="1098" spans="1:12" s="33" customFormat="1" hidden="1" x14ac:dyDescent="0.3">
      <c r="A1098" s="39">
        <v>46100.591111111113</v>
      </c>
      <c r="B1098" s="33" t="s">
        <v>48</v>
      </c>
      <c r="C1098" s="33">
        <v>4436313773</v>
      </c>
      <c r="E1098" s="33">
        <v>305</v>
      </c>
      <c r="F1098" s="33">
        <v>289</v>
      </c>
      <c r="G1098" s="33" t="s">
        <v>38</v>
      </c>
      <c r="H1098" s="33" t="s">
        <v>7649</v>
      </c>
      <c r="I1098" s="33" t="s">
        <v>46</v>
      </c>
      <c r="J1098" s="33" t="s">
        <v>40</v>
      </c>
    </row>
    <row r="1099" spans="1:12" s="33" customFormat="1" hidden="1" x14ac:dyDescent="0.3">
      <c r="A1099" s="39">
        <v>46100.590312499997</v>
      </c>
      <c r="B1099" s="33">
        <v>4436311970</v>
      </c>
      <c r="C1099" s="33">
        <v>4430265054</v>
      </c>
      <c r="D1099" s="33">
        <v>4430265054</v>
      </c>
      <c r="E1099" s="33">
        <v>36</v>
      </c>
      <c r="F1099" s="33">
        <v>36</v>
      </c>
      <c r="G1099" s="33" t="s">
        <v>3449</v>
      </c>
      <c r="H1099" s="33" t="s">
        <v>7650</v>
      </c>
      <c r="I1099" s="33" t="s">
        <v>39</v>
      </c>
      <c r="J1099" s="33" t="s">
        <v>3451</v>
      </c>
      <c r="K1099" s="33" t="s">
        <v>41</v>
      </c>
    </row>
    <row r="1100" spans="1:12" s="33" customFormat="1" hidden="1" x14ac:dyDescent="0.3">
      <c r="A1100" s="39">
        <v>46100.585763888892</v>
      </c>
      <c r="B1100" s="33">
        <v>4430191401</v>
      </c>
      <c r="C1100" s="33" t="s">
        <v>48</v>
      </c>
      <c r="D1100" s="33">
        <v>4430265054</v>
      </c>
      <c r="E1100" s="33">
        <v>375</v>
      </c>
      <c r="F1100" s="33">
        <v>375</v>
      </c>
      <c r="G1100" s="33" t="s">
        <v>38</v>
      </c>
      <c r="H1100" s="33" t="s">
        <v>7651</v>
      </c>
      <c r="I1100" s="33" t="s">
        <v>39</v>
      </c>
      <c r="J1100" s="33" t="s">
        <v>40</v>
      </c>
      <c r="K1100" s="33" t="s">
        <v>41</v>
      </c>
    </row>
    <row r="1101" spans="1:12" s="33" customFormat="1" hidden="1" x14ac:dyDescent="0.3">
      <c r="A1101" s="39">
        <v>46100.585601851853</v>
      </c>
      <c r="B1101" s="33" t="s">
        <v>42</v>
      </c>
      <c r="C1101" s="33">
        <v>4330333558</v>
      </c>
      <c r="E1101" s="33">
        <v>788</v>
      </c>
      <c r="F1101" s="33">
        <v>775</v>
      </c>
      <c r="G1101" s="33" t="s">
        <v>38</v>
      </c>
      <c r="H1101" s="33" t="s">
        <v>7652</v>
      </c>
      <c r="I1101" s="33" t="s">
        <v>46</v>
      </c>
      <c r="J1101" s="33" t="s">
        <v>40</v>
      </c>
    </row>
    <row r="1102" spans="1:12" s="33" customFormat="1" hidden="1" x14ac:dyDescent="0.3">
      <c r="A1102" s="39">
        <v>46100.580439814818</v>
      </c>
      <c r="B1102" s="33">
        <v>41999717893</v>
      </c>
      <c r="C1102" s="33" t="s">
        <v>45</v>
      </c>
      <c r="D1102" s="33">
        <v>4430265054</v>
      </c>
      <c r="E1102" s="33">
        <v>1132</v>
      </c>
      <c r="F1102" s="33">
        <v>1075</v>
      </c>
      <c r="G1102" s="33" t="s">
        <v>38</v>
      </c>
      <c r="H1102" s="33" t="s">
        <v>7653</v>
      </c>
      <c r="I1102" s="33" t="s">
        <v>39</v>
      </c>
      <c r="J1102" s="33" t="s">
        <v>40</v>
      </c>
      <c r="K1102" s="33" t="s">
        <v>41</v>
      </c>
    </row>
    <row r="1103" spans="1:12" s="33" customFormat="1" hidden="1" x14ac:dyDescent="0.3">
      <c r="A1103" s="39">
        <v>46100.579780092594</v>
      </c>
      <c r="B1103" s="33">
        <v>44999647912</v>
      </c>
      <c r="C1103" s="33" t="s">
        <v>48</v>
      </c>
      <c r="D1103" s="33">
        <v>4430265054</v>
      </c>
      <c r="E1103" s="33">
        <v>165</v>
      </c>
      <c r="F1103" s="33">
        <v>136</v>
      </c>
      <c r="G1103" s="33" t="s">
        <v>38</v>
      </c>
      <c r="H1103" s="33" t="s">
        <v>7654</v>
      </c>
      <c r="I1103" s="33" t="s">
        <v>39</v>
      </c>
      <c r="J1103" s="33" t="s">
        <v>40</v>
      </c>
      <c r="K1103" s="33" t="s">
        <v>41</v>
      </c>
    </row>
    <row r="1104" spans="1:12" s="33" customFormat="1" hidden="1" x14ac:dyDescent="0.3">
      <c r="A1104" s="39">
        <v>46100.579618055555</v>
      </c>
      <c r="B1104" s="33">
        <v>18996991511</v>
      </c>
      <c r="C1104" s="33" t="s">
        <v>37</v>
      </c>
      <c r="D1104" s="33">
        <v>4430265054</v>
      </c>
      <c r="E1104" s="33">
        <v>2701</v>
      </c>
      <c r="F1104" s="33">
        <v>2624</v>
      </c>
      <c r="G1104" s="33" t="s">
        <v>38</v>
      </c>
      <c r="H1104" s="33" t="s">
        <v>7655</v>
      </c>
      <c r="I1104" s="33" t="s">
        <v>39</v>
      </c>
      <c r="J1104" s="33" t="s">
        <v>40</v>
      </c>
      <c r="K1104" s="33" t="s">
        <v>41</v>
      </c>
    </row>
    <row r="1105" spans="1:12" s="33" customFormat="1" hidden="1" x14ac:dyDescent="0.3">
      <c r="A1105" s="39">
        <v>46100.579351851855</v>
      </c>
      <c r="B1105" s="33">
        <v>91985176746</v>
      </c>
      <c r="C1105" s="33" t="s">
        <v>43</v>
      </c>
      <c r="D1105" s="33">
        <v>4430265054</v>
      </c>
      <c r="E1105" s="33">
        <v>400</v>
      </c>
      <c r="F1105" s="33">
        <v>302</v>
      </c>
      <c r="G1105" s="33" t="s">
        <v>38</v>
      </c>
      <c r="H1105" s="33" t="s">
        <v>7656</v>
      </c>
      <c r="I1105" s="33" t="s">
        <v>39</v>
      </c>
      <c r="J1105" s="33" t="s">
        <v>40</v>
      </c>
      <c r="K1105" s="33" t="s">
        <v>41</v>
      </c>
      <c r="L1105" s="33">
        <v>5</v>
      </c>
    </row>
    <row r="1106" spans="1:12" s="33" customFormat="1" hidden="1" x14ac:dyDescent="0.3">
      <c r="A1106" s="39">
        <v>46100.578576388885</v>
      </c>
      <c r="B1106" s="33" t="s">
        <v>37</v>
      </c>
      <c r="C1106" s="33">
        <v>18996991511</v>
      </c>
      <c r="E1106" s="33">
        <v>11</v>
      </c>
      <c r="F1106" s="33">
        <v>0</v>
      </c>
      <c r="G1106" s="33" t="s">
        <v>47</v>
      </c>
      <c r="H1106" s="33" t="s">
        <v>7657</v>
      </c>
      <c r="I1106" s="33" t="s">
        <v>46</v>
      </c>
      <c r="J1106" s="33" t="s">
        <v>40</v>
      </c>
    </row>
    <row r="1107" spans="1:12" s="33" customFormat="1" hidden="1" x14ac:dyDescent="0.3">
      <c r="A1107" s="39">
        <v>46100.577939814815</v>
      </c>
      <c r="B1107" s="33" t="s">
        <v>37</v>
      </c>
      <c r="C1107" s="33">
        <v>18996991511</v>
      </c>
      <c r="E1107" s="33">
        <v>49</v>
      </c>
      <c r="F1107" s="33">
        <v>25</v>
      </c>
      <c r="G1107" s="33" t="s">
        <v>38</v>
      </c>
      <c r="H1107" s="33" t="s">
        <v>7658</v>
      </c>
      <c r="I1107" s="33" t="s">
        <v>46</v>
      </c>
      <c r="J1107" s="33" t="s">
        <v>40</v>
      </c>
    </row>
    <row r="1108" spans="1:12" s="33" customFormat="1" hidden="1" x14ac:dyDescent="0.3">
      <c r="A1108" s="39">
        <v>46100.577719907407</v>
      </c>
      <c r="B1108" s="33">
        <v>43999388040</v>
      </c>
      <c r="C1108" s="33" t="s">
        <v>45</v>
      </c>
      <c r="D1108" s="33">
        <v>4430265054</v>
      </c>
      <c r="E1108" s="33">
        <v>252</v>
      </c>
      <c r="F1108" s="33">
        <v>156</v>
      </c>
      <c r="G1108" s="33" t="s">
        <v>38</v>
      </c>
      <c r="H1108" s="33" t="s">
        <v>7659</v>
      </c>
      <c r="I1108" s="33" t="s">
        <v>39</v>
      </c>
      <c r="J1108" s="33" t="s">
        <v>40</v>
      </c>
      <c r="K1108" s="33" t="s">
        <v>41</v>
      </c>
    </row>
    <row r="1109" spans="1:12" s="33" customFormat="1" hidden="1" x14ac:dyDescent="0.3">
      <c r="A1109" s="39">
        <v>46100.577615740738</v>
      </c>
      <c r="B1109" s="33" t="s">
        <v>37</v>
      </c>
      <c r="C1109" s="33">
        <v>18996991511</v>
      </c>
      <c r="E1109" s="33">
        <v>15</v>
      </c>
      <c r="F1109" s="33">
        <v>0</v>
      </c>
      <c r="G1109" s="33" t="s">
        <v>47</v>
      </c>
      <c r="H1109" s="33" t="s">
        <v>7660</v>
      </c>
      <c r="I1109" s="33" t="s">
        <v>46</v>
      </c>
      <c r="J1109" s="33" t="s">
        <v>40</v>
      </c>
    </row>
    <row r="1110" spans="1:12" s="33" customFormat="1" hidden="1" x14ac:dyDescent="0.3">
      <c r="A1110" s="39">
        <v>46100.575300925928</v>
      </c>
      <c r="B1110" s="33">
        <v>1128787060</v>
      </c>
      <c r="C1110" s="33" t="s">
        <v>48</v>
      </c>
      <c r="D1110" s="33">
        <v>4430265054</v>
      </c>
      <c r="E1110" s="33">
        <v>129</v>
      </c>
      <c r="F1110" s="33">
        <v>96</v>
      </c>
      <c r="G1110" s="33" t="s">
        <v>38</v>
      </c>
      <c r="H1110" s="33" t="s">
        <v>7661</v>
      </c>
      <c r="I1110" s="33" t="s">
        <v>39</v>
      </c>
      <c r="J1110" s="33" t="s">
        <v>40</v>
      </c>
      <c r="K1110" s="33" t="s">
        <v>50</v>
      </c>
    </row>
    <row r="1111" spans="1:12" s="33" customFormat="1" hidden="1" x14ac:dyDescent="0.3">
      <c r="A1111" s="39">
        <v>46100.574201388888</v>
      </c>
      <c r="B1111" s="33">
        <v>4430459001</v>
      </c>
      <c r="C1111" s="33" t="s">
        <v>42</v>
      </c>
      <c r="D1111" s="33">
        <v>4430265054</v>
      </c>
      <c r="E1111" s="33">
        <v>645</v>
      </c>
      <c r="F1111" s="33">
        <v>558</v>
      </c>
      <c r="G1111" s="33" t="s">
        <v>38</v>
      </c>
      <c r="H1111" s="33" t="s">
        <v>7662</v>
      </c>
      <c r="I1111" s="33" t="s">
        <v>39</v>
      </c>
      <c r="J1111" s="33" t="s">
        <v>40</v>
      </c>
      <c r="K1111" s="33" t="s">
        <v>41</v>
      </c>
    </row>
    <row r="1112" spans="1:12" s="33" customFormat="1" hidden="1" x14ac:dyDescent="0.3">
      <c r="A1112" s="39">
        <v>46100.570752314816</v>
      </c>
      <c r="B1112" s="33">
        <v>44999856904</v>
      </c>
      <c r="C1112" s="33" t="s">
        <v>45</v>
      </c>
      <c r="D1112" s="33">
        <v>4430265054</v>
      </c>
      <c r="E1112" s="33">
        <v>510</v>
      </c>
      <c r="F1112" s="33">
        <v>449</v>
      </c>
      <c r="G1112" s="33" t="s">
        <v>38</v>
      </c>
      <c r="H1112" s="33" t="s">
        <v>7663</v>
      </c>
      <c r="I1112" s="33" t="s">
        <v>39</v>
      </c>
      <c r="J1112" s="33" t="s">
        <v>40</v>
      </c>
      <c r="K1112" s="33" t="s">
        <v>41</v>
      </c>
    </row>
    <row r="1113" spans="1:12" s="33" customFormat="1" hidden="1" x14ac:dyDescent="0.3">
      <c r="A1113" s="39">
        <v>46100.570648148147</v>
      </c>
      <c r="B1113" s="33">
        <v>43999110029</v>
      </c>
      <c r="C1113" s="33">
        <v>4430265054</v>
      </c>
      <c r="D1113" s="33">
        <v>4430265054</v>
      </c>
      <c r="E1113" s="33">
        <v>74</v>
      </c>
      <c r="F1113" s="33">
        <v>73</v>
      </c>
      <c r="G1113" s="33" t="s">
        <v>3449</v>
      </c>
      <c r="H1113" s="33" t="s">
        <v>7664</v>
      </c>
      <c r="I1113" s="33" t="s">
        <v>39</v>
      </c>
      <c r="J1113" s="33" t="s">
        <v>3451</v>
      </c>
      <c r="K1113" s="33" t="s">
        <v>41</v>
      </c>
    </row>
    <row r="1114" spans="1:12" s="33" customFormat="1" hidden="1" x14ac:dyDescent="0.3">
      <c r="A1114" s="39">
        <v>46100.564837962964</v>
      </c>
      <c r="B1114" s="33">
        <v>18996991511</v>
      </c>
      <c r="C1114" s="33" t="s">
        <v>45</v>
      </c>
      <c r="D1114" s="33">
        <v>4430265054</v>
      </c>
      <c r="E1114" s="33">
        <v>127</v>
      </c>
      <c r="F1114" s="33">
        <v>69</v>
      </c>
      <c r="G1114" s="33" t="s">
        <v>38</v>
      </c>
      <c r="H1114" s="33" t="s">
        <v>7665</v>
      </c>
      <c r="I1114" s="33" t="s">
        <v>39</v>
      </c>
      <c r="J1114" s="33" t="s">
        <v>40</v>
      </c>
      <c r="K1114" s="33" t="s">
        <v>41</v>
      </c>
    </row>
    <row r="1115" spans="1:12" s="33" customFormat="1" hidden="1" x14ac:dyDescent="0.3">
      <c r="A1115" s="39">
        <v>46100.562847222223</v>
      </c>
      <c r="B1115" s="33">
        <v>41999865917</v>
      </c>
      <c r="C1115" s="33" t="s">
        <v>44</v>
      </c>
      <c r="D1115" s="33">
        <v>4430265054</v>
      </c>
      <c r="E1115" s="33">
        <v>2520</v>
      </c>
      <c r="F1115" s="33">
        <v>2387</v>
      </c>
      <c r="G1115" s="33" t="s">
        <v>38</v>
      </c>
      <c r="H1115" s="33" t="s">
        <v>7666</v>
      </c>
      <c r="I1115" s="33" t="s">
        <v>39</v>
      </c>
      <c r="J1115" s="33" t="s">
        <v>40</v>
      </c>
      <c r="K1115" s="33" t="s">
        <v>41</v>
      </c>
    </row>
    <row r="1116" spans="1:12" s="33" customFormat="1" hidden="1" x14ac:dyDescent="0.3">
      <c r="A1116" s="39">
        <v>46100.561678240738</v>
      </c>
      <c r="B1116" s="33" t="s">
        <v>48</v>
      </c>
      <c r="C1116" s="33">
        <v>44991354005</v>
      </c>
      <c r="E1116" s="33">
        <v>118</v>
      </c>
      <c r="F1116" s="33">
        <v>111</v>
      </c>
      <c r="G1116" s="33" t="s">
        <v>38</v>
      </c>
      <c r="H1116" s="33" t="s">
        <v>7667</v>
      </c>
      <c r="I1116" s="33" t="s">
        <v>46</v>
      </c>
      <c r="J1116" s="33" t="s">
        <v>40</v>
      </c>
    </row>
    <row r="1117" spans="1:12" s="33" customFormat="1" hidden="1" x14ac:dyDescent="0.3">
      <c r="A1117" s="39">
        <v>46100.553865740738</v>
      </c>
      <c r="B1117" s="33">
        <v>44999856904</v>
      </c>
      <c r="C1117" s="33">
        <v>4430265054</v>
      </c>
      <c r="D1117" s="33">
        <v>4430265054</v>
      </c>
      <c r="E1117" s="33">
        <v>12</v>
      </c>
      <c r="F1117" s="33">
        <v>12</v>
      </c>
      <c r="G1117" s="33" t="s">
        <v>3449</v>
      </c>
      <c r="H1117" s="33" t="s">
        <v>7668</v>
      </c>
      <c r="I1117" s="33" t="s">
        <v>39</v>
      </c>
      <c r="J1117" s="33" t="s">
        <v>3451</v>
      </c>
    </row>
    <row r="1118" spans="1:12" s="33" customFormat="1" hidden="1" x14ac:dyDescent="0.3">
      <c r="A1118" s="39">
        <v>46100.552939814814</v>
      </c>
      <c r="B1118" s="33">
        <v>43999110029</v>
      </c>
      <c r="C1118" s="33">
        <v>4430265054</v>
      </c>
      <c r="D1118" s="33">
        <v>4430265054</v>
      </c>
      <c r="E1118" s="33">
        <v>16</v>
      </c>
      <c r="F1118" s="33">
        <v>16</v>
      </c>
      <c r="G1118" s="33" t="s">
        <v>3449</v>
      </c>
      <c r="H1118" s="33" t="s">
        <v>7669</v>
      </c>
      <c r="I1118" s="33" t="s">
        <v>39</v>
      </c>
      <c r="J1118" s="33" t="s">
        <v>3451</v>
      </c>
    </row>
    <row r="1119" spans="1:12" s="33" customFormat="1" hidden="1" x14ac:dyDescent="0.3">
      <c r="A1119" s="39">
        <v>46100.543842592589</v>
      </c>
      <c r="B1119" s="33">
        <v>4121413723</v>
      </c>
      <c r="C1119" s="33">
        <v>4531273168</v>
      </c>
      <c r="D1119" s="33">
        <v>4531273168</v>
      </c>
      <c r="E1119" s="33">
        <v>29</v>
      </c>
      <c r="F1119" s="33">
        <v>28</v>
      </c>
      <c r="G1119" s="33" t="s">
        <v>3449</v>
      </c>
      <c r="H1119" s="33" t="s">
        <v>7670</v>
      </c>
      <c r="I1119" s="33" t="s">
        <v>39</v>
      </c>
      <c r="J1119" s="33" t="s">
        <v>3451</v>
      </c>
    </row>
    <row r="1120" spans="1:12" s="33" customFormat="1" hidden="1" x14ac:dyDescent="0.3">
      <c r="A1120" s="39">
        <v>46100.508750000001</v>
      </c>
      <c r="B1120" s="33">
        <v>1128897100</v>
      </c>
      <c r="C1120" s="33">
        <v>4430265054</v>
      </c>
      <c r="D1120" s="33">
        <v>4430265054</v>
      </c>
      <c r="E1120" s="33">
        <v>13</v>
      </c>
      <c r="F1120" s="33">
        <v>13</v>
      </c>
      <c r="G1120" s="33" t="s">
        <v>3449</v>
      </c>
      <c r="H1120" s="33" t="s">
        <v>7671</v>
      </c>
      <c r="I1120" s="33" t="s">
        <v>39</v>
      </c>
      <c r="J1120" s="33" t="s">
        <v>3451</v>
      </c>
    </row>
    <row r="1121" spans="1:12" s="33" customFormat="1" hidden="1" x14ac:dyDescent="0.3">
      <c r="A1121" s="39">
        <v>46100.508217592593</v>
      </c>
      <c r="B1121" s="33">
        <v>1128897100</v>
      </c>
      <c r="C1121" s="33">
        <v>4430265054</v>
      </c>
      <c r="D1121" s="33">
        <v>4430265054</v>
      </c>
      <c r="E1121" s="33">
        <v>29</v>
      </c>
      <c r="F1121" s="33">
        <v>28</v>
      </c>
      <c r="G1121" s="33" t="s">
        <v>3449</v>
      </c>
      <c r="H1121" s="33" t="s">
        <v>7672</v>
      </c>
      <c r="I1121" s="33" t="s">
        <v>39</v>
      </c>
      <c r="J1121" s="33" t="s">
        <v>3451</v>
      </c>
    </row>
    <row r="1122" spans="1:12" s="33" customFormat="1" hidden="1" x14ac:dyDescent="0.3">
      <c r="A1122" s="39">
        <v>46100.488495370373</v>
      </c>
      <c r="B1122" s="33" t="s">
        <v>44</v>
      </c>
      <c r="C1122" s="33">
        <v>44999647912</v>
      </c>
      <c r="E1122" s="33">
        <v>480</v>
      </c>
      <c r="F1122" s="33">
        <v>467</v>
      </c>
      <c r="G1122" s="33" t="s">
        <v>38</v>
      </c>
      <c r="H1122" s="33" t="s">
        <v>7673</v>
      </c>
      <c r="I1122" s="33" t="s">
        <v>46</v>
      </c>
      <c r="J1122" s="33" t="s">
        <v>40</v>
      </c>
    </row>
    <row r="1123" spans="1:12" s="33" customFormat="1" hidden="1" x14ac:dyDescent="0.3">
      <c r="A1123" s="39">
        <v>46100.482800925929</v>
      </c>
      <c r="B1123" s="33">
        <v>41999865917</v>
      </c>
      <c r="C1123" s="33" t="s">
        <v>45</v>
      </c>
      <c r="D1123" s="33">
        <v>4430265054</v>
      </c>
      <c r="E1123" s="33">
        <v>1380</v>
      </c>
      <c r="F1123" s="33">
        <v>1315</v>
      </c>
      <c r="G1123" s="33" t="s">
        <v>38</v>
      </c>
      <c r="H1123" s="33" t="s">
        <v>7674</v>
      </c>
      <c r="I1123" s="33" t="s">
        <v>39</v>
      </c>
      <c r="J1123" s="33" t="s">
        <v>40</v>
      </c>
      <c r="K1123" s="33" t="s">
        <v>41</v>
      </c>
    </row>
    <row r="1124" spans="1:12" s="33" customFormat="1" hidden="1" x14ac:dyDescent="0.3">
      <c r="A1124" s="39">
        <v>46100.482245370367</v>
      </c>
      <c r="B1124" s="33" t="s">
        <v>3627</v>
      </c>
      <c r="C1124" s="33">
        <v>22991039083</v>
      </c>
      <c r="E1124" s="33">
        <v>28</v>
      </c>
      <c r="F1124" s="33">
        <v>0</v>
      </c>
      <c r="G1124" s="33" t="s">
        <v>47</v>
      </c>
      <c r="H1124" s="33" t="s">
        <v>7675</v>
      </c>
      <c r="I1124" s="33" t="s">
        <v>46</v>
      </c>
      <c r="J1124" s="33" t="s">
        <v>3629</v>
      </c>
    </row>
    <row r="1125" spans="1:12" s="33" customFormat="1" hidden="1" x14ac:dyDescent="0.3">
      <c r="A1125" s="39">
        <v>46100.481111111112</v>
      </c>
      <c r="B1125" s="33" t="s">
        <v>3627</v>
      </c>
      <c r="C1125" s="33">
        <v>6333009917</v>
      </c>
      <c r="E1125" s="33">
        <v>4</v>
      </c>
      <c r="F1125" s="33">
        <v>0</v>
      </c>
      <c r="G1125" s="33" t="s">
        <v>47</v>
      </c>
      <c r="H1125" s="33" t="s">
        <v>7676</v>
      </c>
      <c r="I1125" s="33" t="s">
        <v>46</v>
      </c>
      <c r="J1125" s="33" t="s">
        <v>3629</v>
      </c>
    </row>
    <row r="1126" spans="1:12" s="33" customFormat="1" hidden="1" x14ac:dyDescent="0.3">
      <c r="A1126" s="39">
        <v>46100.476342592592</v>
      </c>
      <c r="B1126" s="33">
        <v>44997687156</v>
      </c>
      <c r="C1126" s="33" t="s">
        <v>37</v>
      </c>
      <c r="D1126" s="33">
        <v>4430265054</v>
      </c>
      <c r="E1126" s="33">
        <v>265</v>
      </c>
      <c r="F1126" s="33">
        <v>235</v>
      </c>
      <c r="G1126" s="33" t="s">
        <v>38</v>
      </c>
      <c r="H1126" s="33" t="s">
        <v>7677</v>
      </c>
      <c r="I1126" s="33" t="s">
        <v>39</v>
      </c>
      <c r="J1126" s="33" t="s">
        <v>40</v>
      </c>
      <c r="K1126" s="33" t="s">
        <v>41</v>
      </c>
      <c r="L1126" s="33">
        <v>5</v>
      </c>
    </row>
    <row r="1127" spans="1:12" s="33" customFormat="1" hidden="1" x14ac:dyDescent="0.3">
      <c r="A1127" s="39">
        <v>46100.460752314815</v>
      </c>
      <c r="B1127" s="33">
        <v>44991314300</v>
      </c>
      <c r="C1127" s="33" t="s">
        <v>45</v>
      </c>
      <c r="D1127" s="33">
        <v>4430265054</v>
      </c>
      <c r="E1127" s="33">
        <v>1068</v>
      </c>
      <c r="F1127" s="33">
        <v>1051</v>
      </c>
      <c r="G1127" s="33" t="s">
        <v>38</v>
      </c>
      <c r="H1127" s="33" t="s">
        <v>7678</v>
      </c>
      <c r="I1127" s="33" t="s">
        <v>39</v>
      </c>
      <c r="J1127" s="33" t="s">
        <v>40</v>
      </c>
      <c r="K1127" s="33" t="s">
        <v>41</v>
      </c>
      <c r="L1127" s="33">
        <v>5</v>
      </c>
    </row>
    <row r="1128" spans="1:12" s="33" customFormat="1" hidden="1" x14ac:dyDescent="0.3">
      <c r="A1128" s="39">
        <v>46100.457951388889</v>
      </c>
      <c r="B1128" s="33">
        <v>4431230400</v>
      </c>
      <c r="C1128" s="33" t="s">
        <v>45</v>
      </c>
      <c r="D1128" s="33">
        <v>4430265054</v>
      </c>
      <c r="E1128" s="33">
        <v>217</v>
      </c>
      <c r="F1128" s="33">
        <v>161</v>
      </c>
      <c r="G1128" s="33" t="s">
        <v>38</v>
      </c>
      <c r="H1128" s="33" t="s">
        <v>7679</v>
      </c>
      <c r="I1128" s="33" t="s">
        <v>39</v>
      </c>
      <c r="J1128" s="33" t="s">
        <v>40</v>
      </c>
      <c r="K1128" s="33" t="s">
        <v>41</v>
      </c>
    </row>
    <row r="1129" spans="1:12" s="33" customFormat="1" hidden="1" x14ac:dyDescent="0.3">
      <c r="A1129" s="39">
        <v>46100.45784722222</v>
      </c>
      <c r="B1129" s="33">
        <v>4532541802</v>
      </c>
      <c r="C1129" s="33" t="s">
        <v>44</v>
      </c>
      <c r="D1129" s="33">
        <v>4430265054</v>
      </c>
      <c r="E1129" s="33">
        <v>1267</v>
      </c>
      <c r="F1129" s="33">
        <v>1130</v>
      </c>
      <c r="G1129" s="33" t="s">
        <v>38</v>
      </c>
      <c r="H1129" s="33" t="s">
        <v>7680</v>
      </c>
      <c r="I1129" s="33" t="s">
        <v>39</v>
      </c>
      <c r="J1129" s="33" t="s">
        <v>40</v>
      </c>
      <c r="K1129" s="33" t="s">
        <v>41</v>
      </c>
    </row>
    <row r="1130" spans="1:12" s="33" customFormat="1" hidden="1" x14ac:dyDescent="0.3">
      <c r="A1130" s="39">
        <v>46100.456886574073</v>
      </c>
      <c r="B1130" s="33">
        <v>44997400641</v>
      </c>
      <c r="C1130" s="33" t="s">
        <v>43</v>
      </c>
      <c r="D1130" s="33">
        <v>4430265054</v>
      </c>
      <c r="E1130" s="33">
        <v>512</v>
      </c>
      <c r="F1130" s="33">
        <v>457</v>
      </c>
      <c r="G1130" s="33" t="s">
        <v>38</v>
      </c>
      <c r="H1130" s="33" t="s">
        <v>7681</v>
      </c>
      <c r="I1130" s="33" t="s">
        <v>39</v>
      </c>
      <c r="J1130" s="33" t="s">
        <v>40</v>
      </c>
      <c r="K1130" s="33" t="s">
        <v>41</v>
      </c>
    </row>
    <row r="1131" spans="1:12" s="33" customFormat="1" hidden="1" x14ac:dyDescent="0.3">
      <c r="A1131" s="39">
        <v>46100.456087962964</v>
      </c>
      <c r="B1131" s="33">
        <v>4330333558</v>
      </c>
      <c r="C1131" s="33" t="s">
        <v>45</v>
      </c>
      <c r="D1131" s="33">
        <v>4430265054</v>
      </c>
      <c r="E1131" s="33">
        <v>183</v>
      </c>
      <c r="F1131" s="33">
        <v>164</v>
      </c>
      <c r="G1131" s="33" t="s">
        <v>38</v>
      </c>
      <c r="H1131" s="33" t="s">
        <v>7682</v>
      </c>
      <c r="I1131" s="33" t="s">
        <v>39</v>
      </c>
      <c r="J1131" s="33" t="s">
        <v>40</v>
      </c>
      <c r="K1131" s="33" t="s">
        <v>41</v>
      </c>
    </row>
    <row r="1132" spans="1:12" s="33" customFormat="1" hidden="1" x14ac:dyDescent="0.3">
      <c r="A1132" s="39">
        <v>46100.451261574075</v>
      </c>
      <c r="B1132" s="33">
        <v>4430459001</v>
      </c>
      <c r="C1132" s="33" t="s">
        <v>44</v>
      </c>
      <c r="D1132" s="33">
        <v>4430265054</v>
      </c>
      <c r="E1132" s="33">
        <v>493</v>
      </c>
      <c r="F1132" s="33">
        <v>322</v>
      </c>
      <c r="G1132" s="33" t="s">
        <v>38</v>
      </c>
      <c r="H1132" s="33" t="s">
        <v>7683</v>
      </c>
      <c r="I1132" s="33" t="s">
        <v>39</v>
      </c>
      <c r="J1132" s="33" t="s">
        <v>40</v>
      </c>
      <c r="K1132" s="33" t="s">
        <v>41</v>
      </c>
    </row>
    <row r="1133" spans="1:12" s="33" customFormat="1" hidden="1" x14ac:dyDescent="0.3">
      <c r="A1133" s="39">
        <v>46100.451192129629</v>
      </c>
      <c r="B1133" s="33" t="s">
        <v>48</v>
      </c>
      <c r="C1133" s="33">
        <v>4435223408</v>
      </c>
      <c r="E1133" s="33">
        <v>44</v>
      </c>
      <c r="F1133" s="33">
        <v>26</v>
      </c>
      <c r="G1133" s="33" t="s">
        <v>38</v>
      </c>
      <c r="H1133" s="33" t="s">
        <v>7684</v>
      </c>
      <c r="I1133" s="33" t="s">
        <v>46</v>
      </c>
      <c r="J1133" s="33" t="s">
        <v>40</v>
      </c>
    </row>
    <row r="1134" spans="1:12" s="33" customFormat="1" hidden="1" x14ac:dyDescent="0.3">
      <c r="A1134" s="39">
        <v>46100.451111111113</v>
      </c>
      <c r="B1134" s="33">
        <v>44991354005</v>
      </c>
      <c r="C1134" s="33" t="s">
        <v>48</v>
      </c>
      <c r="D1134" s="33">
        <v>4430265054</v>
      </c>
      <c r="E1134" s="33">
        <v>655</v>
      </c>
      <c r="F1134" s="33">
        <v>591</v>
      </c>
      <c r="G1134" s="33" t="s">
        <v>38</v>
      </c>
      <c r="H1134" s="33" t="s">
        <v>7685</v>
      </c>
      <c r="I1134" s="33" t="s">
        <v>39</v>
      </c>
      <c r="J1134" s="33" t="s">
        <v>40</v>
      </c>
      <c r="K1134" s="33" t="s">
        <v>41</v>
      </c>
    </row>
    <row r="1135" spans="1:12" s="33" customFormat="1" hidden="1" x14ac:dyDescent="0.3">
      <c r="A1135" s="39">
        <v>46100.450601851851</v>
      </c>
      <c r="B1135" s="33">
        <v>44991069557</v>
      </c>
      <c r="C1135" s="33" t="s">
        <v>44</v>
      </c>
      <c r="D1135" s="33">
        <v>4430265054</v>
      </c>
      <c r="E1135" s="33">
        <v>215</v>
      </c>
      <c r="F1135" s="33">
        <v>96</v>
      </c>
      <c r="G1135" s="33" t="s">
        <v>38</v>
      </c>
      <c r="H1135" s="33" t="s">
        <v>7686</v>
      </c>
      <c r="I1135" s="33" t="s">
        <v>39</v>
      </c>
      <c r="J1135" s="33" t="s">
        <v>40</v>
      </c>
      <c r="K1135" s="33" t="s">
        <v>41</v>
      </c>
    </row>
    <row r="1136" spans="1:12" s="33" customFormat="1" hidden="1" x14ac:dyDescent="0.3">
      <c r="A1136" s="39">
        <v>46100.450173611112</v>
      </c>
      <c r="B1136" s="33">
        <v>4435228300</v>
      </c>
      <c r="C1136" s="33" t="s">
        <v>43</v>
      </c>
      <c r="D1136" s="33">
        <v>4430265054</v>
      </c>
      <c r="E1136" s="33">
        <v>578</v>
      </c>
      <c r="F1136" s="33">
        <v>526</v>
      </c>
      <c r="G1136" s="33" t="s">
        <v>38</v>
      </c>
      <c r="H1136" s="33" t="s">
        <v>7687</v>
      </c>
      <c r="I1136" s="33" t="s">
        <v>39</v>
      </c>
      <c r="J1136" s="33" t="s">
        <v>40</v>
      </c>
      <c r="K1136" s="33" t="s">
        <v>41</v>
      </c>
    </row>
    <row r="1137" spans="1:12" s="33" customFormat="1" hidden="1" x14ac:dyDescent="0.3">
      <c r="A1137" s="39">
        <v>46100.449456018519</v>
      </c>
      <c r="B1137" s="33">
        <v>44988303530</v>
      </c>
      <c r="C1137" s="33" t="s">
        <v>45</v>
      </c>
      <c r="D1137" s="33">
        <v>4430265054</v>
      </c>
      <c r="E1137" s="33">
        <v>344</v>
      </c>
      <c r="F1137" s="33">
        <v>309</v>
      </c>
      <c r="G1137" s="33" t="s">
        <v>38</v>
      </c>
      <c r="H1137" s="33" t="s">
        <v>7688</v>
      </c>
      <c r="I1137" s="33" t="s">
        <v>39</v>
      </c>
      <c r="J1137" s="33" t="s">
        <v>40</v>
      </c>
      <c r="K1137" s="33" t="s">
        <v>41</v>
      </c>
      <c r="L1137" s="33">
        <v>5</v>
      </c>
    </row>
    <row r="1138" spans="1:12" s="33" customFormat="1" hidden="1" x14ac:dyDescent="0.3">
      <c r="A1138" s="39">
        <v>46100.442152777781</v>
      </c>
      <c r="B1138" s="33">
        <v>1438160351</v>
      </c>
      <c r="C1138" s="33">
        <v>4430265054</v>
      </c>
      <c r="D1138" s="33">
        <v>4430265054</v>
      </c>
      <c r="E1138" s="33">
        <v>9</v>
      </c>
      <c r="F1138" s="33">
        <v>8</v>
      </c>
      <c r="G1138" s="33" t="s">
        <v>3449</v>
      </c>
      <c r="H1138" s="33" t="s">
        <v>7689</v>
      </c>
      <c r="I1138" s="33" t="s">
        <v>39</v>
      </c>
      <c r="J1138" s="33" t="s">
        <v>3451</v>
      </c>
    </row>
    <row r="1139" spans="1:12" s="33" customFormat="1" hidden="1" x14ac:dyDescent="0.3">
      <c r="A1139" s="39">
        <v>46100.441296296296</v>
      </c>
      <c r="B1139" s="33">
        <v>44999647912</v>
      </c>
      <c r="C1139" s="33" t="s">
        <v>44</v>
      </c>
      <c r="D1139" s="33">
        <v>4430265054</v>
      </c>
      <c r="E1139" s="33">
        <v>305</v>
      </c>
      <c r="F1139" s="33">
        <v>202</v>
      </c>
      <c r="G1139" s="33" t="s">
        <v>38</v>
      </c>
      <c r="H1139" s="33" t="s">
        <v>7690</v>
      </c>
      <c r="I1139" s="33" t="s">
        <v>39</v>
      </c>
      <c r="J1139" s="33" t="s">
        <v>40</v>
      </c>
      <c r="K1139" s="33" t="s">
        <v>41</v>
      </c>
    </row>
    <row r="1140" spans="1:12" s="33" customFormat="1" hidden="1" x14ac:dyDescent="0.3">
      <c r="A1140" s="39">
        <v>46100.438888888886</v>
      </c>
      <c r="B1140" s="33">
        <v>4433660210</v>
      </c>
      <c r="C1140" s="33" t="s">
        <v>45</v>
      </c>
      <c r="D1140" s="33">
        <v>4430265054</v>
      </c>
      <c r="E1140" s="33">
        <v>54</v>
      </c>
      <c r="F1140" s="33">
        <v>20</v>
      </c>
      <c r="G1140" s="33" t="s">
        <v>38</v>
      </c>
      <c r="H1140" s="33" t="s">
        <v>7691</v>
      </c>
      <c r="I1140" s="33" t="s">
        <v>39</v>
      </c>
      <c r="J1140" s="33" t="s">
        <v>40</v>
      </c>
      <c r="K1140" s="33" t="s">
        <v>41</v>
      </c>
    </row>
    <row r="1141" spans="1:12" s="33" customFormat="1" hidden="1" x14ac:dyDescent="0.3">
      <c r="A1141" s="39">
        <v>46100.434305555558</v>
      </c>
      <c r="B1141" s="33">
        <v>3432424736</v>
      </c>
      <c r="C1141" s="33" t="s">
        <v>44</v>
      </c>
      <c r="D1141" s="33">
        <v>4430265054</v>
      </c>
      <c r="E1141" s="33">
        <v>382</v>
      </c>
      <c r="F1141" s="33">
        <v>251</v>
      </c>
      <c r="G1141" s="33" t="s">
        <v>38</v>
      </c>
      <c r="H1141" s="33" t="s">
        <v>7692</v>
      </c>
      <c r="I1141" s="33" t="s">
        <v>39</v>
      </c>
      <c r="J1141" s="33" t="s">
        <v>40</v>
      </c>
      <c r="K1141" s="33" t="s">
        <v>41</v>
      </c>
    </row>
    <row r="1142" spans="1:12" s="33" customFormat="1" hidden="1" x14ac:dyDescent="0.3">
      <c r="A1142" s="39">
        <v>46100.434016203704</v>
      </c>
      <c r="B1142" s="33">
        <v>44991062548</v>
      </c>
      <c r="C1142" s="33" t="s">
        <v>43</v>
      </c>
      <c r="D1142" s="33">
        <v>4430265054</v>
      </c>
      <c r="E1142" s="33">
        <v>940</v>
      </c>
      <c r="F1142" s="33">
        <v>851</v>
      </c>
      <c r="G1142" s="33" t="s">
        <v>38</v>
      </c>
      <c r="H1142" s="33" t="s">
        <v>7693</v>
      </c>
      <c r="I1142" s="33" t="s">
        <v>39</v>
      </c>
      <c r="J1142" s="33" t="s">
        <v>40</v>
      </c>
      <c r="K1142" s="33" t="s">
        <v>41</v>
      </c>
    </row>
    <row r="1143" spans="1:12" s="33" customFormat="1" hidden="1" x14ac:dyDescent="0.3">
      <c r="A1143" s="39">
        <v>46100.431145833332</v>
      </c>
      <c r="B1143" s="33">
        <v>4430291622</v>
      </c>
      <c r="C1143" s="33" t="s">
        <v>44</v>
      </c>
      <c r="D1143" s="33">
        <v>4430265054</v>
      </c>
      <c r="E1143" s="33">
        <v>262</v>
      </c>
      <c r="F1143" s="33">
        <v>170</v>
      </c>
      <c r="G1143" s="33" t="s">
        <v>38</v>
      </c>
      <c r="H1143" s="33" t="s">
        <v>7694</v>
      </c>
      <c r="I1143" s="33" t="s">
        <v>39</v>
      </c>
      <c r="J1143" s="33" t="s">
        <v>40</v>
      </c>
      <c r="K1143" s="33" t="s">
        <v>41</v>
      </c>
    </row>
    <row r="1144" spans="1:12" s="33" customFormat="1" hidden="1" x14ac:dyDescent="0.3">
      <c r="A1144" s="39">
        <v>46100.429571759261</v>
      </c>
      <c r="B1144" s="33">
        <v>4432321428</v>
      </c>
      <c r="C1144" s="33" t="s">
        <v>48</v>
      </c>
      <c r="D1144" s="33">
        <v>4430265054</v>
      </c>
      <c r="E1144" s="33">
        <v>767</v>
      </c>
      <c r="F1144" s="33">
        <v>767</v>
      </c>
      <c r="G1144" s="33" t="s">
        <v>38</v>
      </c>
      <c r="H1144" s="33" t="s">
        <v>7695</v>
      </c>
      <c r="I1144" s="33" t="s">
        <v>39</v>
      </c>
      <c r="J1144" s="33" t="s">
        <v>40</v>
      </c>
      <c r="K1144" s="33" t="s">
        <v>41</v>
      </c>
    </row>
    <row r="1145" spans="1:12" s="33" customFormat="1" hidden="1" x14ac:dyDescent="0.3">
      <c r="A1145" s="39">
        <v>46100.422361111108</v>
      </c>
      <c r="B1145" s="33" t="s">
        <v>3627</v>
      </c>
      <c r="C1145" s="33">
        <v>3232155034</v>
      </c>
      <c r="E1145" s="33">
        <v>56</v>
      </c>
      <c r="F1145" s="33">
        <v>0</v>
      </c>
      <c r="G1145" s="33" t="s">
        <v>47</v>
      </c>
      <c r="H1145" s="33" t="s">
        <v>7696</v>
      </c>
      <c r="I1145" s="33" t="s">
        <v>46</v>
      </c>
      <c r="J1145" s="33" t="s">
        <v>3629</v>
      </c>
    </row>
    <row r="1146" spans="1:12" s="33" customFormat="1" hidden="1" x14ac:dyDescent="0.3">
      <c r="A1146" s="39">
        <v>46100.422210648147</v>
      </c>
      <c r="B1146" s="33" t="s">
        <v>43</v>
      </c>
      <c r="C1146" s="33">
        <v>42984012429</v>
      </c>
      <c r="E1146" s="33">
        <v>5</v>
      </c>
      <c r="F1146" s="33">
        <v>0</v>
      </c>
      <c r="G1146" s="33" t="s">
        <v>47</v>
      </c>
      <c r="H1146" s="33" t="s">
        <v>7697</v>
      </c>
      <c r="I1146" s="33" t="s">
        <v>46</v>
      </c>
      <c r="J1146" s="33" t="s">
        <v>40</v>
      </c>
    </row>
    <row r="1147" spans="1:12" s="33" customFormat="1" hidden="1" x14ac:dyDescent="0.3">
      <c r="A1147" s="39">
        <v>46100.421527777777</v>
      </c>
      <c r="B1147" s="33">
        <v>44991388221</v>
      </c>
      <c r="C1147" s="33" t="s">
        <v>37</v>
      </c>
      <c r="D1147" s="33">
        <v>4430265054</v>
      </c>
      <c r="E1147" s="33">
        <v>3311</v>
      </c>
      <c r="F1147" s="33">
        <v>3139</v>
      </c>
      <c r="G1147" s="33" t="s">
        <v>38</v>
      </c>
      <c r="H1147" s="33" t="s">
        <v>7698</v>
      </c>
      <c r="I1147" s="33" t="s">
        <v>39</v>
      </c>
      <c r="J1147" s="33" t="s">
        <v>40</v>
      </c>
      <c r="K1147" s="33" t="s">
        <v>41</v>
      </c>
    </row>
    <row r="1148" spans="1:12" s="33" customFormat="1" hidden="1" x14ac:dyDescent="0.3">
      <c r="A1148" s="39">
        <v>46100.42083333333</v>
      </c>
      <c r="B1148" s="33">
        <v>44997687156</v>
      </c>
      <c r="C1148" s="33" t="s">
        <v>43</v>
      </c>
      <c r="D1148" s="33">
        <v>4430265054</v>
      </c>
      <c r="E1148" s="33">
        <v>851</v>
      </c>
      <c r="F1148" s="33">
        <v>715</v>
      </c>
      <c r="G1148" s="33" t="s">
        <v>38</v>
      </c>
      <c r="H1148" s="33" t="s">
        <v>7699</v>
      </c>
      <c r="I1148" s="33" t="s">
        <v>39</v>
      </c>
      <c r="J1148" s="33" t="s">
        <v>40</v>
      </c>
      <c r="K1148" s="33" t="s">
        <v>41</v>
      </c>
      <c r="L1148" s="33">
        <v>5</v>
      </c>
    </row>
    <row r="1149" spans="1:12" s="33" customFormat="1" hidden="1" x14ac:dyDescent="0.3">
      <c r="A1149" s="39">
        <v>46100.41673611111</v>
      </c>
      <c r="B1149" s="33">
        <v>44997719213</v>
      </c>
      <c r="C1149" s="33" t="s">
        <v>48</v>
      </c>
      <c r="D1149" s="33">
        <v>4430265054</v>
      </c>
      <c r="E1149" s="33">
        <v>127</v>
      </c>
      <c r="F1149" s="33">
        <v>90</v>
      </c>
      <c r="G1149" s="33" t="s">
        <v>38</v>
      </c>
      <c r="H1149" s="33" t="s">
        <v>7700</v>
      </c>
      <c r="I1149" s="33" t="s">
        <v>39</v>
      </c>
      <c r="J1149" s="33" t="s">
        <v>40</v>
      </c>
      <c r="K1149" s="33" t="s">
        <v>41</v>
      </c>
    </row>
    <row r="1150" spans="1:12" s="33" customFormat="1" hidden="1" x14ac:dyDescent="0.3">
      <c r="A1150" s="39">
        <v>46100.414039351854</v>
      </c>
      <c r="B1150" s="33">
        <v>4330333542</v>
      </c>
      <c r="C1150" s="33" t="s">
        <v>37</v>
      </c>
      <c r="D1150" s="33">
        <v>4430265054</v>
      </c>
      <c r="E1150" s="33">
        <v>412</v>
      </c>
      <c r="F1150" s="33">
        <v>373</v>
      </c>
      <c r="G1150" s="33" t="s">
        <v>38</v>
      </c>
      <c r="H1150" s="33" t="s">
        <v>7701</v>
      </c>
      <c r="I1150" s="33" t="s">
        <v>39</v>
      </c>
      <c r="J1150" s="33" t="s">
        <v>40</v>
      </c>
      <c r="K1150" s="33" t="s">
        <v>41</v>
      </c>
      <c r="L1150" s="33">
        <v>5</v>
      </c>
    </row>
    <row r="1151" spans="1:12" s="33" customFormat="1" hidden="1" x14ac:dyDescent="0.3">
      <c r="A1151" s="39">
        <v>46100.413969907408</v>
      </c>
      <c r="B1151" s="33">
        <v>4432541200</v>
      </c>
      <c r="C1151" s="33" t="s">
        <v>44</v>
      </c>
      <c r="D1151" s="33">
        <v>4430265054</v>
      </c>
      <c r="E1151" s="33">
        <v>382</v>
      </c>
      <c r="F1151" s="33">
        <v>304</v>
      </c>
      <c r="G1151" s="33" t="s">
        <v>38</v>
      </c>
      <c r="H1151" s="33" t="s">
        <v>7702</v>
      </c>
      <c r="I1151" s="33" t="s">
        <v>39</v>
      </c>
      <c r="J1151" s="33" t="s">
        <v>40</v>
      </c>
      <c r="K1151" s="33" t="s">
        <v>41</v>
      </c>
    </row>
    <row r="1152" spans="1:12" s="33" customFormat="1" hidden="1" x14ac:dyDescent="0.3">
      <c r="A1152" s="39">
        <v>46100.413124999999</v>
      </c>
      <c r="B1152" s="33">
        <v>43988030048</v>
      </c>
      <c r="C1152" s="33" t="s">
        <v>43</v>
      </c>
      <c r="D1152" s="33">
        <v>4430265054</v>
      </c>
      <c r="E1152" s="33">
        <v>481</v>
      </c>
      <c r="F1152" s="33">
        <v>393</v>
      </c>
      <c r="G1152" s="33" t="s">
        <v>38</v>
      </c>
      <c r="H1152" s="33" t="s">
        <v>7703</v>
      </c>
      <c r="I1152" s="33" t="s">
        <v>39</v>
      </c>
      <c r="J1152" s="33" t="s">
        <v>40</v>
      </c>
      <c r="K1152" s="33" t="s">
        <v>41</v>
      </c>
    </row>
    <row r="1153" spans="1:12" s="33" customFormat="1" hidden="1" x14ac:dyDescent="0.3">
      <c r="A1153" s="39">
        <v>46100.401886574073</v>
      </c>
      <c r="B1153" s="33">
        <v>44988255390</v>
      </c>
      <c r="C1153" s="33" t="s">
        <v>48</v>
      </c>
      <c r="D1153" s="33">
        <v>4430265054</v>
      </c>
      <c r="E1153" s="33">
        <v>650</v>
      </c>
      <c r="F1153" s="33">
        <v>615</v>
      </c>
      <c r="G1153" s="33" t="s">
        <v>38</v>
      </c>
      <c r="H1153" s="33" t="s">
        <v>7704</v>
      </c>
      <c r="I1153" s="33" t="s">
        <v>39</v>
      </c>
      <c r="J1153" s="33" t="s">
        <v>40</v>
      </c>
      <c r="K1153" s="33" t="s">
        <v>41</v>
      </c>
    </row>
    <row r="1154" spans="1:12" s="33" customFormat="1" hidden="1" x14ac:dyDescent="0.3">
      <c r="A1154" s="39">
        <v>46100.401608796295</v>
      </c>
      <c r="B1154" s="33">
        <v>44997719213</v>
      </c>
      <c r="C1154" s="33">
        <v>4430265054</v>
      </c>
      <c r="D1154" s="33">
        <v>4430265054</v>
      </c>
      <c r="E1154" s="33">
        <v>140</v>
      </c>
      <c r="F1154" s="33">
        <v>139</v>
      </c>
      <c r="G1154" s="33" t="s">
        <v>3449</v>
      </c>
      <c r="H1154" s="33" t="s">
        <v>7705</v>
      </c>
      <c r="I1154" s="33" t="s">
        <v>39</v>
      </c>
      <c r="J1154" s="33" t="s">
        <v>3451</v>
      </c>
      <c r="K1154" s="33" t="s">
        <v>41</v>
      </c>
    </row>
    <row r="1155" spans="1:12" s="33" customFormat="1" hidden="1" x14ac:dyDescent="0.3">
      <c r="A1155" s="39">
        <v>46100.39880787037</v>
      </c>
      <c r="B1155" s="33">
        <v>4330333558</v>
      </c>
      <c r="C1155" s="33" t="s">
        <v>42</v>
      </c>
      <c r="D1155" s="33">
        <v>4430265054</v>
      </c>
      <c r="E1155" s="33">
        <v>1860</v>
      </c>
      <c r="F1155" s="33">
        <v>1799</v>
      </c>
      <c r="G1155" s="33" t="s">
        <v>38</v>
      </c>
      <c r="H1155" s="33" t="s">
        <v>7706</v>
      </c>
      <c r="I1155" s="33" t="s">
        <v>39</v>
      </c>
      <c r="J1155" s="33" t="s">
        <v>40</v>
      </c>
      <c r="K1155" s="33" t="s">
        <v>41</v>
      </c>
    </row>
    <row r="1156" spans="1:12" s="33" customFormat="1" x14ac:dyDescent="0.3">
      <c r="A1156" s="39">
        <v>46100.395740740743</v>
      </c>
      <c r="B1156" s="33">
        <v>44999090169</v>
      </c>
      <c r="C1156" s="33" t="s">
        <v>42</v>
      </c>
      <c r="D1156" s="33">
        <v>4430265054</v>
      </c>
      <c r="E1156" s="33">
        <v>285</v>
      </c>
      <c r="F1156" s="33">
        <v>243</v>
      </c>
      <c r="G1156" s="33" t="s">
        <v>38</v>
      </c>
      <c r="H1156" s="33" t="s">
        <v>7707</v>
      </c>
      <c r="I1156" s="33" t="s">
        <v>39</v>
      </c>
      <c r="J1156" s="33" t="s">
        <v>40</v>
      </c>
      <c r="K1156" s="33" t="s">
        <v>41</v>
      </c>
      <c r="L1156" s="33">
        <v>5</v>
      </c>
    </row>
    <row r="1157" spans="1:12" s="33" customFormat="1" hidden="1" x14ac:dyDescent="0.3">
      <c r="A1157" s="39">
        <v>46100.390775462962</v>
      </c>
      <c r="B1157" s="33">
        <v>44991388221</v>
      </c>
      <c r="C1157" s="33" t="s">
        <v>48</v>
      </c>
      <c r="D1157" s="33">
        <v>4430265054</v>
      </c>
      <c r="E1157" s="33">
        <v>333</v>
      </c>
      <c r="F1157" s="33">
        <v>312</v>
      </c>
      <c r="G1157" s="33" t="s">
        <v>38</v>
      </c>
      <c r="H1157" s="33" t="s">
        <v>7708</v>
      </c>
      <c r="I1157" s="33" t="s">
        <v>39</v>
      </c>
      <c r="J1157" s="33" t="s">
        <v>40</v>
      </c>
      <c r="K1157" s="33" t="s">
        <v>41</v>
      </c>
    </row>
    <row r="1158" spans="1:12" s="33" customFormat="1" hidden="1" x14ac:dyDescent="0.3">
      <c r="A1158" s="39">
        <v>46100.389351851853</v>
      </c>
      <c r="B1158" s="33">
        <v>43988030048</v>
      </c>
      <c r="C1158" s="33" t="s">
        <v>43</v>
      </c>
      <c r="D1158" s="33">
        <v>4430265054</v>
      </c>
      <c r="E1158" s="33">
        <v>1513</v>
      </c>
      <c r="F1158" s="33">
        <v>1289</v>
      </c>
      <c r="G1158" s="33" t="s">
        <v>38</v>
      </c>
      <c r="H1158" s="33" t="s">
        <v>7709</v>
      </c>
      <c r="I1158" s="33" t="s">
        <v>39</v>
      </c>
      <c r="J1158" s="33" t="s">
        <v>40</v>
      </c>
      <c r="K1158" s="33" t="s">
        <v>41</v>
      </c>
    </row>
    <row r="1159" spans="1:12" s="33" customFormat="1" x14ac:dyDescent="0.3">
      <c r="A1159" s="39">
        <v>46100.388171296298</v>
      </c>
      <c r="B1159" s="33">
        <v>4330333542</v>
      </c>
      <c r="C1159" s="33" t="s">
        <v>42</v>
      </c>
      <c r="D1159" s="33">
        <v>4430265054</v>
      </c>
      <c r="E1159" s="33">
        <v>380</v>
      </c>
      <c r="F1159" s="33">
        <v>355</v>
      </c>
      <c r="G1159" s="33" t="s">
        <v>38</v>
      </c>
      <c r="H1159" s="33" t="s">
        <v>7710</v>
      </c>
      <c r="I1159" s="33" t="s">
        <v>39</v>
      </c>
      <c r="J1159" s="33" t="s">
        <v>40</v>
      </c>
      <c r="K1159" s="33" t="s">
        <v>41</v>
      </c>
      <c r="L1159" s="33">
        <v>5</v>
      </c>
    </row>
    <row r="1160" spans="1:12" s="33" customFormat="1" hidden="1" x14ac:dyDescent="0.3">
      <c r="A1160" s="39">
        <v>46100.385671296295</v>
      </c>
      <c r="B1160" s="33">
        <v>4436292373</v>
      </c>
      <c r="C1160" s="33" t="s">
        <v>43</v>
      </c>
      <c r="D1160" s="33">
        <v>4430265054</v>
      </c>
      <c r="E1160" s="33">
        <v>508</v>
      </c>
      <c r="F1160" s="33">
        <v>425</v>
      </c>
      <c r="G1160" s="33" t="s">
        <v>38</v>
      </c>
      <c r="H1160" s="33" t="s">
        <v>7711</v>
      </c>
      <c r="I1160" s="33" t="s">
        <v>39</v>
      </c>
      <c r="J1160" s="33" t="s">
        <v>40</v>
      </c>
      <c r="K1160" s="33" t="s">
        <v>41</v>
      </c>
    </row>
    <row r="1161" spans="1:12" s="33" customFormat="1" hidden="1" x14ac:dyDescent="0.3">
      <c r="A1161" s="39">
        <v>46100.379652777781</v>
      </c>
      <c r="B1161" s="33">
        <v>47999760576</v>
      </c>
      <c r="C1161" s="33" t="s">
        <v>44</v>
      </c>
      <c r="D1161" s="33">
        <v>4430265054</v>
      </c>
      <c r="E1161" s="33">
        <v>2702</v>
      </c>
      <c r="F1161" s="33">
        <v>2630</v>
      </c>
      <c r="G1161" s="33" t="s">
        <v>38</v>
      </c>
      <c r="H1161" s="33" t="s">
        <v>7712</v>
      </c>
      <c r="I1161" s="33" t="s">
        <v>39</v>
      </c>
      <c r="J1161" s="33" t="s">
        <v>40</v>
      </c>
      <c r="K1161" s="33" t="s">
        <v>41</v>
      </c>
    </row>
    <row r="1162" spans="1:12" s="33" customFormat="1" hidden="1" x14ac:dyDescent="0.3">
      <c r="A1162" s="39">
        <v>46100.378738425927</v>
      </c>
      <c r="B1162" s="33">
        <v>4430459001</v>
      </c>
      <c r="C1162" s="33" t="s">
        <v>43</v>
      </c>
      <c r="D1162" s="33">
        <v>4430265054</v>
      </c>
      <c r="E1162" s="33">
        <v>533</v>
      </c>
      <c r="F1162" s="33">
        <v>478</v>
      </c>
      <c r="G1162" s="33" t="s">
        <v>38</v>
      </c>
      <c r="H1162" s="33" t="s">
        <v>7713</v>
      </c>
      <c r="I1162" s="33" t="s">
        <v>39</v>
      </c>
      <c r="J1162" s="33" t="s">
        <v>40</v>
      </c>
      <c r="K1162" s="33" t="s">
        <v>41</v>
      </c>
    </row>
    <row r="1163" spans="1:12" s="33" customFormat="1" hidden="1" x14ac:dyDescent="0.3">
      <c r="A1163" s="39">
        <v>46100.375740740739</v>
      </c>
      <c r="B1163" s="33">
        <v>1128897100</v>
      </c>
      <c r="C1163" s="33" t="s">
        <v>48</v>
      </c>
      <c r="D1163" s="33">
        <v>4430265054</v>
      </c>
      <c r="E1163" s="33">
        <v>193</v>
      </c>
      <c r="F1163" s="33">
        <v>174</v>
      </c>
      <c r="G1163" s="33" t="s">
        <v>38</v>
      </c>
      <c r="H1163" s="33" t="s">
        <v>7714</v>
      </c>
      <c r="I1163" s="33" t="s">
        <v>39</v>
      </c>
      <c r="J1163" s="33" t="s">
        <v>40</v>
      </c>
      <c r="K1163" s="33" t="s">
        <v>41</v>
      </c>
    </row>
    <row r="1164" spans="1:12" s="33" customFormat="1" hidden="1" x14ac:dyDescent="0.3">
      <c r="A1164" s="39">
        <v>46100.372685185182</v>
      </c>
      <c r="B1164" s="33">
        <v>4432541143</v>
      </c>
      <c r="C1164" s="33" t="s">
        <v>44</v>
      </c>
      <c r="D1164" s="33">
        <v>4430265054</v>
      </c>
      <c r="E1164" s="33">
        <v>72</v>
      </c>
      <c r="F1164" s="33">
        <v>59</v>
      </c>
      <c r="G1164" s="33" t="s">
        <v>38</v>
      </c>
      <c r="H1164" s="33" t="s">
        <v>7715</v>
      </c>
      <c r="I1164" s="33" t="s">
        <v>39</v>
      </c>
      <c r="J1164" s="33" t="s">
        <v>40</v>
      </c>
      <c r="K1164" s="33" t="s">
        <v>41</v>
      </c>
    </row>
    <row r="1165" spans="1:12" s="33" customFormat="1" hidden="1" x14ac:dyDescent="0.3">
      <c r="A1165" s="39">
        <v>46100.370833333334</v>
      </c>
      <c r="B1165" s="33">
        <v>4430145151</v>
      </c>
      <c r="C1165" s="33" t="s">
        <v>42</v>
      </c>
      <c r="D1165" s="33">
        <v>4430265054</v>
      </c>
      <c r="E1165" s="33">
        <v>1091</v>
      </c>
      <c r="F1165" s="33">
        <v>1053</v>
      </c>
      <c r="G1165" s="33" t="s">
        <v>38</v>
      </c>
      <c r="H1165" s="33" t="s">
        <v>7716</v>
      </c>
      <c r="I1165" s="33" t="s">
        <v>39</v>
      </c>
      <c r="J1165" s="33" t="s">
        <v>40</v>
      </c>
      <c r="K1165" s="33" t="s">
        <v>41</v>
      </c>
    </row>
    <row r="1166" spans="1:12" s="33" customFormat="1" hidden="1" x14ac:dyDescent="0.3">
      <c r="A1166" s="39">
        <v>46100.368703703702</v>
      </c>
      <c r="B1166" s="33">
        <v>4435224223</v>
      </c>
      <c r="C1166" s="33" t="s">
        <v>43</v>
      </c>
      <c r="D1166" s="33">
        <v>4430265054</v>
      </c>
      <c r="E1166" s="33">
        <v>525</v>
      </c>
      <c r="F1166" s="33">
        <v>457</v>
      </c>
      <c r="G1166" s="33" t="s">
        <v>38</v>
      </c>
      <c r="H1166" s="33" t="s">
        <v>7717</v>
      </c>
      <c r="I1166" s="33" t="s">
        <v>39</v>
      </c>
      <c r="J1166" s="33" t="s">
        <v>40</v>
      </c>
      <c r="K1166" s="33" t="s">
        <v>41</v>
      </c>
    </row>
    <row r="1167" spans="1:12" s="33" customFormat="1" hidden="1" x14ac:dyDescent="0.3">
      <c r="A1167" s="39">
        <v>46100.367152777777</v>
      </c>
      <c r="B1167" s="33">
        <v>2222100098</v>
      </c>
      <c r="C1167" s="33" t="s">
        <v>43</v>
      </c>
      <c r="D1167" s="33">
        <v>4430265054</v>
      </c>
      <c r="E1167" s="33">
        <v>120</v>
      </c>
      <c r="F1167" s="33">
        <v>81</v>
      </c>
      <c r="G1167" s="33" t="s">
        <v>38</v>
      </c>
      <c r="H1167" s="33" t="s">
        <v>7718</v>
      </c>
      <c r="I1167" s="33" t="s">
        <v>39</v>
      </c>
      <c r="J1167" s="33" t="s">
        <v>40</v>
      </c>
      <c r="K1167" s="33" t="s">
        <v>41</v>
      </c>
    </row>
    <row r="1168" spans="1:12" s="33" customFormat="1" hidden="1" x14ac:dyDescent="0.3">
      <c r="A1168" s="39">
        <v>46100.364988425928</v>
      </c>
      <c r="B1168" s="33" t="s">
        <v>45</v>
      </c>
      <c r="C1168" s="33">
        <v>77998695504</v>
      </c>
      <c r="E1168" s="33">
        <v>6373</v>
      </c>
      <c r="F1168" s="33">
        <v>6365</v>
      </c>
      <c r="G1168" s="33" t="s">
        <v>38</v>
      </c>
      <c r="H1168" s="33" t="s">
        <v>7719</v>
      </c>
      <c r="I1168" s="33" t="s">
        <v>46</v>
      </c>
      <c r="J1168" s="33" t="s">
        <v>40</v>
      </c>
    </row>
    <row r="1169" spans="1:12" s="33" customFormat="1" hidden="1" x14ac:dyDescent="0.3">
      <c r="A1169" s="39">
        <v>46100.364085648151</v>
      </c>
      <c r="B1169" s="33" t="s">
        <v>45</v>
      </c>
      <c r="C1169" s="33">
        <v>77998695504</v>
      </c>
      <c r="E1169" s="33">
        <v>62</v>
      </c>
      <c r="F1169" s="33">
        <v>25</v>
      </c>
      <c r="G1169" s="33" t="s">
        <v>38</v>
      </c>
      <c r="H1169" s="33" t="s">
        <v>7720</v>
      </c>
      <c r="I1169" s="33" t="s">
        <v>46</v>
      </c>
      <c r="J1169" s="33" t="s">
        <v>40</v>
      </c>
    </row>
    <row r="1170" spans="1:12" s="33" customFormat="1" hidden="1" x14ac:dyDescent="0.3">
      <c r="A1170" s="39">
        <v>46100.363425925927</v>
      </c>
      <c r="B1170" s="33" t="s">
        <v>45</v>
      </c>
      <c r="C1170" s="33">
        <v>77998695504</v>
      </c>
      <c r="E1170" s="33">
        <v>45</v>
      </c>
      <c r="F1170" s="33">
        <v>7</v>
      </c>
      <c r="G1170" s="33" t="s">
        <v>38</v>
      </c>
      <c r="H1170" s="33" t="s">
        <v>7721</v>
      </c>
      <c r="I1170" s="33" t="s">
        <v>46</v>
      </c>
      <c r="J1170" s="33" t="s">
        <v>40</v>
      </c>
    </row>
    <row r="1171" spans="1:12" s="33" customFormat="1" hidden="1" x14ac:dyDescent="0.3">
      <c r="A1171" s="39">
        <v>46100.362754629627</v>
      </c>
      <c r="B1171" s="33">
        <v>67992169496</v>
      </c>
      <c r="C1171" s="33" t="s">
        <v>42</v>
      </c>
      <c r="D1171" s="33">
        <v>4430265054</v>
      </c>
      <c r="E1171" s="33">
        <v>349</v>
      </c>
      <c r="F1171" s="33">
        <v>231</v>
      </c>
      <c r="G1171" s="33" t="s">
        <v>38</v>
      </c>
      <c r="H1171" s="33" t="s">
        <v>7722</v>
      </c>
      <c r="I1171" s="33" t="s">
        <v>39</v>
      </c>
      <c r="J1171" s="33" t="s">
        <v>40</v>
      </c>
      <c r="K1171" s="33" t="s">
        <v>41</v>
      </c>
    </row>
    <row r="1172" spans="1:12" s="33" customFormat="1" hidden="1" x14ac:dyDescent="0.3">
      <c r="A1172" s="39">
        <v>46100.359699074077</v>
      </c>
      <c r="B1172" s="33">
        <v>4430191401</v>
      </c>
      <c r="C1172" s="33" t="s">
        <v>45</v>
      </c>
      <c r="D1172" s="33">
        <v>4430265054</v>
      </c>
      <c r="E1172" s="33">
        <v>330</v>
      </c>
      <c r="F1172" s="33">
        <v>239</v>
      </c>
      <c r="G1172" s="33" t="s">
        <v>38</v>
      </c>
      <c r="H1172" s="33" t="s">
        <v>7723</v>
      </c>
      <c r="I1172" s="33" t="s">
        <v>39</v>
      </c>
      <c r="J1172" s="33" t="s">
        <v>40</v>
      </c>
      <c r="K1172" s="33" t="s">
        <v>41</v>
      </c>
      <c r="L1172" s="33">
        <v>3</v>
      </c>
    </row>
    <row r="1173" spans="1:12" s="33" customFormat="1" hidden="1" x14ac:dyDescent="0.3">
      <c r="A1173" s="39">
        <v>46100.357638888891</v>
      </c>
      <c r="B1173" s="33">
        <v>43988030048</v>
      </c>
      <c r="C1173" s="33" t="s">
        <v>44</v>
      </c>
      <c r="D1173" s="33">
        <v>4430265054</v>
      </c>
      <c r="E1173" s="33">
        <v>787</v>
      </c>
      <c r="F1173" s="33">
        <v>711</v>
      </c>
      <c r="G1173" s="33" t="s">
        <v>38</v>
      </c>
      <c r="H1173" s="33" t="s">
        <v>7724</v>
      </c>
      <c r="I1173" s="33" t="s">
        <v>39</v>
      </c>
      <c r="J1173" s="33" t="s">
        <v>40</v>
      </c>
      <c r="K1173" s="33" t="s">
        <v>41</v>
      </c>
    </row>
    <row r="1174" spans="1:12" s="33" customFormat="1" hidden="1" x14ac:dyDescent="0.3">
      <c r="A1174" s="39">
        <v>46100.357442129629</v>
      </c>
      <c r="B1174" s="33">
        <v>43988030048</v>
      </c>
      <c r="C1174" s="33">
        <v>4430265054</v>
      </c>
      <c r="D1174" s="33">
        <v>4430265054</v>
      </c>
      <c r="E1174" s="33">
        <v>10</v>
      </c>
      <c r="F1174" s="33">
        <v>9</v>
      </c>
      <c r="G1174" s="33" t="s">
        <v>3449</v>
      </c>
      <c r="H1174" s="33" t="s">
        <v>7725</v>
      </c>
      <c r="I1174" s="33" t="s">
        <v>39</v>
      </c>
      <c r="J1174" s="33" t="s">
        <v>3451</v>
      </c>
    </row>
    <row r="1175" spans="1:12" s="33" customFormat="1" hidden="1" x14ac:dyDescent="0.3">
      <c r="A1175" s="39">
        <v>46100.356817129628</v>
      </c>
      <c r="B1175" s="33">
        <v>4432272377</v>
      </c>
      <c r="C1175" s="33" t="s">
        <v>45</v>
      </c>
      <c r="D1175" s="33">
        <v>4430265054</v>
      </c>
      <c r="E1175" s="33">
        <v>346</v>
      </c>
      <c r="F1175" s="33">
        <v>285</v>
      </c>
      <c r="G1175" s="33" t="s">
        <v>38</v>
      </c>
      <c r="H1175" s="33" t="s">
        <v>7726</v>
      </c>
      <c r="I1175" s="33" t="s">
        <v>39</v>
      </c>
      <c r="J1175" s="33" t="s">
        <v>40</v>
      </c>
      <c r="K1175" s="33" t="s">
        <v>41</v>
      </c>
      <c r="L1175" s="33">
        <v>5</v>
      </c>
    </row>
    <row r="1176" spans="1:12" s="33" customFormat="1" hidden="1" x14ac:dyDescent="0.3">
      <c r="A1176" s="39">
        <v>46100.355810185189</v>
      </c>
      <c r="B1176" s="33">
        <v>4432541200</v>
      </c>
      <c r="C1176" s="33" t="s">
        <v>43</v>
      </c>
      <c r="D1176" s="33">
        <v>4430265054</v>
      </c>
      <c r="E1176" s="33">
        <v>589</v>
      </c>
      <c r="F1176" s="33">
        <v>487</v>
      </c>
      <c r="G1176" s="33" t="s">
        <v>38</v>
      </c>
      <c r="H1176" s="33" t="s">
        <v>7727</v>
      </c>
      <c r="I1176" s="33" t="s">
        <v>39</v>
      </c>
      <c r="J1176" s="33" t="s">
        <v>40</v>
      </c>
      <c r="K1176" s="33" t="s">
        <v>41</v>
      </c>
      <c r="L1176" s="33">
        <v>5</v>
      </c>
    </row>
    <row r="1177" spans="1:12" s="33" customFormat="1" hidden="1" x14ac:dyDescent="0.3">
      <c r="A1177" s="39">
        <v>46100.35533564815</v>
      </c>
      <c r="B1177" s="33">
        <v>4435224223</v>
      </c>
      <c r="C1177" s="33" t="s">
        <v>44</v>
      </c>
      <c r="D1177" s="33">
        <v>4430265054</v>
      </c>
      <c r="E1177" s="33">
        <v>178</v>
      </c>
      <c r="F1177" s="33">
        <v>89</v>
      </c>
      <c r="G1177" s="33" t="s">
        <v>38</v>
      </c>
      <c r="H1177" s="33" t="s">
        <v>7728</v>
      </c>
      <c r="I1177" s="33" t="s">
        <v>39</v>
      </c>
      <c r="J1177" s="33" t="s">
        <v>40</v>
      </c>
      <c r="K1177" s="33" t="s">
        <v>41</v>
      </c>
    </row>
    <row r="1178" spans="1:12" s="33" customFormat="1" hidden="1" x14ac:dyDescent="0.3">
      <c r="A1178" s="39">
        <v>46100.352708333332</v>
      </c>
      <c r="B1178" s="33" t="s">
        <v>42</v>
      </c>
      <c r="C1178" s="33">
        <v>4532541996</v>
      </c>
      <c r="E1178" s="33">
        <v>49</v>
      </c>
      <c r="F1178" s="33">
        <v>41</v>
      </c>
      <c r="G1178" s="33" t="s">
        <v>38</v>
      </c>
      <c r="H1178" s="33" t="s">
        <v>7729</v>
      </c>
      <c r="I1178" s="33" t="s">
        <v>46</v>
      </c>
      <c r="J1178" s="33" t="s">
        <v>40</v>
      </c>
    </row>
    <row r="1179" spans="1:12" s="33" customFormat="1" hidden="1" x14ac:dyDescent="0.3">
      <c r="A1179" s="39">
        <v>46099.741574074076</v>
      </c>
      <c r="B1179" s="33">
        <v>45999211333</v>
      </c>
      <c r="C1179" s="33" t="s">
        <v>42</v>
      </c>
      <c r="D1179" s="33">
        <v>4430265054</v>
      </c>
      <c r="E1179" s="33">
        <v>910</v>
      </c>
      <c r="F1179" s="33">
        <v>780</v>
      </c>
      <c r="G1179" s="33" t="s">
        <v>38</v>
      </c>
      <c r="H1179" s="33" t="s">
        <v>7730</v>
      </c>
      <c r="I1179" s="33" t="s">
        <v>39</v>
      </c>
      <c r="J1179" s="33" t="s">
        <v>40</v>
      </c>
      <c r="K1179" s="33" t="s">
        <v>41</v>
      </c>
    </row>
    <row r="1180" spans="1:12" s="33" customFormat="1" hidden="1" x14ac:dyDescent="0.3">
      <c r="A1180" s="39">
        <v>46099.724004629628</v>
      </c>
      <c r="B1180" s="33">
        <v>4434239353</v>
      </c>
      <c r="C1180" s="33" t="s">
        <v>48</v>
      </c>
      <c r="D1180" s="33">
        <v>4430265054</v>
      </c>
      <c r="E1180" s="33">
        <v>803</v>
      </c>
      <c r="F1180" s="33">
        <v>802</v>
      </c>
      <c r="G1180" s="33" t="s">
        <v>38</v>
      </c>
      <c r="H1180" s="33" t="s">
        <v>7731</v>
      </c>
      <c r="I1180" s="33" t="s">
        <v>39</v>
      </c>
      <c r="J1180" s="33" t="s">
        <v>40</v>
      </c>
      <c r="K1180" s="33" t="s">
        <v>41</v>
      </c>
    </row>
    <row r="1181" spans="1:12" s="33" customFormat="1" hidden="1" x14ac:dyDescent="0.3">
      <c r="A1181" s="39">
        <v>46099.718842592592</v>
      </c>
      <c r="B1181" s="33" t="s">
        <v>45</v>
      </c>
      <c r="C1181" s="33">
        <v>4433542435</v>
      </c>
      <c r="E1181" s="33">
        <v>4</v>
      </c>
      <c r="F1181" s="33">
        <v>0</v>
      </c>
      <c r="G1181" s="33" t="s">
        <v>47</v>
      </c>
      <c r="H1181" s="33" t="s">
        <v>7732</v>
      </c>
      <c r="I1181" s="33" t="s">
        <v>46</v>
      </c>
      <c r="J1181" s="33" t="s">
        <v>40</v>
      </c>
    </row>
    <row r="1182" spans="1:12" s="33" customFormat="1" hidden="1" x14ac:dyDescent="0.3">
      <c r="A1182" s="39">
        <v>46099.715671296297</v>
      </c>
      <c r="B1182" s="33" t="s">
        <v>48</v>
      </c>
      <c r="C1182" s="33">
        <v>4434212150</v>
      </c>
      <c r="E1182" s="33">
        <v>325</v>
      </c>
      <c r="F1182" s="33">
        <v>316</v>
      </c>
      <c r="G1182" s="33" t="s">
        <v>38</v>
      </c>
      <c r="H1182" s="33" t="s">
        <v>7733</v>
      </c>
      <c r="I1182" s="33" t="s">
        <v>46</v>
      </c>
      <c r="J1182" s="33" t="s">
        <v>40</v>
      </c>
    </row>
    <row r="1183" spans="1:12" s="33" customFormat="1" hidden="1" x14ac:dyDescent="0.3">
      <c r="A1183" s="39">
        <v>46099.715624999997</v>
      </c>
      <c r="B1183" s="33" t="s">
        <v>48</v>
      </c>
      <c r="C1183" s="33">
        <v>4434212150</v>
      </c>
      <c r="E1183" s="33">
        <v>2</v>
      </c>
      <c r="F1183" s="33">
        <v>0</v>
      </c>
      <c r="G1183" s="33" t="s">
        <v>47</v>
      </c>
      <c r="H1183" s="33" t="s">
        <v>7734</v>
      </c>
      <c r="I1183" s="33" t="s">
        <v>46</v>
      </c>
      <c r="J1183" s="33" t="s">
        <v>40</v>
      </c>
    </row>
    <row r="1184" spans="1:12" s="33" customFormat="1" hidden="1" x14ac:dyDescent="0.3">
      <c r="A1184" s="39">
        <v>46099.713252314818</v>
      </c>
      <c r="B1184" s="33">
        <v>6234347959</v>
      </c>
      <c r="C1184" s="33" t="s">
        <v>43</v>
      </c>
      <c r="D1184" s="33">
        <v>4430265054</v>
      </c>
      <c r="E1184" s="33">
        <v>414</v>
      </c>
      <c r="F1184" s="33">
        <v>311</v>
      </c>
      <c r="G1184" s="33" t="s">
        <v>38</v>
      </c>
      <c r="H1184" s="33" t="s">
        <v>7735</v>
      </c>
      <c r="I1184" s="33" t="s">
        <v>39</v>
      </c>
      <c r="J1184" s="33" t="s">
        <v>40</v>
      </c>
      <c r="K1184" s="33" t="s">
        <v>41</v>
      </c>
    </row>
    <row r="1185" spans="1:12" s="33" customFormat="1" hidden="1" x14ac:dyDescent="0.3">
      <c r="A1185" s="39">
        <v>46099.710821759261</v>
      </c>
      <c r="B1185" s="33">
        <v>91981481202</v>
      </c>
      <c r="C1185" s="33">
        <v>4430265054</v>
      </c>
      <c r="D1185" s="33">
        <v>4430265054</v>
      </c>
      <c r="E1185" s="33">
        <v>24</v>
      </c>
      <c r="F1185" s="33">
        <v>24</v>
      </c>
      <c r="G1185" s="33" t="s">
        <v>3449</v>
      </c>
      <c r="H1185" s="33" t="s">
        <v>7736</v>
      </c>
      <c r="I1185" s="33" t="s">
        <v>39</v>
      </c>
      <c r="J1185" s="33" t="s">
        <v>3451</v>
      </c>
    </row>
    <row r="1186" spans="1:12" s="33" customFormat="1" hidden="1" x14ac:dyDescent="0.3">
      <c r="A1186" s="39">
        <v>46099.707627314812</v>
      </c>
      <c r="B1186" s="33" t="s">
        <v>3627</v>
      </c>
      <c r="C1186" s="33">
        <v>11991623525</v>
      </c>
      <c r="E1186" s="33">
        <v>12</v>
      </c>
      <c r="F1186" s="33">
        <v>0</v>
      </c>
      <c r="G1186" s="33" t="s">
        <v>47</v>
      </c>
      <c r="H1186" s="33" t="s">
        <v>7737</v>
      </c>
      <c r="I1186" s="33" t="s">
        <v>46</v>
      </c>
      <c r="J1186" s="33" t="s">
        <v>3629</v>
      </c>
    </row>
    <row r="1187" spans="1:12" s="33" customFormat="1" hidden="1" x14ac:dyDescent="0.3">
      <c r="A1187" s="39">
        <v>46099.707187499997</v>
      </c>
      <c r="B1187" s="33" t="s">
        <v>5173</v>
      </c>
      <c r="C1187" s="33">
        <v>35997000807</v>
      </c>
      <c r="E1187" s="33">
        <v>700</v>
      </c>
      <c r="F1187" s="33">
        <v>691</v>
      </c>
      <c r="G1187" s="33" t="s">
        <v>38</v>
      </c>
      <c r="H1187" s="33" t="s">
        <v>7738</v>
      </c>
      <c r="I1187" s="33" t="s">
        <v>46</v>
      </c>
      <c r="J1187" s="33" t="s">
        <v>3629</v>
      </c>
    </row>
    <row r="1188" spans="1:12" s="33" customFormat="1" hidden="1" x14ac:dyDescent="0.3">
      <c r="A1188" s="39">
        <v>46099.705555555556</v>
      </c>
      <c r="B1188" s="33" t="s">
        <v>3627</v>
      </c>
      <c r="C1188" s="33">
        <v>7934313076</v>
      </c>
      <c r="E1188" s="33">
        <v>1</v>
      </c>
      <c r="F1188" s="33">
        <v>0</v>
      </c>
      <c r="G1188" s="33" t="s">
        <v>47</v>
      </c>
      <c r="H1188" s="33" t="s">
        <v>7739</v>
      </c>
      <c r="I1188" s="33" t="s">
        <v>46</v>
      </c>
      <c r="J1188" s="33" t="s">
        <v>3629</v>
      </c>
    </row>
    <row r="1189" spans="1:12" s="33" customFormat="1" hidden="1" x14ac:dyDescent="0.3">
      <c r="A1189" s="39">
        <v>46099.704826388886</v>
      </c>
      <c r="B1189" s="33" t="s">
        <v>3627</v>
      </c>
      <c r="C1189" s="33">
        <v>11940210381</v>
      </c>
      <c r="E1189" s="33">
        <v>4</v>
      </c>
      <c r="F1189" s="33">
        <v>1</v>
      </c>
      <c r="G1189" s="33" t="s">
        <v>38</v>
      </c>
      <c r="H1189" s="33" t="s">
        <v>7740</v>
      </c>
      <c r="I1189" s="33" t="s">
        <v>46</v>
      </c>
      <c r="J1189" s="33" t="s">
        <v>3629</v>
      </c>
    </row>
    <row r="1190" spans="1:12" s="33" customFormat="1" hidden="1" x14ac:dyDescent="0.3">
      <c r="A1190" s="39">
        <v>46099.703726851854</v>
      </c>
      <c r="B1190" s="33">
        <v>1128787060</v>
      </c>
      <c r="C1190" s="33" t="s">
        <v>5173</v>
      </c>
      <c r="D1190" s="33">
        <v>4430265054</v>
      </c>
      <c r="E1190" s="33">
        <v>104</v>
      </c>
      <c r="F1190" s="33">
        <v>77</v>
      </c>
      <c r="G1190" s="33" t="s">
        <v>38</v>
      </c>
      <c r="H1190" s="33" t="s">
        <v>7741</v>
      </c>
      <c r="I1190" s="33" t="s">
        <v>39</v>
      </c>
      <c r="J1190" s="33" t="s">
        <v>3629</v>
      </c>
      <c r="K1190" s="33" t="s">
        <v>50</v>
      </c>
    </row>
    <row r="1191" spans="1:12" s="33" customFormat="1" hidden="1" x14ac:dyDescent="0.3">
      <c r="A1191" s="39">
        <v>46099.698657407411</v>
      </c>
      <c r="B1191" s="33" t="s">
        <v>42</v>
      </c>
      <c r="C1191" s="33">
        <v>65992135508</v>
      </c>
      <c r="E1191" s="33">
        <v>6</v>
      </c>
      <c r="F1191" s="33">
        <v>0</v>
      </c>
      <c r="G1191" s="33" t="s">
        <v>47</v>
      </c>
      <c r="H1191" s="33" t="s">
        <v>7742</v>
      </c>
      <c r="I1191" s="33" t="s">
        <v>46</v>
      </c>
      <c r="J1191" s="33" t="s">
        <v>40</v>
      </c>
    </row>
    <row r="1192" spans="1:12" s="33" customFormat="1" hidden="1" x14ac:dyDescent="0.3">
      <c r="A1192" s="39">
        <v>46099.697245370371</v>
      </c>
      <c r="B1192" s="33" t="s">
        <v>42</v>
      </c>
      <c r="C1192" s="33">
        <v>65992135508</v>
      </c>
      <c r="E1192" s="33">
        <v>6</v>
      </c>
      <c r="F1192" s="33">
        <v>0</v>
      </c>
      <c r="G1192" s="33" t="s">
        <v>47</v>
      </c>
      <c r="H1192" s="33" t="s">
        <v>7743</v>
      </c>
      <c r="I1192" s="33" t="s">
        <v>46</v>
      </c>
      <c r="J1192" s="33" t="s">
        <v>40</v>
      </c>
    </row>
    <row r="1193" spans="1:12" s="33" customFormat="1" hidden="1" x14ac:dyDescent="0.3">
      <c r="A1193" s="39">
        <v>46099.697002314817</v>
      </c>
      <c r="B1193" s="33" t="s">
        <v>42</v>
      </c>
      <c r="C1193" s="33">
        <v>65992135508</v>
      </c>
      <c r="E1193" s="33">
        <v>14</v>
      </c>
      <c r="F1193" s="33">
        <v>0</v>
      </c>
      <c r="G1193" s="33" t="s">
        <v>47</v>
      </c>
      <c r="H1193" s="33" t="s">
        <v>7744</v>
      </c>
      <c r="I1193" s="33" t="s">
        <v>46</v>
      </c>
      <c r="J1193" s="33" t="s">
        <v>40</v>
      </c>
    </row>
    <row r="1194" spans="1:12" s="33" customFormat="1" hidden="1" x14ac:dyDescent="0.3">
      <c r="A1194" s="39">
        <v>46099.696585648147</v>
      </c>
      <c r="B1194" s="33" t="s">
        <v>42</v>
      </c>
      <c r="C1194" s="33">
        <v>62992135508</v>
      </c>
      <c r="E1194" s="33">
        <v>31</v>
      </c>
      <c r="F1194" s="33">
        <v>0</v>
      </c>
      <c r="G1194" s="33" t="s">
        <v>47</v>
      </c>
      <c r="H1194" s="33" t="s">
        <v>7745</v>
      </c>
      <c r="I1194" s="33" t="s">
        <v>46</v>
      </c>
      <c r="J1194" s="33" t="s">
        <v>40</v>
      </c>
    </row>
    <row r="1195" spans="1:12" s="33" customFormat="1" hidden="1" x14ac:dyDescent="0.3">
      <c r="A1195" s="39">
        <v>46099.696435185186</v>
      </c>
      <c r="B1195" s="33" t="s">
        <v>51</v>
      </c>
      <c r="C1195" s="33" t="s">
        <v>5173</v>
      </c>
      <c r="E1195" s="33">
        <v>67</v>
      </c>
      <c r="F1195" s="33">
        <v>57</v>
      </c>
      <c r="G1195" s="33" t="s">
        <v>38</v>
      </c>
      <c r="H1195" s="33" t="s">
        <v>7746</v>
      </c>
      <c r="I1195" s="33" t="s">
        <v>52</v>
      </c>
      <c r="J1195" s="33" t="s">
        <v>3629</v>
      </c>
    </row>
    <row r="1196" spans="1:12" s="33" customFormat="1" hidden="1" x14ac:dyDescent="0.3">
      <c r="A1196" s="39">
        <v>46099.696145833332</v>
      </c>
      <c r="B1196" s="33" t="s">
        <v>51</v>
      </c>
      <c r="C1196" s="33" t="s">
        <v>5173</v>
      </c>
      <c r="E1196" s="33">
        <v>11</v>
      </c>
      <c r="F1196" s="33">
        <v>5</v>
      </c>
      <c r="G1196" s="33" t="s">
        <v>38</v>
      </c>
      <c r="H1196" s="33" t="s">
        <v>7747</v>
      </c>
      <c r="I1196" s="33" t="s">
        <v>52</v>
      </c>
      <c r="J1196" s="33" t="s">
        <v>3629</v>
      </c>
    </row>
    <row r="1197" spans="1:12" s="33" customFormat="1" hidden="1" x14ac:dyDescent="0.3">
      <c r="A1197" s="39">
        <v>46099.693888888891</v>
      </c>
      <c r="B1197" s="33">
        <v>44991388221</v>
      </c>
      <c r="C1197" s="33" t="s">
        <v>43</v>
      </c>
      <c r="D1197" s="33">
        <v>4430265054</v>
      </c>
      <c r="E1197" s="33">
        <v>508</v>
      </c>
      <c r="F1197" s="33">
        <v>410</v>
      </c>
      <c r="G1197" s="33" t="s">
        <v>38</v>
      </c>
      <c r="H1197" s="33" t="s">
        <v>7748</v>
      </c>
      <c r="I1197" s="33" t="s">
        <v>39</v>
      </c>
      <c r="J1197" s="33" t="s">
        <v>40</v>
      </c>
      <c r="K1197" s="33" t="s">
        <v>41</v>
      </c>
      <c r="L1197" s="33">
        <v>5</v>
      </c>
    </row>
    <row r="1198" spans="1:12" s="33" customFormat="1" hidden="1" x14ac:dyDescent="0.3">
      <c r="A1198" s="39">
        <v>46099.690844907411</v>
      </c>
      <c r="B1198" s="33">
        <v>19998793706</v>
      </c>
      <c r="C1198" s="33" t="s">
        <v>45</v>
      </c>
      <c r="D1198" s="33">
        <v>4430265054</v>
      </c>
      <c r="E1198" s="33">
        <v>2405</v>
      </c>
      <c r="F1198" s="33">
        <v>2287</v>
      </c>
      <c r="G1198" s="33" t="s">
        <v>38</v>
      </c>
      <c r="H1198" s="33" t="s">
        <v>7749</v>
      </c>
      <c r="I1198" s="33" t="s">
        <v>39</v>
      </c>
      <c r="J1198" s="33" t="s">
        <v>40</v>
      </c>
      <c r="K1198" s="33" t="s">
        <v>41</v>
      </c>
    </row>
    <row r="1199" spans="1:12" s="33" customFormat="1" hidden="1" x14ac:dyDescent="0.3">
      <c r="A1199" s="39">
        <v>46099.682037037041</v>
      </c>
      <c r="B1199" s="33">
        <v>44991814587</v>
      </c>
      <c r="C1199" s="33" t="s">
        <v>43</v>
      </c>
      <c r="D1199" s="33">
        <v>4430265054</v>
      </c>
      <c r="E1199" s="33">
        <v>140</v>
      </c>
      <c r="F1199" s="33">
        <v>67</v>
      </c>
      <c r="G1199" s="33" t="s">
        <v>38</v>
      </c>
      <c r="H1199" s="33" t="s">
        <v>7750</v>
      </c>
      <c r="I1199" s="33" t="s">
        <v>39</v>
      </c>
      <c r="J1199" s="33" t="s">
        <v>40</v>
      </c>
      <c r="K1199" s="33" t="s">
        <v>41</v>
      </c>
    </row>
    <row r="1200" spans="1:12" s="33" customFormat="1" hidden="1" x14ac:dyDescent="0.3">
      <c r="A1200" s="39">
        <v>46099.680902777778</v>
      </c>
      <c r="B1200" s="33" t="s">
        <v>51</v>
      </c>
      <c r="C1200" s="33" t="s">
        <v>5173</v>
      </c>
      <c r="E1200" s="33">
        <v>1176</v>
      </c>
      <c r="F1200" s="33">
        <v>1174</v>
      </c>
      <c r="G1200" s="33" t="s">
        <v>38</v>
      </c>
      <c r="H1200" s="33" t="s">
        <v>7751</v>
      </c>
      <c r="I1200" s="33" t="s">
        <v>52</v>
      </c>
      <c r="J1200" s="33" t="s">
        <v>3629</v>
      </c>
    </row>
    <row r="1201" spans="1:12" s="33" customFormat="1" hidden="1" x14ac:dyDescent="0.3">
      <c r="A1201" s="39">
        <v>46099.680219907408</v>
      </c>
      <c r="B1201" s="33" t="s">
        <v>44</v>
      </c>
      <c r="C1201" s="33">
        <v>44988067937</v>
      </c>
      <c r="E1201" s="33">
        <v>2028</v>
      </c>
      <c r="F1201" s="33">
        <v>2013</v>
      </c>
      <c r="G1201" s="33" t="s">
        <v>38</v>
      </c>
      <c r="H1201" s="33" t="s">
        <v>7752</v>
      </c>
      <c r="I1201" s="33" t="s">
        <v>46</v>
      </c>
      <c r="J1201" s="33" t="s">
        <v>40</v>
      </c>
    </row>
    <row r="1202" spans="1:12" s="33" customFormat="1" hidden="1" x14ac:dyDescent="0.3">
      <c r="A1202" s="39">
        <v>46099.680150462962</v>
      </c>
      <c r="B1202" s="33" t="s">
        <v>44</v>
      </c>
      <c r="C1202" s="33">
        <v>44988067937</v>
      </c>
      <c r="E1202" s="33">
        <v>5</v>
      </c>
      <c r="F1202" s="33">
        <v>0</v>
      </c>
      <c r="G1202" s="33" t="s">
        <v>47</v>
      </c>
      <c r="H1202" s="33" t="s">
        <v>7753</v>
      </c>
      <c r="I1202" s="33" t="s">
        <v>46</v>
      </c>
      <c r="J1202" s="33" t="s">
        <v>40</v>
      </c>
    </row>
    <row r="1203" spans="1:12" s="33" customFormat="1" hidden="1" x14ac:dyDescent="0.3">
      <c r="A1203" s="39">
        <v>46099.67324074074</v>
      </c>
      <c r="B1203" s="33" t="s">
        <v>3627</v>
      </c>
      <c r="C1203" s="33">
        <v>21986842036</v>
      </c>
      <c r="E1203" s="33">
        <v>15</v>
      </c>
      <c r="F1203" s="33">
        <v>9</v>
      </c>
      <c r="G1203" s="33" t="s">
        <v>38</v>
      </c>
      <c r="H1203" s="33" t="s">
        <v>7754</v>
      </c>
      <c r="I1203" s="33" t="s">
        <v>46</v>
      </c>
      <c r="J1203" s="33" t="s">
        <v>3629</v>
      </c>
    </row>
    <row r="1204" spans="1:12" s="33" customFormat="1" hidden="1" x14ac:dyDescent="0.3">
      <c r="A1204" s="39">
        <v>46099.67292824074</v>
      </c>
      <c r="B1204" s="33">
        <v>41999865917</v>
      </c>
      <c r="C1204" s="33" t="s">
        <v>44</v>
      </c>
      <c r="D1204" s="33">
        <v>4430265054</v>
      </c>
      <c r="E1204" s="33">
        <v>297</v>
      </c>
      <c r="F1204" s="33">
        <v>242</v>
      </c>
      <c r="G1204" s="33" t="s">
        <v>38</v>
      </c>
      <c r="H1204" s="33" t="s">
        <v>7755</v>
      </c>
      <c r="I1204" s="33" t="s">
        <v>39</v>
      </c>
      <c r="J1204" s="33" t="s">
        <v>40</v>
      </c>
      <c r="K1204" s="33" t="s">
        <v>41</v>
      </c>
    </row>
    <row r="1205" spans="1:12" s="33" customFormat="1" hidden="1" x14ac:dyDescent="0.3">
      <c r="A1205" s="39">
        <v>46099.672280092593</v>
      </c>
      <c r="B1205" s="33">
        <v>44997561804</v>
      </c>
      <c r="C1205" s="33" t="s">
        <v>45</v>
      </c>
      <c r="D1205" s="33">
        <v>4430265054</v>
      </c>
      <c r="E1205" s="33">
        <v>491</v>
      </c>
      <c r="F1205" s="33">
        <v>472</v>
      </c>
      <c r="G1205" s="33" t="s">
        <v>38</v>
      </c>
      <c r="H1205" s="33" t="s">
        <v>7756</v>
      </c>
      <c r="I1205" s="33" t="s">
        <v>39</v>
      </c>
      <c r="J1205" s="33" t="s">
        <v>40</v>
      </c>
      <c r="K1205" s="33" t="s">
        <v>41</v>
      </c>
      <c r="L1205" s="33">
        <v>5</v>
      </c>
    </row>
    <row r="1206" spans="1:12" s="33" customFormat="1" hidden="1" x14ac:dyDescent="0.3">
      <c r="A1206" s="39">
        <v>46099.671967592592</v>
      </c>
      <c r="B1206" s="33" t="s">
        <v>3627</v>
      </c>
      <c r="C1206" s="33">
        <v>62986261366</v>
      </c>
      <c r="E1206" s="33">
        <v>17</v>
      </c>
      <c r="F1206" s="33">
        <v>0</v>
      </c>
      <c r="G1206" s="33" t="s">
        <v>47</v>
      </c>
      <c r="H1206" s="33" t="s">
        <v>7757</v>
      </c>
      <c r="I1206" s="33" t="s">
        <v>46</v>
      </c>
      <c r="J1206" s="33" t="s">
        <v>3629</v>
      </c>
    </row>
    <row r="1207" spans="1:12" s="33" customFormat="1" hidden="1" x14ac:dyDescent="0.3">
      <c r="A1207" s="39">
        <v>46099.670381944445</v>
      </c>
      <c r="B1207" s="33" t="s">
        <v>48</v>
      </c>
      <c r="C1207" s="33">
        <v>44999841615</v>
      </c>
      <c r="E1207" s="33">
        <v>587</v>
      </c>
      <c r="F1207" s="33">
        <v>578</v>
      </c>
      <c r="G1207" s="33" t="s">
        <v>38</v>
      </c>
      <c r="H1207" s="33" t="s">
        <v>7758</v>
      </c>
      <c r="I1207" s="33" t="s">
        <v>46</v>
      </c>
      <c r="J1207" s="33" t="s">
        <v>40</v>
      </c>
    </row>
    <row r="1208" spans="1:12" s="33" customFormat="1" hidden="1" x14ac:dyDescent="0.3">
      <c r="A1208" s="39">
        <v>46099.670208333337</v>
      </c>
      <c r="B1208" s="33" t="s">
        <v>3627</v>
      </c>
      <c r="C1208" s="33">
        <v>4430316900</v>
      </c>
      <c r="E1208" s="33">
        <v>0</v>
      </c>
      <c r="F1208" s="33">
        <v>0</v>
      </c>
      <c r="G1208" s="33" t="s">
        <v>47</v>
      </c>
      <c r="H1208" s="33" t="s">
        <v>7759</v>
      </c>
      <c r="I1208" s="33" t="s">
        <v>46</v>
      </c>
      <c r="J1208" s="33" t="s">
        <v>3629</v>
      </c>
    </row>
    <row r="1209" spans="1:12" s="33" customFormat="1" hidden="1" x14ac:dyDescent="0.3">
      <c r="A1209" s="39">
        <v>46099.668749999997</v>
      </c>
      <c r="B1209" s="33" t="s">
        <v>48</v>
      </c>
      <c r="C1209" s="33">
        <v>4436351414</v>
      </c>
      <c r="E1209" s="33">
        <v>1</v>
      </c>
      <c r="F1209" s="33">
        <v>0</v>
      </c>
      <c r="G1209" s="33" t="s">
        <v>47</v>
      </c>
      <c r="H1209" s="33" t="s">
        <v>7760</v>
      </c>
      <c r="I1209" s="33" t="s">
        <v>46</v>
      </c>
      <c r="J1209" s="33" t="s">
        <v>40</v>
      </c>
    </row>
    <row r="1210" spans="1:12" s="33" customFormat="1" hidden="1" x14ac:dyDescent="0.3">
      <c r="A1210" s="39">
        <v>46099.668715277781</v>
      </c>
      <c r="B1210" s="33" t="s">
        <v>48</v>
      </c>
      <c r="C1210" s="33">
        <v>4436351414</v>
      </c>
      <c r="E1210" s="33">
        <v>1</v>
      </c>
      <c r="F1210" s="33">
        <v>0</v>
      </c>
      <c r="G1210" s="33" t="s">
        <v>47</v>
      </c>
      <c r="H1210" s="33" t="s">
        <v>7761</v>
      </c>
      <c r="I1210" s="33" t="s">
        <v>46</v>
      </c>
      <c r="J1210" s="33" t="s">
        <v>40</v>
      </c>
    </row>
    <row r="1211" spans="1:12" s="33" customFormat="1" hidden="1" x14ac:dyDescent="0.3">
      <c r="A1211" s="39">
        <v>46099.668657407405</v>
      </c>
      <c r="B1211" s="33" t="s">
        <v>48</v>
      </c>
      <c r="C1211" s="33">
        <v>4436351414</v>
      </c>
      <c r="E1211" s="33">
        <v>2</v>
      </c>
      <c r="F1211" s="33">
        <v>0</v>
      </c>
      <c r="G1211" s="33" t="s">
        <v>47</v>
      </c>
      <c r="H1211" s="33" t="s">
        <v>7762</v>
      </c>
      <c r="I1211" s="33" t="s">
        <v>46</v>
      </c>
      <c r="J1211" s="33" t="s">
        <v>40</v>
      </c>
    </row>
    <row r="1212" spans="1:12" s="33" customFormat="1" hidden="1" x14ac:dyDescent="0.3">
      <c r="A1212" s="39">
        <v>46099.668611111112</v>
      </c>
      <c r="B1212" s="33" t="s">
        <v>48</v>
      </c>
      <c r="C1212" s="33">
        <v>4436351414</v>
      </c>
      <c r="E1212" s="33">
        <v>2</v>
      </c>
      <c r="F1212" s="33">
        <v>0</v>
      </c>
      <c r="G1212" s="33" t="s">
        <v>47</v>
      </c>
      <c r="H1212" s="33" t="s">
        <v>7763</v>
      </c>
      <c r="I1212" s="33" t="s">
        <v>46</v>
      </c>
      <c r="J1212" s="33" t="s">
        <v>40</v>
      </c>
    </row>
    <row r="1213" spans="1:12" s="33" customFormat="1" hidden="1" x14ac:dyDescent="0.3">
      <c r="A1213" s="39">
        <v>46099.666296296295</v>
      </c>
      <c r="B1213" s="33">
        <v>42984012429</v>
      </c>
      <c r="C1213" s="33" t="s">
        <v>43</v>
      </c>
      <c r="D1213" s="33">
        <v>4430265054</v>
      </c>
      <c r="E1213" s="33">
        <v>518</v>
      </c>
      <c r="F1213" s="33">
        <v>491</v>
      </c>
      <c r="G1213" s="33" t="s">
        <v>38</v>
      </c>
      <c r="H1213" s="33" t="s">
        <v>7764</v>
      </c>
      <c r="I1213" s="33" t="s">
        <v>39</v>
      </c>
      <c r="J1213" s="33" t="s">
        <v>40</v>
      </c>
      <c r="K1213" s="33" t="s">
        <v>41</v>
      </c>
      <c r="L1213" s="33">
        <v>5</v>
      </c>
    </row>
    <row r="1214" spans="1:12" s="33" customFormat="1" hidden="1" x14ac:dyDescent="0.3">
      <c r="A1214" s="39">
        <v>46099.662187499998</v>
      </c>
      <c r="B1214" s="33">
        <v>4330332823</v>
      </c>
      <c r="C1214" s="33" t="s">
        <v>42</v>
      </c>
      <c r="D1214" s="33">
        <v>4430265054</v>
      </c>
      <c r="E1214" s="33">
        <v>1061</v>
      </c>
      <c r="F1214" s="33">
        <v>957</v>
      </c>
      <c r="G1214" s="33" t="s">
        <v>38</v>
      </c>
      <c r="H1214" s="33" t="s">
        <v>7765</v>
      </c>
      <c r="I1214" s="33" t="s">
        <v>39</v>
      </c>
      <c r="J1214" s="33" t="s">
        <v>40</v>
      </c>
      <c r="K1214" s="33" t="s">
        <v>41</v>
      </c>
    </row>
    <row r="1215" spans="1:12" s="33" customFormat="1" hidden="1" x14ac:dyDescent="0.3">
      <c r="A1215" s="39">
        <v>46099.654386574075</v>
      </c>
      <c r="B1215" s="33">
        <v>73981151701</v>
      </c>
      <c r="C1215" s="33">
        <v>4430265054</v>
      </c>
      <c r="D1215" s="33">
        <v>4430265054</v>
      </c>
      <c r="E1215" s="33">
        <v>8</v>
      </c>
      <c r="F1215" s="33">
        <v>8</v>
      </c>
      <c r="G1215" s="33" t="s">
        <v>3449</v>
      </c>
      <c r="H1215" s="33" t="s">
        <v>7766</v>
      </c>
      <c r="I1215" s="33" t="s">
        <v>39</v>
      </c>
      <c r="J1215" s="33" t="s">
        <v>3451</v>
      </c>
    </row>
    <row r="1216" spans="1:12" s="33" customFormat="1" hidden="1" x14ac:dyDescent="0.3">
      <c r="A1216" s="39">
        <v>46099.651967592596</v>
      </c>
      <c r="B1216" s="33" t="s">
        <v>3627</v>
      </c>
      <c r="C1216" s="33">
        <v>21982419055</v>
      </c>
      <c r="E1216" s="33">
        <v>8</v>
      </c>
      <c r="F1216" s="33">
        <v>2</v>
      </c>
      <c r="G1216" s="33" t="s">
        <v>38</v>
      </c>
      <c r="H1216" s="33" t="s">
        <v>7767</v>
      </c>
      <c r="I1216" s="33" t="s">
        <v>46</v>
      </c>
      <c r="J1216" s="33" t="s">
        <v>3629</v>
      </c>
    </row>
    <row r="1217" spans="1:12" s="33" customFormat="1" hidden="1" x14ac:dyDescent="0.3">
      <c r="A1217" s="39">
        <v>46099.651631944442</v>
      </c>
      <c r="B1217" s="33">
        <v>44988067937</v>
      </c>
      <c r="C1217" s="33" t="s">
        <v>45</v>
      </c>
      <c r="D1217" s="33">
        <v>4430265054</v>
      </c>
      <c r="E1217" s="33">
        <v>109</v>
      </c>
      <c r="F1217" s="33">
        <v>49</v>
      </c>
      <c r="G1217" s="33" t="s">
        <v>38</v>
      </c>
      <c r="H1217" s="33" t="s">
        <v>7768</v>
      </c>
      <c r="I1217" s="33" t="s">
        <v>39</v>
      </c>
      <c r="J1217" s="33" t="s">
        <v>40</v>
      </c>
      <c r="K1217" s="33" t="s">
        <v>41</v>
      </c>
    </row>
    <row r="1218" spans="1:12" s="33" customFormat="1" hidden="1" x14ac:dyDescent="0.3">
      <c r="A1218" s="39">
        <v>46099.64502314815</v>
      </c>
      <c r="B1218" s="33">
        <v>44999090169</v>
      </c>
      <c r="C1218" s="33" t="s">
        <v>44</v>
      </c>
      <c r="D1218" s="33">
        <v>4430265054</v>
      </c>
      <c r="E1218" s="33">
        <v>1385</v>
      </c>
      <c r="F1218" s="33">
        <v>1307</v>
      </c>
      <c r="G1218" s="33" t="s">
        <v>38</v>
      </c>
      <c r="H1218" s="33" t="s">
        <v>7769</v>
      </c>
      <c r="I1218" s="33" t="s">
        <v>39</v>
      </c>
      <c r="J1218" s="33" t="s">
        <v>40</v>
      </c>
      <c r="K1218" s="33" t="s">
        <v>41</v>
      </c>
      <c r="L1218" s="33">
        <v>5</v>
      </c>
    </row>
    <row r="1219" spans="1:12" s="33" customFormat="1" hidden="1" x14ac:dyDescent="0.3">
      <c r="A1219" s="39">
        <v>46099.643865740742</v>
      </c>
      <c r="B1219" s="33">
        <v>4433542435</v>
      </c>
      <c r="C1219" s="33" t="s">
        <v>45</v>
      </c>
      <c r="D1219" s="33">
        <v>4430265054</v>
      </c>
      <c r="E1219" s="33">
        <v>497</v>
      </c>
      <c r="F1219" s="33">
        <v>466</v>
      </c>
      <c r="G1219" s="33" t="s">
        <v>38</v>
      </c>
      <c r="H1219" s="33" t="s">
        <v>7770</v>
      </c>
      <c r="I1219" s="33" t="s">
        <v>39</v>
      </c>
      <c r="J1219" s="33" t="s">
        <v>40</v>
      </c>
      <c r="K1219" s="33" t="s">
        <v>41</v>
      </c>
      <c r="L1219" s="33">
        <v>5</v>
      </c>
    </row>
    <row r="1220" spans="1:12" s="33" customFormat="1" hidden="1" x14ac:dyDescent="0.3">
      <c r="A1220" s="39">
        <v>46099.642337962963</v>
      </c>
      <c r="B1220" s="33">
        <v>44984580001</v>
      </c>
      <c r="C1220" s="33" t="s">
        <v>3627</v>
      </c>
      <c r="D1220" s="33">
        <v>4430265054</v>
      </c>
      <c r="E1220" s="33">
        <v>101</v>
      </c>
      <c r="F1220" s="33">
        <v>74</v>
      </c>
      <c r="G1220" s="33" t="s">
        <v>38</v>
      </c>
      <c r="H1220" s="33" t="s">
        <v>7771</v>
      </c>
      <c r="I1220" s="33" t="s">
        <v>39</v>
      </c>
      <c r="J1220" s="33" t="s">
        <v>3629</v>
      </c>
      <c r="K1220" s="33" t="s">
        <v>50</v>
      </c>
    </row>
    <row r="1221" spans="1:12" s="33" customFormat="1" hidden="1" x14ac:dyDescent="0.3">
      <c r="A1221" s="39">
        <v>46099.642118055555</v>
      </c>
      <c r="B1221" s="33">
        <v>43988030048</v>
      </c>
      <c r="C1221" s="33" t="s">
        <v>43</v>
      </c>
      <c r="D1221" s="33">
        <v>4430265054</v>
      </c>
      <c r="E1221" s="33">
        <v>664</v>
      </c>
      <c r="F1221" s="33">
        <v>608</v>
      </c>
      <c r="G1221" s="33" t="s">
        <v>38</v>
      </c>
      <c r="H1221" s="33" t="s">
        <v>7772</v>
      </c>
      <c r="I1221" s="33" t="s">
        <v>39</v>
      </c>
      <c r="J1221" s="33" t="s">
        <v>40</v>
      </c>
      <c r="K1221" s="33" t="s">
        <v>41</v>
      </c>
    </row>
    <row r="1222" spans="1:12" s="33" customFormat="1" hidden="1" x14ac:dyDescent="0.3">
      <c r="A1222" s="39">
        <v>46099.640601851854</v>
      </c>
      <c r="B1222" s="33">
        <v>44991668902</v>
      </c>
      <c r="C1222" s="33" t="s">
        <v>44</v>
      </c>
      <c r="D1222" s="33">
        <v>4430265054</v>
      </c>
      <c r="E1222" s="33">
        <v>346</v>
      </c>
      <c r="F1222" s="33">
        <v>285</v>
      </c>
      <c r="G1222" s="33" t="s">
        <v>38</v>
      </c>
      <c r="H1222" s="33" t="s">
        <v>7773</v>
      </c>
      <c r="I1222" s="33" t="s">
        <v>39</v>
      </c>
      <c r="J1222" s="33" t="s">
        <v>40</v>
      </c>
      <c r="K1222" s="33" t="s">
        <v>41</v>
      </c>
    </row>
    <row r="1223" spans="1:12" s="33" customFormat="1" hidden="1" x14ac:dyDescent="0.3">
      <c r="A1223" s="39">
        <v>46099.636863425927</v>
      </c>
      <c r="B1223" s="33" t="s">
        <v>3627</v>
      </c>
      <c r="C1223" s="33">
        <v>51985419755</v>
      </c>
      <c r="E1223" s="33">
        <v>12</v>
      </c>
      <c r="F1223" s="33">
        <v>1</v>
      </c>
      <c r="G1223" s="33" t="s">
        <v>38</v>
      </c>
      <c r="H1223" s="33" t="s">
        <v>7774</v>
      </c>
      <c r="I1223" s="33" t="s">
        <v>46</v>
      </c>
      <c r="J1223" s="33" t="s">
        <v>3629</v>
      </c>
    </row>
    <row r="1224" spans="1:12" s="33" customFormat="1" hidden="1" x14ac:dyDescent="0.3">
      <c r="A1224" s="39">
        <v>46099.633217592593</v>
      </c>
      <c r="B1224" s="33">
        <v>44999090169</v>
      </c>
      <c r="C1224" s="33">
        <v>4430265054</v>
      </c>
      <c r="D1224" s="33">
        <v>4430265054</v>
      </c>
      <c r="E1224" s="33">
        <v>177</v>
      </c>
      <c r="F1224" s="33">
        <v>176</v>
      </c>
      <c r="G1224" s="33" t="s">
        <v>3449</v>
      </c>
      <c r="H1224" s="33" t="s">
        <v>7775</v>
      </c>
      <c r="I1224" s="33" t="s">
        <v>39</v>
      </c>
      <c r="J1224" s="33" t="s">
        <v>3451</v>
      </c>
      <c r="K1224" s="33" t="s">
        <v>41</v>
      </c>
    </row>
    <row r="1225" spans="1:12" s="33" customFormat="1" hidden="1" x14ac:dyDescent="0.3">
      <c r="A1225" s="39">
        <v>46099.632314814815</v>
      </c>
      <c r="B1225" s="33">
        <v>73981151701</v>
      </c>
      <c r="C1225" s="33" t="s">
        <v>48</v>
      </c>
      <c r="D1225" s="33">
        <v>4430265054</v>
      </c>
      <c r="E1225" s="33">
        <v>279</v>
      </c>
      <c r="F1225" s="33">
        <v>202</v>
      </c>
      <c r="G1225" s="33" t="s">
        <v>38</v>
      </c>
      <c r="H1225" s="33" t="s">
        <v>7776</v>
      </c>
      <c r="I1225" s="33" t="s">
        <v>39</v>
      </c>
      <c r="J1225" s="33" t="s">
        <v>40</v>
      </c>
      <c r="K1225" s="33" t="s">
        <v>41</v>
      </c>
    </row>
    <row r="1226" spans="1:12" s="33" customFormat="1" hidden="1" x14ac:dyDescent="0.3">
      <c r="A1226" s="39">
        <v>46099.631180555552</v>
      </c>
      <c r="B1226" s="33" t="s">
        <v>37</v>
      </c>
      <c r="C1226" s="33">
        <v>71991339954</v>
      </c>
      <c r="E1226" s="33">
        <v>10540</v>
      </c>
      <c r="F1226" s="33">
        <v>10531</v>
      </c>
      <c r="G1226" s="33" t="s">
        <v>38</v>
      </c>
      <c r="H1226" s="33" t="s">
        <v>7777</v>
      </c>
      <c r="I1226" s="33" t="s">
        <v>46</v>
      </c>
      <c r="J1226" s="33" t="s">
        <v>40</v>
      </c>
    </row>
    <row r="1227" spans="1:12" s="33" customFormat="1" hidden="1" x14ac:dyDescent="0.3">
      <c r="A1227" s="39">
        <v>46099.628668981481</v>
      </c>
      <c r="B1227" s="33">
        <v>1131043888</v>
      </c>
      <c r="C1227" s="33" t="s">
        <v>43</v>
      </c>
      <c r="D1227" s="33">
        <v>4430265054</v>
      </c>
      <c r="E1227" s="33">
        <v>943</v>
      </c>
      <c r="F1227" s="33">
        <v>916</v>
      </c>
      <c r="G1227" s="33" t="s">
        <v>38</v>
      </c>
      <c r="H1227" s="33" t="s">
        <v>7778</v>
      </c>
      <c r="I1227" s="33" t="s">
        <v>39</v>
      </c>
      <c r="J1227" s="33" t="s">
        <v>40</v>
      </c>
      <c r="K1227" s="33" t="s">
        <v>41</v>
      </c>
      <c r="L1227" s="33">
        <v>5</v>
      </c>
    </row>
    <row r="1228" spans="1:12" s="33" customFormat="1" hidden="1" x14ac:dyDescent="0.3">
      <c r="A1228" s="39">
        <v>46099.627118055556</v>
      </c>
      <c r="B1228" s="33" t="s">
        <v>37</v>
      </c>
      <c r="C1228" s="33">
        <v>71991339954</v>
      </c>
      <c r="E1228" s="33">
        <v>287</v>
      </c>
      <c r="F1228" s="33">
        <v>280</v>
      </c>
      <c r="G1228" s="33" t="s">
        <v>38</v>
      </c>
      <c r="H1228" s="33" t="s">
        <v>7779</v>
      </c>
      <c r="I1228" s="33" t="s">
        <v>46</v>
      </c>
      <c r="J1228" s="33" t="s">
        <v>40</v>
      </c>
    </row>
    <row r="1229" spans="1:12" s="33" customFormat="1" hidden="1" x14ac:dyDescent="0.3">
      <c r="A1229" s="39">
        <v>46099.626076388886</v>
      </c>
      <c r="B1229" s="33">
        <v>4435228300</v>
      </c>
      <c r="C1229" s="33" t="s">
        <v>48</v>
      </c>
      <c r="D1229" s="33">
        <v>4430265054</v>
      </c>
      <c r="E1229" s="33">
        <v>615</v>
      </c>
      <c r="F1229" s="33">
        <v>508</v>
      </c>
      <c r="G1229" s="33" t="s">
        <v>38</v>
      </c>
      <c r="H1229" s="33" t="s">
        <v>7780</v>
      </c>
      <c r="I1229" s="33" t="s">
        <v>39</v>
      </c>
      <c r="J1229" s="33" t="s">
        <v>40</v>
      </c>
      <c r="K1229" s="33" t="s">
        <v>41</v>
      </c>
    </row>
    <row r="1230" spans="1:12" s="33" customFormat="1" hidden="1" x14ac:dyDescent="0.3">
      <c r="A1230" s="39">
        <v>46099.625960648147</v>
      </c>
      <c r="B1230" s="33">
        <v>43991364602</v>
      </c>
      <c r="C1230" s="33" t="s">
        <v>44</v>
      </c>
      <c r="D1230" s="33">
        <v>4430265054</v>
      </c>
      <c r="E1230" s="33">
        <v>931</v>
      </c>
      <c r="F1230" s="33">
        <v>882</v>
      </c>
      <c r="G1230" s="33" t="s">
        <v>38</v>
      </c>
      <c r="H1230" s="33" t="s">
        <v>7781</v>
      </c>
      <c r="I1230" s="33" t="s">
        <v>39</v>
      </c>
      <c r="J1230" s="33" t="s">
        <v>40</v>
      </c>
      <c r="K1230" s="33" t="s">
        <v>41</v>
      </c>
    </row>
    <row r="1231" spans="1:12" s="33" customFormat="1" hidden="1" x14ac:dyDescent="0.3">
      <c r="A1231" s="39">
        <v>46099.625787037039</v>
      </c>
      <c r="B1231" s="33">
        <v>1131515685</v>
      </c>
      <c r="C1231" s="33">
        <v>4430265054</v>
      </c>
      <c r="D1231" s="33">
        <v>4430265054</v>
      </c>
      <c r="E1231" s="33">
        <v>10</v>
      </c>
      <c r="F1231" s="33">
        <v>10</v>
      </c>
      <c r="G1231" s="33" t="s">
        <v>3449</v>
      </c>
      <c r="H1231" s="33" t="s">
        <v>7782</v>
      </c>
      <c r="I1231" s="33" t="s">
        <v>39</v>
      </c>
      <c r="J1231" s="33" t="s">
        <v>3451</v>
      </c>
    </row>
    <row r="1232" spans="1:12" s="33" customFormat="1" hidden="1" x14ac:dyDescent="0.3">
      <c r="A1232" s="39">
        <v>46099.624884259261</v>
      </c>
      <c r="B1232" s="33" t="s">
        <v>3627</v>
      </c>
      <c r="C1232" s="33">
        <v>62981353710</v>
      </c>
      <c r="E1232" s="33">
        <v>17</v>
      </c>
      <c r="F1232" s="33">
        <v>13</v>
      </c>
      <c r="G1232" s="33" t="s">
        <v>38</v>
      </c>
      <c r="H1232" s="33" t="s">
        <v>7783</v>
      </c>
      <c r="I1232" s="33" t="s">
        <v>46</v>
      </c>
      <c r="J1232" s="33" t="s">
        <v>3629</v>
      </c>
    </row>
    <row r="1233" spans="1:12" s="33" customFormat="1" hidden="1" x14ac:dyDescent="0.3">
      <c r="A1233" s="39">
        <v>46099.624212962961</v>
      </c>
      <c r="B1233" s="33" t="s">
        <v>3627</v>
      </c>
      <c r="C1233" s="33">
        <v>44996897694</v>
      </c>
      <c r="E1233" s="33">
        <v>1</v>
      </c>
      <c r="F1233" s="33">
        <v>0</v>
      </c>
      <c r="G1233" s="33" t="s">
        <v>47</v>
      </c>
      <c r="H1233" s="33" t="s">
        <v>7784</v>
      </c>
      <c r="I1233" s="33" t="s">
        <v>46</v>
      </c>
      <c r="J1233" s="33" t="s">
        <v>3629</v>
      </c>
    </row>
    <row r="1234" spans="1:12" s="33" customFormat="1" hidden="1" x14ac:dyDescent="0.3">
      <c r="A1234" s="39">
        <v>46099.623530092591</v>
      </c>
      <c r="B1234" s="33">
        <v>67992169496</v>
      </c>
      <c r="C1234" s="33" t="s">
        <v>43</v>
      </c>
      <c r="D1234" s="33">
        <v>4430265054</v>
      </c>
      <c r="E1234" s="33">
        <v>348</v>
      </c>
      <c r="F1234" s="33">
        <v>283</v>
      </c>
      <c r="G1234" s="33" t="s">
        <v>38</v>
      </c>
      <c r="H1234" s="33" t="s">
        <v>7785</v>
      </c>
      <c r="I1234" s="33" t="s">
        <v>39</v>
      </c>
      <c r="J1234" s="33" t="s">
        <v>40</v>
      </c>
      <c r="K1234" s="33" t="s">
        <v>41</v>
      </c>
    </row>
    <row r="1235" spans="1:12" s="33" customFormat="1" hidden="1" x14ac:dyDescent="0.3">
      <c r="A1235" s="39">
        <v>46099.623194444444</v>
      </c>
      <c r="B1235" s="33">
        <v>44999387742</v>
      </c>
      <c r="C1235" s="33" t="s">
        <v>42</v>
      </c>
      <c r="D1235" s="33">
        <v>4430265054</v>
      </c>
      <c r="E1235" s="33">
        <v>2085</v>
      </c>
      <c r="F1235" s="33">
        <v>2033</v>
      </c>
      <c r="G1235" s="33" t="s">
        <v>38</v>
      </c>
      <c r="H1235" s="33" t="s">
        <v>7786</v>
      </c>
      <c r="I1235" s="33" t="s">
        <v>39</v>
      </c>
      <c r="J1235" s="33" t="s">
        <v>40</v>
      </c>
      <c r="K1235" s="33" t="s">
        <v>41</v>
      </c>
    </row>
    <row r="1236" spans="1:12" s="33" customFormat="1" hidden="1" x14ac:dyDescent="0.3">
      <c r="A1236" s="39">
        <v>46099.623148148145</v>
      </c>
      <c r="B1236" s="33" t="s">
        <v>3627</v>
      </c>
      <c r="C1236" s="33">
        <v>75988643129</v>
      </c>
      <c r="E1236" s="33">
        <v>3</v>
      </c>
      <c r="F1236" s="33">
        <v>0</v>
      </c>
      <c r="G1236" s="33" t="s">
        <v>47</v>
      </c>
      <c r="H1236" s="33" t="s">
        <v>7787</v>
      </c>
      <c r="I1236" s="33" t="s">
        <v>46</v>
      </c>
      <c r="J1236" s="33" t="s">
        <v>3629</v>
      </c>
    </row>
    <row r="1237" spans="1:12" s="33" customFormat="1" hidden="1" x14ac:dyDescent="0.3">
      <c r="A1237" s="39">
        <v>46099.622824074075</v>
      </c>
      <c r="B1237" s="33">
        <v>44991388221</v>
      </c>
      <c r="C1237" s="33" t="s">
        <v>45</v>
      </c>
      <c r="D1237" s="33">
        <v>4430265054</v>
      </c>
      <c r="E1237" s="33">
        <v>1509</v>
      </c>
      <c r="F1237" s="33">
        <v>1424</v>
      </c>
      <c r="G1237" s="33" t="s">
        <v>38</v>
      </c>
      <c r="H1237" s="33" t="s">
        <v>7788</v>
      </c>
      <c r="I1237" s="33" t="s">
        <v>39</v>
      </c>
      <c r="J1237" s="33" t="s">
        <v>40</v>
      </c>
      <c r="K1237" s="33" t="s">
        <v>41</v>
      </c>
      <c r="L1237" s="33">
        <v>5</v>
      </c>
    </row>
    <row r="1238" spans="1:12" s="33" customFormat="1" hidden="1" x14ac:dyDescent="0.3">
      <c r="A1238" s="39">
        <v>46099.622303240743</v>
      </c>
      <c r="B1238" s="33" t="s">
        <v>3627</v>
      </c>
      <c r="C1238" s="33">
        <v>12991740501</v>
      </c>
      <c r="E1238" s="33">
        <v>14</v>
      </c>
      <c r="F1238" s="33">
        <v>0</v>
      </c>
      <c r="G1238" s="33" t="s">
        <v>47</v>
      </c>
      <c r="H1238" s="33" t="s">
        <v>7789</v>
      </c>
      <c r="I1238" s="33" t="s">
        <v>46</v>
      </c>
      <c r="J1238" s="33" t="s">
        <v>3629</v>
      </c>
    </row>
    <row r="1239" spans="1:12" s="33" customFormat="1" hidden="1" x14ac:dyDescent="0.3">
      <c r="A1239" s="39">
        <v>46099.619675925926</v>
      </c>
      <c r="B1239" s="33">
        <v>6234347959</v>
      </c>
      <c r="C1239" s="33">
        <v>4430265054</v>
      </c>
      <c r="D1239" s="33">
        <v>4430265054</v>
      </c>
      <c r="E1239" s="33">
        <v>157</v>
      </c>
      <c r="F1239" s="33">
        <v>156</v>
      </c>
      <c r="G1239" s="33" t="s">
        <v>3449</v>
      </c>
      <c r="H1239" s="33" t="s">
        <v>7790</v>
      </c>
      <c r="I1239" s="33" t="s">
        <v>39</v>
      </c>
      <c r="J1239" s="33" t="s">
        <v>3451</v>
      </c>
      <c r="K1239" s="33" t="s">
        <v>41</v>
      </c>
    </row>
    <row r="1240" spans="1:12" s="33" customFormat="1" hidden="1" x14ac:dyDescent="0.3">
      <c r="A1240" s="39">
        <v>46099.615011574075</v>
      </c>
      <c r="B1240" s="33">
        <v>6234347959</v>
      </c>
      <c r="C1240" s="33">
        <v>4430265054</v>
      </c>
      <c r="D1240" s="33">
        <v>4430265054</v>
      </c>
      <c r="E1240" s="33">
        <v>19</v>
      </c>
      <c r="F1240" s="33">
        <v>18</v>
      </c>
      <c r="G1240" s="33" t="s">
        <v>3449</v>
      </c>
      <c r="H1240" s="33" t="s">
        <v>7791</v>
      </c>
      <c r="I1240" s="33" t="s">
        <v>39</v>
      </c>
      <c r="J1240" s="33" t="s">
        <v>3451</v>
      </c>
    </row>
    <row r="1241" spans="1:12" s="33" customFormat="1" hidden="1" x14ac:dyDescent="0.3">
      <c r="A1241" s="39">
        <v>46099.613043981481</v>
      </c>
      <c r="B1241" s="33">
        <v>1131515685</v>
      </c>
      <c r="C1241" s="33" t="s">
        <v>45</v>
      </c>
      <c r="D1241" s="33">
        <v>4430265054</v>
      </c>
      <c r="E1241" s="33">
        <v>745</v>
      </c>
      <c r="F1241" s="33">
        <v>727</v>
      </c>
      <c r="G1241" s="33" t="s">
        <v>38</v>
      </c>
      <c r="H1241" s="33" t="s">
        <v>7792</v>
      </c>
      <c r="I1241" s="33" t="s">
        <v>39</v>
      </c>
      <c r="J1241" s="33" t="s">
        <v>40</v>
      </c>
      <c r="K1241" s="33" t="s">
        <v>41</v>
      </c>
      <c r="L1241" s="33">
        <v>5</v>
      </c>
    </row>
    <row r="1242" spans="1:12" s="33" customFormat="1" hidden="1" x14ac:dyDescent="0.3">
      <c r="A1242" s="39">
        <v>46099.611932870372</v>
      </c>
      <c r="B1242" s="33">
        <v>4435228300</v>
      </c>
      <c r="C1242" s="33">
        <v>4430265054</v>
      </c>
      <c r="D1242" s="33">
        <v>4430265054</v>
      </c>
      <c r="E1242" s="33">
        <v>16</v>
      </c>
      <c r="F1242" s="33">
        <v>16</v>
      </c>
      <c r="G1242" s="33" t="s">
        <v>3449</v>
      </c>
      <c r="H1242" s="33" t="s">
        <v>7793</v>
      </c>
      <c r="I1242" s="33" t="s">
        <v>39</v>
      </c>
      <c r="J1242" s="33" t="s">
        <v>3451</v>
      </c>
    </row>
    <row r="1243" spans="1:12" s="33" customFormat="1" hidden="1" x14ac:dyDescent="0.3">
      <c r="A1243" s="39">
        <v>46099.610451388886</v>
      </c>
      <c r="B1243" s="33" t="s">
        <v>42</v>
      </c>
      <c r="C1243" s="33">
        <v>44999387742</v>
      </c>
      <c r="E1243" s="33">
        <v>45</v>
      </c>
      <c r="F1243" s="33">
        <v>29</v>
      </c>
      <c r="G1243" s="33" t="s">
        <v>38</v>
      </c>
      <c r="H1243" s="33" t="s">
        <v>7794</v>
      </c>
      <c r="I1243" s="33" t="s">
        <v>46</v>
      </c>
      <c r="J1243" s="33" t="s">
        <v>40</v>
      </c>
    </row>
    <row r="1244" spans="1:12" s="33" customFormat="1" hidden="1" x14ac:dyDescent="0.3">
      <c r="A1244" s="39">
        <v>46099.610289351855</v>
      </c>
      <c r="B1244" s="33" t="s">
        <v>42</v>
      </c>
      <c r="C1244" s="33">
        <v>44999387742</v>
      </c>
      <c r="E1244" s="33">
        <v>13</v>
      </c>
      <c r="F1244" s="33">
        <v>0</v>
      </c>
      <c r="G1244" s="33" t="s">
        <v>47</v>
      </c>
      <c r="H1244" s="33" t="s">
        <v>7795</v>
      </c>
      <c r="I1244" s="33" t="s">
        <v>46</v>
      </c>
      <c r="J1244" s="33" t="s">
        <v>40</v>
      </c>
    </row>
    <row r="1245" spans="1:12" s="33" customFormat="1" hidden="1" x14ac:dyDescent="0.3">
      <c r="A1245" s="39">
        <v>46099.609861111108</v>
      </c>
      <c r="B1245" s="33">
        <v>12997611769</v>
      </c>
      <c r="C1245" s="33" t="s">
        <v>43</v>
      </c>
      <c r="D1245" s="33">
        <v>4430265054</v>
      </c>
      <c r="E1245" s="33">
        <v>877</v>
      </c>
      <c r="F1245" s="33">
        <v>827</v>
      </c>
      <c r="G1245" s="33" t="s">
        <v>38</v>
      </c>
      <c r="H1245" s="33" t="s">
        <v>7796</v>
      </c>
      <c r="I1245" s="33" t="s">
        <v>39</v>
      </c>
      <c r="J1245" s="33" t="s">
        <v>40</v>
      </c>
      <c r="K1245" s="33" t="s">
        <v>41</v>
      </c>
      <c r="L1245" s="33">
        <v>5</v>
      </c>
    </row>
    <row r="1246" spans="1:12" s="33" customFormat="1" hidden="1" x14ac:dyDescent="0.3">
      <c r="A1246" s="39">
        <v>46099.609027777777</v>
      </c>
      <c r="B1246" s="33">
        <v>83988398480</v>
      </c>
      <c r="C1246" s="33">
        <v>4430265054</v>
      </c>
      <c r="D1246" s="33">
        <v>4430265054</v>
      </c>
      <c r="E1246" s="33">
        <v>66</v>
      </c>
      <c r="F1246" s="33">
        <v>66</v>
      </c>
      <c r="G1246" s="33" t="s">
        <v>3449</v>
      </c>
      <c r="H1246" s="33" t="s">
        <v>7797</v>
      </c>
      <c r="I1246" s="33" t="s">
        <v>39</v>
      </c>
      <c r="J1246" s="33" t="s">
        <v>3451</v>
      </c>
      <c r="K1246" s="33" t="s">
        <v>41</v>
      </c>
    </row>
    <row r="1247" spans="1:12" s="33" customFormat="1" hidden="1" x14ac:dyDescent="0.3">
      <c r="A1247" s="39">
        <v>46099.606851851851</v>
      </c>
      <c r="B1247" s="33">
        <v>44988067937</v>
      </c>
      <c r="C1247" s="33" t="s">
        <v>44</v>
      </c>
      <c r="D1247" s="33">
        <v>4430265054</v>
      </c>
      <c r="E1247" s="33">
        <v>845</v>
      </c>
      <c r="F1247" s="33">
        <v>569</v>
      </c>
      <c r="G1247" s="33" t="s">
        <v>38</v>
      </c>
      <c r="H1247" s="33" t="s">
        <v>7798</v>
      </c>
      <c r="I1247" s="33" t="s">
        <v>39</v>
      </c>
      <c r="J1247" s="33" t="s">
        <v>40</v>
      </c>
      <c r="K1247" s="33" t="s">
        <v>41</v>
      </c>
    </row>
    <row r="1248" spans="1:12" s="33" customFormat="1" hidden="1" x14ac:dyDescent="0.3">
      <c r="A1248" s="39">
        <v>46099.606608796297</v>
      </c>
      <c r="B1248" s="33">
        <v>44999387742</v>
      </c>
      <c r="C1248" s="33" t="s">
        <v>44</v>
      </c>
      <c r="D1248" s="33">
        <v>4430265054</v>
      </c>
      <c r="E1248" s="33">
        <v>99</v>
      </c>
      <c r="F1248" s="33">
        <v>35</v>
      </c>
      <c r="G1248" s="33" t="s">
        <v>38</v>
      </c>
      <c r="H1248" s="33" t="s">
        <v>7799</v>
      </c>
      <c r="I1248" s="33" t="s">
        <v>39</v>
      </c>
      <c r="J1248" s="33" t="s">
        <v>40</v>
      </c>
      <c r="K1248" s="33" t="s">
        <v>41</v>
      </c>
    </row>
    <row r="1249" spans="1:12" s="33" customFormat="1" hidden="1" x14ac:dyDescent="0.3">
      <c r="A1249" s="39">
        <v>46099.603391203702</v>
      </c>
      <c r="B1249" s="33" t="s">
        <v>3627</v>
      </c>
      <c r="C1249" s="33">
        <v>7536341227</v>
      </c>
      <c r="E1249" s="33">
        <v>1</v>
      </c>
      <c r="F1249" s="33">
        <v>0</v>
      </c>
      <c r="G1249" s="33" t="s">
        <v>47</v>
      </c>
      <c r="H1249" s="33" t="s">
        <v>7800</v>
      </c>
      <c r="I1249" s="33" t="s">
        <v>46</v>
      </c>
      <c r="J1249" s="33" t="s">
        <v>3629</v>
      </c>
    </row>
    <row r="1250" spans="1:12" s="33" customFormat="1" hidden="1" x14ac:dyDescent="0.3">
      <c r="A1250" s="39">
        <v>46099.603391203702</v>
      </c>
      <c r="B1250" s="33">
        <v>1131515685</v>
      </c>
      <c r="C1250" s="33" t="s">
        <v>45</v>
      </c>
      <c r="D1250" s="33">
        <v>4430265054</v>
      </c>
      <c r="E1250" s="33">
        <v>793</v>
      </c>
      <c r="F1250" s="33">
        <v>713</v>
      </c>
      <c r="G1250" s="33" t="s">
        <v>38</v>
      </c>
      <c r="H1250" s="33" t="s">
        <v>7801</v>
      </c>
      <c r="I1250" s="33" t="s">
        <v>39</v>
      </c>
      <c r="J1250" s="33" t="s">
        <v>40</v>
      </c>
      <c r="K1250" s="33" t="s">
        <v>41</v>
      </c>
    </row>
    <row r="1251" spans="1:12" s="33" customFormat="1" hidden="1" x14ac:dyDescent="0.3">
      <c r="A1251" s="39">
        <v>46099.602696759262</v>
      </c>
      <c r="B1251" s="33" t="s">
        <v>3627</v>
      </c>
      <c r="C1251" s="33">
        <v>51990176394</v>
      </c>
      <c r="E1251" s="33">
        <v>23</v>
      </c>
      <c r="F1251" s="33">
        <v>2</v>
      </c>
      <c r="G1251" s="33" t="s">
        <v>38</v>
      </c>
      <c r="H1251" s="33" t="s">
        <v>7802</v>
      </c>
      <c r="I1251" s="33" t="s">
        <v>46</v>
      </c>
      <c r="J1251" s="33" t="s">
        <v>3629</v>
      </c>
    </row>
    <row r="1252" spans="1:12" s="33" customFormat="1" hidden="1" x14ac:dyDescent="0.3">
      <c r="A1252" s="39">
        <v>46099.600428240738</v>
      </c>
      <c r="B1252" s="33" t="s">
        <v>3627</v>
      </c>
      <c r="C1252" s="33">
        <v>19996926497</v>
      </c>
      <c r="E1252" s="33">
        <v>3</v>
      </c>
      <c r="F1252" s="33">
        <v>0</v>
      </c>
      <c r="G1252" s="33" t="s">
        <v>47</v>
      </c>
      <c r="H1252" s="33" t="s">
        <v>7803</v>
      </c>
      <c r="I1252" s="33" t="s">
        <v>46</v>
      </c>
      <c r="J1252" s="33" t="s">
        <v>3629</v>
      </c>
    </row>
    <row r="1253" spans="1:12" s="33" customFormat="1" hidden="1" x14ac:dyDescent="0.3">
      <c r="A1253" s="39">
        <v>46099.592777777776</v>
      </c>
      <c r="B1253" s="33">
        <v>44988255390</v>
      </c>
      <c r="C1253" s="33" t="s">
        <v>42</v>
      </c>
      <c r="D1253" s="33">
        <v>4430265054</v>
      </c>
      <c r="E1253" s="33">
        <v>1444</v>
      </c>
      <c r="F1253" s="33">
        <v>1409</v>
      </c>
      <c r="G1253" s="33" t="s">
        <v>38</v>
      </c>
      <c r="H1253" s="33" t="s">
        <v>7804</v>
      </c>
      <c r="I1253" s="33" t="s">
        <v>39</v>
      </c>
      <c r="J1253" s="33" t="s">
        <v>40</v>
      </c>
      <c r="K1253" s="33" t="s">
        <v>41</v>
      </c>
    </row>
    <row r="1254" spans="1:12" s="33" customFormat="1" hidden="1" x14ac:dyDescent="0.3">
      <c r="A1254" s="39">
        <v>46099.586643518516</v>
      </c>
      <c r="B1254" s="33">
        <v>4430191401</v>
      </c>
      <c r="C1254" s="33" t="s">
        <v>43</v>
      </c>
      <c r="D1254" s="33">
        <v>4430265054</v>
      </c>
      <c r="E1254" s="33">
        <v>361</v>
      </c>
      <c r="F1254" s="33">
        <v>283</v>
      </c>
      <c r="G1254" s="33" t="s">
        <v>38</v>
      </c>
      <c r="H1254" s="33" t="s">
        <v>7805</v>
      </c>
      <c r="I1254" s="33" t="s">
        <v>39</v>
      </c>
      <c r="J1254" s="33" t="s">
        <v>40</v>
      </c>
      <c r="K1254" s="33" t="s">
        <v>41</v>
      </c>
    </row>
    <row r="1255" spans="1:12" s="33" customFormat="1" hidden="1" x14ac:dyDescent="0.3">
      <c r="A1255" s="39">
        <v>46099.584872685184</v>
      </c>
      <c r="B1255" s="33">
        <v>4334226481</v>
      </c>
      <c r="C1255" s="33" t="s">
        <v>45</v>
      </c>
      <c r="D1255" s="33">
        <v>4430265054</v>
      </c>
      <c r="E1255" s="33">
        <v>982</v>
      </c>
      <c r="F1255" s="33">
        <v>945</v>
      </c>
      <c r="G1255" s="33" t="s">
        <v>38</v>
      </c>
      <c r="H1255" s="33" t="s">
        <v>7806</v>
      </c>
      <c r="I1255" s="33" t="s">
        <v>39</v>
      </c>
      <c r="J1255" s="33" t="s">
        <v>40</v>
      </c>
      <c r="K1255" s="33" t="s">
        <v>41</v>
      </c>
    </row>
    <row r="1256" spans="1:12" s="33" customFormat="1" hidden="1" x14ac:dyDescent="0.3">
      <c r="A1256" s="39">
        <v>46099.58326388889</v>
      </c>
      <c r="B1256" s="33">
        <v>4432524652</v>
      </c>
      <c r="C1256" s="33" t="s">
        <v>42</v>
      </c>
      <c r="D1256" s="33">
        <v>4430265054</v>
      </c>
      <c r="E1256" s="33">
        <v>306</v>
      </c>
      <c r="F1256" s="33">
        <v>268</v>
      </c>
      <c r="G1256" s="33" t="s">
        <v>38</v>
      </c>
      <c r="H1256" s="33" t="s">
        <v>7807</v>
      </c>
      <c r="I1256" s="33" t="s">
        <v>39</v>
      </c>
      <c r="J1256" s="33" t="s">
        <v>40</v>
      </c>
      <c r="K1256" s="33" t="s">
        <v>41</v>
      </c>
    </row>
    <row r="1257" spans="1:12" s="33" customFormat="1" hidden="1" x14ac:dyDescent="0.3">
      <c r="A1257" s="39">
        <v>46099.564270833333</v>
      </c>
      <c r="B1257" s="33">
        <v>18997449617</v>
      </c>
      <c r="C1257" s="33" t="s">
        <v>44</v>
      </c>
      <c r="D1257" s="33">
        <v>4430265054</v>
      </c>
      <c r="E1257" s="33">
        <v>340</v>
      </c>
      <c r="F1257" s="33">
        <v>203</v>
      </c>
      <c r="G1257" s="33" t="s">
        <v>38</v>
      </c>
      <c r="H1257" s="33" t="s">
        <v>7808</v>
      </c>
      <c r="I1257" s="33" t="s">
        <v>39</v>
      </c>
      <c r="J1257" s="33" t="s">
        <v>40</v>
      </c>
      <c r="K1257" s="33" t="s">
        <v>41</v>
      </c>
    </row>
    <row r="1258" spans="1:12" s="33" customFormat="1" hidden="1" x14ac:dyDescent="0.3">
      <c r="A1258" s="39">
        <v>46099.562858796293</v>
      </c>
      <c r="B1258" s="33">
        <v>44997650834</v>
      </c>
      <c r="C1258" s="33" t="s">
        <v>45</v>
      </c>
      <c r="D1258" s="33">
        <v>4430265054</v>
      </c>
      <c r="E1258" s="33">
        <v>570</v>
      </c>
      <c r="F1258" s="33">
        <v>549</v>
      </c>
      <c r="G1258" s="33" t="s">
        <v>38</v>
      </c>
      <c r="H1258" s="33" t="s">
        <v>7809</v>
      </c>
      <c r="I1258" s="33" t="s">
        <v>39</v>
      </c>
      <c r="J1258" s="33" t="s">
        <v>40</v>
      </c>
      <c r="K1258" s="33" t="s">
        <v>41</v>
      </c>
      <c r="L1258" s="33">
        <v>5</v>
      </c>
    </row>
    <row r="1259" spans="1:12" s="33" customFormat="1" hidden="1" x14ac:dyDescent="0.3">
      <c r="A1259" s="39">
        <v>46099.512476851851</v>
      </c>
      <c r="B1259" s="33">
        <v>1128897100</v>
      </c>
      <c r="C1259" s="33">
        <v>4430265054</v>
      </c>
      <c r="D1259" s="33">
        <v>4430265054</v>
      </c>
      <c r="E1259" s="33">
        <v>13</v>
      </c>
      <c r="F1259" s="33">
        <v>13</v>
      </c>
      <c r="G1259" s="33" t="s">
        <v>3449</v>
      </c>
      <c r="H1259" s="33" t="s">
        <v>7810</v>
      </c>
      <c r="I1259" s="33" t="s">
        <v>39</v>
      </c>
      <c r="J1259" s="33" t="s">
        <v>3451</v>
      </c>
    </row>
    <row r="1260" spans="1:12" s="33" customFormat="1" hidden="1" x14ac:dyDescent="0.3">
      <c r="A1260" s="39">
        <v>46099.488819444443</v>
      </c>
      <c r="B1260" s="33">
        <v>1128897100</v>
      </c>
      <c r="C1260" s="33" t="s">
        <v>45</v>
      </c>
      <c r="D1260" s="33">
        <v>4430265054</v>
      </c>
      <c r="E1260" s="33">
        <v>437</v>
      </c>
      <c r="F1260" s="33">
        <v>404</v>
      </c>
      <c r="G1260" s="33" t="s">
        <v>38</v>
      </c>
      <c r="H1260" s="33" t="s">
        <v>7811</v>
      </c>
      <c r="I1260" s="33" t="s">
        <v>39</v>
      </c>
      <c r="J1260" s="33" t="s">
        <v>40</v>
      </c>
      <c r="K1260" s="33" t="s">
        <v>50</v>
      </c>
    </row>
    <row r="1261" spans="1:12" s="33" customFormat="1" hidden="1" x14ac:dyDescent="0.3">
      <c r="A1261" s="39">
        <v>46099.485856481479</v>
      </c>
      <c r="B1261" s="33">
        <v>4121413723</v>
      </c>
      <c r="C1261" s="33">
        <v>4430265054</v>
      </c>
      <c r="D1261" s="33">
        <v>4430265054</v>
      </c>
      <c r="E1261" s="33">
        <v>46</v>
      </c>
      <c r="F1261" s="33">
        <v>46</v>
      </c>
      <c r="G1261" s="33" t="s">
        <v>3449</v>
      </c>
      <c r="H1261" s="33" t="s">
        <v>7812</v>
      </c>
      <c r="I1261" s="33" t="s">
        <v>39</v>
      </c>
      <c r="J1261" s="33" t="s">
        <v>3451</v>
      </c>
      <c r="K1261" s="33" t="s">
        <v>41</v>
      </c>
    </row>
    <row r="1262" spans="1:12" s="33" customFormat="1" hidden="1" x14ac:dyDescent="0.3">
      <c r="A1262" s="39">
        <v>46099.473668981482</v>
      </c>
      <c r="B1262" s="33" t="s">
        <v>3627</v>
      </c>
      <c r="C1262" s="33">
        <v>5433831027</v>
      </c>
      <c r="E1262" s="33">
        <v>80</v>
      </c>
      <c r="F1262" s="33">
        <v>71</v>
      </c>
      <c r="G1262" s="33" t="s">
        <v>38</v>
      </c>
      <c r="H1262" s="33" t="s">
        <v>7813</v>
      </c>
      <c r="I1262" s="33" t="s">
        <v>46</v>
      </c>
      <c r="J1262" s="33" t="s">
        <v>3629</v>
      </c>
    </row>
    <row r="1263" spans="1:12" s="33" customFormat="1" hidden="1" x14ac:dyDescent="0.3">
      <c r="A1263" s="39">
        <v>46099.470752314817</v>
      </c>
      <c r="B1263" s="33" t="s">
        <v>3627</v>
      </c>
      <c r="C1263" s="33">
        <v>11960323678</v>
      </c>
      <c r="E1263" s="33">
        <v>23</v>
      </c>
      <c r="F1263" s="33">
        <v>16</v>
      </c>
      <c r="G1263" s="33" t="s">
        <v>38</v>
      </c>
      <c r="H1263" s="33" t="s">
        <v>7814</v>
      </c>
      <c r="I1263" s="33" t="s">
        <v>46</v>
      </c>
      <c r="J1263" s="33" t="s">
        <v>3629</v>
      </c>
    </row>
    <row r="1264" spans="1:12" s="33" customFormat="1" hidden="1" x14ac:dyDescent="0.3">
      <c r="A1264" s="39">
        <v>46099.470486111109</v>
      </c>
      <c r="B1264" s="33" t="s">
        <v>3627</v>
      </c>
      <c r="C1264" s="33">
        <v>66997253171</v>
      </c>
      <c r="E1264" s="33">
        <v>9</v>
      </c>
      <c r="F1264" s="33">
        <v>0</v>
      </c>
      <c r="G1264" s="33" t="s">
        <v>47</v>
      </c>
      <c r="H1264" s="33" t="s">
        <v>7815</v>
      </c>
      <c r="I1264" s="33" t="s">
        <v>46</v>
      </c>
      <c r="J1264" s="33" t="s">
        <v>3629</v>
      </c>
    </row>
    <row r="1265" spans="1:12" s="33" customFormat="1" hidden="1" x14ac:dyDescent="0.3">
      <c r="A1265" s="39">
        <v>46099.459189814814</v>
      </c>
      <c r="B1265" s="33">
        <v>44998059689</v>
      </c>
      <c r="C1265" s="33" t="s">
        <v>45</v>
      </c>
      <c r="D1265" s="33">
        <v>4430265054</v>
      </c>
      <c r="E1265" s="33">
        <v>561</v>
      </c>
      <c r="F1265" s="33">
        <v>438</v>
      </c>
      <c r="G1265" s="33" t="s">
        <v>38</v>
      </c>
      <c r="H1265" s="33" t="s">
        <v>7816</v>
      </c>
      <c r="I1265" s="33" t="s">
        <v>39</v>
      </c>
      <c r="J1265" s="33" t="s">
        <v>40</v>
      </c>
      <c r="K1265" s="33" t="s">
        <v>41</v>
      </c>
      <c r="L1265" s="33">
        <v>5</v>
      </c>
    </row>
    <row r="1266" spans="1:12" s="33" customFormat="1" hidden="1" x14ac:dyDescent="0.3">
      <c r="A1266" s="39">
        <v>46099.458622685182</v>
      </c>
      <c r="B1266" s="33">
        <v>4121413723</v>
      </c>
      <c r="C1266" s="33">
        <v>4531273164</v>
      </c>
      <c r="D1266" s="33">
        <v>4531273164</v>
      </c>
      <c r="E1266" s="33">
        <v>56</v>
      </c>
      <c r="F1266" s="33">
        <v>56</v>
      </c>
      <c r="G1266" s="33" t="s">
        <v>3449</v>
      </c>
      <c r="H1266" s="33" t="s">
        <v>7817</v>
      </c>
      <c r="I1266" s="33" t="s">
        <v>39</v>
      </c>
      <c r="J1266" s="33" t="s">
        <v>3451</v>
      </c>
      <c r="K1266" s="33" t="s">
        <v>41</v>
      </c>
    </row>
    <row r="1267" spans="1:12" s="33" customFormat="1" hidden="1" x14ac:dyDescent="0.3">
      <c r="A1267" s="39">
        <v>46099.451365740744</v>
      </c>
      <c r="B1267" s="33" t="s">
        <v>51</v>
      </c>
      <c r="C1267" s="33" t="s">
        <v>5173</v>
      </c>
      <c r="E1267" s="33">
        <v>737</v>
      </c>
      <c r="F1267" s="33">
        <v>729</v>
      </c>
      <c r="G1267" s="33" t="s">
        <v>38</v>
      </c>
      <c r="H1267" s="33" t="s">
        <v>7818</v>
      </c>
      <c r="I1267" s="33" t="s">
        <v>52</v>
      </c>
      <c r="J1267" s="33" t="s">
        <v>3629</v>
      </c>
    </row>
    <row r="1268" spans="1:12" s="33" customFormat="1" hidden="1" x14ac:dyDescent="0.3">
      <c r="A1268" s="39">
        <v>46099.450995370367</v>
      </c>
      <c r="B1268" s="33">
        <v>44997400641</v>
      </c>
      <c r="C1268" s="33">
        <v>4430265054</v>
      </c>
      <c r="D1268" s="33">
        <v>4430265054</v>
      </c>
      <c r="E1268" s="33">
        <v>111</v>
      </c>
      <c r="F1268" s="33">
        <v>111</v>
      </c>
      <c r="G1268" s="33" t="s">
        <v>3449</v>
      </c>
      <c r="H1268" s="33" t="s">
        <v>7819</v>
      </c>
      <c r="I1268" s="33" t="s">
        <v>39</v>
      </c>
      <c r="J1268" s="33" t="s">
        <v>3451</v>
      </c>
      <c r="K1268" s="33" t="s">
        <v>41</v>
      </c>
    </row>
    <row r="1269" spans="1:12" s="33" customFormat="1" hidden="1" x14ac:dyDescent="0.3">
      <c r="A1269" s="39">
        <v>46099.443495370368</v>
      </c>
      <c r="B1269" s="33" t="s">
        <v>3627</v>
      </c>
      <c r="C1269" s="33">
        <v>8538784160</v>
      </c>
      <c r="E1269" s="33">
        <v>13</v>
      </c>
      <c r="F1269" s="33">
        <v>0</v>
      </c>
      <c r="G1269" s="33" t="s">
        <v>47</v>
      </c>
      <c r="H1269" s="33" t="s">
        <v>7820</v>
      </c>
      <c r="I1269" s="33" t="s">
        <v>46</v>
      </c>
      <c r="J1269" s="33" t="s">
        <v>3629</v>
      </c>
    </row>
    <row r="1270" spans="1:12" s="33" customFormat="1" hidden="1" x14ac:dyDescent="0.3">
      <c r="A1270" s="39">
        <v>46099.442245370374</v>
      </c>
      <c r="B1270" s="33">
        <v>4440524992</v>
      </c>
      <c r="C1270" s="33">
        <v>4430265054</v>
      </c>
      <c r="D1270" s="33">
        <v>4430265054</v>
      </c>
      <c r="E1270" s="33">
        <v>8</v>
      </c>
      <c r="F1270" s="33">
        <v>7</v>
      </c>
      <c r="G1270" s="33" t="s">
        <v>3449</v>
      </c>
      <c r="H1270" s="33" t="s">
        <v>7821</v>
      </c>
      <c r="I1270" s="33" t="s">
        <v>39</v>
      </c>
      <c r="J1270" s="33" t="s">
        <v>3451</v>
      </c>
    </row>
    <row r="1271" spans="1:12" s="33" customFormat="1" hidden="1" x14ac:dyDescent="0.3">
      <c r="A1271" s="39">
        <v>46099.442199074074</v>
      </c>
      <c r="B1271" s="33">
        <v>4430273520</v>
      </c>
      <c r="C1271" s="33">
        <v>4430265054</v>
      </c>
      <c r="D1271" s="33">
        <v>4430265054</v>
      </c>
      <c r="E1271" s="33">
        <v>7</v>
      </c>
      <c r="F1271" s="33">
        <v>7</v>
      </c>
      <c r="G1271" s="33" t="s">
        <v>3449</v>
      </c>
      <c r="H1271" s="33" t="s">
        <v>7822</v>
      </c>
      <c r="I1271" s="33" t="s">
        <v>39</v>
      </c>
      <c r="J1271" s="33" t="s">
        <v>3451</v>
      </c>
    </row>
    <row r="1272" spans="1:12" s="33" customFormat="1" hidden="1" x14ac:dyDescent="0.3">
      <c r="A1272" s="39">
        <v>46099.434849537036</v>
      </c>
      <c r="B1272" s="33">
        <v>93991495484</v>
      </c>
      <c r="C1272" s="33" t="s">
        <v>37</v>
      </c>
      <c r="D1272" s="33">
        <v>4430265054</v>
      </c>
      <c r="E1272" s="33">
        <v>386</v>
      </c>
      <c r="F1272" s="33">
        <v>302</v>
      </c>
      <c r="G1272" s="33" t="s">
        <v>38</v>
      </c>
      <c r="H1272" s="33" t="s">
        <v>7823</v>
      </c>
      <c r="I1272" s="33" t="s">
        <v>39</v>
      </c>
      <c r="J1272" s="33" t="s">
        <v>40</v>
      </c>
      <c r="K1272" s="33" t="s">
        <v>41</v>
      </c>
      <c r="L1272" s="33">
        <v>5</v>
      </c>
    </row>
    <row r="1273" spans="1:12" s="33" customFormat="1" hidden="1" x14ac:dyDescent="0.3">
      <c r="A1273" s="39">
        <v>46099.432326388887</v>
      </c>
      <c r="B1273" s="33" t="s">
        <v>45</v>
      </c>
      <c r="C1273" s="33">
        <v>4130296118</v>
      </c>
      <c r="E1273" s="33">
        <v>457</v>
      </c>
      <c r="F1273" s="33">
        <v>452</v>
      </c>
      <c r="G1273" s="33" t="s">
        <v>38</v>
      </c>
      <c r="H1273" s="33" t="s">
        <v>7824</v>
      </c>
      <c r="I1273" s="33" t="s">
        <v>46</v>
      </c>
      <c r="J1273" s="33" t="s">
        <v>40</v>
      </c>
    </row>
    <row r="1274" spans="1:12" s="33" customFormat="1" hidden="1" x14ac:dyDescent="0.3">
      <c r="A1274" s="39">
        <v>46099.431273148148</v>
      </c>
      <c r="B1274" s="33">
        <v>1131043888</v>
      </c>
      <c r="C1274" s="33" t="s">
        <v>43</v>
      </c>
      <c r="D1274" s="33">
        <v>4430265054</v>
      </c>
      <c r="E1274" s="33">
        <v>337</v>
      </c>
      <c r="F1274" s="33">
        <v>193</v>
      </c>
      <c r="G1274" s="33" t="s">
        <v>38</v>
      </c>
      <c r="H1274" s="33" t="s">
        <v>7825</v>
      </c>
      <c r="I1274" s="33" t="s">
        <v>39</v>
      </c>
      <c r="J1274" s="33" t="s">
        <v>40</v>
      </c>
      <c r="K1274" s="33" t="s">
        <v>41</v>
      </c>
    </row>
    <row r="1275" spans="1:12" s="33" customFormat="1" hidden="1" x14ac:dyDescent="0.3">
      <c r="A1275" s="39">
        <v>46099.430902777778</v>
      </c>
      <c r="B1275" s="33">
        <v>1131043888</v>
      </c>
      <c r="C1275" s="33">
        <v>4430265054</v>
      </c>
      <c r="D1275" s="33">
        <v>4430265054</v>
      </c>
      <c r="E1275" s="33">
        <v>21</v>
      </c>
      <c r="F1275" s="33">
        <v>20</v>
      </c>
      <c r="G1275" s="33" t="s">
        <v>3449</v>
      </c>
      <c r="H1275" s="33" t="s">
        <v>7826</v>
      </c>
      <c r="I1275" s="33" t="s">
        <v>39</v>
      </c>
      <c r="J1275" s="33" t="s">
        <v>3451</v>
      </c>
    </row>
    <row r="1276" spans="1:12" s="33" customFormat="1" hidden="1" x14ac:dyDescent="0.3">
      <c r="A1276" s="39">
        <v>46099.420775462961</v>
      </c>
      <c r="B1276" s="33">
        <v>44991062548</v>
      </c>
      <c r="C1276" s="33" t="s">
        <v>5173</v>
      </c>
      <c r="D1276" s="33">
        <v>4430265054</v>
      </c>
      <c r="E1276" s="33">
        <v>1456</v>
      </c>
      <c r="F1276" s="33">
        <v>1414</v>
      </c>
      <c r="G1276" s="33" t="s">
        <v>38</v>
      </c>
      <c r="H1276" s="33" t="s">
        <v>7827</v>
      </c>
      <c r="I1276" s="33" t="s">
        <v>39</v>
      </c>
      <c r="J1276" s="33" t="s">
        <v>3629</v>
      </c>
      <c r="K1276" s="33" t="s">
        <v>41</v>
      </c>
    </row>
    <row r="1277" spans="1:12" s="33" customFormat="1" hidden="1" x14ac:dyDescent="0.3">
      <c r="A1277" s="39">
        <v>46099.415011574078</v>
      </c>
      <c r="B1277" s="33">
        <v>44984361000</v>
      </c>
      <c r="C1277" s="33" t="s">
        <v>44</v>
      </c>
      <c r="D1277" s="33">
        <v>4430265054</v>
      </c>
      <c r="E1277" s="33">
        <v>554</v>
      </c>
      <c r="F1277" s="33">
        <v>470</v>
      </c>
      <c r="G1277" s="33" t="s">
        <v>38</v>
      </c>
      <c r="H1277" s="33" t="s">
        <v>7828</v>
      </c>
      <c r="I1277" s="33" t="s">
        <v>39</v>
      </c>
      <c r="J1277" s="33" t="s">
        <v>40</v>
      </c>
      <c r="K1277" s="33" t="s">
        <v>41</v>
      </c>
      <c r="L1277" s="33">
        <v>5</v>
      </c>
    </row>
    <row r="1278" spans="1:12" s="33" customFormat="1" hidden="1" x14ac:dyDescent="0.3">
      <c r="A1278" s="39">
        <v>46099.414467592593</v>
      </c>
      <c r="B1278" s="33" t="s">
        <v>3627</v>
      </c>
      <c r="C1278" s="33">
        <v>1127273743</v>
      </c>
      <c r="E1278" s="33">
        <v>36</v>
      </c>
      <c r="F1278" s="33">
        <v>26</v>
      </c>
      <c r="G1278" s="33" t="s">
        <v>38</v>
      </c>
      <c r="H1278" s="33" t="s">
        <v>7829</v>
      </c>
      <c r="I1278" s="33" t="s">
        <v>46</v>
      </c>
      <c r="J1278" s="33" t="s">
        <v>3629</v>
      </c>
    </row>
    <row r="1279" spans="1:12" s="33" customFormat="1" hidden="1" x14ac:dyDescent="0.3">
      <c r="A1279" s="39">
        <v>46099.414166666669</v>
      </c>
      <c r="B1279" s="33">
        <v>44984361000</v>
      </c>
      <c r="C1279" s="33" t="s">
        <v>45</v>
      </c>
      <c r="D1279" s="33">
        <v>4430265054</v>
      </c>
      <c r="E1279" s="33">
        <v>60</v>
      </c>
      <c r="F1279" s="33">
        <v>42</v>
      </c>
      <c r="G1279" s="33" t="s">
        <v>38</v>
      </c>
      <c r="H1279" s="33" t="s">
        <v>7830</v>
      </c>
      <c r="I1279" s="33" t="s">
        <v>39</v>
      </c>
      <c r="J1279" s="33" t="s">
        <v>40</v>
      </c>
      <c r="K1279" s="33" t="s">
        <v>41</v>
      </c>
    </row>
    <row r="1280" spans="1:12" s="33" customFormat="1" hidden="1" x14ac:dyDescent="0.3">
      <c r="A1280" s="39">
        <v>46099.413541666669</v>
      </c>
      <c r="B1280" s="33" t="s">
        <v>3627</v>
      </c>
      <c r="C1280" s="33">
        <v>11994881457</v>
      </c>
      <c r="E1280" s="33">
        <v>18</v>
      </c>
      <c r="F1280" s="33">
        <v>2</v>
      </c>
      <c r="G1280" s="33" t="s">
        <v>38</v>
      </c>
      <c r="H1280" s="33" t="s">
        <v>7831</v>
      </c>
      <c r="I1280" s="33" t="s">
        <v>46</v>
      </c>
      <c r="J1280" s="33" t="s">
        <v>3629</v>
      </c>
    </row>
    <row r="1281" spans="1:12" s="33" customFormat="1" hidden="1" x14ac:dyDescent="0.3">
      <c r="A1281" s="39">
        <v>46099.40996527778</v>
      </c>
      <c r="B1281" s="33">
        <v>1128897100</v>
      </c>
      <c r="C1281" s="33" t="s">
        <v>37</v>
      </c>
      <c r="D1281" s="33">
        <v>4430265054</v>
      </c>
      <c r="E1281" s="33">
        <v>1119</v>
      </c>
      <c r="F1281" s="33">
        <v>1082</v>
      </c>
      <c r="G1281" s="33" t="s">
        <v>38</v>
      </c>
      <c r="H1281" s="33" t="s">
        <v>7832</v>
      </c>
      <c r="I1281" s="33" t="s">
        <v>39</v>
      </c>
      <c r="J1281" s="33" t="s">
        <v>40</v>
      </c>
      <c r="K1281" s="33" t="s">
        <v>41</v>
      </c>
    </row>
    <row r="1282" spans="1:12" s="33" customFormat="1" hidden="1" x14ac:dyDescent="0.3">
      <c r="A1282" s="39">
        <v>46099.402222222219</v>
      </c>
      <c r="B1282" s="33">
        <v>41999717893</v>
      </c>
      <c r="C1282" s="33" t="s">
        <v>37</v>
      </c>
      <c r="D1282" s="33">
        <v>4430265054</v>
      </c>
      <c r="E1282" s="33">
        <v>411</v>
      </c>
      <c r="F1282" s="33">
        <v>387</v>
      </c>
      <c r="G1282" s="33" t="s">
        <v>38</v>
      </c>
      <c r="H1282" s="33" t="s">
        <v>7833</v>
      </c>
      <c r="I1282" s="33" t="s">
        <v>39</v>
      </c>
      <c r="J1282" s="33" t="s">
        <v>40</v>
      </c>
      <c r="K1282" s="33" t="s">
        <v>41</v>
      </c>
    </row>
    <row r="1283" spans="1:12" s="33" customFormat="1" hidden="1" x14ac:dyDescent="0.3">
      <c r="A1283" s="39">
        <v>46099.401747685188</v>
      </c>
      <c r="B1283" s="33">
        <v>65999058382</v>
      </c>
      <c r="C1283" s="33" t="s">
        <v>42</v>
      </c>
      <c r="D1283" s="33">
        <v>4430265054</v>
      </c>
      <c r="E1283" s="33">
        <v>907</v>
      </c>
      <c r="F1283" s="33">
        <v>874</v>
      </c>
      <c r="G1283" s="33" t="s">
        <v>38</v>
      </c>
      <c r="H1283" s="33" t="s">
        <v>7834</v>
      </c>
      <c r="I1283" s="33" t="s">
        <v>39</v>
      </c>
      <c r="J1283" s="33" t="s">
        <v>40</v>
      </c>
      <c r="K1283" s="33" t="s">
        <v>41</v>
      </c>
    </row>
    <row r="1284" spans="1:12" s="33" customFormat="1" hidden="1" x14ac:dyDescent="0.3">
      <c r="A1284" s="39">
        <v>46099.397766203707</v>
      </c>
      <c r="B1284" s="33">
        <v>4532541802</v>
      </c>
      <c r="C1284" s="33" t="s">
        <v>43</v>
      </c>
      <c r="D1284" s="33">
        <v>4430265054</v>
      </c>
      <c r="E1284" s="33">
        <v>924</v>
      </c>
      <c r="F1284" s="33">
        <v>821</v>
      </c>
      <c r="G1284" s="33" t="s">
        <v>38</v>
      </c>
      <c r="H1284" s="33" t="s">
        <v>7835</v>
      </c>
      <c r="I1284" s="33" t="s">
        <v>39</v>
      </c>
      <c r="J1284" s="33" t="s">
        <v>40</v>
      </c>
      <c r="K1284" s="33" t="s">
        <v>41</v>
      </c>
    </row>
    <row r="1285" spans="1:12" s="33" customFormat="1" hidden="1" x14ac:dyDescent="0.3">
      <c r="A1285" s="39">
        <v>46099.391828703701</v>
      </c>
      <c r="B1285" s="33" t="s">
        <v>5173</v>
      </c>
      <c r="C1285" s="33">
        <v>35997000807</v>
      </c>
      <c r="E1285" s="33">
        <v>504</v>
      </c>
      <c r="F1285" s="33">
        <v>497</v>
      </c>
      <c r="G1285" s="33" t="s">
        <v>38</v>
      </c>
      <c r="H1285" s="33" t="s">
        <v>7836</v>
      </c>
      <c r="I1285" s="33" t="s">
        <v>46</v>
      </c>
      <c r="J1285" s="33" t="s">
        <v>3629</v>
      </c>
    </row>
    <row r="1286" spans="1:12" s="33" customFormat="1" hidden="1" x14ac:dyDescent="0.3">
      <c r="A1286" s="39">
        <v>46099.391145833331</v>
      </c>
      <c r="B1286" s="33">
        <v>1145007014</v>
      </c>
      <c r="C1286" s="33">
        <v>4430265054</v>
      </c>
      <c r="D1286" s="33">
        <v>4430265054</v>
      </c>
      <c r="E1286" s="33">
        <v>8</v>
      </c>
      <c r="F1286" s="33">
        <v>7</v>
      </c>
      <c r="G1286" s="33" t="s">
        <v>3449</v>
      </c>
      <c r="H1286" s="33" t="s">
        <v>7837</v>
      </c>
      <c r="I1286" s="33" t="s">
        <v>39</v>
      </c>
      <c r="J1286" s="33" t="s">
        <v>3451</v>
      </c>
    </row>
    <row r="1287" spans="1:12" s="33" customFormat="1" hidden="1" x14ac:dyDescent="0.3">
      <c r="A1287" s="39">
        <v>46099.386319444442</v>
      </c>
      <c r="B1287" s="33">
        <v>44998266194</v>
      </c>
      <c r="C1287" s="33" t="s">
        <v>43</v>
      </c>
      <c r="D1287" s="33">
        <v>4431268225</v>
      </c>
      <c r="E1287" s="33">
        <v>160</v>
      </c>
      <c r="F1287" s="33">
        <v>94</v>
      </c>
      <c r="G1287" s="33" t="s">
        <v>38</v>
      </c>
      <c r="H1287" s="33" t="s">
        <v>7838</v>
      </c>
      <c r="I1287" s="33" t="s">
        <v>39</v>
      </c>
      <c r="J1287" s="33" t="s">
        <v>40</v>
      </c>
      <c r="K1287" s="33" t="s">
        <v>41</v>
      </c>
    </row>
    <row r="1288" spans="1:12" s="33" customFormat="1" x14ac:dyDescent="0.3">
      <c r="A1288" s="39">
        <v>46099.384953703702</v>
      </c>
      <c r="B1288" s="33">
        <v>44998562645</v>
      </c>
      <c r="C1288" s="33" t="s">
        <v>42</v>
      </c>
      <c r="D1288" s="33">
        <v>4430265054</v>
      </c>
      <c r="E1288" s="33">
        <v>560</v>
      </c>
      <c r="F1288" s="33">
        <v>537</v>
      </c>
      <c r="G1288" s="33" t="s">
        <v>38</v>
      </c>
      <c r="H1288" s="33" t="s">
        <v>7839</v>
      </c>
      <c r="I1288" s="33" t="s">
        <v>39</v>
      </c>
      <c r="J1288" s="33" t="s">
        <v>40</v>
      </c>
      <c r="K1288" s="33" t="s">
        <v>41</v>
      </c>
      <c r="L1288" s="33">
        <v>5</v>
      </c>
    </row>
    <row r="1289" spans="1:12" s="33" customFormat="1" hidden="1" x14ac:dyDescent="0.3">
      <c r="A1289" s="39">
        <v>46099.384432870371</v>
      </c>
      <c r="B1289" s="33">
        <v>4432525112</v>
      </c>
      <c r="C1289" s="33" t="s">
        <v>3627</v>
      </c>
      <c r="D1289" s="33">
        <v>4430265054</v>
      </c>
      <c r="E1289" s="33">
        <v>404</v>
      </c>
      <c r="F1289" s="33">
        <v>384</v>
      </c>
      <c r="G1289" s="33" t="s">
        <v>38</v>
      </c>
      <c r="H1289" s="33" t="s">
        <v>7840</v>
      </c>
      <c r="I1289" s="33" t="s">
        <v>39</v>
      </c>
      <c r="J1289" s="33" t="s">
        <v>3629</v>
      </c>
      <c r="K1289" s="33" t="s">
        <v>50</v>
      </c>
    </row>
    <row r="1290" spans="1:12" s="33" customFormat="1" hidden="1" x14ac:dyDescent="0.3">
      <c r="A1290" s="39">
        <v>46099.381527777776</v>
      </c>
      <c r="B1290" s="33">
        <v>44998266194</v>
      </c>
      <c r="C1290" s="33">
        <v>4431268225</v>
      </c>
      <c r="D1290" s="33">
        <v>4431268225</v>
      </c>
      <c r="E1290" s="33">
        <v>59</v>
      </c>
      <c r="F1290" s="33">
        <v>59</v>
      </c>
      <c r="G1290" s="33" t="s">
        <v>3449</v>
      </c>
      <c r="H1290" s="33" t="s">
        <v>7841</v>
      </c>
      <c r="I1290" s="33" t="s">
        <v>39</v>
      </c>
      <c r="J1290" s="33" t="s">
        <v>3451</v>
      </c>
      <c r="K1290" s="33" t="s">
        <v>41</v>
      </c>
    </row>
    <row r="1291" spans="1:12" s="33" customFormat="1" hidden="1" x14ac:dyDescent="0.3">
      <c r="A1291" s="39">
        <v>46099.368750000001</v>
      </c>
      <c r="B1291" s="33">
        <v>44997734943</v>
      </c>
      <c r="C1291" s="33" t="s">
        <v>43</v>
      </c>
      <c r="D1291" s="33">
        <v>4430265054</v>
      </c>
      <c r="E1291" s="33">
        <v>861</v>
      </c>
      <c r="F1291" s="33">
        <v>785</v>
      </c>
      <c r="G1291" s="33" t="s">
        <v>38</v>
      </c>
      <c r="H1291" s="33" t="s">
        <v>7842</v>
      </c>
      <c r="I1291" s="33" t="s">
        <v>39</v>
      </c>
      <c r="J1291" s="33" t="s">
        <v>40</v>
      </c>
      <c r="K1291" s="33" t="s">
        <v>41</v>
      </c>
      <c r="L1291" s="33">
        <v>5</v>
      </c>
    </row>
    <row r="1292" spans="1:12" s="33" customFormat="1" hidden="1" x14ac:dyDescent="0.3">
      <c r="A1292" s="39">
        <v>46099.36787037037</v>
      </c>
      <c r="B1292" s="33">
        <v>44997734943</v>
      </c>
      <c r="C1292" s="33">
        <v>4430265054</v>
      </c>
      <c r="D1292" s="33">
        <v>4430265054</v>
      </c>
      <c r="E1292" s="33">
        <v>44</v>
      </c>
      <c r="F1292" s="33">
        <v>43</v>
      </c>
      <c r="G1292" s="33" t="s">
        <v>3449</v>
      </c>
      <c r="H1292" s="33" t="s">
        <v>7843</v>
      </c>
      <c r="I1292" s="33" t="s">
        <v>39</v>
      </c>
      <c r="J1292" s="33" t="s">
        <v>3451</v>
      </c>
      <c r="K1292" s="33" t="s">
        <v>41</v>
      </c>
    </row>
    <row r="1293" spans="1:12" s="33" customFormat="1" hidden="1" x14ac:dyDescent="0.3">
      <c r="A1293" s="39">
        <v>46099.367662037039</v>
      </c>
      <c r="B1293" s="33">
        <v>44997734943</v>
      </c>
      <c r="C1293" s="33">
        <v>4430265054</v>
      </c>
      <c r="D1293" s="33">
        <v>4430265054</v>
      </c>
      <c r="E1293" s="33">
        <v>13</v>
      </c>
      <c r="F1293" s="33">
        <v>13</v>
      </c>
      <c r="G1293" s="33" t="s">
        <v>3449</v>
      </c>
      <c r="H1293" s="33" t="s">
        <v>7844</v>
      </c>
      <c r="I1293" s="33" t="s">
        <v>39</v>
      </c>
      <c r="J1293" s="33" t="s">
        <v>3451</v>
      </c>
    </row>
    <row r="1294" spans="1:12" s="33" customFormat="1" hidden="1" x14ac:dyDescent="0.3">
      <c r="A1294" s="39">
        <v>46099.354687500003</v>
      </c>
      <c r="B1294" s="33">
        <v>44984241715</v>
      </c>
      <c r="C1294" s="33" t="s">
        <v>43</v>
      </c>
      <c r="D1294" s="33">
        <v>4430265054</v>
      </c>
      <c r="E1294" s="33">
        <v>610</v>
      </c>
      <c r="F1294" s="33">
        <v>487</v>
      </c>
      <c r="G1294" s="33" t="s">
        <v>38</v>
      </c>
      <c r="H1294" s="33" t="s">
        <v>7845</v>
      </c>
      <c r="I1294" s="33" t="s">
        <v>39</v>
      </c>
      <c r="J1294" s="33" t="s">
        <v>40</v>
      </c>
      <c r="K1294" s="33" t="s">
        <v>41</v>
      </c>
    </row>
    <row r="1295" spans="1:12" s="33" customFormat="1" hidden="1" x14ac:dyDescent="0.3">
      <c r="A1295" s="39">
        <v>46098.738194444442</v>
      </c>
      <c r="B1295" s="33">
        <v>11947305533</v>
      </c>
      <c r="C1295" s="33">
        <v>4430265054</v>
      </c>
      <c r="D1295" s="33">
        <v>4430265054</v>
      </c>
      <c r="E1295" s="33">
        <v>92</v>
      </c>
      <c r="F1295" s="33">
        <v>91</v>
      </c>
      <c r="G1295" s="33" t="s">
        <v>3449</v>
      </c>
      <c r="H1295" s="33" t="s">
        <v>7846</v>
      </c>
      <c r="I1295" s="33" t="s">
        <v>39</v>
      </c>
      <c r="J1295" s="33" t="s">
        <v>3451</v>
      </c>
      <c r="K1295" s="33" t="s">
        <v>41</v>
      </c>
    </row>
    <row r="1296" spans="1:12" s="33" customFormat="1" hidden="1" x14ac:dyDescent="0.3">
      <c r="A1296" s="39">
        <v>46098.734699074077</v>
      </c>
      <c r="B1296" s="33" t="s">
        <v>3627</v>
      </c>
      <c r="C1296" s="33">
        <v>48984392992</v>
      </c>
      <c r="E1296" s="33">
        <v>7</v>
      </c>
      <c r="F1296" s="33">
        <v>0</v>
      </c>
      <c r="G1296" s="33" t="s">
        <v>47</v>
      </c>
      <c r="H1296" s="33" t="s">
        <v>7847</v>
      </c>
      <c r="I1296" s="33" t="s">
        <v>46</v>
      </c>
      <c r="J1296" s="33" t="s">
        <v>3629</v>
      </c>
    </row>
    <row r="1297" spans="1:12" s="33" customFormat="1" hidden="1" x14ac:dyDescent="0.3">
      <c r="A1297" s="39">
        <v>46098.724733796298</v>
      </c>
      <c r="B1297" s="33">
        <v>45999334612</v>
      </c>
      <c r="C1297" s="33" t="s">
        <v>45</v>
      </c>
      <c r="D1297" s="33">
        <v>4430265054</v>
      </c>
      <c r="E1297" s="33">
        <v>744</v>
      </c>
      <c r="F1297" s="33">
        <v>724</v>
      </c>
      <c r="G1297" s="33" t="s">
        <v>38</v>
      </c>
      <c r="H1297" s="33" t="s">
        <v>7848</v>
      </c>
      <c r="I1297" s="33" t="s">
        <v>39</v>
      </c>
      <c r="J1297" s="33" t="s">
        <v>40</v>
      </c>
      <c r="K1297" s="33" t="s">
        <v>41</v>
      </c>
      <c r="L1297" s="33">
        <v>5</v>
      </c>
    </row>
    <row r="1298" spans="1:12" s="33" customFormat="1" x14ac:dyDescent="0.3">
      <c r="A1298" s="39">
        <v>46098.723668981482</v>
      </c>
      <c r="B1298" s="33">
        <v>44998266194</v>
      </c>
      <c r="C1298" s="33" t="s">
        <v>42</v>
      </c>
      <c r="D1298" s="33">
        <v>4431268225</v>
      </c>
      <c r="E1298" s="33">
        <v>561</v>
      </c>
      <c r="F1298" s="33">
        <v>523</v>
      </c>
      <c r="G1298" s="33" t="s">
        <v>38</v>
      </c>
      <c r="H1298" s="33" t="s">
        <v>7849</v>
      </c>
      <c r="I1298" s="33" t="s">
        <v>39</v>
      </c>
      <c r="J1298" s="33" t="s">
        <v>40</v>
      </c>
      <c r="K1298" s="33" t="s">
        <v>41</v>
      </c>
      <c r="L1298" s="33">
        <v>5</v>
      </c>
    </row>
    <row r="1299" spans="1:12" s="33" customFormat="1" hidden="1" x14ac:dyDescent="0.3">
      <c r="A1299" s="39">
        <v>46098.717106481483</v>
      </c>
      <c r="B1299" s="33">
        <v>44998266194</v>
      </c>
      <c r="C1299" s="33">
        <v>4431268225</v>
      </c>
      <c r="D1299" s="33">
        <v>4431268225</v>
      </c>
      <c r="E1299" s="33">
        <v>4</v>
      </c>
      <c r="F1299" s="33">
        <v>4</v>
      </c>
      <c r="G1299" s="33" t="s">
        <v>3449</v>
      </c>
      <c r="H1299" s="33" t="s">
        <v>7850</v>
      </c>
      <c r="I1299" s="33" t="s">
        <v>39</v>
      </c>
      <c r="J1299" s="33" t="s">
        <v>3451</v>
      </c>
    </row>
    <row r="1300" spans="1:12" s="33" customFormat="1" hidden="1" x14ac:dyDescent="0.3">
      <c r="A1300" s="39">
        <v>46098.71675925926</v>
      </c>
      <c r="B1300" s="33" t="s">
        <v>48</v>
      </c>
      <c r="C1300" s="33">
        <v>4434212150</v>
      </c>
      <c r="E1300" s="33">
        <v>319</v>
      </c>
      <c r="F1300" s="33">
        <v>311</v>
      </c>
      <c r="G1300" s="33" t="s">
        <v>38</v>
      </c>
      <c r="H1300" s="33" t="s">
        <v>7851</v>
      </c>
      <c r="I1300" s="33" t="s">
        <v>46</v>
      </c>
      <c r="J1300" s="33" t="s">
        <v>40</v>
      </c>
    </row>
    <row r="1301" spans="1:12" s="33" customFormat="1" hidden="1" x14ac:dyDescent="0.3">
      <c r="A1301" s="39">
        <v>46098.71665509259</v>
      </c>
      <c r="B1301" s="33" t="s">
        <v>48</v>
      </c>
      <c r="C1301" s="33">
        <v>4434212150</v>
      </c>
      <c r="E1301" s="33">
        <v>1</v>
      </c>
      <c r="F1301" s="33">
        <v>0</v>
      </c>
      <c r="G1301" s="33" t="s">
        <v>47</v>
      </c>
      <c r="H1301" s="33" t="s">
        <v>7852</v>
      </c>
      <c r="I1301" s="33" t="s">
        <v>46</v>
      </c>
      <c r="J1301" s="33" t="s">
        <v>40</v>
      </c>
    </row>
    <row r="1302" spans="1:12" s="33" customFormat="1" hidden="1" x14ac:dyDescent="0.3">
      <c r="A1302" s="39">
        <v>46098.716608796298</v>
      </c>
      <c r="B1302" s="33" t="s">
        <v>48</v>
      </c>
      <c r="C1302" s="33">
        <v>4434212150</v>
      </c>
      <c r="E1302" s="33">
        <v>2</v>
      </c>
      <c r="F1302" s="33">
        <v>0</v>
      </c>
      <c r="G1302" s="33" t="s">
        <v>47</v>
      </c>
      <c r="H1302" s="33" t="s">
        <v>7853</v>
      </c>
      <c r="I1302" s="33" t="s">
        <v>46</v>
      </c>
      <c r="J1302" s="33" t="s">
        <v>40</v>
      </c>
    </row>
    <row r="1303" spans="1:12" s="33" customFormat="1" hidden="1" x14ac:dyDescent="0.3">
      <c r="A1303" s="39">
        <v>46098.711724537039</v>
      </c>
      <c r="B1303" s="33">
        <v>45999334612</v>
      </c>
      <c r="C1303" s="33" t="s">
        <v>45</v>
      </c>
      <c r="D1303" s="33">
        <v>4430265054</v>
      </c>
      <c r="E1303" s="33">
        <v>1099</v>
      </c>
      <c r="F1303" s="33">
        <v>1076</v>
      </c>
      <c r="G1303" s="33" t="s">
        <v>38</v>
      </c>
      <c r="H1303" s="33" t="s">
        <v>7854</v>
      </c>
      <c r="I1303" s="33" t="s">
        <v>39</v>
      </c>
      <c r="J1303" s="33" t="s">
        <v>40</v>
      </c>
      <c r="K1303" s="33" t="s">
        <v>41</v>
      </c>
    </row>
    <row r="1304" spans="1:12" s="33" customFormat="1" hidden="1" x14ac:dyDescent="0.3">
      <c r="A1304" s="39">
        <v>46098.708032407405</v>
      </c>
      <c r="B1304" s="33" t="s">
        <v>45</v>
      </c>
      <c r="C1304" s="33">
        <v>45999334612</v>
      </c>
      <c r="E1304" s="33">
        <v>75</v>
      </c>
      <c r="F1304" s="33">
        <v>42</v>
      </c>
      <c r="G1304" s="33" t="s">
        <v>38</v>
      </c>
      <c r="H1304" s="33" t="s">
        <v>7855</v>
      </c>
      <c r="I1304" s="33" t="s">
        <v>46</v>
      </c>
      <c r="J1304" s="33" t="s">
        <v>40</v>
      </c>
    </row>
    <row r="1305" spans="1:12" s="33" customFormat="1" hidden="1" x14ac:dyDescent="0.3">
      <c r="A1305" s="39">
        <v>46098.707824074074</v>
      </c>
      <c r="B1305" s="33" t="s">
        <v>45</v>
      </c>
      <c r="C1305" s="33">
        <v>45999334612</v>
      </c>
      <c r="E1305" s="33">
        <v>44</v>
      </c>
      <c r="F1305" s="33">
        <v>29</v>
      </c>
      <c r="G1305" s="33" t="s">
        <v>38</v>
      </c>
      <c r="H1305" s="33" t="s">
        <v>7856</v>
      </c>
      <c r="I1305" s="33" t="s">
        <v>46</v>
      </c>
      <c r="J1305" s="33" t="s">
        <v>40</v>
      </c>
    </row>
    <row r="1306" spans="1:12" s="33" customFormat="1" hidden="1" x14ac:dyDescent="0.3">
      <c r="A1306" s="39">
        <v>46098.692557870374</v>
      </c>
      <c r="B1306" s="33">
        <v>4431337559</v>
      </c>
      <c r="C1306" s="33" t="s">
        <v>37</v>
      </c>
      <c r="D1306" s="33">
        <v>4430265054</v>
      </c>
      <c r="E1306" s="33">
        <v>573</v>
      </c>
      <c r="F1306" s="33">
        <v>506</v>
      </c>
      <c r="G1306" s="33" t="s">
        <v>38</v>
      </c>
      <c r="H1306" s="33" t="s">
        <v>7857</v>
      </c>
      <c r="I1306" s="33" t="s">
        <v>39</v>
      </c>
      <c r="J1306" s="33" t="s">
        <v>40</v>
      </c>
      <c r="K1306" s="33" t="s">
        <v>41</v>
      </c>
    </row>
    <row r="1307" spans="1:12" s="33" customFormat="1" hidden="1" x14ac:dyDescent="0.3">
      <c r="A1307" s="39">
        <v>46098.687141203707</v>
      </c>
      <c r="B1307" s="33">
        <v>44991484476</v>
      </c>
      <c r="C1307" s="33" t="s">
        <v>43</v>
      </c>
      <c r="D1307" s="33">
        <v>4430265054</v>
      </c>
      <c r="E1307" s="33">
        <v>351</v>
      </c>
      <c r="F1307" s="33">
        <v>174</v>
      </c>
      <c r="G1307" s="33" t="s">
        <v>38</v>
      </c>
      <c r="H1307" s="33" t="s">
        <v>7858</v>
      </c>
      <c r="I1307" s="33" t="s">
        <v>39</v>
      </c>
      <c r="J1307" s="33" t="s">
        <v>40</v>
      </c>
      <c r="K1307" s="33" t="s">
        <v>41</v>
      </c>
    </row>
    <row r="1308" spans="1:12" s="33" customFormat="1" hidden="1" x14ac:dyDescent="0.3">
      <c r="A1308" s="39">
        <v>46098.685844907406</v>
      </c>
      <c r="B1308" s="33">
        <v>11947305533</v>
      </c>
      <c r="C1308" s="33" t="s">
        <v>37</v>
      </c>
      <c r="D1308" s="33">
        <v>4430265054</v>
      </c>
      <c r="E1308" s="33">
        <v>360</v>
      </c>
      <c r="F1308" s="33">
        <v>282</v>
      </c>
      <c r="G1308" s="33" t="s">
        <v>38</v>
      </c>
      <c r="H1308" s="33" t="s">
        <v>7859</v>
      </c>
      <c r="I1308" s="33" t="s">
        <v>39</v>
      </c>
      <c r="J1308" s="33" t="s">
        <v>40</v>
      </c>
      <c r="K1308" s="33" t="s">
        <v>41</v>
      </c>
      <c r="L1308" s="33">
        <v>5</v>
      </c>
    </row>
    <row r="1309" spans="1:12" s="33" customFormat="1" hidden="1" x14ac:dyDescent="0.3">
      <c r="A1309" s="39">
        <v>46098.683657407404</v>
      </c>
      <c r="B1309" s="33" t="s">
        <v>3627</v>
      </c>
      <c r="C1309" s="33">
        <v>65996088412</v>
      </c>
      <c r="E1309" s="33">
        <v>11</v>
      </c>
      <c r="F1309" s="33">
        <v>1</v>
      </c>
      <c r="G1309" s="33" t="s">
        <v>38</v>
      </c>
      <c r="H1309" s="33" t="s">
        <v>7860</v>
      </c>
      <c r="I1309" s="33" t="s">
        <v>46</v>
      </c>
      <c r="J1309" s="33" t="s">
        <v>3629</v>
      </c>
    </row>
    <row r="1310" spans="1:12" s="33" customFormat="1" hidden="1" x14ac:dyDescent="0.3">
      <c r="A1310" s="39">
        <v>46098.68172453704</v>
      </c>
      <c r="B1310" s="33">
        <v>45999334612</v>
      </c>
      <c r="C1310" s="33" t="s">
        <v>45</v>
      </c>
      <c r="D1310" s="33">
        <v>4430265054</v>
      </c>
      <c r="E1310" s="33">
        <v>2037</v>
      </c>
      <c r="F1310" s="33">
        <v>1988</v>
      </c>
      <c r="G1310" s="33" t="s">
        <v>38</v>
      </c>
      <c r="H1310" s="33" t="s">
        <v>7861</v>
      </c>
      <c r="I1310" s="33" t="s">
        <v>39</v>
      </c>
      <c r="J1310" s="33" t="s">
        <v>40</v>
      </c>
      <c r="K1310" s="33" t="s">
        <v>41</v>
      </c>
      <c r="L1310" s="33">
        <v>5</v>
      </c>
    </row>
    <row r="1311" spans="1:12" s="33" customFormat="1" hidden="1" x14ac:dyDescent="0.3">
      <c r="A1311" s="39">
        <v>46098.678078703706</v>
      </c>
      <c r="B1311" s="33">
        <v>11964449514</v>
      </c>
      <c r="C1311" s="33" t="s">
        <v>44</v>
      </c>
      <c r="D1311" s="33">
        <v>4431268225</v>
      </c>
      <c r="E1311" s="33">
        <v>1384</v>
      </c>
      <c r="F1311" s="33">
        <v>1282</v>
      </c>
      <c r="G1311" s="33" t="s">
        <v>38</v>
      </c>
      <c r="H1311" s="33" t="s">
        <v>7862</v>
      </c>
      <c r="I1311" s="33" t="s">
        <v>39</v>
      </c>
      <c r="J1311" s="33" t="s">
        <v>40</v>
      </c>
      <c r="K1311" s="33" t="s">
        <v>41</v>
      </c>
      <c r="L1311" s="33">
        <v>5</v>
      </c>
    </row>
    <row r="1312" spans="1:12" s="33" customFormat="1" hidden="1" x14ac:dyDescent="0.3">
      <c r="A1312" s="39">
        <v>46098.677928240744</v>
      </c>
      <c r="B1312" s="33">
        <v>44997343311</v>
      </c>
      <c r="C1312" s="33" t="s">
        <v>43</v>
      </c>
      <c r="D1312" s="33">
        <v>4430265054</v>
      </c>
      <c r="E1312" s="33">
        <v>385</v>
      </c>
      <c r="F1312" s="33">
        <v>307</v>
      </c>
      <c r="G1312" s="33" t="s">
        <v>38</v>
      </c>
      <c r="H1312" s="33" t="s">
        <v>7863</v>
      </c>
      <c r="I1312" s="33" t="s">
        <v>39</v>
      </c>
      <c r="J1312" s="33" t="s">
        <v>40</v>
      </c>
      <c r="K1312" s="33" t="s">
        <v>41</v>
      </c>
      <c r="L1312" s="33">
        <v>5</v>
      </c>
    </row>
    <row r="1313" spans="1:12" s="33" customFormat="1" hidden="1" x14ac:dyDescent="0.3">
      <c r="A1313" s="39">
        <v>46098.67496527778</v>
      </c>
      <c r="B1313" s="33">
        <v>11947305533</v>
      </c>
      <c r="C1313" s="33" t="s">
        <v>43</v>
      </c>
      <c r="D1313" s="33">
        <v>4430265054</v>
      </c>
      <c r="E1313" s="33">
        <v>121</v>
      </c>
      <c r="F1313" s="33">
        <v>84</v>
      </c>
      <c r="G1313" s="33" t="s">
        <v>38</v>
      </c>
      <c r="H1313" s="33" t="s">
        <v>7864</v>
      </c>
      <c r="I1313" s="33" t="s">
        <v>39</v>
      </c>
      <c r="J1313" s="33" t="s">
        <v>40</v>
      </c>
      <c r="K1313" s="33" t="s">
        <v>41</v>
      </c>
    </row>
    <row r="1314" spans="1:12" s="33" customFormat="1" hidden="1" x14ac:dyDescent="0.3">
      <c r="A1314" s="39">
        <v>46098.672951388886</v>
      </c>
      <c r="B1314" s="33">
        <v>4436281154</v>
      </c>
      <c r="C1314" s="33" t="s">
        <v>42</v>
      </c>
      <c r="D1314" s="33">
        <v>4430265054</v>
      </c>
      <c r="E1314" s="33">
        <v>591</v>
      </c>
      <c r="F1314" s="33">
        <v>571</v>
      </c>
      <c r="G1314" s="33" t="s">
        <v>38</v>
      </c>
      <c r="H1314" s="33" t="s">
        <v>7865</v>
      </c>
      <c r="I1314" s="33" t="s">
        <v>39</v>
      </c>
      <c r="J1314" s="33" t="s">
        <v>40</v>
      </c>
      <c r="K1314" s="33" t="s">
        <v>41</v>
      </c>
    </row>
    <row r="1315" spans="1:12" s="33" customFormat="1" hidden="1" x14ac:dyDescent="0.3">
      <c r="A1315" s="39">
        <v>46098.672488425924</v>
      </c>
      <c r="B1315" s="33">
        <v>4436281154</v>
      </c>
      <c r="C1315" s="33" t="s">
        <v>42</v>
      </c>
      <c r="D1315" s="33">
        <v>4430265054</v>
      </c>
      <c r="E1315" s="33">
        <v>38</v>
      </c>
      <c r="F1315" s="33">
        <v>19</v>
      </c>
      <c r="G1315" s="33" t="s">
        <v>38</v>
      </c>
      <c r="H1315" s="33" t="s">
        <v>7866</v>
      </c>
      <c r="I1315" s="33" t="s">
        <v>39</v>
      </c>
      <c r="J1315" s="33" t="s">
        <v>40</v>
      </c>
      <c r="K1315" s="33" t="s">
        <v>41</v>
      </c>
    </row>
    <row r="1316" spans="1:12" s="33" customFormat="1" hidden="1" x14ac:dyDescent="0.3">
      <c r="A1316" s="39">
        <v>46098.670960648145</v>
      </c>
      <c r="B1316" s="33" t="s">
        <v>48</v>
      </c>
      <c r="C1316" s="33">
        <v>4434212150</v>
      </c>
      <c r="E1316" s="33">
        <v>1</v>
      </c>
      <c r="F1316" s="33">
        <v>0</v>
      </c>
      <c r="G1316" s="33" t="s">
        <v>47</v>
      </c>
      <c r="H1316" s="33" t="s">
        <v>7867</v>
      </c>
      <c r="I1316" s="33" t="s">
        <v>46</v>
      </c>
      <c r="J1316" s="33" t="s">
        <v>40</v>
      </c>
    </row>
    <row r="1317" spans="1:12" s="33" customFormat="1" hidden="1" x14ac:dyDescent="0.3">
      <c r="A1317" s="39">
        <v>46098.67087962963</v>
      </c>
      <c r="B1317" s="33" t="s">
        <v>48</v>
      </c>
      <c r="C1317" s="33">
        <v>4434212150</v>
      </c>
      <c r="E1317" s="33">
        <v>1</v>
      </c>
      <c r="F1317" s="33">
        <v>0</v>
      </c>
      <c r="G1317" s="33" t="s">
        <v>47</v>
      </c>
      <c r="H1317" s="33" t="s">
        <v>7868</v>
      </c>
      <c r="I1317" s="33" t="s">
        <v>46</v>
      </c>
      <c r="J1317" s="33" t="s">
        <v>40</v>
      </c>
    </row>
    <row r="1318" spans="1:12" s="33" customFormat="1" hidden="1" x14ac:dyDescent="0.3">
      <c r="A1318" s="39">
        <v>46098.670844907407</v>
      </c>
      <c r="B1318" s="33" t="s">
        <v>48</v>
      </c>
      <c r="C1318" s="33">
        <v>4434212150</v>
      </c>
      <c r="E1318" s="33">
        <v>1</v>
      </c>
      <c r="F1318" s="33">
        <v>0</v>
      </c>
      <c r="G1318" s="33" t="s">
        <v>47</v>
      </c>
      <c r="H1318" s="33" t="s">
        <v>7869</v>
      </c>
      <c r="I1318" s="33" t="s">
        <v>46</v>
      </c>
      <c r="J1318" s="33" t="s">
        <v>40</v>
      </c>
    </row>
    <row r="1319" spans="1:12" s="33" customFormat="1" hidden="1" x14ac:dyDescent="0.3">
      <c r="A1319" s="39">
        <v>46098.670787037037</v>
      </c>
      <c r="B1319" s="33" t="s">
        <v>48</v>
      </c>
      <c r="C1319" s="33">
        <v>4434212150</v>
      </c>
      <c r="E1319" s="33">
        <v>3</v>
      </c>
      <c r="F1319" s="33">
        <v>0</v>
      </c>
      <c r="G1319" s="33" t="s">
        <v>47</v>
      </c>
      <c r="H1319" s="33" t="s">
        <v>7870</v>
      </c>
      <c r="I1319" s="33" t="s">
        <v>46</v>
      </c>
      <c r="J1319" s="33" t="s">
        <v>40</v>
      </c>
    </row>
    <row r="1320" spans="1:12" s="33" customFormat="1" hidden="1" x14ac:dyDescent="0.3">
      <c r="A1320" s="39">
        <v>46098.665914351855</v>
      </c>
      <c r="B1320" s="33" t="s">
        <v>45</v>
      </c>
      <c r="C1320" s="33">
        <v>44999479853</v>
      </c>
      <c r="E1320" s="33">
        <v>146</v>
      </c>
      <c r="F1320" s="33">
        <v>117</v>
      </c>
      <c r="G1320" s="33" t="s">
        <v>38</v>
      </c>
      <c r="H1320" s="33" t="s">
        <v>7871</v>
      </c>
      <c r="I1320" s="33" t="s">
        <v>46</v>
      </c>
      <c r="J1320" s="33" t="s">
        <v>40</v>
      </c>
    </row>
    <row r="1321" spans="1:12" s="33" customFormat="1" hidden="1" x14ac:dyDescent="0.3">
      <c r="A1321" s="39">
        <v>46098.665613425925</v>
      </c>
      <c r="B1321" s="33">
        <v>4432226677</v>
      </c>
      <c r="C1321" s="33">
        <v>4430265054</v>
      </c>
      <c r="D1321" s="33">
        <v>4430265054</v>
      </c>
      <c r="E1321" s="33">
        <v>13</v>
      </c>
      <c r="F1321" s="33">
        <v>13</v>
      </c>
      <c r="G1321" s="33" t="s">
        <v>3449</v>
      </c>
      <c r="H1321" s="33" t="s">
        <v>7872</v>
      </c>
      <c r="I1321" s="33" t="s">
        <v>39</v>
      </c>
      <c r="J1321" s="33" t="s">
        <v>3451</v>
      </c>
    </row>
    <row r="1322" spans="1:12" s="33" customFormat="1" hidden="1" x14ac:dyDescent="0.3">
      <c r="A1322" s="39">
        <v>46098.663993055554</v>
      </c>
      <c r="B1322" s="33" t="s">
        <v>43</v>
      </c>
      <c r="C1322" s="33">
        <v>1131043888</v>
      </c>
      <c r="E1322" s="33">
        <v>338</v>
      </c>
      <c r="F1322" s="33">
        <v>337</v>
      </c>
      <c r="G1322" s="33" t="s">
        <v>38</v>
      </c>
      <c r="H1322" s="33" t="s">
        <v>7873</v>
      </c>
      <c r="I1322" s="33" t="s">
        <v>46</v>
      </c>
      <c r="J1322" s="33" t="s">
        <v>40</v>
      </c>
    </row>
    <row r="1323" spans="1:12" s="33" customFormat="1" hidden="1" x14ac:dyDescent="0.3">
      <c r="A1323" s="39">
        <v>46098.662256944444</v>
      </c>
      <c r="B1323" s="33">
        <v>44998278793</v>
      </c>
      <c r="C1323" s="33" t="s">
        <v>44</v>
      </c>
      <c r="D1323" s="33">
        <v>4430265054</v>
      </c>
      <c r="E1323" s="33">
        <v>1170</v>
      </c>
      <c r="F1323" s="33">
        <v>946</v>
      </c>
      <c r="G1323" s="33" t="s">
        <v>38</v>
      </c>
      <c r="H1323" s="33" t="s">
        <v>7874</v>
      </c>
      <c r="I1323" s="33" t="s">
        <v>39</v>
      </c>
      <c r="J1323" s="33" t="s">
        <v>40</v>
      </c>
      <c r="K1323" s="33" t="s">
        <v>41</v>
      </c>
      <c r="L1323" s="33">
        <v>5</v>
      </c>
    </row>
    <row r="1324" spans="1:12" s="33" customFormat="1" hidden="1" x14ac:dyDescent="0.3">
      <c r="A1324" s="39">
        <v>46098.661944444444</v>
      </c>
      <c r="B1324" s="33">
        <v>44998278793</v>
      </c>
      <c r="C1324" s="33">
        <v>4430265054</v>
      </c>
      <c r="D1324" s="33">
        <v>4430265054</v>
      </c>
      <c r="E1324" s="33">
        <v>20</v>
      </c>
      <c r="F1324" s="33">
        <v>20</v>
      </c>
      <c r="G1324" s="33" t="s">
        <v>3449</v>
      </c>
      <c r="H1324" s="33" t="s">
        <v>7875</v>
      </c>
      <c r="I1324" s="33" t="s">
        <v>39</v>
      </c>
      <c r="J1324" s="33" t="s">
        <v>3451</v>
      </c>
    </row>
    <row r="1325" spans="1:12" s="33" customFormat="1" hidden="1" x14ac:dyDescent="0.3">
      <c r="A1325" s="39">
        <v>46098.660324074073</v>
      </c>
      <c r="B1325" s="33" t="s">
        <v>51</v>
      </c>
      <c r="C1325" s="33" t="s">
        <v>5173</v>
      </c>
      <c r="E1325" s="33">
        <v>352</v>
      </c>
      <c r="F1325" s="33">
        <v>350</v>
      </c>
      <c r="G1325" s="33" t="s">
        <v>38</v>
      </c>
      <c r="H1325" s="33" t="s">
        <v>7876</v>
      </c>
      <c r="I1325" s="33" t="s">
        <v>52</v>
      </c>
      <c r="J1325" s="33" t="s">
        <v>3629</v>
      </c>
    </row>
    <row r="1326" spans="1:12" s="33" customFormat="1" hidden="1" x14ac:dyDescent="0.3">
      <c r="A1326" s="39">
        <v>46098.658229166664</v>
      </c>
      <c r="B1326" s="33">
        <v>4121413723</v>
      </c>
      <c r="C1326" s="33">
        <v>4531273177</v>
      </c>
      <c r="D1326" s="33">
        <v>4531273177</v>
      </c>
      <c r="E1326" s="33">
        <v>56</v>
      </c>
      <c r="F1326" s="33">
        <v>56</v>
      </c>
      <c r="G1326" s="33" t="s">
        <v>3449</v>
      </c>
      <c r="H1326" s="33" t="s">
        <v>7877</v>
      </c>
      <c r="I1326" s="33" t="s">
        <v>39</v>
      </c>
      <c r="J1326" s="33" t="s">
        <v>3451</v>
      </c>
      <c r="K1326" s="33" t="s">
        <v>41</v>
      </c>
    </row>
    <row r="1327" spans="1:12" s="33" customFormat="1" x14ac:dyDescent="0.3">
      <c r="A1327" s="39">
        <v>46098.654745370368</v>
      </c>
      <c r="B1327" s="33">
        <v>44997343311</v>
      </c>
      <c r="C1327" s="33" t="s">
        <v>42</v>
      </c>
      <c r="D1327" s="33">
        <v>4430265054</v>
      </c>
      <c r="E1327" s="33">
        <v>383</v>
      </c>
      <c r="F1327" s="33">
        <v>296</v>
      </c>
      <c r="G1327" s="33" t="s">
        <v>38</v>
      </c>
      <c r="H1327" s="33" t="s">
        <v>7878</v>
      </c>
      <c r="I1327" s="33" t="s">
        <v>39</v>
      </c>
      <c r="J1327" s="33" t="s">
        <v>40</v>
      </c>
      <c r="K1327" s="33" t="s">
        <v>41</v>
      </c>
      <c r="L1327" s="33">
        <v>5</v>
      </c>
    </row>
    <row r="1328" spans="1:12" s="33" customFormat="1" hidden="1" x14ac:dyDescent="0.3">
      <c r="A1328" s="39">
        <v>46098.65179398148</v>
      </c>
      <c r="B1328" s="33" t="s">
        <v>3627</v>
      </c>
      <c r="C1328" s="33">
        <v>8538792013</v>
      </c>
      <c r="E1328" s="33">
        <v>22</v>
      </c>
      <c r="F1328" s="33">
        <v>0</v>
      </c>
      <c r="G1328" s="33" t="s">
        <v>47</v>
      </c>
      <c r="H1328" s="33" t="s">
        <v>7879</v>
      </c>
      <c r="I1328" s="33" t="s">
        <v>46</v>
      </c>
      <c r="J1328" s="33" t="s">
        <v>3629</v>
      </c>
    </row>
    <row r="1329" spans="1:12" s="33" customFormat="1" hidden="1" x14ac:dyDescent="0.3">
      <c r="A1329" s="39">
        <v>46098.64403935185</v>
      </c>
      <c r="B1329" s="33">
        <v>43988030048</v>
      </c>
      <c r="C1329" s="33" t="s">
        <v>45</v>
      </c>
      <c r="D1329" s="33">
        <v>4430265054</v>
      </c>
      <c r="E1329" s="33">
        <v>1562</v>
      </c>
      <c r="F1329" s="33">
        <v>1421</v>
      </c>
      <c r="G1329" s="33" t="s">
        <v>38</v>
      </c>
      <c r="H1329" s="33" t="s">
        <v>7880</v>
      </c>
      <c r="I1329" s="33" t="s">
        <v>39</v>
      </c>
      <c r="J1329" s="33" t="s">
        <v>40</v>
      </c>
      <c r="K1329" s="33" t="s">
        <v>41</v>
      </c>
      <c r="L1329" s="33">
        <v>5</v>
      </c>
    </row>
    <row r="1330" spans="1:12" s="33" customFormat="1" hidden="1" x14ac:dyDescent="0.3">
      <c r="A1330" s="39">
        <v>46098.639421296299</v>
      </c>
      <c r="B1330" s="33">
        <v>44984198651</v>
      </c>
      <c r="C1330" s="33" t="s">
        <v>43</v>
      </c>
      <c r="D1330" s="33">
        <v>4430265054</v>
      </c>
      <c r="E1330" s="33">
        <v>252</v>
      </c>
      <c r="F1330" s="33">
        <v>224</v>
      </c>
      <c r="G1330" s="33" t="s">
        <v>38</v>
      </c>
      <c r="H1330" s="33" t="s">
        <v>7881</v>
      </c>
      <c r="I1330" s="33" t="s">
        <v>39</v>
      </c>
      <c r="J1330" s="33" t="s">
        <v>40</v>
      </c>
      <c r="K1330" s="33" t="s">
        <v>41</v>
      </c>
    </row>
    <row r="1331" spans="1:12" s="33" customFormat="1" hidden="1" x14ac:dyDescent="0.3">
      <c r="A1331" s="39">
        <v>46098.636145833334</v>
      </c>
      <c r="B1331" s="33" t="s">
        <v>43</v>
      </c>
      <c r="C1331" s="33">
        <v>1131043888</v>
      </c>
      <c r="E1331" s="33">
        <v>198</v>
      </c>
      <c r="F1331" s="33">
        <v>197</v>
      </c>
      <c r="G1331" s="33" t="s">
        <v>38</v>
      </c>
      <c r="H1331" s="33" t="s">
        <v>7882</v>
      </c>
      <c r="I1331" s="33" t="s">
        <v>46</v>
      </c>
      <c r="J1331" s="33" t="s">
        <v>40</v>
      </c>
    </row>
    <row r="1332" spans="1:12" s="33" customFormat="1" hidden="1" x14ac:dyDescent="0.3">
      <c r="A1332" s="39">
        <v>46098.635625000003</v>
      </c>
      <c r="B1332" s="33" t="s">
        <v>43</v>
      </c>
      <c r="C1332" s="33">
        <v>1131043888</v>
      </c>
      <c r="E1332" s="33">
        <v>71</v>
      </c>
      <c r="F1332" s="33">
        <v>70</v>
      </c>
      <c r="G1332" s="33" t="s">
        <v>38</v>
      </c>
      <c r="H1332" s="33" t="s">
        <v>7883</v>
      </c>
      <c r="I1332" s="33" t="s">
        <v>46</v>
      </c>
      <c r="J1332" s="33" t="s">
        <v>40</v>
      </c>
    </row>
    <row r="1333" spans="1:12" s="33" customFormat="1" hidden="1" x14ac:dyDescent="0.3">
      <c r="A1333" s="39">
        <v>46098.635555555556</v>
      </c>
      <c r="B1333" s="33">
        <v>44991041123</v>
      </c>
      <c r="C1333" s="33" t="s">
        <v>44</v>
      </c>
      <c r="D1333" s="33">
        <v>4430265054</v>
      </c>
      <c r="E1333" s="33">
        <v>494</v>
      </c>
      <c r="F1333" s="33">
        <v>456</v>
      </c>
      <c r="G1333" s="33" t="s">
        <v>38</v>
      </c>
      <c r="H1333" s="33" t="s">
        <v>7884</v>
      </c>
      <c r="I1333" s="33" t="s">
        <v>39</v>
      </c>
      <c r="J1333" s="33" t="s">
        <v>40</v>
      </c>
      <c r="K1333" s="33" t="s">
        <v>41</v>
      </c>
    </row>
    <row r="1334" spans="1:12" s="33" customFormat="1" hidden="1" x14ac:dyDescent="0.3">
      <c r="A1334" s="39">
        <v>46098.632141203707</v>
      </c>
      <c r="B1334" s="33">
        <v>96981080303</v>
      </c>
      <c r="C1334" s="33" t="s">
        <v>37</v>
      </c>
      <c r="D1334" s="33">
        <v>4430265054</v>
      </c>
      <c r="E1334" s="33">
        <v>3878</v>
      </c>
      <c r="F1334" s="33">
        <v>3819</v>
      </c>
      <c r="G1334" s="33" t="s">
        <v>38</v>
      </c>
      <c r="H1334" s="33" t="s">
        <v>7885</v>
      </c>
      <c r="I1334" s="33" t="s">
        <v>39</v>
      </c>
      <c r="J1334" s="33" t="s">
        <v>40</v>
      </c>
      <c r="K1334" s="33" t="s">
        <v>41</v>
      </c>
    </row>
    <row r="1335" spans="1:12" s="33" customFormat="1" hidden="1" x14ac:dyDescent="0.3">
      <c r="A1335" s="39">
        <v>46098.624722222223</v>
      </c>
      <c r="B1335" s="33">
        <v>4430284942</v>
      </c>
      <c r="C1335" s="33" t="s">
        <v>42</v>
      </c>
      <c r="D1335" s="33">
        <v>4430265054</v>
      </c>
      <c r="E1335" s="33">
        <v>1088</v>
      </c>
      <c r="F1335" s="33">
        <v>1045</v>
      </c>
      <c r="G1335" s="33" t="s">
        <v>38</v>
      </c>
      <c r="H1335" s="33" t="s">
        <v>7886</v>
      </c>
      <c r="I1335" s="33" t="s">
        <v>39</v>
      </c>
      <c r="J1335" s="33" t="s">
        <v>40</v>
      </c>
      <c r="K1335" s="33" t="s">
        <v>41</v>
      </c>
    </row>
    <row r="1336" spans="1:12" s="33" customFormat="1" hidden="1" x14ac:dyDescent="0.3">
      <c r="A1336" s="39">
        <v>46098.624236111114</v>
      </c>
      <c r="B1336" s="33" t="s">
        <v>45</v>
      </c>
      <c r="C1336" s="33">
        <v>4330261969</v>
      </c>
      <c r="E1336" s="33">
        <v>1248</v>
      </c>
      <c r="F1336" s="33">
        <v>1241</v>
      </c>
      <c r="G1336" s="33" t="s">
        <v>38</v>
      </c>
      <c r="H1336" s="33" t="s">
        <v>7887</v>
      </c>
      <c r="I1336" s="33" t="s">
        <v>46</v>
      </c>
      <c r="J1336" s="33" t="s">
        <v>40</v>
      </c>
    </row>
    <row r="1337" spans="1:12" s="33" customFormat="1" hidden="1" x14ac:dyDescent="0.3">
      <c r="A1337" s="39">
        <v>46098.616805555554</v>
      </c>
      <c r="B1337" s="33">
        <v>43988030048</v>
      </c>
      <c r="C1337" s="33" t="s">
        <v>42</v>
      </c>
      <c r="D1337" s="33">
        <v>4430265054</v>
      </c>
      <c r="E1337" s="33">
        <v>256</v>
      </c>
      <c r="F1337" s="33">
        <v>189</v>
      </c>
      <c r="G1337" s="33" t="s">
        <v>38</v>
      </c>
      <c r="H1337" s="33" t="s">
        <v>7888</v>
      </c>
      <c r="I1337" s="33" t="s">
        <v>39</v>
      </c>
      <c r="J1337" s="33" t="s">
        <v>40</v>
      </c>
      <c r="K1337" s="33" t="s">
        <v>41</v>
      </c>
    </row>
    <row r="1338" spans="1:12" s="33" customFormat="1" hidden="1" x14ac:dyDescent="0.3">
      <c r="A1338" s="39">
        <v>46098.616550925923</v>
      </c>
      <c r="B1338" s="33" t="s">
        <v>43</v>
      </c>
      <c r="C1338" s="33">
        <v>4430410411</v>
      </c>
      <c r="E1338" s="33">
        <v>109</v>
      </c>
      <c r="F1338" s="33">
        <v>72</v>
      </c>
      <c r="G1338" s="33" t="s">
        <v>38</v>
      </c>
      <c r="H1338" s="33" t="s">
        <v>7889</v>
      </c>
      <c r="I1338" s="33" t="s">
        <v>46</v>
      </c>
      <c r="J1338" s="33" t="s">
        <v>40</v>
      </c>
    </row>
    <row r="1339" spans="1:12" s="33" customFormat="1" hidden="1" x14ac:dyDescent="0.3">
      <c r="A1339" s="39">
        <v>46098.616481481484</v>
      </c>
      <c r="B1339" s="33" t="s">
        <v>43</v>
      </c>
      <c r="C1339" s="33">
        <v>4430410411</v>
      </c>
      <c r="E1339" s="33">
        <v>5</v>
      </c>
      <c r="F1339" s="33">
        <v>0</v>
      </c>
      <c r="G1339" s="33" t="s">
        <v>47</v>
      </c>
      <c r="H1339" s="33" t="s">
        <v>7890</v>
      </c>
      <c r="I1339" s="33" t="s">
        <v>46</v>
      </c>
      <c r="J1339" s="33" t="s">
        <v>40</v>
      </c>
    </row>
    <row r="1340" spans="1:12" s="33" customFormat="1" hidden="1" x14ac:dyDescent="0.3">
      <c r="A1340" s="39">
        <v>46098.61378472222</v>
      </c>
      <c r="B1340" s="33">
        <v>4430459001</v>
      </c>
      <c r="C1340" s="33" t="s">
        <v>37</v>
      </c>
      <c r="D1340" s="33">
        <v>4430265054</v>
      </c>
      <c r="E1340" s="33">
        <v>649</v>
      </c>
      <c r="F1340" s="33">
        <v>468</v>
      </c>
      <c r="G1340" s="33" t="s">
        <v>38</v>
      </c>
      <c r="H1340" s="33" t="s">
        <v>7891</v>
      </c>
      <c r="I1340" s="33" t="s">
        <v>39</v>
      </c>
      <c r="J1340" s="33" t="s">
        <v>40</v>
      </c>
      <c r="K1340" s="33" t="s">
        <v>41</v>
      </c>
    </row>
    <row r="1341" spans="1:12" s="33" customFormat="1" hidden="1" x14ac:dyDescent="0.3">
      <c r="A1341" s="39">
        <v>46098.611608796295</v>
      </c>
      <c r="B1341" s="33">
        <v>44991041123</v>
      </c>
      <c r="C1341" s="33" t="s">
        <v>45</v>
      </c>
      <c r="D1341" s="33">
        <v>4430265054</v>
      </c>
      <c r="E1341" s="33">
        <v>705</v>
      </c>
      <c r="F1341" s="33">
        <v>645</v>
      </c>
      <c r="G1341" s="33" t="s">
        <v>38</v>
      </c>
      <c r="H1341" s="33" t="s">
        <v>7892</v>
      </c>
      <c r="I1341" s="33" t="s">
        <v>39</v>
      </c>
      <c r="J1341" s="33" t="s">
        <v>40</v>
      </c>
      <c r="K1341" s="33" t="s">
        <v>41</v>
      </c>
    </row>
    <row r="1342" spans="1:12" s="33" customFormat="1" hidden="1" x14ac:dyDescent="0.3">
      <c r="A1342" s="39">
        <v>46098.60359953704</v>
      </c>
      <c r="B1342" s="33">
        <v>44991041123</v>
      </c>
      <c r="C1342" s="33" t="s">
        <v>45</v>
      </c>
      <c r="D1342" s="33">
        <v>4430265054</v>
      </c>
      <c r="E1342" s="33">
        <v>373</v>
      </c>
      <c r="F1342" s="33">
        <v>333</v>
      </c>
      <c r="G1342" s="33" t="s">
        <v>38</v>
      </c>
      <c r="H1342" s="33" t="s">
        <v>7893</v>
      </c>
      <c r="I1342" s="33" t="s">
        <v>39</v>
      </c>
      <c r="J1342" s="33" t="s">
        <v>40</v>
      </c>
      <c r="K1342" s="33" t="s">
        <v>41</v>
      </c>
    </row>
    <row r="1343" spans="1:12" s="33" customFormat="1" hidden="1" x14ac:dyDescent="0.3">
      <c r="A1343" s="39">
        <v>46098.593599537038</v>
      </c>
      <c r="B1343" s="33">
        <v>6234347959</v>
      </c>
      <c r="C1343" s="33" t="s">
        <v>37</v>
      </c>
      <c r="D1343" s="33">
        <v>4430265054</v>
      </c>
      <c r="E1343" s="33">
        <v>210</v>
      </c>
      <c r="F1343" s="33">
        <v>108</v>
      </c>
      <c r="G1343" s="33" t="s">
        <v>38</v>
      </c>
      <c r="H1343" s="33" t="s">
        <v>7894</v>
      </c>
      <c r="I1343" s="33" t="s">
        <v>39</v>
      </c>
      <c r="J1343" s="33" t="s">
        <v>40</v>
      </c>
      <c r="K1343" s="33" t="s">
        <v>41</v>
      </c>
    </row>
    <row r="1344" spans="1:12" s="33" customFormat="1" hidden="1" x14ac:dyDescent="0.3">
      <c r="A1344" s="39">
        <v>46098.590509259258</v>
      </c>
      <c r="B1344" s="33" t="s">
        <v>42</v>
      </c>
      <c r="C1344" s="33">
        <v>44988067937</v>
      </c>
      <c r="E1344" s="33">
        <v>470</v>
      </c>
      <c r="F1344" s="33">
        <v>455</v>
      </c>
      <c r="G1344" s="33" t="s">
        <v>38</v>
      </c>
      <c r="H1344" s="33" t="s">
        <v>7895</v>
      </c>
      <c r="I1344" s="33" t="s">
        <v>46</v>
      </c>
      <c r="J1344" s="33" t="s">
        <v>40</v>
      </c>
    </row>
    <row r="1345" spans="1:12" s="33" customFormat="1" hidden="1" x14ac:dyDescent="0.3">
      <c r="A1345" s="39">
        <v>46098.590405092589</v>
      </c>
      <c r="B1345" s="33" t="s">
        <v>42</v>
      </c>
      <c r="C1345" s="33">
        <v>44988067937</v>
      </c>
      <c r="E1345" s="33">
        <v>7</v>
      </c>
      <c r="F1345" s="33">
        <v>0</v>
      </c>
      <c r="G1345" s="33" t="s">
        <v>47</v>
      </c>
      <c r="H1345" s="33" t="s">
        <v>7896</v>
      </c>
      <c r="I1345" s="33" t="s">
        <v>46</v>
      </c>
      <c r="J1345" s="33" t="s">
        <v>40</v>
      </c>
    </row>
    <row r="1346" spans="1:12" s="33" customFormat="1" hidden="1" x14ac:dyDescent="0.3">
      <c r="A1346" s="39">
        <v>46098.590300925927</v>
      </c>
      <c r="B1346" s="33">
        <v>44991041123</v>
      </c>
      <c r="C1346" s="33" t="s">
        <v>45</v>
      </c>
      <c r="D1346" s="33">
        <v>4430265054</v>
      </c>
      <c r="E1346" s="33">
        <v>329</v>
      </c>
      <c r="F1346" s="33">
        <v>247</v>
      </c>
      <c r="G1346" s="33" t="s">
        <v>38</v>
      </c>
      <c r="H1346" s="33" t="s">
        <v>7897</v>
      </c>
      <c r="I1346" s="33" t="s">
        <v>39</v>
      </c>
      <c r="J1346" s="33" t="s">
        <v>40</v>
      </c>
      <c r="K1346" s="33" t="s">
        <v>41</v>
      </c>
    </row>
    <row r="1347" spans="1:12" s="33" customFormat="1" hidden="1" x14ac:dyDescent="0.3">
      <c r="A1347" s="39">
        <v>46098.588240740741</v>
      </c>
      <c r="B1347" s="33">
        <v>4432265534</v>
      </c>
      <c r="C1347" s="33" t="s">
        <v>44</v>
      </c>
      <c r="D1347" s="33">
        <v>4430265054</v>
      </c>
      <c r="E1347" s="33">
        <v>711</v>
      </c>
      <c r="F1347" s="33">
        <v>597</v>
      </c>
      <c r="G1347" s="33" t="s">
        <v>38</v>
      </c>
      <c r="H1347" s="33" t="s">
        <v>7898</v>
      </c>
      <c r="I1347" s="33" t="s">
        <v>39</v>
      </c>
      <c r="J1347" s="33" t="s">
        <v>40</v>
      </c>
      <c r="K1347" s="33" t="s">
        <v>41</v>
      </c>
      <c r="L1347" s="33">
        <v>5</v>
      </c>
    </row>
    <row r="1348" spans="1:12" s="33" customFormat="1" hidden="1" x14ac:dyDescent="0.3">
      <c r="A1348" s="39">
        <v>46098.582106481481</v>
      </c>
      <c r="B1348" s="33">
        <v>44988067937</v>
      </c>
      <c r="C1348" s="33" t="s">
        <v>42</v>
      </c>
      <c r="D1348" s="33">
        <v>4430265054</v>
      </c>
      <c r="E1348" s="33">
        <v>453</v>
      </c>
      <c r="F1348" s="33">
        <v>268</v>
      </c>
      <c r="G1348" s="33" t="s">
        <v>38</v>
      </c>
      <c r="H1348" s="33" t="s">
        <v>7899</v>
      </c>
      <c r="I1348" s="33" t="s">
        <v>39</v>
      </c>
      <c r="J1348" s="33" t="s">
        <v>40</v>
      </c>
      <c r="K1348" s="33" t="s">
        <v>41</v>
      </c>
    </row>
    <row r="1349" spans="1:12" s="33" customFormat="1" hidden="1" x14ac:dyDescent="0.3">
      <c r="A1349" s="39">
        <v>46098.578333333331</v>
      </c>
      <c r="B1349" s="33">
        <v>1131043888</v>
      </c>
      <c r="C1349" s="33" t="s">
        <v>43</v>
      </c>
      <c r="D1349" s="33">
        <v>4430265054</v>
      </c>
      <c r="E1349" s="33">
        <v>1273</v>
      </c>
      <c r="F1349" s="33">
        <v>1211</v>
      </c>
      <c r="G1349" s="33" t="s">
        <v>38</v>
      </c>
      <c r="H1349" s="33" t="s">
        <v>7900</v>
      </c>
      <c r="I1349" s="33" t="s">
        <v>39</v>
      </c>
      <c r="J1349" s="33" t="s">
        <v>40</v>
      </c>
      <c r="K1349" s="33" t="s">
        <v>41</v>
      </c>
    </row>
    <row r="1350" spans="1:12" s="33" customFormat="1" hidden="1" x14ac:dyDescent="0.3">
      <c r="A1350" s="39">
        <v>46098.5778125</v>
      </c>
      <c r="B1350" s="33">
        <v>1131043888</v>
      </c>
      <c r="C1350" s="33">
        <v>4430265054</v>
      </c>
      <c r="D1350" s="33">
        <v>4430265054</v>
      </c>
      <c r="E1350" s="33">
        <v>26</v>
      </c>
      <c r="F1350" s="33">
        <v>26</v>
      </c>
      <c r="G1350" s="33" t="s">
        <v>3449</v>
      </c>
      <c r="H1350" s="33" t="s">
        <v>7901</v>
      </c>
      <c r="I1350" s="33" t="s">
        <v>39</v>
      </c>
      <c r="J1350" s="33" t="s">
        <v>3451</v>
      </c>
    </row>
    <row r="1351" spans="1:12" s="33" customFormat="1" hidden="1" x14ac:dyDescent="0.3">
      <c r="A1351" s="39">
        <v>46098.565335648149</v>
      </c>
      <c r="B1351" s="33">
        <v>43984040334</v>
      </c>
      <c r="C1351" s="33" t="s">
        <v>44</v>
      </c>
      <c r="D1351" s="33">
        <v>4430265054</v>
      </c>
      <c r="E1351" s="33">
        <v>1402</v>
      </c>
      <c r="F1351" s="33">
        <v>1287</v>
      </c>
      <c r="G1351" s="33" t="s">
        <v>38</v>
      </c>
      <c r="H1351" s="33" t="s">
        <v>7902</v>
      </c>
      <c r="I1351" s="33" t="s">
        <v>39</v>
      </c>
      <c r="J1351" s="33" t="s">
        <v>40</v>
      </c>
      <c r="K1351" s="33" t="s">
        <v>41</v>
      </c>
    </row>
    <row r="1352" spans="1:12" s="33" customFormat="1" hidden="1" x14ac:dyDescent="0.3">
      <c r="A1352" s="39">
        <v>46098.564270833333</v>
      </c>
      <c r="B1352" s="33">
        <v>44991814587</v>
      </c>
      <c r="C1352" s="33" t="s">
        <v>45</v>
      </c>
      <c r="D1352" s="33">
        <v>4430265054</v>
      </c>
      <c r="E1352" s="33">
        <v>469</v>
      </c>
      <c r="F1352" s="33">
        <v>398</v>
      </c>
      <c r="G1352" s="33" t="s">
        <v>38</v>
      </c>
      <c r="H1352" s="33" t="s">
        <v>7903</v>
      </c>
      <c r="I1352" s="33" t="s">
        <v>39</v>
      </c>
      <c r="J1352" s="33" t="s">
        <v>40</v>
      </c>
      <c r="K1352" s="33" t="s">
        <v>41</v>
      </c>
    </row>
    <row r="1353" spans="1:12" s="33" customFormat="1" hidden="1" x14ac:dyDescent="0.3">
      <c r="A1353" s="39">
        <v>46098.562256944446</v>
      </c>
      <c r="B1353" s="33">
        <v>6234347959</v>
      </c>
      <c r="C1353" s="33">
        <v>4430265054</v>
      </c>
      <c r="D1353" s="33">
        <v>4430265054</v>
      </c>
      <c r="E1353" s="33">
        <v>29</v>
      </c>
      <c r="F1353" s="33">
        <v>28</v>
      </c>
      <c r="G1353" s="33" t="s">
        <v>3449</v>
      </c>
      <c r="H1353" s="33" t="s">
        <v>7904</v>
      </c>
      <c r="I1353" s="33" t="s">
        <v>39</v>
      </c>
      <c r="J1353" s="33" t="s">
        <v>3451</v>
      </c>
    </row>
    <row r="1354" spans="1:12" s="33" customFormat="1" hidden="1" x14ac:dyDescent="0.3">
      <c r="A1354" s="39">
        <v>46098.506620370368</v>
      </c>
      <c r="B1354" s="33">
        <v>43984040334</v>
      </c>
      <c r="C1354" s="33">
        <v>4430265054</v>
      </c>
      <c r="D1354" s="33">
        <v>4430265054</v>
      </c>
      <c r="E1354" s="33">
        <v>17</v>
      </c>
      <c r="F1354" s="33">
        <v>17</v>
      </c>
      <c r="G1354" s="33" t="s">
        <v>3449</v>
      </c>
      <c r="H1354" s="33" t="s">
        <v>7905</v>
      </c>
      <c r="I1354" s="33" t="s">
        <v>39</v>
      </c>
      <c r="J1354" s="33" t="s">
        <v>3451</v>
      </c>
    </row>
    <row r="1355" spans="1:12" s="33" customFormat="1" hidden="1" x14ac:dyDescent="0.3">
      <c r="A1355" s="39">
        <v>46098.497523148151</v>
      </c>
      <c r="B1355" s="33">
        <v>44991814587</v>
      </c>
      <c r="C1355" s="33" t="s">
        <v>45</v>
      </c>
      <c r="D1355" s="33">
        <v>4430265054</v>
      </c>
      <c r="E1355" s="33">
        <v>101</v>
      </c>
      <c r="F1355" s="33">
        <v>77</v>
      </c>
      <c r="G1355" s="33" t="s">
        <v>38</v>
      </c>
      <c r="H1355" s="33" t="s">
        <v>7906</v>
      </c>
      <c r="I1355" s="33" t="s">
        <v>39</v>
      </c>
      <c r="J1355" s="33" t="s">
        <v>40</v>
      </c>
      <c r="K1355" s="33" t="s">
        <v>41</v>
      </c>
    </row>
    <row r="1356" spans="1:12" s="33" customFormat="1" hidden="1" x14ac:dyDescent="0.3">
      <c r="A1356" s="39">
        <v>46098.490636574075</v>
      </c>
      <c r="B1356" s="33">
        <v>4430410411</v>
      </c>
      <c r="C1356" s="33" t="s">
        <v>43</v>
      </c>
      <c r="D1356" s="33">
        <v>4430265054</v>
      </c>
      <c r="E1356" s="33">
        <v>577</v>
      </c>
      <c r="F1356" s="33">
        <v>493</v>
      </c>
      <c r="G1356" s="33" t="s">
        <v>38</v>
      </c>
      <c r="H1356" s="33" t="s">
        <v>7907</v>
      </c>
      <c r="I1356" s="33" t="s">
        <v>39</v>
      </c>
      <c r="J1356" s="33" t="s">
        <v>40</v>
      </c>
      <c r="K1356" s="33" t="s">
        <v>41</v>
      </c>
    </row>
    <row r="1357" spans="1:12" s="33" customFormat="1" hidden="1" x14ac:dyDescent="0.3">
      <c r="A1357" s="39">
        <v>46098.478877314818</v>
      </c>
      <c r="B1357" s="33">
        <v>4121413723</v>
      </c>
      <c r="C1357" s="33">
        <v>4531273155</v>
      </c>
      <c r="D1357" s="33">
        <v>4531273155</v>
      </c>
      <c r="E1357" s="33">
        <v>52</v>
      </c>
      <c r="F1357" s="33">
        <v>51</v>
      </c>
      <c r="G1357" s="33" t="s">
        <v>3449</v>
      </c>
      <c r="H1357" s="33" t="s">
        <v>7908</v>
      </c>
      <c r="I1357" s="33" t="s">
        <v>39</v>
      </c>
      <c r="J1357" s="33" t="s">
        <v>3451</v>
      </c>
      <c r="K1357" s="33" t="s">
        <v>41</v>
      </c>
    </row>
    <row r="1358" spans="1:12" s="33" customFormat="1" hidden="1" x14ac:dyDescent="0.3">
      <c r="A1358" s="39">
        <v>46098.477534722224</v>
      </c>
      <c r="B1358" s="33">
        <v>4433660210</v>
      </c>
      <c r="C1358" s="33" t="s">
        <v>42</v>
      </c>
      <c r="D1358" s="33">
        <v>4430265054</v>
      </c>
      <c r="E1358" s="33">
        <v>46</v>
      </c>
      <c r="F1358" s="33">
        <v>4</v>
      </c>
      <c r="G1358" s="33" t="s">
        <v>38</v>
      </c>
      <c r="H1358" s="33" t="s">
        <v>7909</v>
      </c>
      <c r="I1358" s="33" t="s">
        <v>39</v>
      </c>
      <c r="J1358" s="33" t="s">
        <v>40</v>
      </c>
      <c r="K1358" s="33" t="s">
        <v>41</v>
      </c>
    </row>
    <row r="1359" spans="1:12" s="33" customFormat="1" hidden="1" x14ac:dyDescent="0.3">
      <c r="A1359" s="39">
        <v>46098.469467592593</v>
      </c>
      <c r="B1359" s="33">
        <v>4330261969</v>
      </c>
      <c r="C1359" s="33" t="s">
        <v>45</v>
      </c>
      <c r="D1359" s="33">
        <v>4430265054</v>
      </c>
      <c r="E1359" s="33">
        <v>1913</v>
      </c>
      <c r="F1359" s="33">
        <v>1863</v>
      </c>
      <c r="G1359" s="33" t="s">
        <v>38</v>
      </c>
      <c r="H1359" s="33" t="s">
        <v>7910</v>
      </c>
      <c r="I1359" s="33" t="s">
        <v>39</v>
      </c>
      <c r="J1359" s="33" t="s">
        <v>40</v>
      </c>
      <c r="K1359" s="33" t="s">
        <v>41</v>
      </c>
    </row>
    <row r="1360" spans="1:12" s="33" customFormat="1" hidden="1" x14ac:dyDescent="0.3">
      <c r="A1360" s="39">
        <v>46098.467569444445</v>
      </c>
      <c r="B1360" s="33">
        <v>96981080303</v>
      </c>
      <c r="C1360" s="33" t="s">
        <v>37</v>
      </c>
      <c r="D1360" s="33">
        <v>4430265054</v>
      </c>
      <c r="E1360" s="33">
        <v>2245</v>
      </c>
      <c r="F1360" s="33">
        <v>2149</v>
      </c>
      <c r="G1360" s="33" t="s">
        <v>38</v>
      </c>
      <c r="H1360" s="33" t="s">
        <v>7911</v>
      </c>
      <c r="I1360" s="33" t="s">
        <v>39</v>
      </c>
      <c r="J1360" s="33" t="s">
        <v>40</v>
      </c>
      <c r="K1360" s="33" t="s">
        <v>41</v>
      </c>
    </row>
    <row r="1361" spans="1:12" s="33" customFormat="1" hidden="1" x14ac:dyDescent="0.3">
      <c r="A1361" s="39">
        <v>46098.458425925928</v>
      </c>
      <c r="B1361" s="33">
        <v>4334226481</v>
      </c>
      <c r="C1361" s="33" t="s">
        <v>43</v>
      </c>
      <c r="D1361" s="33">
        <v>4430265054</v>
      </c>
      <c r="E1361" s="33">
        <v>614</v>
      </c>
      <c r="F1361" s="33">
        <v>575</v>
      </c>
      <c r="G1361" s="33" t="s">
        <v>38</v>
      </c>
      <c r="H1361" s="33" t="s">
        <v>7912</v>
      </c>
      <c r="I1361" s="33" t="s">
        <v>39</v>
      </c>
      <c r="J1361" s="33" t="s">
        <v>40</v>
      </c>
      <c r="K1361" s="33" t="s">
        <v>41</v>
      </c>
      <c r="L1361" s="33">
        <v>5</v>
      </c>
    </row>
    <row r="1362" spans="1:12" s="33" customFormat="1" hidden="1" x14ac:dyDescent="0.3">
      <c r="A1362" s="39">
        <v>46098.454108796293</v>
      </c>
      <c r="B1362" s="33">
        <v>44991041123</v>
      </c>
      <c r="C1362" s="33" t="s">
        <v>42</v>
      </c>
      <c r="D1362" s="33">
        <v>4430265054</v>
      </c>
      <c r="E1362" s="33">
        <v>1016</v>
      </c>
      <c r="F1362" s="33">
        <v>998</v>
      </c>
      <c r="G1362" s="33" t="s">
        <v>38</v>
      </c>
      <c r="H1362" s="33" t="s">
        <v>7913</v>
      </c>
      <c r="I1362" s="33" t="s">
        <v>39</v>
      </c>
      <c r="J1362" s="33" t="s">
        <v>40</v>
      </c>
      <c r="K1362" s="33" t="s">
        <v>41</v>
      </c>
    </row>
    <row r="1363" spans="1:12" s="33" customFormat="1" hidden="1" x14ac:dyDescent="0.3">
      <c r="A1363" s="39">
        <v>46098.453692129631</v>
      </c>
      <c r="B1363" s="33" t="s">
        <v>43</v>
      </c>
      <c r="C1363" s="33">
        <v>62994086124</v>
      </c>
      <c r="E1363" s="33">
        <v>9</v>
      </c>
      <c r="F1363" s="33">
        <v>0</v>
      </c>
      <c r="G1363" s="33" t="s">
        <v>47</v>
      </c>
      <c r="H1363" s="33" t="s">
        <v>7914</v>
      </c>
      <c r="I1363" s="33" t="s">
        <v>46</v>
      </c>
      <c r="J1363" s="33" t="s">
        <v>40</v>
      </c>
    </row>
    <row r="1364" spans="1:12" s="33" customFormat="1" hidden="1" x14ac:dyDescent="0.3">
      <c r="A1364" s="39">
        <v>46098.450648148151</v>
      </c>
      <c r="B1364" s="33">
        <v>45999334612</v>
      </c>
      <c r="C1364" s="33" t="s">
        <v>37</v>
      </c>
      <c r="D1364" s="33">
        <v>4430265054</v>
      </c>
      <c r="E1364" s="33">
        <v>814</v>
      </c>
      <c r="F1364" s="33">
        <v>775</v>
      </c>
      <c r="G1364" s="33" t="s">
        <v>38</v>
      </c>
      <c r="H1364" s="33" t="s">
        <v>7915</v>
      </c>
      <c r="I1364" s="33" t="s">
        <v>39</v>
      </c>
      <c r="J1364" s="33" t="s">
        <v>40</v>
      </c>
      <c r="K1364" s="33" t="s">
        <v>41</v>
      </c>
      <c r="L1364" s="33">
        <v>5</v>
      </c>
    </row>
    <row r="1365" spans="1:12" s="33" customFormat="1" hidden="1" x14ac:dyDescent="0.3">
      <c r="A1365" s="39">
        <v>46098.440613425926</v>
      </c>
      <c r="B1365" s="33" t="s">
        <v>51</v>
      </c>
      <c r="C1365" s="33">
        <v>4530390051</v>
      </c>
      <c r="E1365" s="33">
        <v>213</v>
      </c>
      <c r="F1365" s="33">
        <v>210</v>
      </c>
      <c r="G1365" s="33" t="s">
        <v>38</v>
      </c>
      <c r="H1365" s="33" t="s">
        <v>7916</v>
      </c>
      <c r="I1365" s="33" t="s">
        <v>46</v>
      </c>
      <c r="J1365" s="33" t="s">
        <v>3629</v>
      </c>
    </row>
    <row r="1366" spans="1:12" s="33" customFormat="1" hidden="1" x14ac:dyDescent="0.3">
      <c r="A1366" s="39">
        <v>46098.431759259256</v>
      </c>
      <c r="B1366" s="33">
        <v>43999317663</v>
      </c>
      <c r="C1366" s="33" t="s">
        <v>37</v>
      </c>
      <c r="D1366" s="33">
        <v>4430265054</v>
      </c>
      <c r="E1366" s="33">
        <v>353</v>
      </c>
      <c r="F1366" s="33">
        <v>282</v>
      </c>
      <c r="G1366" s="33" t="s">
        <v>38</v>
      </c>
      <c r="H1366" s="33" t="s">
        <v>7917</v>
      </c>
      <c r="I1366" s="33" t="s">
        <v>39</v>
      </c>
      <c r="J1366" s="33" t="s">
        <v>40</v>
      </c>
      <c r="K1366" s="33" t="s">
        <v>41</v>
      </c>
      <c r="L1366" s="33">
        <v>5</v>
      </c>
    </row>
    <row r="1367" spans="1:12" s="33" customFormat="1" hidden="1" x14ac:dyDescent="0.3">
      <c r="A1367" s="39">
        <v>46098.430787037039</v>
      </c>
      <c r="B1367" s="33">
        <v>4121413325</v>
      </c>
      <c r="C1367" s="33">
        <v>4531273168</v>
      </c>
      <c r="D1367" s="33">
        <v>4531273168</v>
      </c>
      <c r="E1367" s="33">
        <v>46</v>
      </c>
      <c r="F1367" s="33">
        <v>46</v>
      </c>
      <c r="G1367" s="33" t="s">
        <v>3449</v>
      </c>
      <c r="H1367" s="33" t="s">
        <v>7918</v>
      </c>
      <c r="I1367" s="33" t="s">
        <v>39</v>
      </c>
      <c r="J1367" s="33" t="s">
        <v>3451</v>
      </c>
      <c r="K1367" s="33" t="s">
        <v>41</v>
      </c>
    </row>
    <row r="1368" spans="1:12" s="33" customFormat="1" hidden="1" x14ac:dyDescent="0.3">
      <c r="A1368" s="39">
        <v>46098.42596064815</v>
      </c>
      <c r="B1368" s="33" t="s">
        <v>3627</v>
      </c>
      <c r="C1368" s="33">
        <v>11957111881</v>
      </c>
      <c r="E1368" s="33">
        <v>45</v>
      </c>
      <c r="F1368" s="33">
        <v>0</v>
      </c>
      <c r="G1368" s="33" t="s">
        <v>47</v>
      </c>
      <c r="H1368" s="33" t="s">
        <v>7919</v>
      </c>
      <c r="I1368" s="33" t="s">
        <v>46</v>
      </c>
      <c r="J1368" s="33" t="s">
        <v>3629</v>
      </c>
    </row>
    <row r="1369" spans="1:12" s="33" customFormat="1" hidden="1" x14ac:dyDescent="0.3">
      <c r="A1369" s="39">
        <v>46098.423692129632</v>
      </c>
      <c r="B1369" s="33">
        <v>43984040334</v>
      </c>
      <c r="C1369" s="33" t="s">
        <v>45</v>
      </c>
      <c r="D1369" s="33">
        <v>4430265054</v>
      </c>
      <c r="E1369" s="33">
        <v>657</v>
      </c>
      <c r="F1369" s="33">
        <v>634</v>
      </c>
      <c r="G1369" s="33" t="s">
        <v>38</v>
      </c>
      <c r="H1369" s="33" t="s">
        <v>7920</v>
      </c>
      <c r="I1369" s="33" t="s">
        <v>39</v>
      </c>
      <c r="J1369" s="33" t="s">
        <v>40</v>
      </c>
      <c r="K1369" s="33" t="s">
        <v>41</v>
      </c>
    </row>
    <row r="1370" spans="1:12" s="33" customFormat="1" hidden="1" x14ac:dyDescent="0.3">
      <c r="A1370" s="39">
        <v>46098.414421296293</v>
      </c>
      <c r="B1370" s="33" t="s">
        <v>45</v>
      </c>
      <c r="C1370" s="33">
        <v>43984040334</v>
      </c>
      <c r="E1370" s="33">
        <v>38</v>
      </c>
      <c r="F1370" s="33">
        <v>0</v>
      </c>
      <c r="G1370" s="33" t="s">
        <v>47</v>
      </c>
      <c r="H1370" s="33" t="s">
        <v>7921</v>
      </c>
      <c r="I1370" s="33" t="s">
        <v>46</v>
      </c>
      <c r="J1370" s="33" t="s">
        <v>40</v>
      </c>
    </row>
    <row r="1371" spans="1:12" s="33" customFormat="1" hidden="1" x14ac:dyDescent="0.3">
      <c r="A1371" s="39">
        <v>46098.405162037037</v>
      </c>
      <c r="B1371" s="33">
        <v>67996356530</v>
      </c>
      <c r="C1371" s="33" t="s">
        <v>44</v>
      </c>
      <c r="D1371" s="33">
        <v>4430265054</v>
      </c>
      <c r="E1371" s="33">
        <v>423</v>
      </c>
      <c r="F1371" s="33">
        <v>356</v>
      </c>
      <c r="G1371" s="33" t="s">
        <v>38</v>
      </c>
      <c r="H1371" s="33" t="s">
        <v>7922</v>
      </c>
      <c r="I1371" s="33" t="s">
        <v>39</v>
      </c>
      <c r="J1371" s="33" t="s">
        <v>40</v>
      </c>
      <c r="K1371" s="33" t="s">
        <v>41</v>
      </c>
    </row>
    <row r="1372" spans="1:12" s="33" customFormat="1" hidden="1" x14ac:dyDescent="0.3">
      <c r="A1372" s="39">
        <v>46098.40353009259</v>
      </c>
      <c r="B1372" s="33">
        <v>4435228300</v>
      </c>
      <c r="C1372" s="33" t="s">
        <v>43</v>
      </c>
      <c r="D1372" s="33">
        <v>4430265054</v>
      </c>
      <c r="E1372" s="33">
        <v>630</v>
      </c>
      <c r="F1372" s="33">
        <v>574</v>
      </c>
      <c r="G1372" s="33" t="s">
        <v>38</v>
      </c>
      <c r="H1372" s="33" t="s">
        <v>7923</v>
      </c>
      <c r="I1372" s="33" t="s">
        <v>39</v>
      </c>
      <c r="J1372" s="33" t="s">
        <v>40</v>
      </c>
      <c r="K1372" s="33" t="s">
        <v>41</v>
      </c>
    </row>
    <row r="1373" spans="1:12" s="33" customFormat="1" hidden="1" x14ac:dyDescent="0.3">
      <c r="A1373" s="39">
        <v>46098.403009259258</v>
      </c>
      <c r="B1373" s="33" t="s">
        <v>5173</v>
      </c>
      <c r="C1373" s="33">
        <v>65999525576</v>
      </c>
      <c r="E1373" s="33">
        <v>16</v>
      </c>
      <c r="F1373" s="33">
        <v>0</v>
      </c>
      <c r="G1373" s="33" t="s">
        <v>47</v>
      </c>
      <c r="H1373" s="33" t="s">
        <v>7924</v>
      </c>
      <c r="I1373" s="33" t="s">
        <v>46</v>
      </c>
      <c r="J1373" s="33" t="s">
        <v>3629</v>
      </c>
    </row>
    <row r="1374" spans="1:12" s="33" customFormat="1" hidden="1" x14ac:dyDescent="0.3">
      <c r="A1374" s="39">
        <v>46098.401018518518</v>
      </c>
      <c r="B1374" s="33">
        <v>44991484476</v>
      </c>
      <c r="C1374" s="33" t="s">
        <v>42</v>
      </c>
      <c r="D1374" s="33">
        <v>4430265054</v>
      </c>
      <c r="E1374" s="33">
        <v>855</v>
      </c>
      <c r="F1374" s="33">
        <v>830</v>
      </c>
      <c r="G1374" s="33" t="s">
        <v>38</v>
      </c>
      <c r="H1374" s="33" t="s">
        <v>7925</v>
      </c>
      <c r="I1374" s="33" t="s">
        <v>39</v>
      </c>
      <c r="J1374" s="33" t="s">
        <v>40</v>
      </c>
      <c r="K1374" s="33" t="s">
        <v>41</v>
      </c>
    </row>
    <row r="1375" spans="1:12" s="33" customFormat="1" hidden="1" x14ac:dyDescent="0.3">
      <c r="A1375" s="39">
        <v>46098.398287037038</v>
      </c>
      <c r="B1375" s="33" t="s">
        <v>3627</v>
      </c>
      <c r="C1375" s="33">
        <v>61999948409</v>
      </c>
      <c r="E1375" s="33">
        <v>23</v>
      </c>
      <c r="F1375" s="33">
        <v>0</v>
      </c>
      <c r="G1375" s="33" t="s">
        <v>47</v>
      </c>
      <c r="H1375" s="33" t="s">
        <v>7926</v>
      </c>
      <c r="I1375" s="33" t="s">
        <v>46</v>
      </c>
      <c r="J1375" s="33" t="s">
        <v>3629</v>
      </c>
    </row>
    <row r="1376" spans="1:12" s="33" customFormat="1" hidden="1" x14ac:dyDescent="0.3">
      <c r="A1376" s="39">
        <v>46098.396689814814</v>
      </c>
      <c r="B1376" s="33">
        <v>4330261969</v>
      </c>
      <c r="C1376" s="33" t="s">
        <v>45</v>
      </c>
      <c r="D1376" s="33">
        <v>4430265054</v>
      </c>
      <c r="E1376" s="33">
        <v>237</v>
      </c>
      <c r="F1376" s="33">
        <v>195</v>
      </c>
      <c r="G1376" s="33" t="s">
        <v>38</v>
      </c>
      <c r="H1376" s="33" t="s">
        <v>7927</v>
      </c>
      <c r="I1376" s="33" t="s">
        <v>39</v>
      </c>
      <c r="J1376" s="33" t="s">
        <v>40</v>
      </c>
      <c r="K1376" s="33" t="s">
        <v>41</v>
      </c>
    </row>
    <row r="1377" spans="1:12" s="33" customFormat="1" hidden="1" x14ac:dyDescent="0.3">
      <c r="A1377" s="39">
        <v>46098.391481481478</v>
      </c>
      <c r="B1377" s="33" t="s">
        <v>43</v>
      </c>
      <c r="C1377" s="33">
        <v>4430459001</v>
      </c>
      <c r="E1377" s="33">
        <v>457</v>
      </c>
      <c r="F1377" s="33">
        <v>437</v>
      </c>
      <c r="G1377" s="33" t="s">
        <v>38</v>
      </c>
      <c r="H1377" s="33" t="s">
        <v>7928</v>
      </c>
      <c r="I1377" s="33" t="s">
        <v>46</v>
      </c>
      <c r="J1377" s="33" t="s">
        <v>40</v>
      </c>
    </row>
    <row r="1378" spans="1:12" s="33" customFormat="1" hidden="1" x14ac:dyDescent="0.3">
      <c r="A1378" s="39">
        <v>46098.384988425925</v>
      </c>
      <c r="B1378" s="33">
        <v>43984040334</v>
      </c>
      <c r="C1378" s="33" t="s">
        <v>45</v>
      </c>
      <c r="D1378" s="33">
        <v>4430265054</v>
      </c>
      <c r="E1378" s="33">
        <v>525</v>
      </c>
      <c r="F1378" s="33">
        <v>485</v>
      </c>
      <c r="G1378" s="33" t="s">
        <v>38</v>
      </c>
      <c r="H1378" s="33" t="s">
        <v>7929</v>
      </c>
      <c r="I1378" s="33" t="s">
        <v>39</v>
      </c>
      <c r="J1378" s="33" t="s">
        <v>40</v>
      </c>
      <c r="K1378" s="33" t="s">
        <v>41</v>
      </c>
    </row>
    <row r="1379" spans="1:12" s="33" customFormat="1" hidden="1" x14ac:dyDescent="0.3">
      <c r="A1379" s="39">
        <v>46098.381041666667</v>
      </c>
      <c r="B1379" s="33">
        <v>4334232912</v>
      </c>
      <c r="C1379" s="33" t="s">
        <v>44</v>
      </c>
      <c r="D1379" s="33">
        <v>4430265054</v>
      </c>
      <c r="E1379" s="33">
        <v>427</v>
      </c>
      <c r="F1379" s="33">
        <v>411</v>
      </c>
      <c r="G1379" s="33" t="s">
        <v>38</v>
      </c>
      <c r="H1379" s="33" t="s">
        <v>7930</v>
      </c>
      <c r="I1379" s="33" t="s">
        <v>39</v>
      </c>
      <c r="J1379" s="33" t="s">
        <v>40</v>
      </c>
      <c r="K1379" s="33" t="s">
        <v>41</v>
      </c>
      <c r="L1379" s="33">
        <v>4</v>
      </c>
    </row>
    <row r="1380" spans="1:12" s="33" customFormat="1" hidden="1" x14ac:dyDescent="0.3">
      <c r="A1380" s="39">
        <v>46098.377650462964</v>
      </c>
      <c r="B1380" s="33">
        <v>4435226025</v>
      </c>
      <c r="C1380" s="33" t="s">
        <v>37</v>
      </c>
      <c r="D1380" s="33">
        <v>4430265054</v>
      </c>
      <c r="E1380" s="33">
        <v>477</v>
      </c>
      <c r="F1380" s="33">
        <v>443</v>
      </c>
      <c r="G1380" s="33" t="s">
        <v>38</v>
      </c>
      <c r="H1380" s="33" t="s">
        <v>7931</v>
      </c>
      <c r="I1380" s="33" t="s">
        <v>39</v>
      </c>
      <c r="J1380" s="33" t="s">
        <v>40</v>
      </c>
      <c r="K1380" s="33" t="s">
        <v>41</v>
      </c>
    </row>
    <row r="1381" spans="1:12" s="33" customFormat="1" hidden="1" x14ac:dyDescent="0.3">
      <c r="A1381" s="39">
        <v>46098.373055555552</v>
      </c>
      <c r="B1381" s="33" t="s">
        <v>42</v>
      </c>
      <c r="C1381" s="33">
        <v>4130263118</v>
      </c>
      <c r="E1381" s="33">
        <v>839</v>
      </c>
      <c r="F1381" s="33">
        <v>830</v>
      </c>
      <c r="G1381" s="33" t="s">
        <v>38</v>
      </c>
      <c r="H1381" s="33" t="s">
        <v>7932</v>
      </c>
      <c r="I1381" s="33" t="s">
        <v>46</v>
      </c>
      <c r="J1381" s="33" t="s">
        <v>40</v>
      </c>
    </row>
    <row r="1382" spans="1:12" s="33" customFormat="1" hidden="1" x14ac:dyDescent="0.3">
      <c r="A1382" s="39">
        <v>46098.372523148151</v>
      </c>
      <c r="B1382" s="33" t="s">
        <v>5173</v>
      </c>
      <c r="C1382" s="33">
        <v>81994195603</v>
      </c>
      <c r="E1382" s="33">
        <v>887</v>
      </c>
      <c r="F1382" s="33">
        <v>876</v>
      </c>
      <c r="G1382" s="33" t="s">
        <v>38</v>
      </c>
      <c r="H1382" s="33" t="s">
        <v>7933</v>
      </c>
      <c r="I1382" s="33" t="s">
        <v>46</v>
      </c>
      <c r="J1382" s="33" t="s">
        <v>3629</v>
      </c>
    </row>
    <row r="1383" spans="1:12" s="33" customFormat="1" hidden="1" x14ac:dyDescent="0.3">
      <c r="A1383" s="39">
        <v>46098.372337962966</v>
      </c>
      <c r="B1383" s="33">
        <v>1144364181</v>
      </c>
      <c r="C1383" s="33" t="s">
        <v>43</v>
      </c>
      <c r="D1383" s="33">
        <v>4430265054</v>
      </c>
      <c r="E1383" s="33">
        <v>1121</v>
      </c>
      <c r="F1383" s="33">
        <v>1040</v>
      </c>
      <c r="G1383" s="33" t="s">
        <v>38</v>
      </c>
      <c r="H1383" s="33" t="s">
        <v>7934</v>
      </c>
      <c r="I1383" s="33" t="s">
        <v>39</v>
      </c>
      <c r="J1383" s="33" t="s">
        <v>40</v>
      </c>
      <c r="K1383" s="33" t="s">
        <v>41</v>
      </c>
    </row>
    <row r="1384" spans="1:12" s="33" customFormat="1" hidden="1" x14ac:dyDescent="0.3">
      <c r="A1384" s="39">
        <v>46098.371076388888</v>
      </c>
      <c r="B1384" s="33" t="s">
        <v>5173</v>
      </c>
      <c r="C1384" s="33">
        <v>81994195603</v>
      </c>
      <c r="E1384" s="33">
        <v>38</v>
      </c>
      <c r="F1384" s="33">
        <v>0</v>
      </c>
      <c r="G1384" s="33" t="s">
        <v>47</v>
      </c>
      <c r="H1384" s="33" t="s">
        <v>7935</v>
      </c>
      <c r="I1384" s="33" t="s">
        <v>46</v>
      </c>
      <c r="J1384" s="33" t="s">
        <v>3629</v>
      </c>
    </row>
    <row r="1385" spans="1:12" s="33" customFormat="1" hidden="1" x14ac:dyDescent="0.3">
      <c r="A1385" s="39">
        <v>46098.370625000003</v>
      </c>
      <c r="B1385" s="33">
        <v>4430459001</v>
      </c>
      <c r="C1385" s="33" t="s">
        <v>45</v>
      </c>
      <c r="D1385" s="33">
        <v>4430265054</v>
      </c>
      <c r="E1385" s="33">
        <v>801</v>
      </c>
      <c r="F1385" s="33">
        <v>723</v>
      </c>
      <c r="G1385" s="33" t="s">
        <v>38</v>
      </c>
      <c r="H1385" s="33" t="s">
        <v>7936</v>
      </c>
      <c r="I1385" s="33" t="s">
        <v>39</v>
      </c>
      <c r="J1385" s="33" t="s">
        <v>40</v>
      </c>
      <c r="K1385" s="33" t="s">
        <v>41</v>
      </c>
    </row>
    <row r="1386" spans="1:12" s="33" customFormat="1" hidden="1" x14ac:dyDescent="0.3">
      <c r="A1386" s="39">
        <v>46098.368587962963</v>
      </c>
      <c r="B1386" s="33" t="s">
        <v>44</v>
      </c>
      <c r="C1386" s="33">
        <v>45999211357</v>
      </c>
      <c r="E1386" s="33">
        <v>64</v>
      </c>
      <c r="F1386" s="33">
        <v>47</v>
      </c>
      <c r="G1386" s="33" t="s">
        <v>38</v>
      </c>
      <c r="H1386" s="33" t="s">
        <v>7937</v>
      </c>
      <c r="I1386" s="33" t="s">
        <v>46</v>
      </c>
      <c r="J1386" s="33" t="s">
        <v>40</v>
      </c>
    </row>
    <row r="1387" spans="1:12" s="33" customFormat="1" hidden="1" x14ac:dyDescent="0.3">
      <c r="A1387" s="39">
        <v>46098.366018518522</v>
      </c>
      <c r="B1387" s="33">
        <v>4432524652</v>
      </c>
      <c r="C1387" s="33" t="s">
        <v>5173</v>
      </c>
      <c r="D1387" s="33">
        <v>4430265054</v>
      </c>
      <c r="E1387" s="33">
        <v>198</v>
      </c>
      <c r="F1387" s="33">
        <v>168</v>
      </c>
      <c r="G1387" s="33" t="s">
        <v>38</v>
      </c>
      <c r="H1387" s="33" t="s">
        <v>7938</v>
      </c>
      <c r="I1387" s="33" t="s">
        <v>39</v>
      </c>
      <c r="J1387" s="33" t="s">
        <v>3629</v>
      </c>
      <c r="K1387" s="33" t="s">
        <v>50</v>
      </c>
    </row>
    <row r="1388" spans="1:12" s="33" customFormat="1" hidden="1" x14ac:dyDescent="0.3">
      <c r="A1388" s="39">
        <v>46098.363599537035</v>
      </c>
      <c r="B1388" s="33">
        <v>45999211357</v>
      </c>
      <c r="C1388" s="33" t="s">
        <v>44</v>
      </c>
      <c r="D1388" s="33">
        <v>4431268225</v>
      </c>
      <c r="E1388" s="33">
        <v>218</v>
      </c>
      <c r="F1388" s="33">
        <v>168</v>
      </c>
      <c r="G1388" s="33" t="s">
        <v>38</v>
      </c>
      <c r="H1388" s="33" t="s">
        <v>7939</v>
      </c>
      <c r="I1388" s="33" t="s">
        <v>39</v>
      </c>
      <c r="J1388" s="33" t="s">
        <v>40</v>
      </c>
      <c r="K1388" s="33" t="s">
        <v>41</v>
      </c>
    </row>
    <row r="1389" spans="1:12" s="33" customFormat="1" hidden="1" x14ac:dyDescent="0.3">
      <c r="A1389" s="39">
        <v>46098.361689814818</v>
      </c>
      <c r="B1389" s="33">
        <v>6434538540</v>
      </c>
      <c r="C1389" s="33" t="s">
        <v>45</v>
      </c>
      <c r="D1389" s="33">
        <v>4430265054</v>
      </c>
      <c r="E1389" s="33">
        <v>501</v>
      </c>
      <c r="F1389" s="33">
        <v>426</v>
      </c>
      <c r="G1389" s="33" t="s">
        <v>38</v>
      </c>
      <c r="H1389" s="33" t="s">
        <v>7940</v>
      </c>
      <c r="I1389" s="33" t="s">
        <v>39</v>
      </c>
      <c r="J1389" s="33" t="s">
        <v>40</v>
      </c>
      <c r="K1389" s="33" t="s">
        <v>41</v>
      </c>
    </row>
    <row r="1390" spans="1:12" s="33" customFormat="1" hidden="1" x14ac:dyDescent="0.3">
      <c r="A1390" s="39">
        <v>46098.356550925928</v>
      </c>
      <c r="B1390" s="33">
        <v>1438160351</v>
      </c>
      <c r="C1390" s="33">
        <v>4430265054</v>
      </c>
      <c r="D1390" s="33">
        <v>4430265054</v>
      </c>
      <c r="E1390" s="33">
        <v>8</v>
      </c>
      <c r="F1390" s="33">
        <v>8</v>
      </c>
      <c r="G1390" s="33" t="s">
        <v>3449</v>
      </c>
      <c r="H1390" s="33" t="s">
        <v>7941</v>
      </c>
      <c r="I1390" s="33" t="s">
        <v>39</v>
      </c>
      <c r="J1390" s="33" t="s">
        <v>3451</v>
      </c>
    </row>
    <row r="1391" spans="1:12" s="33" customFormat="1" hidden="1" x14ac:dyDescent="0.3">
      <c r="A1391" s="39">
        <v>46098.346226851849</v>
      </c>
      <c r="B1391" s="33" t="s">
        <v>37</v>
      </c>
      <c r="C1391" s="33">
        <v>71991339954</v>
      </c>
      <c r="E1391" s="33">
        <v>12</v>
      </c>
      <c r="F1391" s="33">
        <v>0</v>
      </c>
      <c r="G1391" s="33" t="s">
        <v>47</v>
      </c>
      <c r="H1391" s="33" t="s">
        <v>7942</v>
      </c>
      <c r="I1391" s="33" t="s">
        <v>46</v>
      </c>
      <c r="J1391" s="33" t="s">
        <v>40</v>
      </c>
    </row>
    <row r="1392" spans="1:12" s="33" customFormat="1" hidden="1" x14ac:dyDescent="0.3">
      <c r="A1392" s="39">
        <v>46098.341666666667</v>
      </c>
      <c r="B1392" s="33">
        <v>43999317663</v>
      </c>
      <c r="C1392" s="33">
        <v>4430265054</v>
      </c>
      <c r="D1392" s="33">
        <v>4430265054</v>
      </c>
      <c r="E1392" s="33">
        <v>12</v>
      </c>
      <c r="F1392" s="33">
        <v>11</v>
      </c>
      <c r="G1392" s="33" t="s">
        <v>3449</v>
      </c>
      <c r="H1392" s="33" t="s">
        <v>7943</v>
      </c>
      <c r="I1392" s="33" t="s">
        <v>39</v>
      </c>
      <c r="J1392" s="33" t="s">
        <v>3451</v>
      </c>
    </row>
    <row r="1393" spans="1:12" s="33" customFormat="1" hidden="1" x14ac:dyDescent="0.3">
      <c r="A1393" s="39">
        <v>46098.341435185182</v>
      </c>
      <c r="B1393" s="33">
        <v>43999317663</v>
      </c>
      <c r="C1393" s="33">
        <v>4430265054</v>
      </c>
      <c r="D1393" s="33">
        <v>4430265054</v>
      </c>
      <c r="E1393" s="33">
        <v>18</v>
      </c>
      <c r="F1393" s="33">
        <v>17</v>
      </c>
      <c r="G1393" s="33" t="s">
        <v>3449</v>
      </c>
      <c r="H1393" s="33" t="s">
        <v>7944</v>
      </c>
      <c r="I1393" s="33" t="s">
        <v>39</v>
      </c>
      <c r="J1393" s="33" t="s">
        <v>3451</v>
      </c>
    </row>
    <row r="1394" spans="1:12" s="33" customFormat="1" hidden="1" x14ac:dyDescent="0.3">
      <c r="A1394" s="39">
        <v>46097.764525462961</v>
      </c>
      <c r="B1394" s="33">
        <v>4430450103</v>
      </c>
      <c r="C1394" s="33">
        <v>4430265054</v>
      </c>
      <c r="D1394" s="33">
        <v>4430265054</v>
      </c>
      <c r="E1394" s="33">
        <v>20</v>
      </c>
      <c r="F1394" s="33">
        <v>19</v>
      </c>
      <c r="G1394" s="33" t="s">
        <v>3449</v>
      </c>
      <c r="H1394" s="33" t="s">
        <v>7945</v>
      </c>
      <c r="I1394" s="33" t="s">
        <v>39</v>
      </c>
      <c r="J1394" s="33" t="s">
        <v>3451</v>
      </c>
    </row>
    <row r="1395" spans="1:12" s="33" customFormat="1" x14ac:dyDescent="0.3">
      <c r="A1395" s="39">
        <v>46097.74591435185</v>
      </c>
      <c r="B1395" s="33">
        <v>4430450103</v>
      </c>
      <c r="C1395" s="33" t="s">
        <v>42</v>
      </c>
      <c r="D1395" s="33">
        <v>4430265054</v>
      </c>
      <c r="E1395" s="33">
        <v>571</v>
      </c>
      <c r="F1395" s="33">
        <v>488</v>
      </c>
      <c r="G1395" s="33" t="s">
        <v>38</v>
      </c>
      <c r="H1395" s="33" t="s">
        <v>7946</v>
      </c>
      <c r="I1395" s="33" t="s">
        <v>39</v>
      </c>
      <c r="J1395" s="33" t="s">
        <v>40</v>
      </c>
      <c r="K1395" s="33" t="s">
        <v>41</v>
      </c>
      <c r="L1395" s="33">
        <v>5</v>
      </c>
    </row>
    <row r="1396" spans="1:12" s="33" customFormat="1" hidden="1" x14ac:dyDescent="0.3">
      <c r="A1396" s="39">
        <v>46097.737476851849</v>
      </c>
      <c r="B1396" s="33">
        <v>4432226677</v>
      </c>
      <c r="C1396" s="33" t="s">
        <v>44</v>
      </c>
      <c r="D1396" s="33">
        <v>4430265054</v>
      </c>
      <c r="E1396" s="33">
        <v>448</v>
      </c>
      <c r="F1396" s="33">
        <v>265</v>
      </c>
      <c r="G1396" s="33" t="s">
        <v>38</v>
      </c>
      <c r="H1396" s="33" t="s">
        <v>7947</v>
      </c>
      <c r="I1396" s="33" t="s">
        <v>39</v>
      </c>
      <c r="J1396" s="33" t="s">
        <v>40</v>
      </c>
      <c r="K1396" s="33" t="s">
        <v>41</v>
      </c>
      <c r="L1396" s="33">
        <v>5</v>
      </c>
    </row>
    <row r="1397" spans="1:12" s="33" customFormat="1" hidden="1" x14ac:dyDescent="0.3">
      <c r="A1397" s="39">
        <v>46097.730879629627</v>
      </c>
      <c r="B1397" s="33" t="s">
        <v>3627</v>
      </c>
      <c r="C1397" s="33">
        <v>2137969314</v>
      </c>
      <c r="E1397" s="33">
        <v>10</v>
      </c>
      <c r="F1397" s="33">
        <v>0</v>
      </c>
      <c r="G1397" s="33" t="s">
        <v>47</v>
      </c>
      <c r="H1397" s="33" t="s">
        <v>7948</v>
      </c>
      <c r="I1397" s="33" t="s">
        <v>46</v>
      </c>
      <c r="J1397" s="33" t="s">
        <v>3629</v>
      </c>
    </row>
    <row r="1398" spans="1:12" s="33" customFormat="1" hidden="1" x14ac:dyDescent="0.3">
      <c r="A1398" s="39">
        <v>46097.727719907409</v>
      </c>
      <c r="B1398" s="33" t="s">
        <v>3627</v>
      </c>
      <c r="C1398" s="33">
        <v>31996919456</v>
      </c>
      <c r="E1398" s="33">
        <v>7</v>
      </c>
      <c r="F1398" s="33">
        <v>0</v>
      </c>
      <c r="G1398" s="33" t="s">
        <v>47</v>
      </c>
      <c r="H1398" s="33" t="s">
        <v>7949</v>
      </c>
      <c r="I1398" s="33" t="s">
        <v>46</v>
      </c>
      <c r="J1398" s="33" t="s">
        <v>3629</v>
      </c>
    </row>
    <row r="1399" spans="1:12" s="33" customFormat="1" hidden="1" x14ac:dyDescent="0.3">
      <c r="A1399" s="39">
        <v>46097.723113425927</v>
      </c>
      <c r="B1399" s="33" t="s">
        <v>5173</v>
      </c>
      <c r="C1399" s="33">
        <v>4435235396</v>
      </c>
      <c r="E1399" s="33">
        <v>404</v>
      </c>
      <c r="F1399" s="33">
        <v>385</v>
      </c>
      <c r="G1399" s="33" t="s">
        <v>38</v>
      </c>
      <c r="H1399" s="33" t="s">
        <v>7950</v>
      </c>
      <c r="I1399" s="33" t="s">
        <v>46</v>
      </c>
      <c r="J1399" s="33" t="s">
        <v>3629</v>
      </c>
    </row>
    <row r="1400" spans="1:12" s="33" customFormat="1" hidden="1" x14ac:dyDescent="0.3">
      <c r="A1400" s="39">
        <v>46097.723113425927</v>
      </c>
      <c r="B1400" s="33" t="s">
        <v>42</v>
      </c>
      <c r="C1400" s="33">
        <v>1131043888</v>
      </c>
      <c r="E1400" s="33">
        <v>518</v>
      </c>
      <c r="F1400" s="33">
        <v>517</v>
      </c>
      <c r="G1400" s="33" t="s">
        <v>38</v>
      </c>
      <c r="H1400" s="33" t="s">
        <v>7951</v>
      </c>
      <c r="I1400" s="33" t="s">
        <v>46</v>
      </c>
      <c r="J1400" s="33" t="s">
        <v>40</v>
      </c>
    </row>
    <row r="1401" spans="1:12" s="33" customFormat="1" hidden="1" x14ac:dyDescent="0.3">
      <c r="A1401" s="39">
        <v>46097.722962962966</v>
      </c>
      <c r="B1401" s="33" t="s">
        <v>5173</v>
      </c>
      <c r="C1401" s="33">
        <v>1128787060</v>
      </c>
      <c r="E1401" s="33">
        <v>3</v>
      </c>
      <c r="F1401" s="33">
        <v>0</v>
      </c>
      <c r="G1401" s="33" t="s">
        <v>47</v>
      </c>
      <c r="H1401" s="33" t="s">
        <v>7952</v>
      </c>
      <c r="I1401" s="33" t="s">
        <v>46</v>
      </c>
      <c r="J1401" s="33" t="s">
        <v>3629</v>
      </c>
    </row>
    <row r="1402" spans="1:12" s="33" customFormat="1" hidden="1" x14ac:dyDescent="0.3">
      <c r="A1402" s="39">
        <v>46097.722442129627</v>
      </c>
      <c r="B1402" s="33" t="s">
        <v>42</v>
      </c>
      <c r="C1402" s="33">
        <v>1131043888</v>
      </c>
      <c r="E1402" s="33">
        <v>51</v>
      </c>
      <c r="F1402" s="33">
        <v>49</v>
      </c>
      <c r="G1402" s="33" t="s">
        <v>38</v>
      </c>
      <c r="H1402" s="33" t="s">
        <v>7953</v>
      </c>
      <c r="I1402" s="33" t="s">
        <v>46</v>
      </c>
      <c r="J1402" s="33" t="s">
        <v>40</v>
      </c>
    </row>
    <row r="1403" spans="1:12" s="33" customFormat="1" hidden="1" x14ac:dyDescent="0.3">
      <c r="A1403" s="39">
        <v>46097.722303240742</v>
      </c>
      <c r="B1403" s="33" t="s">
        <v>3627</v>
      </c>
      <c r="C1403" s="33">
        <v>82999089599</v>
      </c>
      <c r="E1403" s="33">
        <v>14</v>
      </c>
      <c r="F1403" s="33">
        <v>3</v>
      </c>
      <c r="G1403" s="33" t="s">
        <v>38</v>
      </c>
      <c r="H1403" s="33" t="s">
        <v>7954</v>
      </c>
      <c r="I1403" s="33" t="s">
        <v>46</v>
      </c>
      <c r="J1403" s="33" t="s">
        <v>3629</v>
      </c>
    </row>
    <row r="1404" spans="1:12" s="33" customFormat="1" hidden="1" x14ac:dyDescent="0.3">
      <c r="A1404" s="39">
        <v>46097.72152777778</v>
      </c>
      <c r="B1404" s="33" t="s">
        <v>3627</v>
      </c>
      <c r="C1404" s="33">
        <v>54996524471</v>
      </c>
      <c r="E1404" s="33">
        <v>10</v>
      </c>
      <c r="F1404" s="33">
        <v>0</v>
      </c>
      <c r="G1404" s="33" t="s">
        <v>47</v>
      </c>
      <c r="H1404" s="33" t="s">
        <v>7955</v>
      </c>
      <c r="I1404" s="33" t="s">
        <v>46</v>
      </c>
      <c r="J1404" s="33" t="s">
        <v>3629</v>
      </c>
    </row>
    <row r="1405" spans="1:12" s="33" customFormat="1" hidden="1" x14ac:dyDescent="0.3">
      <c r="A1405" s="39">
        <v>46097.7187962963</v>
      </c>
      <c r="B1405" s="33">
        <v>4430257989</v>
      </c>
      <c r="C1405" s="33" t="s">
        <v>44</v>
      </c>
      <c r="D1405" s="33">
        <v>4430265054</v>
      </c>
      <c r="E1405" s="33">
        <v>310</v>
      </c>
      <c r="F1405" s="33">
        <v>139</v>
      </c>
      <c r="G1405" s="33" t="s">
        <v>38</v>
      </c>
      <c r="H1405" s="33" t="s">
        <v>7956</v>
      </c>
      <c r="I1405" s="33" t="s">
        <v>39</v>
      </c>
      <c r="J1405" s="33" t="s">
        <v>40</v>
      </c>
      <c r="K1405" s="33" t="s">
        <v>41</v>
      </c>
    </row>
    <row r="1406" spans="1:12" s="33" customFormat="1" hidden="1" x14ac:dyDescent="0.3">
      <c r="A1406" s="39">
        <v>46097.718414351853</v>
      </c>
      <c r="B1406" s="33">
        <v>44998069950</v>
      </c>
      <c r="C1406" s="33">
        <v>4430265054</v>
      </c>
      <c r="D1406" s="33">
        <v>4430265054</v>
      </c>
      <c r="E1406" s="33">
        <v>27</v>
      </c>
      <c r="F1406" s="33">
        <v>26</v>
      </c>
      <c r="G1406" s="33" t="s">
        <v>3449</v>
      </c>
      <c r="H1406" s="33" t="s">
        <v>7957</v>
      </c>
      <c r="I1406" s="33" t="s">
        <v>39</v>
      </c>
      <c r="J1406" s="33" t="s">
        <v>3451</v>
      </c>
      <c r="K1406" s="33" t="s">
        <v>41</v>
      </c>
    </row>
    <row r="1407" spans="1:12" s="33" customFormat="1" hidden="1" x14ac:dyDescent="0.3">
      <c r="A1407" s="39">
        <v>46097.715150462966</v>
      </c>
      <c r="B1407" s="33">
        <v>44999058673</v>
      </c>
      <c r="C1407" s="33" t="s">
        <v>45</v>
      </c>
      <c r="D1407" s="33">
        <v>4430265054</v>
      </c>
      <c r="E1407" s="33">
        <v>272</v>
      </c>
      <c r="F1407" s="33">
        <v>215</v>
      </c>
      <c r="G1407" s="33" t="s">
        <v>38</v>
      </c>
      <c r="H1407" s="33" t="s">
        <v>7958</v>
      </c>
      <c r="I1407" s="33" t="s">
        <v>39</v>
      </c>
      <c r="J1407" s="33" t="s">
        <v>40</v>
      </c>
      <c r="K1407" s="33" t="s">
        <v>41</v>
      </c>
    </row>
    <row r="1408" spans="1:12" s="33" customFormat="1" hidden="1" x14ac:dyDescent="0.3">
      <c r="A1408" s="39">
        <v>46097.702152777776</v>
      </c>
      <c r="B1408" s="33">
        <v>11973545510</v>
      </c>
      <c r="C1408" s="33" t="s">
        <v>43</v>
      </c>
      <c r="D1408" s="33">
        <v>4430265054</v>
      </c>
      <c r="E1408" s="33">
        <v>889</v>
      </c>
      <c r="F1408" s="33">
        <v>833</v>
      </c>
      <c r="G1408" s="33" t="s">
        <v>38</v>
      </c>
      <c r="H1408" s="33" t="s">
        <v>7959</v>
      </c>
      <c r="I1408" s="33" t="s">
        <v>39</v>
      </c>
      <c r="J1408" s="33" t="s">
        <v>40</v>
      </c>
      <c r="K1408" s="33" t="s">
        <v>41</v>
      </c>
    </row>
    <row r="1409" spans="1:12" s="33" customFormat="1" hidden="1" x14ac:dyDescent="0.3">
      <c r="A1409" s="39">
        <v>46097.699756944443</v>
      </c>
      <c r="B1409" s="33">
        <v>1131043888</v>
      </c>
      <c r="C1409" s="33" t="s">
        <v>42</v>
      </c>
      <c r="D1409" s="33">
        <v>4430265054</v>
      </c>
      <c r="E1409" s="33">
        <v>1205</v>
      </c>
      <c r="F1409" s="33">
        <v>1131</v>
      </c>
      <c r="G1409" s="33" t="s">
        <v>38</v>
      </c>
      <c r="H1409" s="33" t="s">
        <v>7960</v>
      </c>
      <c r="I1409" s="33" t="s">
        <v>39</v>
      </c>
      <c r="J1409" s="33" t="s">
        <v>40</v>
      </c>
      <c r="K1409" s="33" t="s">
        <v>41</v>
      </c>
    </row>
    <row r="1410" spans="1:12" s="33" customFormat="1" hidden="1" x14ac:dyDescent="0.3">
      <c r="A1410" s="39">
        <v>46097.699606481481</v>
      </c>
      <c r="B1410" s="33">
        <v>1128787060</v>
      </c>
      <c r="C1410" s="33" t="s">
        <v>5173</v>
      </c>
      <c r="D1410" s="33">
        <v>4430265054</v>
      </c>
      <c r="E1410" s="33">
        <v>132</v>
      </c>
      <c r="F1410" s="33">
        <v>101</v>
      </c>
      <c r="G1410" s="33" t="s">
        <v>38</v>
      </c>
      <c r="H1410" s="33" t="s">
        <v>7961</v>
      </c>
      <c r="I1410" s="33" t="s">
        <v>39</v>
      </c>
      <c r="J1410" s="33" t="s">
        <v>3629</v>
      </c>
      <c r="K1410" s="33" t="s">
        <v>50</v>
      </c>
    </row>
    <row r="1411" spans="1:12" s="33" customFormat="1" hidden="1" x14ac:dyDescent="0.3">
      <c r="A1411" s="39">
        <v>46097.698067129626</v>
      </c>
      <c r="B1411" s="33">
        <v>4432275634</v>
      </c>
      <c r="C1411" s="33" t="s">
        <v>45</v>
      </c>
      <c r="D1411" s="33">
        <v>4430265054</v>
      </c>
      <c r="E1411" s="33">
        <v>359</v>
      </c>
      <c r="F1411" s="33">
        <v>231</v>
      </c>
      <c r="G1411" s="33" t="s">
        <v>38</v>
      </c>
      <c r="H1411" s="33" t="s">
        <v>7962</v>
      </c>
      <c r="I1411" s="33" t="s">
        <v>39</v>
      </c>
      <c r="J1411" s="33" t="s">
        <v>40</v>
      </c>
      <c r="K1411" s="33" t="s">
        <v>41</v>
      </c>
      <c r="L1411" s="33">
        <v>5</v>
      </c>
    </row>
    <row r="1412" spans="1:12" s="33" customFormat="1" hidden="1" x14ac:dyDescent="0.3">
      <c r="A1412" s="39">
        <v>46097.694363425922</v>
      </c>
      <c r="B1412" s="33" t="s">
        <v>3627</v>
      </c>
      <c r="C1412" s="33">
        <v>92986319663</v>
      </c>
      <c r="E1412" s="33">
        <v>9</v>
      </c>
      <c r="F1412" s="33">
        <v>0</v>
      </c>
      <c r="G1412" s="33" t="s">
        <v>47</v>
      </c>
      <c r="H1412" s="33" t="s">
        <v>7963</v>
      </c>
      <c r="I1412" s="33" t="s">
        <v>46</v>
      </c>
      <c r="J1412" s="33" t="s">
        <v>3629</v>
      </c>
    </row>
    <row r="1413" spans="1:12" s="33" customFormat="1" hidden="1" x14ac:dyDescent="0.3">
      <c r="A1413" s="39">
        <v>46097.685983796298</v>
      </c>
      <c r="B1413" s="33">
        <v>4430318516</v>
      </c>
      <c r="C1413" s="33" t="s">
        <v>37</v>
      </c>
      <c r="D1413" s="33">
        <v>4430265054</v>
      </c>
      <c r="E1413" s="33">
        <v>1015</v>
      </c>
      <c r="F1413" s="33">
        <v>981</v>
      </c>
      <c r="G1413" s="33" t="s">
        <v>38</v>
      </c>
      <c r="H1413" s="33" t="s">
        <v>7964</v>
      </c>
      <c r="I1413" s="33" t="s">
        <v>39</v>
      </c>
      <c r="J1413" s="33" t="s">
        <v>40</v>
      </c>
      <c r="K1413" s="33" t="s">
        <v>41</v>
      </c>
      <c r="L1413" s="33">
        <v>5</v>
      </c>
    </row>
    <row r="1414" spans="1:12" s="33" customFormat="1" hidden="1" x14ac:dyDescent="0.3">
      <c r="A1414" s="39">
        <v>46097.683506944442</v>
      </c>
      <c r="B1414" s="33">
        <v>44988255390</v>
      </c>
      <c r="C1414" s="33" t="s">
        <v>45</v>
      </c>
      <c r="D1414" s="33">
        <v>4430265054</v>
      </c>
      <c r="E1414" s="33">
        <v>487</v>
      </c>
      <c r="F1414" s="33">
        <v>384</v>
      </c>
      <c r="G1414" s="33" t="s">
        <v>38</v>
      </c>
      <c r="H1414" s="33" t="s">
        <v>7965</v>
      </c>
      <c r="I1414" s="33" t="s">
        <v>39</v>
      </c>
      <c r="J1414" s="33" t="s">
        <v>40</v>
      </c>
      <c r="K1414" s="33" t="s">
        <v>41</v>
      </c>
    </row>
    <row r="1415" spans="1:12" s="33" customFormat="1" hidden="1" x14ac:dyDescent="0.3">
      <c r="A1415" s="39">
        <v>46097.677928240744</v>
      </c>
      <c r="B1415" s="33">
        <v>44991486467</v>
      </c>
      <c r="C1415" s="33" t="s">
        <v>45</v>
      </c>
      <c r="D1415" s="33">
        <v>4430265054</v>
      </c>
      <c r="E1415" s="33">
        <v>234</v>
      </c>
      <c r="F1415" s="33">
        <v>124</v>
      </c>
      <c r="G1415" s="33" t="s">
        <v>38</v>
      </c>
      <c r="H1415" s="33" t="s">
        <v>7966</v>
      </c>
      <c r="I1415" s="33" t="s">
        <v>39</v>
      </c>
      <c r="J1415" s="33" t="s">
        <v>40</v>
      </c>
      <c r="K1415" s="33" t="s">
        <v>41</v>
      </c>
    </row>
    <row r="1416" spans="1:12" s="33" customFormat="1" hidden="1" x14ac:dyDescent="0.3">
      <c r="A1416" s="39">
        <v>46097.666689814818</v>
      </c>
      <c r="B1416" s="33">
        <v>6434530674</v>
      </c>
      <c r="C1416" s="33" t="s">
        <v>45</v>
      </c>
      <c r="D1416" s="33">
        <v>4430265054</v>
      </c>
      <c r="E1416" s="33">
        <v>209</v>
      </c>
      <c r="F1416" s="33">
        <v>158</v>
      </c>
      <c r="G1416" s="33" t="s">
        <v>38</v>
      </c>
      <c r="H1416" s="33" t="s">
        <v>7967</v>
      </c>
      <c r="I1416" s="33" t="s">
        <v>39</v>
      </c>
      <c r="J1416" s="33" t="s">
        <v>40</v>
      </c>
      <c r="K1416" s="33" t="s">
        <v>41</v>
      </c>
      <c r="L1416" s="33">
        <v>5</v>
      </c>
    </row>
    <row r="1417" spans="1:12" s="33" customFormat="1" hidden="1" x14ac:dyDescent="0.3">
      <c r="A1417" s="39">
        <v>46097.665219907409</v>
      </c>
      <c r="B1417" s="33" t="s">
        <v>44</v>
      </c>
      <c r="C1417" s="33">
        <v>4430141092</v>
      </c>
      <c r="E1417" s="33">
        <v>83</v>
      </c>
      <c r="F1417" s="33">
        <v>75</v>
      </c>
      <c r="G1417" s="33" t="s">
        <v>38</v>
      </c>
      <c r="H1417" s="33" t="s">
        <v>7968</v>
      </c>
      <c r="I1417" s="33" t="s">
        <v>46</v>
      </c>
      <c r="J1417" s="33" t="s">
        <v>40</v>
      </c>
    </row>
    <row r="1418" spans="1:12" s="33" customFormat="1" hidden="1" x14ac:dyDescent="0.3">
      <c r="A1418" s="39">
        <v>46097.66510416667</v>
      </c>
      <c r="B1418" s="33" t="s">
        <v>44</v>
      </c>
      <c r="C1418" s="33">
        <v>4430141092</v>
      </c>
      <c r="E1418" s="33">
        <v>4</v>
      </c>
      <c r="F1418" s="33">
        <v>0</v>
      </c>
      <c r="G1418" s="33" t="s">
        <v>47</v>
      </c>
      <c r="H1418" s="33" t="s">
        <v>7969</v>
      </c>
      <c r="I1418" s="33" t="s">
        <v>46</v>
      </c>
      <c r="J1418" s="33" t="s">
        <v>40</v>
      </c>
    </row>
    <row r="1419" spans="1:12" s="33" customFormat="1" hidden="1" x14ac:dyDescent="0.3">
      <c r="A1419" s="39">
        <v>46097.665046296293</v>
      </c>
      <c r="B1419" s="33" t="s">
        <v>44</v>
      </c>
      <c r="C1419" s="33">
        <v>4430141092</v>
      </c>
      <c r="E1419" s="33">
        <v>2</v>
      </c>
      <c r="F1419" s="33">
        <v>0</v>
      </c>
      <c r="G1419" s="33" t="s">
        <v>47</v>
      </c>
      <c r="H1419" s="33" t="s">
        <v>7970</v>
      </c>
      <c r="I1419" s="33" t="s">
        <v>46</v>
      </c>
      <c r="J1419" s="33" t="s">
        <v>40</v>
      </c>
    </row>
    <row r="1420" spans="1:12" s="33" customFormat="1" hidden="1" x14ac:dyDescent="0.3">
      <c r="A1420" s="39">
        <v>46097.642326388886</v>
      </c>
      <c r="B1420" s="33" t="s">
        <v>44</v>
      </c>
      <c r="C1420" s="33">
        <v>4430291622</v>
      </c>
      <c r="E1420" s="33">
        <v>59</v>
      </c>
      <c r="F1420" s="33">
        <v>51</v>
      </c>
      <c r="G1420" s="33" t="s">
        <v>38</v>
      </c>
      <c r="H1420" s="33" t="s">
        <v>7971</v>
      </c>
      <c r="I1420" s="33" t="s">
        <v>46</v>
      </c>
      <c r="J1420" s="33" t="s">
        <v>40</v>
      </c>
    </row>
    <row r="1421" spans="1:12" s="33" customFormat="1" hidden="1" x14ac:dyDescent="0.3">
      <c r="A1421" s="39">
        <v>46097.642268518517</v>
      </c>
      <c r="B1421" s="33" t="s">
        <v>44</v>
      </c>
      <c r="C1421" s="33">
        <v>4430291622</v>
      </c>
      <c r="E1421" s="33">
        <v>4</v>
      </c>
      <c r="F1421" s="33">
        <v>0</v>
      </c>
      <c r="G1421" s="33" t="s">
        <v>47</v>
      </c>
      <c r="H1421" s="33" t="s">
        <v>7972</v>
      </c>
      <c r="I1421" s="33" t="s">
        <v>46</v>
      </c>
      <c r="J1421" s="33" t="s">
        <v>40</v>
      </c>
    </row>
    <row r="1422" spans="1:12" s="33" customFormat="1" hidden="1" x14ac:dyDescent="0.3">
      <c r="A1422" s="39">
        <v>46097.638043981482</v>
      </c>
      <c r="B1422" s="33">
        <v>4430414545</v>
      </c>
      <c r="C1422" s="33">
        <v>4430265054</v>
      </c>
      <c r="D1422" s="33">
        <v>4430265054</v>
      </c>
      <c r="E1422" s="33">
        <v>48</v>
      </c>
      <c r="F1422" s="33">
        <v>47</v>
      </c>
      <c r="G1422" s="33" t="s">
        <v>3449</v>
      </c>
      <c r="H1422" s="33" t="s">
        <v>7973</v>
      </c>
      <c r="I1422" s="33" t="s">
        <v>39</v>
      </c>
      <c r="J1422" s="33" t="s">
        <v>3451</v>
      </c>
      <c r="K1422" s="33" t="s">
        <v>41</v>
      </c>
    </row>
    <row r="1423" spans="1:12" s="33" customFormat="1" hidden="1" x14ac:dyDescent="0.3">
      <c r="A1423" s="39">
        <v>46097.628333333334</v>
      </c>
      <c r="B1423" s="33">
        <v>62994086124</v>
      </c>
      <c r="C1423" s="33" t="s">
        <v>43</v>
      </c>
      <c r="D1423" s="33">
        <v>4430265054</v>
      </c>
      <c r="E1423" s="33">
        <v>338</v>
      </c>
      <c r="F1423" s="33">
        <v>282</v>
      </c>
      <c r="G1423" s="33" t="s">
        <v>38</v>
      </c>
      <c r="H1423" s="33" t="s">
        <v>7974</v>
      </c>
      <c r="I1423" s="33" t="s">
        <v>39</v>
      </c>
      <c r="J1423" s="33" t="s">
        <v>40</v>
      </c>
      <c r="K1423" s="33" t="s">
        <v>41</v>
      </c>
    </row>
    <row r="1424" spans="1:12" s="33" customFormat="1" hidden="1" x14ac:dyDescent="0.3">
      <c r="A1424" s="39">
        <v>46097.626574074071</v>
      </c>
      <c r="B1424" s="33">
        <v>4430459001</v>
      </c>
      <c r="C1424" s="33" t="s">
        <v>48</v>
      </c>
      <c r="D1424" s="33">
        <v>4430265054</v>
      </c>
      <c r="E1424" s="33">
        <v>1099</v>
      </c>
      <c r="F1424" s="33">
        <v>1099</v>
      </c>
      <c r="G1424" s="33" t="s">
        <v>38</v>
      </c>
      <c r="H1424" s="33" t="s">
        <v>7975</v>
      </c>
      <c r="I1424" s="33" t="s">
        <v>39</v>
      </c>
      <c r="J1424" s="33" t="s">
        <v>40</v>
      </c>
      <c r="K1424" s="33" t="s">
        <v>41</v>
      </c>
    </row>
    <row r="1425" spans="1:12" s="33" customFormat="1" hidden="1" x14ac:dyDescent="0.3">
      <c r="A1425" s="39">
        <v>46097.624166666668</v>
      </c>
      <c r="B1425" s="33">
        <v>44984140993</v>
      </c>
      <c r="C1425" s="33" t="s">
        <v>37</v>
      </c>
      <c r="D1425" s="33">
        <v>4430265054</v>
      </c>
      <c r="E1425" s="33">
        <v>744</v>
      </c>
      <c r="F1425" s="33">
        <v>692</v>
      </c>
      <c r="G1425" s="33" t="s">
        <v>38</v>
      </c>
      <c r="H1425" s="33" t="s">
        <v>7976</v>
      </c>
      <c r="I1425" s="33" t="s">
        <v>39</v>
      </c>
      <c r="J1425" s="33" t="s">
        <v>40</v>
      </c>
      <c r="K1425" s="33" t="s">
        <v>41</v>
      </c>
    </row>
    <row r="1426" spans="1:12" s="33" customFormat="1" hidden="1" x14ac:dyDescent="0.3">
      <c r="A1426" s="39">
        <v>46097.621608796297</v>
      </c>
      <c r="B1426" s="33">
        <v>4430141092</v>
      </c>
      <c r="C1426" s="33" t="s">
        <v>44</v>
      </c>
      <c r="D1426" s="33">
        <v>4430265054</v>
      </c>
      <c r="E1426" s="33">
        <v>580</v>
      </c>
      <c r="F1426" s="33">
        <v>544</v>
      </c>
      <c r="G1426" s="33" t="s">
        <v>38</v>
      </c>
      <c r="H1426" s="33" t="s">
        <v>7977</v>
      </c>
      <c r="I1426" s="33" t="s">
        <v>39</v>
      </c>
      <c r="J1426" s="33" t="s">
        <v>40</v>
      </c>
      <c r="K1426" s="33" t="s">
        <v>41</v>
      </c>
    </row>
    <row r="1427" spans="1:12" s="33" customFormat="1" hidden="1" x14ac:dyDescent="0.3">
      <c r="A1427" s="39">
        <v>46097.621493055558</v>
      </c>
      <c r="B1427" s="33">
        <v>44991680978</v>
      </c>
      <c r="C1427" s="33" t="s">
        <v>43</v>
      </c>
      <c r="D1427" s="33">
        <v>4430265054</v>
      </c>
      <c r="E1427" s="33">
        <v>285</v>
      </c>
      <c r="F1427" s="33">
        <v>268</v>
      </c>
      <c r="G1427" s="33" t="s">
        <v>38</v>
      </c>
      <c r="H1427" s="33" t="s">
        <v>7978</v>
      </c>
      <c r="I1427" s="33" t="s">
        <v>39</v>
      </c>
      <c r="J1427" s="33" t="s">
        <v>40</v>
      </c>
      <c r="K1427" s="33" t="s">
        <v>41</v>
      </c>
      <c r="L1427" s="33">
        <v>5</v>
      </c>
    </row>
    <row r="1428" spans="1:12" s="33" customFormat="1" hidden="1" x14ac:dyDescent="0.3">
      <c r="A1428" s="39">
        <v>46097.620856481481</v>
      </c>
      <c r="B1428" s="33">
        <v>44991484476</v>
      </c>
      <c r="C1428" s="33" t="s">
        <v>42</v>
      </c>
      <c r="D1428" s="33">
        <v>4430265054</v>
      </c>
      <c r="E1428" s="33">
        <v>332</v>
      </c>
      <c r="F1428" s="33">
        <v>310</v>
      </c>
      <c r="G1428" s="33" t="s">
        <v>38</v>
      </c>
      <c r="H1428" s="33" t="s">
        <v>7979</v>
      </c>
      <c r="I1428" s="33" t="s">
        <v>39</v>
      </c>
      <c r="J1428" s="33" t="s">
        <v>40</v>
      </c>
      <c r="K1428" s="33" t="s">
        <v>41</v>
      </c>
    </row>
    <row r="1429" spans="1:12" s="33" customFormat="1" hidden="1" x14ac:dyDescent="0.3">
      <c r="A1429" s="39">
        <v>46097.61990740741</v>
      </c>
      <c r="B1429" s="33">
        <v>4430141092</v>
      </c>
      <c r="C1429" s="33">
        <v>4430265054</v>
      </c>
      <c r="D1429" s="33">
        <v>4430265054</v>
      </c>
      <c r="E1429" s="33">
        <v>89</v>
      </c>
      <c r="F1429" s="33">
        <v>89</v>
      </c>
      <c r="G1429" s="33" t="s">
        <v>3449</v>
      </c>
      <c r="H1429" s="33" t="s">
        <v>7980</v>
      </c>
      <c r="I1429" s="33" t="s">
        <v>39</v>
      </c>
      <c r="J1429" s="33" t="s">
        <v>3451</v>
      </c>
      <c r="K1429" s="33" t="s">
        <v>41</v>
      </c>
    </row>
    <row r="1430" spans="1:12" s="33" customFormat="1" hidden="1" x14ac:dyDescent="0.3">
      <c r="A1430" s="39">
        <v>46097.611145833333</v>
      </c>
      <c r="B1430" s="33">
        <v>4435228300</v>
      </c>
      <c r="C1430" s="33" t="s">
        <v>45</v>
      </c>
      <c r="D1430" s="33">
        <v>4430265054</v>
      </c>
      <c r="E1430" s="33">
        <v>1799</v>
      </c>
      <c r="F1430" s="33">
        <v>1567</v>
      </c>
      <c r="G1430" s="33" t="s">
        <v>38</v>
      </c>
      <c r="H1430" s="33" t="s">
        <v>7981</v>
      </c>
      <c r="I1430" s="33" t="s">
        <v>39</v>
      </c>
      <c r="J1430" s="33" t="s">
        <v>40</v>
      </c>
      <c r="K1430" s="33" t="s">
        <v>41</v>
      </c>
    </row>
    <row r="1431" spans="1:12" s="33" customFormat="1" hidden="1" x14ac:dyDescent="0.3">
      <c r="A1431" s="39">
        <v>46097.606111111112</v>
      </c>
      <c r="B1431" s="33">
        <v>44991680978</v>
      </c>
      <c r="C1431" s="33" t="s">
        <v>48</v>
      </c>
      <c r="D1431" s="33">
        <v>4430265054</v>
      </c>
      <c r="E1431" s="33">
        <v>449</v>
      </c>
      <c r="F1431" s="33">
        <v>449</v>
      </c>
      <c r="G1431" s="33" t="s">
        <v>38</v>
      </c>
      <c r="H1431" s="33" t="s">
        <v>7982</v>
      </c>
      <c r="I1431" s="33" t="s">
        <v>39</v>
      </c>
      <c r="J1431" s="33" t="s">
        <v>40</v>
      </c>
      <c r="K1431" s="33" t="s">
        <v>41</v>
      </c>
      <c r="L1431" s="33">
        <v>5</v>
      </c>
    </row>
    <row r="1432" spans="1:12" s="33" customFormat="1" hidden="1" x14ac:dyDescent="0.3">
      <c r="A1432" s="39">
        <v>46097.604039351849</v>
      </c>
      <c r="B1432" s="33">
        <v>41995061279</v>
      </c>
      <c r="C1432" s="33" t="s">
        <v>44</v>
      </c>
      <c r="D1432" s="33">
        <v>4430265054</v>
      </c>
      <c r="E1432" s="33">
        <v>965</v>
      </c>
      <c r="F1432" s="33">
        <v>898</v>
      </c>
      <c r="G1432" s="33" t="s">
        <v>38</v>
      </c>
      <c r="H1432" s="33" t="s">
        <v>7983</v>
      </c>
      <c r="I1432" s="33" t="s">
        <v>39</v>
      </c>
      <c r="J1432" s="33" t="s">
        <v>40</v>
      </c>
      <c r="K1432" s="33" t="s">
        <v>41</v>
      </c>
    </row>
    <row r="1433" spans="1:12" s="33" customFormat="1" hidden="1" x14ac:dyDescent="0.3">
      <c r="A1433" s="39">
        <v>46097.602858796294</v>
      </c>
      <c r="B1433" s="33">
        <v>81988293889</v>
      </c>
      <c r="C1433" s="33" t="s">
        <v>42</v>
      </c>
      <c r="D1433" s="33">
        <v>4431268225</v>
      </c>
      <c r="E1433" s="33">
        <v>1228</v>
      </c>
      <c r="F1433" s="33">
        <v>1097</v>
      </c>
      <c r="G1433" s="33" t="s">
        <v>38</v>
      </c>
      <c r="H1433" s="33" t="s">
        <v>7984</v>
      </c>
      <c r="I1433" s="33" t="s">
        <v>39</v>
      </c>
      <c r="J1433" s="33" t="s">
        <v>40</v>
      </c>
      <c r="K1433" s="33" t="s">
        <v>41</v>
      </c>
    </row>
    <row r="1434" spans="1:12" s="33" customFormat="1" hidden="1" x14ac:dyDescent="0.3">
      <c r="A1434" s="39">
        <v>46097.602500000001</v>
      </c>
      <c r="B1434" s="33">
        <v>45999211333</v>
      </c>
      <c r="C1434" s="33" t="s">
        <v>37</v>
      </c>
      <c r="D1434" s="33">
        <v>4430265054</v>
      </c>
      <c r="E1434" s="33">
        <v>1140</v>
      </c>
      <c r="F1434" s="33">
        <v>1012</v>
      </c>
      <c r="G1434" s="33" t="s">
        <v>38</v>
      </c>
      <c r="H1434" s="33" t="s">
        <v>7985</v>
      </c>
      <c r="I1434" s="33" t="s">
        <v>39</v>
      </c>
      <c r="J1434" s="33" t="s">
        <v>40</v>
      </c>
      <c r="K1434" s="33" t="s">
        <v>41</v>
      </c>
    </row>
    <row r="1435" spans="1:12" s="33" customFormat="1" x14ac:dyDescent="0.3">
      <c r="A1435" s="39">
        <v>46097.598437499997</v>
      </c>
      <c r="B1435" s="33">
        <v>44991213399</v>
      </c>
      <c r="C1435" s="33" t="s">
        <v>42</v>
      </c>
      <c r="D1435" s="33">
        <v>4430265054</v>
      </c>
      <c r="E1435" s="33">
        <v>433</v>
      </c>
      <c r="F1435" s="33">
        <v>387</v>
      </c>
      <c r="G1435" s="33" t="s">
        <v>38</v>
      </c>
      <c r="H1435" s="33" t="s">
        <v>7986</v>
      </c>
      <c r="I1435" s="33" t="s">
        <v>39</v>
      </c>
      <c r="J1435" s="33" t="s">
        <v>40</v>
      </c>
      <c r="K1435" s="33" t="s">
        <v>41</v>
      </c>
      <c r="L1435" s="33">
        <v>5</v>
      </c>
    </row>
    <row r="1436" spans="1:12" s="33" customFormat="1" hidden="1" x14ac:dyDescent="0.3">
      <c r="A1436" s="39">
        <v>46097.596273148149</v>
      </c>
      <c r="B1436" s="33">
        <v>44984140993</v>
      </c>
      <c r="C1436" s="33" t="s">
        <v>42</v>
      </c>
      <c r="D1436" s="33">
        <v>4430265054</v>
      </c>
      <c r="E1436" s="33">
        <v>88</v>
      </c>
      <c r="F1436" s="33">
        <v>47</v>
      </c>
      <c r="G1436" s="33" t="s">
        <v>38</v>
      </c>
      <c r="H1436" s="33" t="s">
        <v>7987</v>
      </c>
      <c r="I1436" s="33" t="s">
        <v>39</v>
      </c>
      <c r="J1436" s="33" t="s">
        <v>40</v>
      </c>
      <c r="K1436" s="33" t="s">
        <v>41</v>
      </c>
    </row>
    <row r="1437" spans="1:12" s="33" customFormat="1" hidden="1" x14ac:dyDescent="0.3">
      <c r="A1437" s="39">
        <v>46097.595254629632</v>
      </c>
      <c r="B1437" s="33">
        <v>4430291622</v>
      </c>
      <c r="C1437" s="33" t="s">
        <v>44</v>
      </c>
      <c r="D1437" s="33">
        <v>4430265054</v>
      </c>
      <c r="E1437" s="33">
        <v>598</v>
      </c>
      <c r="F1437" s="33">
        <v>558</v>
      </c>
      <c r="G1437" s="33" t="s">
        <v>38</v>
      </c>
      <c r="H1437" s="33" t="s">
        <v>7988</v>
      </c>
      <c r="I1437" s="33" t="s">
        <v>39</v>
      </c>
      <c r="J1437" s="33" t="s">
        <v>40</v>
      </c>
      <c r="K1437" s="33" t="s">
        <v>41</v>
      </c>
    </row>
    <row r="1438" spans="1:12" s="33" customFormat="1" hidden="1" x14ac:dyDescent="0.3">
      <c r="A1438" s="39">
        <v>46097.588888888888</v>
      </c>
      <c r="B1438" s="33">
        <v>11964449514</v>
      </c>
      <c r="C1438" s="33" t="s">
        <v>43</v>
      </c>
      <c r="D1438" s="33">
        <v>4431268225</v>
      </c>
      <c r="E1438" s="33">
        <v>242</v>
      </c>
      <c r="F1438" s="33">
        <v>165</v>
      </c>
      <c r="G1438" s="33" t="s">
        <v>38</v>
      </c>
      <c r="H1438" s="33" t="s">
        <v>7989</v>
      </c>
      <c r="I1438" s="33" t="s">
        <v>39</v>
      </c>
      <c r="J1438" s="33" t="s">
        <v>40</v>
      </c>
      <c r="K1438" s="33" t="s">
        <v>41</v>
      </c>
    </row>
    <row r="1439" spans="1:12" s="33" customFormat="1" hidden="1" x14ac:dyDescent="0.3">
      <c r="A1439" s="39">
        <v>46097.586331018516</v>
      </c>
      <c r="B1439" s="33">
        <v>44991680978</v>
      </c>
      <c r="C1439" s="33" t="s">
        <v>37</v>
      </c>
      <c r="D1439" s="33">
        <v>4430265054</v>
      </c>
      <c r="E1439" s="33">
        <v>968</v>
      </c>
      <c r="F1439" s="33">
        <v>949</v>
      </c>
      <c r="G1439" s="33" t="s">
        <v>38</v>
      </c>
      <c r="H1439" s="33" t="s">
        <v>7990</v>
      </c>
      <c r="I1439" s="33" t="s">
        <v>39</v>
      </c>
      <c r="J1439" s="33" t="s">
        <v>40</v>
      </c>
      <c r="K1439" s="33" t="s">
        <v>41</v>
      </c>
      <c r="L1439" s="33">
        <v>4</v>
      </c>
    </row>
    <row r="1440" spans="1:12" s="33" customFormat="1" hidden="1" x14ac:dyDescent="0.3">
      <c r="A1440" s="39">
        <v>46097.583553240744</v>
      </c>
      <c r="B1440" s="33">
        <v>4435224223</v>
      </c>
      <c r="C1440" s="33" t="s">
        <v>43</v>
      </c>
      <c r="D1440" s="33">
        <v>4430265054</v>
      </c>
      <c r="E1440" s="33">
        <v>377</v>
      </c>
      <c r="F1440" s="33">
        <v>334</v>
      </c>
      <c r="G1440" s="33" t="s">
        <v>38</v>
      </c>
      <c r="H1440" s="33" t="s">
        <v>7991</v>
      </c>
      <c r="I1440" s="33" t="s">
        <v>39</v>
      </c>
      <c r="J1440" s="33" t="s">
        <v>40</v>
      </c>
      <c r="K1440" s="33" t="s">
        <v>41</v>
      </c>
    </row>
    <row r="1441" spans="1:12" s="33" customFormat="1" hidden="1" x14ac:dyDescent="0.3">
      <c r="A1441" s="39">
        <v>46097.582453703704</v>
      </c>
      <c r="B1441" s="33">
        <v>41999865917</v>
      </c>
      <c r="C1441" s="33" t="s">
        <v>45</v>
      </c>
      <c r="D1441" s="33">
        <v>4430265054</v>
      </c>
      <c r="E1441" s="33">
        <v>2638</v>
      </c>
      <c r="F1441" s="33">
        <v>2576</v>
      </c>
      <c r="G1441" s="33" t="s">
        <v>38</v>
      </c>
      <c r="H1441" s="33" t="s">
        <v>7992</v>
      </c>
      <c r="I1441" s="33" t="s">
        <v>39</v>
      </c>
      <c r="J1441" s="33" t="s">
        <v>40</v>
      </c>
      <c r="K1441" s="33" t="s">
        <v>41</v>
      </c>
    </row>
    <row r="1442" spans="1:12" s="33" customFormat="1" hidden="1" x14ac:dyDescent="0.3">
      <c r="A1442" s="39">
        <v>46097.58216435185</v>
      </c>
      <c r="B1442" s="33">
        <v>44997450437</v>
      </c>
      <c r="C1442" s="33" t="s">
        <v>42</v>
      </c>
      <c r="D1442" s="33">
        <v>4431268225</v>
      </c>
      <c r="E1442" s="33">
        <v>122</v>
      </c>
      <c r="F1442" s="33">
        <v>80</v>
      </c>
      <c r="G1442" s="33" t="s">
        <v>38</v>
      </c>
      <c r="H1442" s="33" t="s">
        <v>7993</v>
      </c>
      <c r="I1442" s="33" t="s">
        <v>39</v>
      </c>
      <c r="J1442" s="33" t="s">
        <v>40</v>
      </c>
      <c r="K1442" s="33" t="s">
        <v>41</v>
      </c>
    </row>
    <row r="1443" spans="1:12" s="33" customFormat="1" hidden="1" x14ac:dyDescent="0.3">
      <c r="A1443" s="39">
        <v>46097.579884259256</v>
      </c>
      <c r="B1443" s="33">
        <v>62994086124</v>
      </c>
      <c r="C1443" s="33" t="s">
        <v>44</v>
      </c>
      <c r="D1443" s="33">
        <v>4430265054</v>
      </c>
      <c r="E1443" s="33">
        <v>1200</v>
      </c>
      <c r="F1443" s="33">
        <v>1149</v>
      </c>
      <c r="G1443" s="33" t="s">
        <v>38</v>
      </c>
      <c r="H1443" s="33" t="s">
        <v>7994</v>
      </c>
      <c r="I1443" s="33" t="s">
        <v>39</v>
      </c>
      <c r="J1443" s="33" t="s">
        <v>40</v>
      </c>
      <c r="K1443" s="33" t="s">
        <v>41</v>
      </c>
      <c r="L1443" s="33">
        <v>5</v>
      </c>
    </row>
    <row r="1444" spans="1:12" s="33" customFormat="1" hidden="1" x14ac:dyDescent="0.3">
      <c r="A1444" s="39">
        <v>46097.574155092596</v>
      </c>
      <c r="B1444" s="33">
        <v>43991364602</v>
      </c>
      <c r="C1444" s="33" t="s">
        <v>43</v>
      </c>
      <c r="D1444" s="33">
        <v>4430265054</v>
      </c>
      <c r="E1444" s="33">
        <v>287</v>
      </c>
      <c r="F1444" s="33">
        <v>255</v>
      </c>
      <c r="G1444" s="33" t="s">
        <v>38</v>
      </c>
      <c r="H1444" s="33" t="s">
        <v>7995</v>
      </c>
      <c r="I1444" s="33" t="s">
        <v>39</v>
      </c>
      <c r="J1444" s="33" t="s">
        <v>40</v>
      </c>
      <c r="K1444" s="33" t="s">
        <v>41</v>
      </c>
    </row>
    <row r="1445" spans="1:12" s="33" customFormat="1" hidden="1" x14ac:dyDescent="0.3">
      <c r="A1445" s="39">
        <v>46097.571782407409</v>
      </c>
      <c r="B1445" s="33">
        <v>41995010487</v>
      </c>
      <c r="C1445" s="33" t="s">
        <v>42</v>
      </c>
      <c r="D1445" s="33">
        <v>4430265054</v>
      </c>
      <c r="E1445" s="33">
        <v>632</v>
      </c>
      <c r="F1445" s="33">
        <v>606</v>
      </c>
      <c r="G1445" s="33" t="s">
        <v>38</v>
      </c>
      <c r="H1445" s="33" t="s">
        <v>7996</v>
      </c>
      <c r="I1445" s="33" t="s">
        <v>39</v>
      </c>
      <c r="J1445" s="33" t="s">
        <v>40</v>
      </c>
      <c r="K1445" s="33" t="s">
        <v>41</v>
      </c>
    </row>
    <row r="1446" spans="1:12" s="33" customFormat="1" hidden="1" x14ac:dyDescent="0.3">
      <c r="A1446" s="39">
        <v>46097.5703125</v>
      </c>
      <c r="B1446" s="33" t="s">
        <v>37</v>
      </c>
      <c r="C1446" s="33">
        <v>44991237155</v>
      </c>
      <c r="E1446" s="33">
        <v>521</v>
      </c>
      <c r="F1446" s="33">
        <v>511</v>
      </c>
      <c r="G1446" s="33" t="s">
        <v>38</v>
      </c>
      <c r="H1446" s="33" t="s">
        <v>7997</v>
      </c>
      <c r="I1446" s="33" t="s">
        <v>46</v>
      </c>
      <c r="J1446" s="33" t="s">
        <v>40</v>
      </c>
    </row>
    <row r="1447" spans="1:12" s="33" customFormat="1" hidden="1" x14ac:dyDescent="0.3">
      <c r="A1447" s="39">
        <v>46097.567314814813</v>
      </c>
      <c r="B1447" s="33">
        <v>11964449514</v>
      </c>
      <c r="C1447" s="33" t="s">
        <v>45</v>
      </c>
      <c r="D1447" s="33">
        <v>4431268225</v>
      </c>
      <c r="E1447" s="33">
        <v>679</v>
      </c>
      <c r="F1447" s="33">
        <v>622</v>
      </c>
      <c r="G1447" s="33" t="s">
        <v>38</v>
      </c>
      <c r="H1447" s="33" t="s">
        <v>7998</v>
      </c>
      <c r="I1447" s="33" t="s">
        <v>39</v>
      </c>
      <c r="J1447" s="33" t="s">
        <v>40</v>
      </c>
      <c r="K1447" s="33" t="s">
        <v>41</v>
      </c>
    </row>
    <row r="1448" spans="1:12" s="33" customFormat="1" hidden="1" x14ac:dyDescent="0.3">
      <c r="A1448" s="39">
        <v>46097.558310185188</v>
      </c>
      <c r="B1448" s="33">
        <v>1131043888</v>
      </c>
      <c r="C1448" s="33">
        <v>4430265054</v>
      </c>
      <c r="D1448" s="33">
        <v>4430265054</v>
      </c>
      <c r="E1448" s="33">
        <v>28</v>
      </c>
      <c r="F1448" s="33">
        <v>28</v>
      </c>
      <c r="G1448" s="33" t="s">
        <v>3449</v>
      </c>
      <c r="H1448" s="33" t="s">
        <v>7999</v>
      </c>
      <c r="I1448" s="33" t="s">
        <v>39</v>
      </c>
      <c r="J1448" s="33" t="s">
        <v>3451</v>
      </c>
    </row>
    <row r="1449" spans="1:12" s="33" customFormat="1" hidden="1" x14ac:dyDescent="0.3">
      <c r="A1449" s="39">
        <v>46097.557581018518</v>
      </c>
      <c r="B1449" s="33">
        <v>1131043888</v>
      </c>
      <c r="C1449" s="33">
        <v>4430265054</v>
      </c>
      <c r="D1449" s="33">
        <v>4430265054</v>
      </c>
      <c r="E1449" s="33">
        <v>29</v>
      </c>
      <c r="F1449" s="33">
        <v>28</v>
      </c>
      <c r="G1449" s="33" t="s">
        <v>3449</v>
      </c>
      <c r="H1449" s="33" t="s">
        <v>8000</v>
      </c>
      <c r="I1449" s="33" t="s">
        <v>39</v>
      </c>
      <c r="J1449" s="33" t="s">
        <v>3451</v>
      </c>
    </row>
    <row r="1450" spans="1:12" s="33" customFormat="1" hidden="1" x14ac:dyDescent="0.3">
      <c r="A1450" s="39">
        <v>46097.555925925924</v>
      </c>
      <c r="B1450" s="33">
        <v>44991213399</v>
      </c>
      <c r="C1450" s="33">
        <v>4430265054</v>
      </c>
      <c r="D1450" s="33">
        <v>4430265054</v>
      </c>
      <c r="E1450" s="33">
        <v>13</v>
      </c>
      <c r="F1450" s="33">
        <v>12</v>
      </c>
      <c r="G1450" s="33" t="s">
        <v>3449</v>
      </c>
      <c r="H1450" s="33" t="s">
        <v>8001</v>
      </c>
      <c r="I1450" s="33" t="s">
        <v>39</v>
      </c>
      <c r="J1450" s="33" t="s">
        <v>3451</v>
      </c>
    </row>
    <row r="1451" spans="1:12" s="33" customFormat="1" hidden="1" x14ac:dyDescent="0.3">
      <c r="A1451" s="39">
        <v>46097.555694444447</v>
      </c>
      <c r="B1451" s="33" t="s">
        <v>45</v>
      </c>
      <c r="C1451" s="33">
        <v>43991364602</v>
      </c>
      <c r="E1451" s="33">
        <v>306</v>
      </c>
      <c r="F1451" s="33">
        <v>295</v>
      </c>
      <c r="G1451" s="33" t="s">
        <v>38</v>
      </c>
      <c r="H1451" s="33" t="s">
        <v>8002</v>
      </c>
      <c r="I1451" s="33" t="s">
        <v>46</v>
      </c>
      <c r="J1451" s="33" t="s">
        <v>40</v>
      </c>
    </row>
    <row r="1452" spans="1:12" s="33" customFormat="1" hidden="1" x14ac:dyDescent="0.3">
      <c r="A1452" s="39">
        <v>46097.544988425929</v>
      </c>
      <c r="B1452" s="33">
        <v>11964449514</v>
      </c>
      <c r="C1452" s="33">
        <v>4431268225</v>
      </c>
      <c r="D1452" s="33">
        <v>4431268225</v>
      </c>
      <c r="E1452" s="33">
        <v>29</v>
      </c>
      <c r="F1452" s="33">
        <v>28</v>
      </c>
      <c r="G1452" s="33" t="s">
        <v>3449</v>
      </c>
      <c r="H1452" s="33" t="s">
        <v>8003</v>
      </c>
      <c r="I1452" s="33" t="s">
        <v>39</v>
      </c>
      <c r="J1452" s="33" t="s">
        <v>3451</v>
      </c>
    </row>
    <row r="1453" spans="1:12" s="33" customFormat="1" hidden="1" x14ac:dyDescent="0.3">
      <c r="A1453" s="39">
        <v>46097.544293981482</v>
      </c>
      <c r="B1453" s="33">
        <v>11964449514</v>
      </c>
      <c r="C1453" s="33">
        <v>4431268225</v>
      </c>
      <c r="D1453" s="33">
        <v>4431268225</v>
      </c>
      <c r="E1453" s="33">
        <v>29</v>
      </c>
      <c r="F1453" s="33">
        <v>28</v>
      </c>
      <c r="G1453" s="33" t="s">
        <v>3449</v>
      </c>
      <c r="H1453" s="33" t="s">
        <v>8004</v>
      </c>
      <c r="I1453" s="33" t="s">
        <v>39</v>
      </c>
      <c r="J1453" s="33" t="s">
        <v>3451</v>
      </c>
    </row>
    <row r="1454" spans="1:12" s="33" customFormat="1" hidden="1" x14ac:dyDescent="0.3">
      <c r="A1454" s="39">
        <v>46097.539375</v>
      </c>
      <c r="B1454" s="33">
        <v>41995010487</v>
      </c>
      <c r="C1454" s="33">
        <v>4430265054</v>
      </c>
      <c r="D1454" s="33">
        <v>4430265054</v>
      </c>
      <c r="E1454" s="33">
        <v>15</v>
      </c>
      <c r="F1454" s="33">
        <v>14</v>
      </c>
      <c r="G1454" s="33" t="s">
        <v>3449</v>
      </c>
      <c r="H1454" s="33" t="s">
        <v>8005</v>
      </c>
      <c r="I1454" s="33" t="s">
        <v>39</v>
      </c>
      <c r="J1454" s="33" t="s">
        <v>3451</v>
      </c>
    </row>
    <row r="1455" spans="1:12" s="33" customFormat="1" hidden="1" x14ac:dyDescent="0.3">
      <c r="A1455" s="39">
        <v>46097.486516203702</v>
      </c>
      <c r="B1455" s="33" t="s">
        <v>5173</v>
      </c>
      <c r="C1455" s="33">
        <v>11961695958</v>
      </c>
      <c r="E1455" s="33">
        <v>2143</v>
      </c>
      <c r="F1455" s="33">
        <v>2137</v>
      </c>
      <c r="G1455" s="33" t="s">
        <v>38</v>
      </c>
      <c r="H1455" s="33" t="s">
        <v>8006</v>
      </c>
      <c r="I1455" s="33" t="s">
        <v>46</v>
      </c>
      <c r="J1455" s="33" t="s">
        <v>3629</v>
      </c>
    </row>
    <row r="1456" spans="1:12" s="33" customFormat="1" hidden="1" x14ac:dyDescent="0.3">
      <c r="A1456" s="39">
        <v>46097.484456018516</v>
      </c>
      <c r="B1456" s="33">
        <v>44991213399</v>
      </c>
      <c r="C1456" s="33" t="s">
        <v>37</v>
      </c>
      <c r="D1456" s="33">
        <v>4430265054</v>
      </c>
      <c r="E1456" s="33">
        <v>144</v>
      </c>
      <c r="F1456" s="33">
        <v>0</v>
      </c>
      <c r="G1456" s="33" t="s">
        <v>38</v>
      </c>
      <c r="H1456" s="33" t="s">
        <v>8007</v>
      </c>
      <c r="I1456" s="33" t="s">
        <v>39</v>
      </c>
      <c r="J1456" s="33" t="s">
        <v>40</v>
      </c>
      <c r="K1456" s="33" t="s">
        <v>41</v>
      </c>
    </row>
    <row r="1457" spans="1:12" s="33" customFormat="1" hidden="1" x14ac:dyDescent="0.3">
      <c r="A1457" s="39">
        <v>46097.479108796295</v>
      </c>
      <c r="B1457" s="33">
        <v>4334226481</v>
      </c>
      <c r="C1457" s="33" t="s">
        <v>44</v>
      </c>
      <c r="D1457" s="33">
        <v>4430265054</v>
      </c>
      <c r="E1457" s="33">
        <v>397</v>
      </c>
      <c r="F1457" s="33">
        <v>278</v>
      </c>
      <c r="G1457" s="33" t="s">
        <v>38</v>
      </c>
      <c r="H1457" s="33" t="s">
        <v>8008</v>
      </c>
      <c r="I1457" s="33" t="s">
        <v>39</v>
      </c>
      <c r="J1457" s="33" t="s">
        <v>40</v>
      </c>
      <c r="K1457" s="33" t="s">
        <v>41</v>
      </c>
    </row>
    <row r="1458" spans="1:12" s="33" customFormat="1" hidden="1" x14ac:dyDescent="0.3">
      <c r="A1458" s="39">
        <v>46097.474386574075</v>
      </c>
      <c r="B1458" s="33" t="s">
        <v>3627</v>
      </c>
      <c r="C1458" s="33">
        <v>82999756332</v>
      </c>
      <c r="E1458" s="33">
        <v>20</v>
      </c>
      <c r="F1458" s="33">
        <v>0</v>
      </c>
      <c r="G1458" s="33" t="s">
        <v>47</v>
      </c>
      <c r="H1458" s="33" t="s">
        <v>8009</v>
      </c>
      <c r="I1458" s="33" t="s">
        <v>46</v>
      </c>
      <c r="J1458" s="33" t="s">
        <v>3629</v>
      </c>
    </row>
    <row r="1459" spans="1:12" s="33" customFormat="1" hidden="1" x14ac:dyDescent="0.3">
      <c r="A1459" s="39">
        <v>46097.473865740743</v>
      </c>
      <c r="B1459" s="33" t="s">
        <v>3627</v>
      </c>
      <c r="C1459" s="33">
        <v>67992575209</v>
      </c>
      <c r="E1459" s="33">
        <v>24</v>
      </c>
      <c r="F1459" s="33">
        <v>0</v>
      </c>
      <c r="G1459" s="33" t="s">
        <v>47</v>
      </c>
      <c r="H1459" s="33" t="s">
        <v>8010</v>
      </c>
      <c r="I1459" s="33" t="s">
        <v>46</v>
      </c>
      <c r="J1459" s="33" t="s">
        <v>3629</v>
      </c>
    </row>
    <row r="1460" spans="1:12" s="33" customFormat="1" hidden="1" x14ac:dyDescent="0.3">
      <c r="A1460" s="39">
        <v>46097.473391203705</v>
      </c>
      <c r="B1460" s="33" t="s">
        <v>3627</v>
      </c>
      <c r="C1460" s="33">
        <v>44999498157</v>
      </c>
      <c r="E1460" s="33">
        <v>18</v>
      </c>
      <c r="F1460" s="33">
        <v>5</v>
      </c>
      <c r="G1460" s="33" t="s">
        <v>38</v>
      </c>
      <c r="H1460" s="33" t="s">
        <v>8011</v>
      </c>
      <c r="I1460" s="33" t="s">
        <v>46</v>
      </c>
      <c r="J1460" s="33" t="s">
        <v>3629</v>
      </c>
    </row>
    <row r="1461" spans="1:12" s="33" customFormat="1" hidden="1" x14ac:dyDescent="0.3">
      <c r="A1461" s="39">
        <v>46097.472303240742</v>
      </c>
      <c r="B1461" s="33">
        <v>81988293889</v>
      </c>
      <c r="C1461" s="33" t="s">
        <v>45</v>
      </c>
      <c r="D1461" s="33">
        <v>4431268225</v>
      </c>
      <c r="E1461" s="33">
        <v>938</v>
      </c>
      <c r="F1461" s="33">
        <v>819</v>
      </c>
      <c r="G1461" s="33" t="s">
        <v>38</v>
      </c>
      <c r="H1461" s="33" t="s">
        <v>8012</v>
      </c>
      <c r="I1461" s="33" t="s">
        <v>39</v>
      </c>
      <c r="J1461" s="33" t="s">
        <v>40</v>
      </c>
      <c r="K1461" s="33" t="s">
        <v>41</v>
      </c>
    </row>
    <row r="1462" spans="1:12" s="33" customFormat="1" hidden="1" x14ac:dyDescent="0.3">
      <c r="A1462" s="39">
        <v>46097.469918981478</v>
      </c>
      <c r="B1462" s="33">
        <v>11964449514</v>
      </c>
      <c r="C1462" s="33" t="s">
        <v>37</v>
      </c>
      <c r="D1462" s="33">
        <v>4431268225</v>
      </c>
      <c r="E1462" s="33">
        <v>464</v>
      </c>
      <c r="F1462" s="33">
        <v>432</v>
      </c>
      <c r="G1462" s="33" t="s">
        <v>38</v>
      </c>
      <c r="H1462" s="33" t="s">
        <v>8013</v>
      </c>
      <c r="I1462" s="33" t="s">
        <v>39</v>
      </c>
      <c r="J1462" s="33" t="s">
        <v>40</v>
      </c>
      <c r="K1462" s="33" t="s">
        <v>41</v>
      </c>
      <c r="L1462" s="33">
        <v>5</v>
      </c>
    </row>
    <row r="1463" spans="1:12" s="33" customFormat="1" hidden="1" x14ac:dyDescent="0.3">
      <c r="A1463" s="39">
        <v>46097.467233796298</v>
      </c>
      <c r="B1463" s="33" t="s">
        <v>3627</v>
      </c>
      <c r="C1463" s="33">
        <v>21985574937</v>
      </c>
      <c r="E1463" s="33">
        <v>15</v>
      </c>
      <c r="F1463" s="33">
        <v>2</v>
      </c>
      <c r="G1463" s="33" t="s">
        <v>38</v>
      </c>
      <c r="H1463" s="33" t="s">
        <v>8014</v>
      </c>
      <c r="I1463" s="33" t="s">
        <v>46</v>
      </c>
      <c r="J1463" s="33" t="s">
        <v>3629</v>
      </c>
    </row>
    <row r="1464" spans="1:12" s="33" customFormat="1" hidden="1" x14ac:dyDescent="0.3">
      <c r="A1464" s="39">
        <v>46097.45894675926</v>
      </c>
      <c r="B1464" s="33" t="s">
        <v>5173</v>
      </c>
      <c r="C1464" s="33">
        <v>11961695958</v>
      </c>
      <c r="E1464" s="33">
        <v>1250</v>
      </c>
      <c r="F1464" s="33">
        <v>1242</v>
      </c>
      <c r="G1464" s="33" t="s">
        <v>38</v>
      </c>
      <c r="H1464" s="33" t="s">
        <v>8015</v>
      </c>
      <c r="I1464" s="33" t="s">
        <v>46</v>
      </c>
      <c r="J1464" s="33" t="s">
        <v>3629</v>
      </c>
    </row>
    <row r="1465" spans="1:12" s="33" customFormat="1" hidden="1" x14ac:dyDescent="0.3">
      <c r="A1465" s="39">
        <v>46097.456643518519</v>
      </c>
      <c r="B1465" s="33">
        <v>43991364602</v>
      </c>
      <c r="C1465" s="33" t="s">
        <v>37</v>
      </c>
      <c r="D1465" s="33">
        <v>4430265054</v>
      </c>
      <c r="E1465" s="33">
        <v>259</v>
      </c>
      <c r="F1465" s="33">
        <v>245</v>
      </c>
      <c r="G1465" s="33" t="s">
        <v>38</v>
      </c>
      <c r="H1465" s="33" t="s">
        <v>8016</v>
      </c>
      <c r="I1465" s="33" t="s">
        <v>39</v>
      </c>
      <c r="J1465" s="33" t="s">
        <v>40</v>
      </c>
      <c r="K1465" s="33" t="s">
        <v>41</v>
      </c>
    </row>
    <row r="1466" spans="1:12" s="33" customFormat="1" x14ac:dyDescent="0.3">
      <c r="A1466" s="39">
        <v>46097.452037037037</v>
      </c>
      <c r="B1466" s="33">
        <v>44998562645</v>
      </c>
      <c r="C1466" s="33" t="s">
        <v>42</v>
      </c>
      <c r="D1466" s="33">
        <v>4430265054</v>
      </c>
      <c r="E1466" s="33">
        <v>826</v>
      </c>
      <c r="F1466" s="33">
        <v>788</v>
      </c>
      <c r="G1466" s="33" t="s">
        <v>38</v>
      </c>
      <c r="H1466" s="33" t="s">
        <v>8017</v>
      </c>
      <c r="I1466" s="33" t="s">
        <v>39</v>
      </c>
      <c r="J1466" s="33" t="s">
        <v>40</v>
      </c>
      <c r="K1466" s="33" t="s">
        <v>41</v>
      </c>
      <c r="L1466" s="33">
        <v>5</v>
      </c>
    </row>
    <row r="1467" spans="1:12" s="33" customFormat="1" hidden="1" x14ac:dyDescent="0.3">
      <c r="A1467" s="39">
        <v>46097.448229166665</v>
      </c>
      <c r="B1467" s="33">
        <v>6234347959</v>
      </c>
      <c r="C1467" s="33" t="s">
        <v>43</v>
      </c>
      <c r="D1467" s="33">
        <v>4430265054</v>
      </c>
      <c r="E1467" s="33">
        <v>428</v>
      </c>
      <c r="F1467" s="33">
        <v>327</v>
      </c>
      <c r="G1467" s="33" t="s">
        <v>38</v>
      </c>
      <c r="H1467" s="33" t="s">
        <v>8018</v>
      </c>
      <c r="I1467" s="33" t="s">
        <v>39</v>
      </c>
      <c r="J1467" s="33" t="s">
        <v>40</v>
      </c>
      <c r="K1467" s="33" t="s">
        <v>41</v>
      </c>
    </row>
    <row r="1468" spans="1:12" s="33" customFormat="1" hidden="1" x14ac:dyDescent="0.3">
      <c r="A1468" s="39">
        <v>46097.444699074076</v>
      </c>
      <c r="B1468" s="33">
        <v>83988398480</v>
      </c>
      <c r="C1468" s="33" t="s">
        <v>37</v>
      </c>
      <c r="D1468" s="33">
        <v>4430265054</v>
      </c>
      <c r="E1468" s="33">
        <v>402</v>
      </c>
      <c r="F1468" s="33">
        <v>369</v>
      </c>
      <c r="G1468" s="33" t="s">
        <v>38</v>
      </c>
      <c r="H1468" s="33" t="s">
        <v>8019</v>
      </c>
      <c r="I1468" s="33" t="s">
        <v>39</v>
      </c>
      <c r="J1468" s="33" t="s">
        <v>40</v>
      </c>
      <c r="K1468" s="33" t="s">
        <v>41</v>
      </c>
    </row>
    <row r="1469" spans="1:12" s="33" customFormat="1" hidden="1" x14ac:dyDescent="0.3">
      <c r="A1469" s="39">
        <v>46097.443090277775</v>
      </c>
      <c r="B1469" s="33">
        <v>41999102968</v>
      </c>
      <c r="C1469" s="33" t="s">
        <v>45</v>
      </c>
      <c r="D1469" s="33">
        <v>4430265054</v>
      </c>
      <c r="E1469" s="33">
        <v>286</v>
      </c>
      <c r="F1469" s="33">
        <v>274</v>
      </c>
      <c r="G1469" s="33" t="s">
        <v>38</v>
      </c>
      <c r="H1469" s="33" t="s">
        <v>8020</v>
      </c>
      <c r="I1469" s="33" t="s">
        <v>39</v>
      </c>
      <c r="J1469" s="33" t="s">
        <v>40</v>
      </c>
      <c r="K1469" s="33" t="s">
        <v>41</v>
      </c>
      <c r="L1469" s="33">
        <v>5</v>
      </c>
    </row>
    <row r="1470" spans="1:12" s="33" customFormat="1" hidden="1" x14ac:dyDescent="0.3">
      <c r="A1470" s="39">
        <v>46097.424444444441</v>
      </c>
      <c r="B1470" s="33">
        <v>91981481202</v>
      </c>
      <c r="C1470" s="33" t="s">
        <v>45</v>
      </c>
      <c r="D1470" s="33">
        <v>4430265054</v>
      </c>
      <c r="E1470" s="33">
        <v>1208</v>
      </c>
      <c r="F1470" s="33">
        <v>1158</v>
      </c>
      <c r="G1470" s="33" t="s">
        <v>38</v>
      </c>
      <c r="H1470" s="33" t="s">
        <v>8021</v>
      </c>
      <c r="I1470" s="33" t="s">
        <v>39</v>
      </c>
      <c r="J1470" s="33" t="s">
        <v>40</v>
      </c>
      <c r="K1470" s="33" t="s">
        <v>41</v>
      </c>
      <c r="L1470" s="33">
        <v>5</v>
      </c>
    </row>
    <row r="1471" spans="1:12" s="33" customFormat="1" hidden="1" x14ac:dyDescent="0.3">
      <c r="A1471" s="39">
        <v>46097.413148148145</v>
      </c>
      <c r="B1471" s="33">
        <v>6234347959</v>
      </c>
      <c r="C1471" s="33" t="s">
        <v>43</v>
      </c>
      <c r="D1471" s="33">
        <v>4430265054</v>
      </c>
      <c r="E1471" s="33">
        <v>134</v>
      </c>
      <c r="F1471" s="33">
        <v>77</v>
      </c>
      <c r="G1471" s="33" t="s">
        <v>38</v>
      </c>
      <c r="H1471" s="33" t="s">
        <v>8022</v>
      </c>
      <c r="I1471" s="33" t="s">
        <v>39</v>
      </c>
      <c r="J1471" s="33" t="s">
        <v>40</v>
      </c>
      <c r="K1471" s="33" t="s">
        <v>41</v>
      </c>
      <c r="L1471" s="33">
        <v>5</v>
      </c>
    </row>
    <row r="1472" spans="1:12" s="33" customFormat="1" hidden="1" x14ac:dyDescent="0.3">
      <c r="A1472" s="39">
        <v>46097.405358796299</v>
      </c>
      <c r="B1472" s="33">
        <v>44991566223</v>
      </c>
      <c r="C1472" s="33" t="s">
        <v>43</v>
      </c>
      <c r="D1472" s="33">
        <v>4430265054</v>
      </c>
      <c r="E1472" s="33">
        <v>441</v>
      </c>
      <c r="F1472" s="33">
        <v>417</v>
      </c>
      <c r="G1472" s="33" t="s">
        <v>38</v>
      </c>
      <c r="H1472" s="33" t="s">
        <v>8023</v>
      </c>
      <c r="I1472" s="33" t="s">
        <v>39</v>
      </c>
      <c r="J1472" s="33" t="s">
        <v>40</v>
      </c>
      <c r="K1472" s="33" t="s">
        <v>41</v>
      </c>
    </row>
    <row r="1473" spans="1:13" hidden="1" x14ac:dyDescent="0.3">
      <c r="A1473" s="39">
        <v>46097.40457175926</v>
      </c>
      <c r="B1473" s="33" t="s">
        <v>3627</v>
      </c>
      <c r="C1473" s="33">
        <v>11971466117</v>
      </c>
      <c r="E1473" s="33">
        <v>42</v>
      </c>
      <c r="F1473" s="33">
        <v>5</v>
      </c>
      <c r="G1473" s="33" t="s">
        <v>38</v>
      </c>
      <c r="H1473" s="33" t="s">
        <v>8024</v>
      </c>
      <c r="I1473" s="33" t="s">
        <v>46</v>
      </c>
      <c r="J1473" s="33" t="s">
        <v>3629</v>
      </c>
      <c r="M1473" s="33"/>
    </row>
    <row r="1474" spans="1:13" hidden="1" x14ac:dyDescent="0.3">
      <c r="A1474" s="39">
        <v>46097.398321759261</v>
      </c>
      <c r="B1474" s="33">
        <v>44991484476</v>
      </c>
      <c r="C1474" s="33" t="s">
        <v>45</v>
      </c>
      <c r="D1474" s="33">
        <v>4430265054</v>
      </c>
      <c r="E1474" s="33">
        <v>1368</v>
      </c>
      <c r="F1474" s="33">
        <v>1238</v>
      </c>
      <c r="G1474" s="33" t="s">
        <v>38</v>
      </c>
      <c r="H1474" s="33" t="s">
        <v>8025</v>
      </c>
      <c r="I1474" s="33" t="s">
        <v>39</v>
      </c>
      <c r="J1474" s="33" t="s">
        <v>40</v>
      </c>
      <c r="K1474" s="33" t="s">
        <v>41</v>
      </c>
      <c r="M1474" s="33"/>
    </row>
    <row r="1475" spans="1:13" hidden="1" x14ac:dyDescent="0.3">
      <c r="A1475" s="39">
        <v>46097.38753472222</v>
      </c>
      <c r="B1475" s="33">
        <v>4432524636</v>
      </c>
      <c r="C1475" s="33">
        <v>4430265054</v>
      </c>
      <c r="D1475" s="33">
        <v>4430265054</v>
      </c>
      <c r="E1475" s="33">
        <v>25</v>
      </c>
      <c r="F1475" s="33">
        <v>25</v>
      </c>
      <c r="G1475" s="33" t="s">
        <v>3449</v>
      </c>
      <c r="H1475" s="33" t="s">
        <v>8026</v>
      </c>
      <c r="I1475" s="33" t="s">
        <v>39</v>
      </c>
      <c r="J1475" s="33" t="s">
        <v>3451</v>
      </c>
      <c r="K1475" s="33" t="s">
        <v>41</v>
      </c>
      <c r="M1475" s="33"/>
    </row>
    <row r="1476" spans="1:13" hidden="1" x14ac:dyDescent="0.3">
      <c r="A1476" s="39">
        <v>46097.38385416667</v>
      </c>
      <c r="B1476" s="33" t="s">
        <v>48</v>
      </c>
      <c r="C1476" s="33">
        <v>4430162376</v>
      </c>
      <c r="E1476" s="33">
        <v>246</v>
      </c>
      <c r="F1476" s="33">
        <v>236</v>
      </c>
      <c r="G1476" s="33" t="s">
        <v>38</v>
      </c>
      <c r="H1476" s="33" t="s">
        <v>8027</v>
      </c>
      <c r="I1476" s="33" t="s">
        <v>46</v>
      </c>
      <c r="J1476" s="33" t="s">
        <v>40</v>
      </c>
      <c r="M1476" s="33"/>
    </row>
    <row r="1477" spans="1:13" hidden="1" x14ac:dyDescent="0.3">
      <c r="A1477" s="39">
        <v>46097.38354166667</v>
      </c>
      <c r="B1477" s="33" t="s">
        <v>48</v>
      </c>
      <c r="C1477" s="33">
        <v>4430162376</v>
      </c>
      <c r="E1477" s="33">
        <v>22</v>
      </c>
      <c r="F1477" s="33">
        <v>11</v>
      </c>
      <c r="G1477" s="33" t="s">
        <v>38</v>
      </c>
      <c r="H1477" s="33" t="s">
        <v>8028</v>
      </c>
      <c r="I1477" s="33" t="s">
        <v>46</v>
      </c>
      <c r="J1477" s="33" t="s">
        <v>40</v>
      </c>
      <c r="M1477" s="33"/>
    </row>
    <row r="1478" spans="1:13" hidden="1" x14ac:dyDescent="0.3">
      <c r="A1478" s="39">
        <v>46097.382511574076</v>
      </c>
      <c r="B1478" s="33">
        <v>11964449514</v>
      </c>
      <c r="C1478" s="33">
        <v>4431268225</v>
      </c>
      <c r="D1478" s="33">
        <v>4431268225</v>
      </c>
      <c r="E1478" s="33">
        <v>32</v>
      </c>
      <c r="F1478" s="33">
        <v>31</v>
      </c>
      <c r="G1478" s="33" t="s">
        <v>3449</v>
      </c>
      <c r="H1478" s="33" t="s">
        <v>8029</v>
      </c>
      <c r="I1478" s="33" t="s">
        <v>39</v>
      </c>
      <c r="J1478" s="33" t="s">
        <v>3451</v>
      </c>
      <c r="K1478" s="33" t="s">
        <v>41</v>
      </c>
      <c r="M1478" s="33"/>
    </row>
    <row r="1479" spans="1:13" hidden="1" x14ac:dyDescent="0.3">
      <c r="A1479" s="39">
        <v>46097.380740740744</v>
      </c>
      <c r="B1479" s="33">
        <v>4626041931</v>
      </c>
      <c r="C1479" s="33">
        <v>4430265054</v>
      </c>
      <c r="D1479" s="33">
        <v>4430265054</v>
      </c>
      <c r="E1479" s="33">
        <v>19</v>
      </c>
      <c r="F1479" s="33">
        <v>19</v>
      </c>
      <c r="G1479" s="33" t="s">
        <v>3449</v>
      </c>
      <c r="H1479" s="33" t="s">
        <v>8030</v>
      </c>
      <c r="I1479" s="33" t="s">
        <v>39</v>
      </c>
      <c r="J1479" s="33" t="s">
        <v>3451</v>
      </c>
      <c r="M1479" s="33"/>
    </row>
    <row r="1480" spans="1:13" hidden="1" x14ac:dyDescent="0.3">
      <c r="A1480" s="39">
        <v>46097.379467592589</v>
      </c>
      <c r="B1480" s="33">
        <v>67992169496</v>
      </c>
      <c r="C1480" s="33" t="s">
        <v>45</v>
      </c>
      <c r="D1480" s="33">
        <v>4430265054</v>
      </c>
      <c r="E1480" s="33">
        <v>400</v>
      </c>
      <c r="F1480" s="33">
        <v>391</v>
      </c>
      <c r="G1480" s="33" t="s">
        <v>38</v>
      </c>
      <c r="H1480" s="33" t="s">
        <v>8031</v>
      </c>
      <c r="I1480" s="33" t="s">
        <v>39</v>
      </c>
      <c r="J1480" s="33" t="s">
        <v>40</v>
      </c>
      <c r="K1480" s="33" t="s">
        <v>41</v>
      </c>
      <c r="L1480" s="33">
        <v>5</v>
      </c>
      <c r="M1480" s="33"/>
    </row>
    <row r="1481" spans="1:13" hidden="1" x14ac:dyDescent="0.3">
      <c r="A1481" s="39">
        <v>46097.375474537039</v>
      </c>
      <c r="B1481" s="33" t="s">
        <v>45</v>
      </c>
      <c r="C1481" s="33">
        <v>1131043888</v>
      </c>
      <c r="E1481" s="33">
        <v>250</v>
      </c>
      <c r="F1481" s="33">
        <v>248</v>
      </c>
      <c r="G1481" s="33" t="s">
        <v>38</v>
      </c>
      <c r="H1481" s="33" t="s">
        <v>8032</v>
      </c>
      <c r="I1481" s="33" t="s">
        <v>46</v>
      </c>
      <c r="J1481" s="33" t="s">
        <v>40</v>
      </c>
      <c r="M1481" s="33"/>
    </row>
    <row r="1482" spans="1:13" hidden="1" x14ac:dyDescent="0.3">
      <c r="A1482" s="39">
        <v>46097.367002314815</v>
      </c>
      <c r="B1482" s="33">
        <v>1131043888</v>
      </c>
      <c r="C1482" s="33" t="s">
        <v>45</v>
      </c>
      <c r="D1482" s="33">
        <v>4430265054</v>
      </c>
      <c r="E1482" s="33">
        <v>432</v>
      </c>
      <c r="F1482" s="33">
        <v>407</v>
      </c>
      <c r="G1482" s="33" t="s">
        <v>38</v>
      </c>
      <c r="H1482" s="33" t="s">
        <v>8033</v>
      </c>
      <c r="I1482" s="33" t="s">
        <v>39</v>
      </c>
      <c r="J1482" s="33" t="s">
        <v>40</v>
      </c>
      <c r="K1482" s="33" t="s">
        <v>41</v>
      </c>
      <c r="L1482" s="37">
        <v>5</v>
      </c>
      <c r="M1482" s="36" t="s">
        <v>9491</v>
      </c>
    </row>
    <row r="1483" spans="1:13" hidden="1" x14ac:dyDescent="0.3">
      <c r="A1483" s="39">
        <v>46097.365706018521</v>
      </c>
      <c r="B1483" s="33" t="s">
        <v>3627</v>
      </c>
      <c r="C1483" s="33">
        <v>21959213607</v>
      </c>
      <c r="E1483" s="33">
        <v>6</v>
      </c>
      <c r="F1483" s="33">
        <v>2</v>
      </c>
      <c r="G1483" s="33" t="s">
        <v>38</v>
      </c>
      <c r="H1483" s="33" t="s">
        <v>8034</v>
      </c>
      <c r="I1483" s="33" t="s">
        <v>46</v>
      </c>
      <c r="J1483" s="33" t="s">
        <v>3629</v>
      </c>
      <c r="M1483" s="33"/>
    </row>
    <row r="1484" spans="1:13" hidden="1" x14ac:dyDescent="0.3">
      <c r="A1484" s="39">
        <v>46097.365335648145</v>
      </c>
      <c r="B1484" s="33" t="s">
        <v>3627</v>
      </c>
      <c r="C1484" s="33">
        <v>94981178083</v>
      </c>
      <c r="E1484" s="33">
        <v>24</v>
      </c>
      <c r="F1484" s="33">
        <v>0</v>
      </c>
      <c r="G1484" s="33" t="s">
        <v>47</v>
      </c>
      <c r="H1484" s="33" t="s">
        <v>8035</v>
      </c>
      <c r="I1484" s="33" t="s">
        <v>46</v>
      </c>
      <c r="J1484" s="33" t="s">
        <v>3629</v>
      </c>
      <c r="M1484" s="33"/>
    </row>
    <row r="1485" spans="1:13" hidden="1" x14ac:dyDescent="0.3">
      <c r="A1485" s="39">
        <v>46097.365312499998</v>
      </c>
      <c r="B1485" s="33">
        <v>44991566223</v>
      </c>
      <c r="C1485" s="33" t="s">
        <v>37</v>
      </c>
      <c r="D1485" s="33">
        <v>4430265054</v>
      </c>
      <c r="E1485" s="33">
        <v>1417</v>
      </c>
      <c r="F1485" s="33">
        <v>1396</v>
      </c>
      <c r="G1485" s="33" t="s">
        <v>38</v>
      </c>
      <c r="H1485" s="33" t="s">
        <v>8036</v>
      </c>
      <c r="I1485" s="33" t="s">
        <v>39</v>
      </c>
      <c r="J1485" s="33" t="s">
        <v>40</v>
      </c>
      <c r="K1485" s="33" t="s">
        <v>41</v>
      </c>
      <c r="M1485" s="33"/>
    </row>
    <row r="1486" spans="1:13" hidden="1" x14ac:dyDescent="0.3">
      <c r="A1486" s="39">
        <v>46097.363819444443</v>
      </c>
      <c r="B1486" s="33">
        <v>4430318514</v>
      </c>
      <c r="C1486" s="33" t="s">
        <v>42</v>
      </c>
      <c r="D1486" s="33">
        <v>4430265054</v>
      </c>
      <c r="E1486" s="33">
        <v>488</v>
      </c>
      <c r="F1486" s="33">
        <v>460</v>
      </c>
      <c r="G1486" s="33" t="s">
        <v>38</v>
      </c>
      <c r="H1486" s="33" t="s">
        <v>8037</v>
      </c>
      <c r="I1486" s="33" t="s">
        <v>39</v>
      </c>
      <c r="J1486" s="33" t="s">
        <v>40</v>
      </c>
      <c r="K1486" s="33" t="s">
        <v>41</v>
      </c>
      <c r="M1486" s="33"/>
    </row>
    <row r="1487" spans="1:13" hidden="1" x14ac:dyDescent="0.3">
      <c r="A1487" s="39">
        <v>46097.36109953704</v>
      </c>
      <c r="B1487" s="33">
        <v>1438160351</v>
      </c>
      <c r="C1487" s="33">
        <v>4430265054</v>
      </c>
      <c r="D1487" s="33">
        <v>4430265054</v>
      </c>
      <c r="E1487" s="33">
        <v>8</v>
      </c>
      <c r="F1487" s="33">
        <v>7</v>
      </c>
      <c r="G1487" s="33" t="s">
        <v>3449</v>
      </c>
      <c r="H1487" s="33" t="s">
        <v>8038</v>
      </c>
      <c r="I1487" s="33" t="s">
        <v>39</v>
      </c>
      <c r="J1487" s="33" t="s">
        <v>3451</v>
      </c>
      <c r="M1487" s="33"/>
    </row>
    <row r="1488" spans="1:13" hidden="1" x14ac:dyDescent="0.3">
      <c r="A1488" s="39">
        <v>46097.360879629632</v>
      </c>
      <c r="B1488" s="33">
        <v>41999865917</v>
      </c>
      <c r="C1488" s="33" t="s">
        <v>44</v>
      </c>
      <c r="D1488" s="33">
        <v>4430265054</v>
      </c>
      <c r="E1488" s="33">
        <v>675</v>
      </c>
      <c r="F1488" s="33">
        <v>591</v>
      </c>
      <c r="G1488" s="33" t="s">
        <v>38</v>
      </c>
      <c r="H1488" s="33" t="s">
        <v>8039</v>
      </c>
      <c r="I1488" s="33" t="s">
        <v>39</v>
      </c>
      <c r="J1488" s="33" t="s">
        <v>40</v>
      </c>
      <c r="K1488" s="33" t="s">
        <v>41</v>
      </c>
      <c r="L1488" s="33">
        <v>5</v>
      </c>
      <c r="M1488" s="33"/>
    </row>
    <row r="1489" spans="1:12" s="33" customFormat="1" hidden="1" x14ac:dyDescent="0.3">
      <c r="A1489" s="39">
        <v>46097.357106481482</v>
      </c>
      <c r="B1489" s="33" t="s">
        <v>43</v>
      </c>
      <c r="C1489" s="33">
        <v>35997000807</v>
      </c>
      <c r="E1489" s="33">
        <v>3018</v>
      </c>
      <c r="F1489" s="33">
        <v>3011</v>
      </c>
      <c r="G1489" s="33" t="s">
        <v>38</v>
      </c>
      <c r="H1489" s="33" t="s">
        <v>8040</v>
      </c>
      <c r="I1489" s="33" t="s">
        <v>46</v>
      </c>
      <c r="J1489" s="33" t="s">
        <v>40</v>
      </c>
    </row>
    <row r="1490" spans="1:12" s="33" customFormat="1" hidden="1" x14ac:dyDescent="0.3">
      <c r="A1490" s="39">
        <v>46095.561539351853</v>
      </c>
      <c r="B1490" s="33">
        <v>4432281944</v>
      </c>
      <c r="C1490" s="33">
        <v>4430265054</v>
      </c>
      <c r="D1490" s="33">
        <v>4430265054</v>
      </c>
      <c r="E1490" s="33">
        <v>20</v>
      </c>
      <c r="F1490" s="33">
        <v>19</v>
      </c>
      <c r="G1490" s="33" t="s">
        <v>3449</v>
      </c>
      <c r="H1490" s="33" t="s">
        <v>8041</v>
      </c>
      <c r="I1490" s="33" t="s">
        <v>39</v>
      </c>
      <c r="J1490" s="33" t="s">
        <v>3451</v>
      </c>
    </row>
    <row r="1491" spans="1:12" s="33" customFormat="1" hidden="1" x14ac:dyDescent="0.3">
      <c r="A1491" s="39">
        <v>46095.439988425926</v>
      </c>
      <c r="B1491" s="33">
        <v>4432652750</v>
      </c>
      <c r="C1491" s="33">
        <v>4430265054</v>
      </c>
      <c r="D1491" s="33">
        <v>4430265054</v>
      </c>
      <c r="E1491" s="33">
        <v>19</v>
      </c>
      <c r="F1491" s="33">
        <v>18</v>
      </c>
      <c r="G1491" s="33" t="s">
        <v>3449</v>
      </c>
      <c r="H1491" s="33" t="s">
        <v>8042</v>
      </c>
      <c r="I1491" s="33" t="s">
        <v>39</v>
      </c>
      <c r="J1491" s="33" t="s">
        <v>3451</v>
      </c>
    </row>
    <row r="1492" spans="1:12" s="33" customFormat="1" hidden="1" x14ac:dyDescent="0.3">
      <c r="A1492" s="39">
        <v>46095.360347222224</v>
      </c>
      <c r="B1492" s="33">
        <v>1438160351</v>
      </c>
      <c r="C1492" s="33">
        <v>4430265054</v>
      </c>
      <c r="D1492" s="33">
        <v>4430265054</v>
      </c>
      <c r="E1492" s="33">
        <v>8</v>
      </c>
      <c r="F1492" s="33">
        <v>7</v>
      </c>
      <c r="G1492" s="33" t="s">
        <v>3449</v>
      </c>
      <c r="H1492" s="33" t="s">
        <v>8043</v>
      </c>
      <c r="I1492" s="33" t="s">
        <v>39</v>
      </c>
      <c r="J1492" s="33" t="s">
        <v>3451</v>
      </c>
    </row>
    <row r="1493" spans="1:12" s="33" customFormat="1" hidden="1" x14ac:dyDescent="0.3">
      <c r="A1493" s="39">
        <v>46095.346354166664</v>
      </c>
      <c r="B1493" s="33">
        <v>1438160351</v>
      </c>
      <c r="C1493" s="33">
        <v>4430265054</v>
      </c>
      <c r="D1493" s="33">
        <v>4430265054</v>
      </c>
      <c r="E1493" s="33">
        <v>8</v>
      </c>
      <c r="F1493" s="33">
        <v>7</v>
      </c>
      <c r="G1493" s="33" t="s">
        <v>3449</v>
      </c>
      <c r="H1493" s="33" t="s">
        <v>8044</v>
      </c>
      <c r="I1493" s="33" t="s">
        <v>39</v>
      </c>
      <c r="J1493" s="33" t="s">
        <v>3451</v>
      </c>
    </row>
    <row r="1494" spans="1:12" s="33" customFormat="1" hidden="1" x14ac:dyDescent="0.3">
      <c r="A1494" s="39">
        <v>46094.738888888889</v>
      </c>
      <c r="B1494" s="33">
        <v>44997561804</v>
      </c>
      <c r="C1494" s="33" t="s">
        <v>37</v>
      </c>
      <c r="D1494" s="33">
        <v>4430265054</v>
      </c>
      <c r="E1494" s="33">
        <v>722</v>
      </c>
      <c r="F1494" s="33">
        <v>686</v>
      </c>
      <c r="G1494" s="33" t="s">
        <v>38</v>
      </c>
      <c r="H1494" s="33" t="s">
        <v>8045</v>
      </c>
      <c r="I1494" s="33" t="s">
        <v>39</v>
      </c>
      <c r="J1494" s="33" t="s">
        <v>40</v>
      </c>
      <c r="K1494" s="33" t="s">
        <v>41</v>
      </c>
    </row>
    <row r="1495" spans="1:12" s="33" customFormat="1" hidden="1" x14ac:dyDescent="0.3">
      <c r="A1495" s="39">
        <v>46094.73164351852</v>
      </c>
      <c r="B1495" s="33">
        <v>44988067937</v>
      </c>
      <c r="C1495" s="33">
        <v>4430265054</v>
      </c>
      <c r="D1495" s="33">
        <v>4430265054</v>
      </c>
      <c r="E1495" s="33">
        <v>62</v>
      </c>
      <c r="F1495" s="33">
        <v>61</v>
      </c>
      <c r="G1495" s="33" t="s">
        <v>3449</v>
      </c>
      <c r="H1495" s="33" t="s">
        <v>8046</v>
      </c>
      <c r="I1495" s="33" t="s">
        <v>39</v>
      </c>
      <c r="J1495" s="33" t="s">
        <v>3451</v>
      </c>
      <c r="K1495" s="33" t="s">
        <v>41</v>
      </c>
    </row>
    <row r="1496" spans="1:12" s="33" customFormat="1" hidden="1" x14ac:dyDescent="0.3">
      <c r="A1496" s="39">
        <v>46094.73</v>
      </c>
      <c r="B1496" s="33" t="s">
        <v>43</v>
      </c>
      <c r="C1496" s="33">
        <v>4330332823</v>
      </c>
      <c r="E1496" s="33">
        <v>939</v>
      </c>
      <c r="F1496" s="33">
        <v>928</v>
      </c>
      <c r="G1496" s="33" t="s">
        <v>38</v>
      </c>
      <c r="H1496" s="33" t="s">
        <v>8047</v>
      </c>
      <c r="I1496" s="33" t="s">
        <v>46</v>
      </c>
      <c r="J1496" s="33" t="s">
        <v>40</v>
      </c>
    </row>
    <row r="1497" spans="1:12" s="33" customFormat="1" hidden="1" x14ac:dyDescent="0.3">
      <c r="A1497" s="39">
        <v>46094.729953703703</v>
      </c>
      <c r="B1497" s="33" t="s">
        <v>43</v>
      </c>
      <c r="C1497" s="33">
        <v>4330332823</v>
      </c>
      <c r="E1497" s="33">
        <v>0</v>
      </c>
      <c r="F1497" s="33">
        <v>0</v>
      </c>
      <c r="G1497" s="33" t="s">
        <v>47</v>
      </c>
      <c r="H1497" s="33" t="s">
        <v>8048</v>
      </c>
      <c r="I1497" s="33" t="s">
        <v>46</v>
      </c>
      <c r="J1497" s="33" t="s">
        <v>40</v>
      </c>
    </row>
    <row r="1498" spans="1:12" s="33" customFormat="1" hidden="1" x14ac:dyDescent="0.3">
      <c r="A1498" s="39">
        <v>46094.715671296297</v>
      </c>
      <c r="B1498" s="33" t="s">
        <v>3627</v>
      </c>
      <c r="C1498" s="33">
        <v>65999045735</v>
      </c>
      <c r="E1498" s="33">
        <v>11</v>
      </c>
      <c r="F1498" s="33">
        <v>0</v>
      </c>
      <c r="G1498" s="33" t="s">
        <v>47</v>
      </c>
      <c r="H1498" s="33" t="s">
        <v>8049</v>
      </c>
      <c r="I1498" s="33" t="s">
        <v>46</v>
      </c>
      <c r="J1498" s="33" t="s">
        <v>3629</v>
      </c>
    </row>
    <row r="1499" spans="1:12" s="33" customFormat="1" hidden="1" x14ac:dyDescent="0.3">
      <c r="A1499" s="39">
        <v>46094.715520833335</v>
      </c>
      <c r="B1499" s="33">
        <v>4430162384</v>
      </c>
      <c r="C1499" s="33" t="s">
        <v>48</v>
      </c>
      <c r="D1499" s="33">
        <v>4430265054</v>
      </c>
      <c r="E1499" s="33">
        <v>318</v>
      </c>
      <c r="F1499" s="33">
        <v>261</v>
      </c>
      <c r="G1499" s="33" t="s">
        <v>38</v>
      </c>
      <c r="H1499" s="33" t="s">
        <v>8050</v>
      </c>
      <c r="I1499" s="33" t="s">
        <v>39</v>
      </c>
      <c r="J1499" s="33" t="s">
        <v>40</v>
      </c>
      <c r="K1499" s="33" t="s">
        <v>41</v>
      </c>
    </row>
    <row r="1500" spans="1:12" s="33" customFormat="1" hidden="1" x14ac:dyDescent="0.3">
      <c r="A1500" s="39">
        <v>46094.707731481481</v>
      </c>
      <c r="B1500" s="33">
        <v>44999646909</v>
      </c>
      <c r="C1500" s="33" t="s">
        <v>37</v>
      </c>
      <c r="D1500" s="33">
        <v>4430265054</v>
      </c>
      <c r="E1500" s="33">
        <v>1731</v>
      </c>
      <c r="F1500" s="33">
        <v>1488</v>
      </c>
      <c r="G1500" s="33" t="s">
        <v>38</v>
      </c>
      <c r="H1500" s="33" t="s">
        <v>8051</v>
      </c>
      <c r="I1500" s="33" t="s">
        <v>39</v>
      </c>
      <c r="J1500" s="33" t="s">
        <v>40</v>
      </c>
      <c r="K1500" s="33" t="s">
        <v>41</v>
      </c>
    </row>
    <row r="1501" spans="1:12" s="33" customFormat="1" hidden="1" x14ac:dyDescent="0.3">
      <c r="A1501" s="39">
        <v>46094.70521990741</v>
      </c>
      <c r="B1501" s="33" t="s">
        <v>44</v>
      </c>
      <c r="C1501" s="33">
        <v>4532541802</v>
      </c>
      <c r="E1501" s="33">
        <v>857</v>
      </c>
      <c r="F1501" s="33">
        <v>856</v>
      </c>
      <c r="G1501" s="33" t="s">
        <v>38</v>
      </c>
      <c r="H1501" s="33" t="s">
        <v>8052</v>
      </c>
      <c r="I1501" s="33" t="s">
        <v>46</v>
      </c>
      <c r="J1501" s="33" t="s">
        <v>40</v>
      </c>
      <c r="L1501" s="33">
        <v>5</v>
      </c>
    </row>
    <row r="1502" spans="1:12" s="33" customFormat="1" hidden="1" x14ac:dyDescent="0.3">
      <c r="A1502" s="39">
        <v>46094.704814814817</v>
      </c>
      <c r="B1502" s="33">
        <v>4330332823</v>
      </c>
      <c r="C1502" s="33" t="s">
        <v>43</v>
      </c>
      <c r="D1502" s="33">
        <v>4430265054</v>
      </c>
      <c r="E1502" s="33">
        <v>820</v>
      </c>
      <c r="F1502" s="33">
        <v>720</v>
      </c>
      <c r="G1502" s="33" t="s">
        <v>38</v>
      </c>
      <c r="H1502" s="33" t="s">
        <v>8053</v>
      </c>
      <c r="I1502" s="33" t="s">
        <v>39</v>
      </c>
      <c r="J1502" s="33" t="s">
        <v>40</v>
      </c>
      <c r="K1502" s="33" t="s">
        <v>41</v>
      </c>
    </row>
    <row r="1503" spans="1:12" s="33" customFormat="1" hidden="1" x14ac:dyDescent="0.3">
      <c r="A1503" s="39">
        <v>46094.70045138889</v>
      </c>
      <c r="B1503" s="33" t="s">
        <v>45</v>
      </c>
      <c r="C1503" s="33">
        <v>43991364602</v>
      </c>
      <c r="E1503" s="33">
        <v>1376</v>
      </c>
      <c r="F1503" s="33">
        <v>1367</v>
      </c>
      <c r="G1503" s="33" t="s">
        <v>38</v>
      </c>
      <c r="H1503" s="33" t="s">
        <v>8054</v>
      </c>
      <c r="I1503" s="33" t="s">
        <v>46</v>
      </c>
      <c r="J1503" s="33" t="s">
        <v>40</v>
      </c>
    </row>
    <row r="1504" spans="1:12" s="33" customFormat="1" hidden="1" x14ac:dyDescent="0.3">
      <c r="A1504" s="39">
        <v>46094.697557870371</v>
      </c>
      <c r="B1504" s="33" t="s">
        <v>3627</v>
      </c>
      <c r="C1504" s="33">
        <v>87981623446</v>
      </c>
      <c r="E1504" s="33">
        <v>12</v>
      </c>
      <c r="F1504" s="33">
        <v>2</v>
      </c>
      <c r="G1504" s="33" t="s">
        <v>38</v>
      </c>
      <c r="H1504" s="33" t="s">
        <v>8055</v>
      </c>
      <c r="I1504" s="33" t="s">
        <v>46</v>
      </c>
      <c r="J1504" s="33" t="s">
        <v>3629</v>
      </c>
    </row>
    <row r="1505" spans="1:12" s="33" customFormat="1" hidden="1" x14ac:dyDescent="0.3">
      <c r="A1505" s="39">
        <v>46094.695636574077</v>
      </c>
      <c r="B1505" s="33">
        <v>43991364602</v>
      </c>
      <c r="C1505" s="33" t="s">
        <v>43</v>
      </c>
      <c r="D1505" s="33">
        <v>4430265054</v>
      </c>
      <c r="E1505" s="33">
        <v>153</v>
      </c>
      <c r="F1505" s="33">
        <v>46</v>
      </c>
      <c r="G1505" s="33" t="s">
        <v>38</v>
      </c>
      <c r="H1505" s="33" t="s">
        <v>8056</v>
      </c>
      <c r="I1505" s="33" t="s">
        <v>39</v>
      </c>
      <c r="J1505" s="33" t="s">
        <v>40</v>
      </c>
      <c r="K1505" s="33" t="s">
        <v>41</v>
      </c>
    </row>
    <row r="1506" spans="1:12" s="33" customFormat="1" hidden="1" x14ac:dyDescent="0.3">
      <c r="A1506" s="39">
        <v>46094.695474537039</v>
      </c>
      <c r="B1506" s="33">
        <v>44998717172</v>
      </c>
      <c r="C1506" s="33" t="s">
        <v>45</v>
      </c>
      <c r="D1506" s="33">
        <v>4430265054</v>
      </c>
      <c r="E1506" s="33">
        <v>326</v>
      </c>
      <c r="F1506" s="33">
        <v>248</v>
      </c>
      <c r="G1506" s="33" t="s">
        <v>38</v>
      </c>
      <c r="H1506" s="33" t="s">
        <v>8057</v>
      </c>
      <c r="I1506" s="33" t="s">
        <v>39</v>
      </c>
      <c r="J1506" s="33" t="s">
        <v>40</v>
      </c>
      <c r="K1506" s="33" t="s">
        <v>41</v>
      </c>
    </row>
    <row r="1507" spans="1:12" s="33" customFormat="1" hidden="1" x14ac:dyDescent="0.3">
      <c r="A1507" s="39">
        <v>46094.692754629628</v>
      </c>
      <c r="B1507" s="33" t="s">
        <v>5173</v>
      </c>
      <c r="C1507" s="33">
        <v>4136045019</v>
      </c>
      <c r="E1507" s="33">
        <v>1220</v>
      </c>
      <c r="F1507" s="33">
        <v>1199</v>
      </c>
      <c r="G1507" s="33" t="s">
        <v>38</v>
      </c>
      <c r="H1507" s="33" t="s">
        <v>8058</v>
      </c>
      <c r="I1507" s="33" t="s">
        <v>46</v>
      </c>
      <c r="J1507" s="33" t="s">
        <v>3629</v>
      </c>
    </row>
    <row r="1508" spans="1:12" s="33" customFormat="1" hidden="1" x14ac:dyDescent="0.3">
      <c r="A1508" s="39">
        <v>46094.689282407409</v>
      </c>
      <c r="B1508" s="33" t="s">
        <v>45</v>
      </c>
      <c r="C1508" s="33">
        <v>43991364602</v>
      </c>
      <c r="E1508" s="33">
        <v>65</v>
      </c>
      <c r="F1508" s="33">
        <v>29</v>
      </c>
      <c r="G1508" s="33" t="s">
        <v>38</v>
      </c>
      <c r="H1508" s="33" t="s">
        <v>8059</v>
      </c>
      <c r="I1508" s="33" t="s">
        <v>46</v>
      </c>
      <c r="J1508" s="33" t="s">
        <v>40</v>
      </c>
    </row>
    <row r="1509" spans="1:12" s="33" customFormat="1" hidden="1" x14ac:dyDescent="0.3">
      <c r="A1509" s="39">
        <v>46094.687731481485</v>
      </c>
      <c r="B1509" s="33" t="s">
        <v>51</v>
      </c>
      <c r="C1509" s="33" t="s">
        <v>5173</v>
      </c>
      <c r="E1509" s="33">
        <v>238</v>
      </c>
      <c r="F1509" s="33">
        <v>234</v>
      </c>
      <c r="G1509" s="33" t="s">
        <v>38</v>
      </c>
      <c r="H1509" s="33" t="s">
        <v>8060</v>
      </c>
      <c r="I1509" s="33" t="s">
        <v>52</v>
      </c>
      <c r="J1509" s="33" t="s">
        <v>3629</v>
      </c>
    </row>
    <row r="1510" spans="1:12" s="33" customFormat="1" hidden="1" x14ac:dyDescent="0.3">
      <c r="A1510" s="39">
        <v>46094.685543981483</v>
      </c>
      <c r="B1510" s="33">
        <v>4532541802</v>
      </c>
      <c r="C1510" s="33" t="s">
        <v>43</v>
      </c>
      <c r="D1510" s="33">
        <v>4430265054</v>
      </c>
      <c r="E1510" s="33">
        <v>868</v>
      </c>
      <c r="F1510" s="33">
        <v>814</v>
      </c>
      <c r="G1510" s="33" t="s">
        <v>38</v>
      </c>
      <c r="H1510" s="33" t="s">
        <v>8061</v>
      </c>
      <c r="I1510" s="33" t="s">
        <v>39</v>
      </c>
      <c r="J1510" s="33" t="s">
        <v>40</v>
      </c>
      <c r="K1510" s="33" t="s">
        <v>41</v>
      </c>
    </row>
    <row r="1511" spans="1:12" s="33" customFormat="1" hidden="1" x14ac:dyDescent="0.3">
      <c r="A1511" s="39">
        <v>46094.684606481482</v>
      </c>
      <c r="B1511" s="33">
        <v>44991116911</v>
      </c>
      <c r="C1511" s="33">
        <v>4430265054</v>
      </c>
      <c r="D1511" s="33">
        <v>4430265054</v>
      </c>
      <c r="E1511" s="33">
        <v>1</v>
      </c>
      <c r="F1511" s="33">
        <v>0</v>
      </c>
      <c r="G1511" s="33" t="s">
        <v>3449</v>
      </c>
      <c r="H1511" s="33" t="s">
        <v>8062</v>
      </c>
      <c r="I1511" s="33" t="s">
        <v>39</v>
      </c>
      <c r="J1511" s="33" t="s">
        <v>3451</v>
      </c>
    </row>
    <row r="1512" spans="1:12" s="33" customFormat="1" hidden="1" x14ac:dyDescent="0.3">
      <c r="A1512" s="39">
        <v>46094.683912037035</v>
      </c>
      <c r="B1512" s="33">
        <v>4532541802</v>
      </c>
      <c r="C1512" s="33" t="s">
        <v>44</v>
      </c>
      <c r="D1512" s="33">
        <v>4430265054</v>
      </c>
      <c r="E1512" s="33">
        <v>681</v>
      </c>
      <c r="F1512" s="33">
        <v>633</v>
      </c>
      <c r="G1512" s="33" t="s">
        <v>38</v>
      </c>
      <c r="H1512" s="33" t="s">
        <v>8063</v>
      </c>
      <c r="I1512" s="33" t="s">
        <v>39</v>
      </c>
      <c r="J1512" s="33" t="s">
        <v>40</v>
      </c>
      <c r="K1512" s="33" t="s">
        <v>41</v>
      </c>
    </row>
    <row r="1513" spans="1:12" s="33" customFormat="1" hidden="1" x14ac:dyDescent="0.3">
      <c r="A1513" s="39">
        <v>46094.680358796293</v>
      </c>
      <c r="B1513" s="33">
        <v>44999976008</v>
      </c>
      <c r="C1513" s="33" t="s">
        <v>44</v>
      </c>
      <c r="D1513" s="33">
        <v>4430265054</v>
      </c>
      <c r="E1513" s="33">
        <v>339</v>
      </c>
      <c r="F1513" s="33">
        <v>282</v>
      </c>
      <c r="G1513" s="33" t="s">
        <v>38</v>
      </c>
      <c r="H1513" s="33" t="s">
        <v>8064</v>
      </c>
      <c r="I1513" s="33" t="s">
        <v>39</v>
      </c>
      <c r="J1513" s="33" t="s">
        <v>40</v>
      </c>
      <c r="K1513" s="33" t="s">
        <v>41</v>
      </c>
    </row>
    <row r="1514" spans="1:12" s="33" customFormat="1" x14ac:dyDescent="0.3">
      <c r="A1514" s="39">
        <v>46094.679849537039</v>
      </c>
      <c r="B1514" s="33">
        <v>38991705057</v>
      </c>
      <c r="C1514" s="33" t="s">
        <v>42</v>
      </c>
      <c r="D1514" s="33">
        <v>4430265054</v>
      </c>
      <c r="E1514" s="33">
        <v>2746</v>
      </c>
      <c r="F1514" s="33">
        <v>2721</v>
      </c>
      <c r="G1514" s="33" t="s">
        <v>38</v>
      </c>
      <c r="H1514" s="33" t="s">
        <v>8065</v>
      </c>
      <c r="I1514" s="33" t="s">
        <v>39</v>
      </c>
      <c r="J1514" s="33" t="s">
        <v>40</v>
      </c>
      <c r="K1514" s="33" t="s">
        <v>41</v>
      </c>
      <c r="L1514" s="33">
        <v>5</v>
      </c>
    </row>
    <row r="1515" spans="1:12" s="33" customFormat="1" hidden="1" x14ac:dyDescent="0.3">
      <c r="A1515" s="39">
        <v>46094.678865740738</v>
      </c>
      <c r="B1515" s="33">
        <v>44991116911</v>
      </c>
      <c r="C1515" s="33" t="s">
        <v>43</v>
      </c>
      <c r="D1515" s="33">
        <v>4430265054</v>
      </c>
      <c r="E1515" s="33">
        <v>436</v>
      </c>
      <c r="F1515" s="33">
        <v>291</v>
      </c>
      <c r="G1515" s="33" t="s">
        <v>38</v>
      </c>
      <c r="H1515" s="33" t="s">
        <v>8066</v>
      </c>
      <c r="I1515" s="33" t="s">
        <v>39</v>
      </c>
      <c r="J1515" s="33" t="s">
        <v>40</v>
      </c>
      <c r="K1515" s="33" t="s">
        <v>41</v>
      </c>
    </row>
    <row r="1516" spans="1:12" s="33" customFormat="1" hidden="1" x14ac:dyDescent="0.3">
      <c r="A1516" s="39">
        <v>46094.678726851853</v>
      </c>
      <c r="B1516" s="33" t="s">
        <v>42</v>
      </c>
      <c r="C1516" s="33">
        <v>38991705057</v>
      </c>
      <c r="E1516" s="33">
        <v>6</v>
      </c>
      <c r="F1516" s="33">
        <v>0</v>
      </c>
      <c r="G1516" s="33" t="s">
        <v>47</v>
      </c>
      <c r="H1516" s="33" t="s">
        <v>8067</v>
      </c>
      <c r="I1516" s="33" t="s">
        <v>46</v>
      </c>
      <c r="J1516" s="33" t="s">
        <v>40</v>
      </c>
    </row>
    <row r="1517" spans="1:12" s="33" customFormat="1" hidden="1" x14ac:dyDescent="0.3">
      <c r="A1517" s="39">
        <v>46094.678113425929</v>
      </c>
      <c r="B1517" s="33" t="s">
        <v>42</v>
      </c>
      <c r="C1517" s="33">
        <v>38991705057</v>
      </c>
      <c r="E1517" s="33">
        <v>7</v>
      </c>
      <c r="F1517" s="33">
        <v>0</v>
      </c>
      <c r="G1517" s="33" t="s">
        <v>47</v>
      </c>
      <c r="H1517" s="33" t="s">
        <v>8068</v>
      </c>
      <c r="I1517" s="33" t="s">
        <v>46</v>
      </c>
      <c r="J1517" s="33" t="s">
        <v>40</v>
      </c>
    </row>
    <row r="1518" spans="1:12" s="33" customFormat="1" hidden="1" x14ac:dyDescent="0.3">
      <c r="A1518" s="39">
        <v>46094.677905092591</v>
      </c>
      <c r="B1518" s="33" t="s">
        <v>42</v>
      </c>
      <c r="C1518" s="33">
        <v>38991705057</v>
      </c>
      <c r="E1518" s="33">
        <v>8</v>
      </c>
      <c r="F1518" s="33">
        <v>0</v>
      </c>
      <c r="G1518" s="33" t="s">
        <v>47</v>
      </c>
      <c r="H1518" s="33" t="s">
        <v>8069</v>
      </c>
      <c r="I1518" s="33" t="s">
        <v>46</v>
      </c>
      <c r="J1518" s="33" t="s">
        <v>40</v>
      </c>
    </row>
    <row r="1519" spans="1:12" s="33" customFormat="1" hidden="1" x14ac:dyDescent="0.3">
      <c r="A1519" s="39">
        <v>46094.673738425925</v>
      </c>
      <c r="B1519" s="33" t="s">
        <v>3627</v>
      </c>
      <c r="C1519" s="33">
        <v>47999277340</v>
      </c>
      <c r="E1519" s="33">
        <v>17</v>
      </c>
      <c r="F1519" s="33">
        <v>5</v>
      </c>
      <c r="G1519" s="33" t="s">
        <v>38</v>
      </c>
      <c r="H1519" s="33" t="s">
        <v>8070</v>
      </c>
      <c r="I1519" s="33" t="s">
        <v>46</v>
      </c>
      <c r="J1519" s="33" t="s">
        <v>3629</v>
      </c>
    </row>
    <row r="1520" spans="1:12" s="33" customFormat="1" hidden="1" x14ac:dyDescent="0.3">
      <c r="A1520" s="39">
        <v>46094.671932870369</v>
      </c>
      <c r="B1520" s="33">
        <v>4430141133</v>
      </c>
      <c r="C1520" s="33" t="s">
        <v>45</v>
      </c>
      <c r="D1520" s="33">
        <v>4430265054</v>
      </c>
      <c r="E1520" s="33">
        <v>637</v>
      </c>
      <c r="F1520" s="33">
        <v>570</v>
      </c>
      <c r="G1520" s="33" t="s">
        <v>38</v>
      </c>
      <c r="H1520" s="33" t="s">
        <v>8071</v>
      </c>
      <c r="I1520" s="33" t="s">
        <v>39</v>
      </c>
      <c r="J1520" s="33" t="s">
        <v>40</v>
      </c>
      <c r="K1520" s="33" t="s">
        <v>41</v>
      </c>
      <c r="L1520" s="33">
        <v>5</v>
      </c>
    </row>
    <row r="1521" spans="1:12" s="33" customFormat="1" hidden="1" x14ac:dyDescent="0.3">
      <c r="A1521" s="39">
        <v>46094.671099537038</v>
      </c>
      <c r="B1521" s="33">
        <v>44991566223</v>
      </c>
      <c r="C1521" s="33" t="s">
        <v>43</v>
      </c>
      <c r="D1521" s="33">
        <v>4430265054</v>
      </c>
      <c r="E1521" s="33">
        <v>294</v>
      </c>
      <c r="F1521" s="33">
        <v>230</v>
      </c>
      <c r="G1521" s="33" t="s">
        <v>38</v>
      </c>
      <c r="H1521" s="33" t="s">
        <v>8072</v>
      </c>
      <c r="I1521" s="33" t="s">
        <v>39</v>
      </c>
      <c r="J1521" s="33" t="s">
        <v>40</v>
      </c>
      <c r="K1521" s="33" t="s">
        <v>41</v>
      </c>
    </row>
    <row r="1522" spans="1:12" s="33" customFormat="1" hidden="1" x14ac:dyDescent="0.3">
      <c r="A1522" s="39">
        <v>46094.668287037035</v>
      </c>
      <c r="B1522" s="33" t="s">
        <v>3627</v>
      </c>
      <c r="C1522" s="33">
        <v>54993293535</v>
      </c>
      <c r="E1522" s="33">
        <v>32</v>
      </c>
      <c r="F1522" s="33">
        <v>0</v>
      </c>
      <c r="G1522" s="33" t="s">
        <v>47</v>
      </c>
      <c r="H1522" s="33" t="s">
        <v>8073</v>
      </c>
      <c r="I1522" s="33" t="s">
        <v>46</v>
      </c>
      <c r="J1522" s="33" t="s">
        <v>3629</v>
      </c>
    </row>
    <row r="1523" spans="1:12" s="33" customFormat="1" hidden="1" x14ac:dyDescent="0.3">
      <c r="A1523" s="39">
        <v>46094.664074074077</v>
      </c>
      <c r="B1523" s="33">
        <v>4130760170</v>
      </c>
      <c r="C1523" s="33" t="s">
        <v>37</v>
      </c>
      <c r="D1523" s="33">
        <v>4430265054</v>
      </c>
      <c r="E1523" s="33">
        <v>2532</v>
      </c>
      <c r="F1523" s="33">
        <v>2454</v>
      </c>
      <c r="G1523" s="33" t="s">
        <v>38</v>
      </c>
      <c r="H1523" s="33" t="s">
        <v>8074</v>
      </c>
      <c r="I1523" s="33" t="s">
        <v>39</v>
      </c>
      <c r="J1523" s="33" t="s">
        <v>40</v>
      </c>
      <c r="K1523" s="33" t="s">
        <v>41</v>
      </c>
    </row>
    <row r="1524" spans="1:12" s="33" customFormat="1" hidden="1" x14ac:dyDescent="0.3">
      <c r="A1524" s="39">
        <v>46094.659004629626</v>
      </c>
      <c r="B1524" s="33">
        <v>1131043888</v>
      </c>
      <c r="C1524" s="33" t="s">
        <v>45</v>
      </c>
      <c r="D1524" s="33">
        <v>4430265054</v>
      </c>
      <c r="E1524" s="33">
        <v>1008</v>
      </c>
      <c r="F1524" s="33">
        <v>946</v>
      </c>
      <c r="G1524" s="33" t="s">
        <v>38</v>
      </c>
      <c r="H1524" s="33" t="s">
        <v>8075</v>
      </c>
      <c r="I1524" s="33" t="s">
        <v>39</v>
      </c>
      <c r="J1524" s="33" t="s">
        <v>40</v>
      </c>
      <c r="K1524" s="33" t="s">
        <v>41</v>
      </c>
    </row>
    <row r="1525" spans="1:12" s="33" customFormat="1" hidden="1" x14ac:dyDescent="0.3">
      <c r="A1525" s="39">
        <v>46094.656493055554</v>
      </c>
      <c r="B1525" s="33" t="s">
        <v>43</v>
      </c>
      <c r="C1525" s="33">
        <v>44991381017</v>
      </c>
      <c r="E1525" s="33">
        <v>107</v>
      </c>
      <c r="F1525" s="33">
        <v>99</v>
      </c>
      <c r="G1525" s="33" t="s">
        <v>38</v>
      </c>
      <c r="H1525" s="33" t="s">
        <v>8076</v>
      </c>
      <c r="I1525" s="33" t="s">
        <v>46</v>
      </c>
      <c r="J1525" s="33" t="s">
        <v>40</v>
      </c>
    </row>
    <row r="1526" spans="1:12" s="33" customFormat="1" hidden="1" x14ac:dyDescent="0.3">
      <c r="A1526" s="39">
        <v>46094.655509259261</v>
      </c>
      <c r="B1526" s="33">
        <v>44988255390</v>
      </c>
      <c r="C1526" s="33" t="s">
        <v>48</v>
      </c>
      <c r="D1526" s="33">
        <v>4430265054</v>
      </c>
      <c r="E1526" s="33">
        <v>235</v>
      </c>
      <c r="F1526" s="33">
        <v>132</v>
      </c>
      <c r="G1526" s="33" t="s">
        <v>38</v>
      </c>
      <c r="H1526" s="33" t="s">
        <v>8077</v>
      </c>
      <c r="I1526" s="33" t="s">
        <v>39</v>
      </c>
      <c r="J1526" s="33" t="s">
        <v>40</v>
      </c>
      <c r="K1526" s="33" t="s">
        <v>41</v>
      </c>
    </row>
    <row r="1527" spans="1:12" s="33" customFormat="1" hidden="1" x14ac:dyDescent="0.3">
      <c r="A1527" s="39">
        <v>46094.654444444444</v>
      </c>
      <c r="B1527" s="33">
        <v>4430459001</v>
      </c>
      <c r="C1527" s="33" t="s">
        <v>42</v>
      </c>
      <c r="D1527" s="33">
        <v>4430265054</v>
      </c>
      <c r="E1527" s="33">
        <v>1233</v>
      </c>
      <c r="F1527" s="33">
        <v>1016</v>
      </c>
      <c r="G1527" s="33" t="s">
        <v>38</v>
      </c>
      <c r="H1527" s="33" t="s">
        <v>8078</v>
      </c>
      <c r="I1527" s="33" t="s">
        <v>39</v>
      </c>
      <c r="J1527" s="33" t="s">
        <v>40</v>
      </c>
      <c r="K1527" s="33" t="s">
        <v>41</v>
      </c>
    </row>
    <row r="1528" spans="1:12" s="33" customFormat="1" hidden="1" x14ac:dyDescent="0.3">
      <c r="A1528" s="39">
        <v>46094.644062500003</v>
      </c>
      <c r="B1528" s="33">
        <v>47999115463</v>
      </c>
      <c r="C1528" s="33" t="s">
        <v>45</v>
      </c>
      <c r="D1528" s="33">
        <v>4430265054</v>
      </c>
      <c r="E1528" s="33">
        <v>243</v>
      </c>
      <c r="F1528" s="33">
        <v>139</v>
      </c>
      <c r="G1528" s="33" t="s">
        <v>38</v>
      </c>
      <c r="H1528" s="33" t="s">
        <v>8079</v>
      </c>
      <c r="I1528" s="33" t="s">
        <v>39</v>
      </c>
      <c r="J1528" s="33" t="s">
        <v>40</v>
      </c>
      <c r="K1528" s="33" t="s">
        <v>41</v>
      </c>
    </row>
    <row r="1529" spans="1:12" s="33" customFormat="1" hidden="1" x14ac:dyDescent="0.3">
      <c r="A1529" s="39">
        <v>46094.641238425924</v>
      </c>
      <c r="B1529" s="33">
        <v>44991381017</v>
      </c>
      <c r="C1529" s="33" t="s">
        <v>43</v>
      </c>
      <c r="D1529" s="33">
        <v>4430265054</v>
      </c>
      <c r="E1529" s="33">
        <v>1091</v>
      </c>
      <c r="F1529" s="33">
        <v>1054</v>
      </c>
      <c r="G1529" s="33" t="s">
        <v>38</v>
      </c>
      <c r="H1529" s="33" t="s">
        <v>8080</v>
      </c>
      <c r="I1529" s="33" t="s">
        <v>39</v>
      </c>
      <c r="J1529" s="33" t="s">
        <v>40</v>
      </c>
      <c r="K1529" s="33" t="s">
        <v>41</v>
      </c>
    </row>
    <row r="1530" spans="1:12" s="33" customFormat="1" hidden="1" x14ac:dyDescent="0.3">
      <c r="A1530" s="39">
        <v>46094.641134259262</v>
      </c>
      <c r="B1530" s="33">
        <v>91985176746</v>
      </c>
      <c r="C1530" s="33" t="s">
        <v>44</v>
      </c>
      <c r="D1530" s="33">
        <v>4430265054</v>
      </c>
      <c r="E1530" s="33">
        <v>762</v>
      </c>
      <c r="F1530" s="33">
        <v>752</v>
      </c>
      <c r="G1530" s="33" t="s">
        <v>38</v>
      </c>
      <c r="H1530" s="33" t="s">
        <v>8081</v>
      </c>
      <c r="I1530" s="33" t="s">
        <v>39</v>
      </c>
      <c r="J1530" s="33" t="s">
        <v>40</v>
      </c>
      <c r="K1530" s="33" t="s">
        <v>41</v>
      </c>
      <c r="L1530" s="33">
        <v>5</v>
      </c>
    </row>
    <row r="1531" spans="1:12" s="33" customFormat="1" hidden="1" x14ac:dyDescent="0.3">
      <c r="A1531" s="39">
        <v>46094.63989583333</v>
      </c>
      <c r="B1531" s="33">
        <v>4430162384</v>
      </c>
      <c r="C1531" s="33" t="s">
        <v>48</v>
      </c>
      <c r="D1531" s="33">
        <v>4430265054</v>
      </c>
      <c r="E1531" s="33">
        <v>600</v>
      </c>
      <c r="F1531" s="33">
        <v>600</v>
      </c>
      <c r="G1531" s="33" t="s">
        <v>38</v>
      </c>
      <c r="H1531" s="33" t="s">
        <v>8082</v>
      </c>
      <c r="I1531" s="33" t="s">
        <v>39</v>
      </c>
      <c r="J1531" s="33" t="s">
        <v>40</v>
      </c>
      <c r="K1531" s="33" t="s">
        <v>41</v>
      </c>
    </row>
    <row r="1532" spans="1:12" s="33" customFormat="1" hidden="1" x14ac:dyDescent="0.3">
      <c r="A1532" s="39">
        <v>46094.639062499999</v>
      </c>
      <c r="B1532" s="33">
        <v>73982188717</v>
      </c>
      <c r="C1532" s="33" t="s">
        <v>42</v>
      </c>
      <c r="D1532" s="33">
        <v>4430265054</v>
      </c>
      <c r="E1532" s="33">
        <v>489</v>
      </c>
      <c r="F1532" s="33">
        <v>393</v>
      </c>
      <c r="G1532" s="33" t="s">
        <v>38</v>
      </c>
      <c r="H1532" s="33" t="s">
        <v>8083</v>
      </c>
      <c r="I1532" s="33" t="s">
        <v>39</v>
      </c>
      <c r="J1532" s="33" t="s">
        <v>40</v>
      </c>
      <c r="K1532" s="33" t="s">
        <v>41</v>
      </c>
    </row>
    <row r="1533" spans="1:12" s="33" customFormat="1" hidden="1" x14ac:dyDescent="0.3">
      <c r="A1533" s="39">
        <v>46094.638645833336</v>
      </c>
      <c r="B1533" s="33">
        <v>43991364602</v>
      </c>
      <c r="C1533" s="33" t="s">
        <v>45</v>
      </c>
      <c r="D1533" s="33">
        <v>4430265054</v>
      </c>
      <c r="E1533" s="33">
        <v>447</v>
      </c>
      <c r="F1533" s="33">
        <v>388</v>
      </c>
      <c r="G1533" s="33" t="s">
        <v>38</v>
      </c>
      <c r="H1533" s="33" t="s">
        <v>8084</v>
      </c>
      <c r="I1533" s="33" t="s">
        <v>39</v>
      </c>
      <c r="J1533" s="33" t="s">
        <v>40</v>
      </c>
      <c r="K1533" s="33" t="s">
        <v>41</v>
      </c>
    </row>
    <row r="1534" spans="1:12" s="33" customFormat="1" hidden="1" x14ac:dyDescent="0.3">
      <c r="A1534" s="39">
        <v>46094.628553240742</v>
      </c>
      <c r="B1534" s="33">
        <v>4430459001</v>
      </c>
      <c r="C1534" s="33" t="s">
        <v>37</v>
      </c>
      <c r="D1534" s="33">
        <v>4430265054</v>
      </c>
      <c r="E1534" s="33">
        <v>1125</v>
      </c>
      <c r="F1534" s="33">
        <v>950</v>
      </c>
      <c r="G1534" s="33" t="s">
        <v>38</v>
      </c>
      <c r="H1534" s="33" t="s">
        <v>8085</v>
      </c>
      <c r="I1534" s="33" t="s">
        <v>39</v>
      </c>
      <c r="J1534" s="33" t="s">
        <v>40</v>
      </c>
      <c r="K1534" s="33" t="s">
        <v>41</v>
      </c>
      <c r="L1534" s="33">
        <v>5</v>
      </c>
    </row>
    <row r="1535" spans="1:12" s="33" customFormat="1" hidden="1" x14ac:dyDescent="0.3">
      <c r="A1535" s="39">
        <v>46094.625381944446</v>
      </c>
      <c r="B1535" s="33">
        <v>73982188717</v>
      </c>
      <c r="C1535" s="33" t="s">
        <v>44</v>
      </c>
      <c r="D1535" s="33">
        <v>4430265054</v>
      </c>
      <c r="E1535" s="33">
        <v>389</v>
      </c>
      <c r="F1535" s="33">
        <v>328</v>
      </c>
      <c r="G1535" s="33" t="s">
        <v>38</v>
      </c>
      <c r="H1535" s="33" t="s">
        <v>8086</v>
      </c>
      <c r="I1535" s="33" t="s">
        <v>39</v>
      </c>
      <c r="J1535" s="33" t="s">
        <v>40</v>
      </c>
      <c r="K1535" s="33" t="s">
        <v>41</v>
      </c>
    </row>
    <row r="1536" spans="1:12" s="33" customFormat="1" hidden="1" x14ac:dyDescent="0.3">
      <c r="A1536" s="39">
        <v>46094.62537037037</v>
      </c>
      <c r="B1536" s="33" t="s">
        <v>43</v>
      </c>
      <c r="C1536" s="33">
        <v>4436293259</v>
      </c>
      <c r="E1536" s="33">
        <v>1299</v>
      </c>
      <c r="F1536" s="33">
        <v>1292</v>
      </c>
      <c r="G1536" s="33" t="s">
        <v>38</v>
      </c>
      <c r="H1536" s="33" t="s">
        <v>8087</v>
      </c>
      <c r="I1536" s="33" t="s">
        <v>46</v>
      </c>
      <c r="J1536" s="33" t="s">
        <v>40</v>
      </c>
    </row>
    <row r="1537" spans="1:12" s="33" customFormat="1" hidden="1" x14ac:dyDescent="0.3">
      <c r="A1537" s="39">
        <v>46094.625300925924</v>
      </c>
      <c r="B1537" s="33">
        <v>4432520077</v>
      </c>
      <c r="C1537" s="33" t="s">
        <v>42</v>
      </c>
      <c r="D1537" s="33">
        <v>4430265054</v>
      </c>
      <c r="E1537" s="33">
        <v>1207</v>
      </c>
      <c r="F1537" s="33">
        <v>1156</v>
      </c>
      <c r="G1537" s="33" t="s">
        <v>38</v>
      </c>
      <c r="H1537" s="33" t="s">
        <v>8088</v>
      </c>
      <c r="I1537" s="33" t="s">
        <v>39</v>
      </c>
      <c r="J1537" s="33" t="s">
        <v>40</v>
      </c>
      <c r="K1537" s="33" t="s">
        <v>41</v>
      </c>
    </row>
    <row r="1538" spans="1:12" s="33" customFormat="1" hidden="1" x14ac:dyDescent="0.3">
      <c r="A1538" s="39">
        <v>46094.624895833331</v>
      </c>
      <c r="B1538" s="33">
        <v>44991381017</v>
      </c>
      <c r="C1538" s="33" t="s">
        <v>45</v>
      </c>
      <c r="D1538" s="33">
        <v>4430265054</v>
      </c>
      <c r="E1538" s="33">
        <v>924</v>
      </c>
      <c r="F1538" s="33">
        <v>868</v>
      </c>
      <c r="G1538" s="33" t="s">
        <v>38</v>
      </c>
      <c r="H1538" s="33" t="s">
        <v>8089</v>
      </c>
      <c r="I1538" s="33" t="s">
        <v>39</v>
      </c>
      <c r="J1538" s="33" t="s">
        <v>40</v>
      </c>
      <c r="K1538" s="33" t="s">
        <v>41</v>
      </c>
    </row>
    <row r="1539" spans="1:12" s="33" customFormat="1" hidden="1" x14ac:dyDescent="0.3">
      <c r="A1539" s="39">
        <v>46094.624351851853</v>
      </c>
      <c r="B1539" s="33">
        <v>91985176746</v>
      </c>
      <c r="C1539" s="33" t="s">
        <v>45</v>
      </c>
      <c r="D1539" s="33">
        <v>4430265054</v>
      </c>
      <c r="E1539" s="33">
        <v>67</v>
      </c>
      <c r="F1539" s="33">
        <v>4</v>
      </c>
      <c r="G1539" s="33" t="s">
        <v>38</v>
      </c>
      <c r="H1539" s="33" t="s">
        <v>8090</v>
      </c>
      <c r="I1539" s="33" t="s">
        <v>39</v>
      </c>
      <c r="J1539" s="33" t="s">
        <v>40</v>
      </c>
      <c r="K1539" s="33" t="s">
        <v>41</v>
      </c>
    </row>
    <row r="1540" spans="1:12" s="33" customFormat="1" hidden="1" x14ac:dyDescent="0.3">
      <c r="A1540" s="39">
        <v>46094.620532407411</v>
      </c>
      <c r="B1540" s="33" t="s">
        <v>45</v>
      </c>
      <c r="C1540" s="33">
        <v>62994086124</v>
      </c>
      <c r="E1540" s="33">
        <v>16</v>
      </c>
      <c r="F1540" s="33">
        <v>0</v>
      </c>
      <c r="G1540" s="33" t="s">
        <v>47</v>
      </c>
      <c r="H1540" s="33" t="s">
        <v>8091</v>
      </c>
      <c r="I1540" s="33" t="s">
        <v>46</v>
      </c>
      <c r="J1540" s="33" t="s">
        <v>40</v>
      </c>
    </row>
    <row r="1541" spans="1:12" s="33" customFormat="1" hidden="1" x14ac:dyDescent="0.3">
      <c r="A1541" s="39">
        <v>46094.614583333336</v>
      </c>
      <c r="B1541" s="33" t="s">
        <v>45</v>
      </c>
      <c r="C1541" s="33">
        <v>41999865917</v>
      </c>
      <c r="E1541" s="33">
        <v>123</v>
      </c>
      <c r="F1541" s="33">
        <v>120</v>
      </c>
      <c r="G1541" s="33" t="s">
        <v>38</v>
      </c>
      <c r="H1541" s="33" t="s">
        <v>8092</v>
      </c>
      <c r="I1541" s="33" t="s">
        <v>46</v>
      </c>
      <c r="J1541" s="33" t="s">
        <v>40</v>
      </c>
    </row>
    <row r="1542" spans="1:12" s="33" customFormat="1" hidden="1" x14ac:dyDescent="0.3">
      <c r="A1542" s="39">
        <v>46094.608483796299</v>
      </c>
      <c r="B1542" s="33" t="s">
        <v>45</v>
      </c>
      <c r="C1542" s="33">
        <v>4330333542</v>
      </c>
      <c r="E1542" s="33">
        <v>478</v>
      </c>
      <c r="F1542" s="33">
        <v>463</v>
      </c>
      <c r="G1542" s="33" t="s">
        <v>38</v>
      </c>
      <c r="H1542" s="33" t="s">
        <v>8093</v>
      </c>
      <c r="I1542" s="33" t="s">
        <v>46</v>
      </c>
      <c r="J1542" s="33" t="s">
        <v>40</v>
      </c>
      <c r="L1542" s="33">
        <v>5</v>
      </c>
    </row>
    <row r="1543" spans="1:12" s="33" customFormat="1" hidden="1" x14ac:dyDescent="0.3">
      <c r="A1543" s="39">
        <v>46094.600254629629</v>
      </c>
      <c r="B1543" s="33">
        <v>4430266744</v>
      </c>
      <c r="C1543" s="33" t="s">
        <v>43</v>
      </c>
      <c r="D1543" s="33">
        <v>4430265054</v>
      </c>
      <c r="E1543" s="33">
        <v>185</v>
      </c>
      <c r="F1543" s="33">
        <v>128</v>
      </c>
      <c r="G1543" s="33" t="s">
        <v>38</v>
      </c>
      <c r="H1543" s="33" t="s">
        <v>8094</v>
      </c>
      <c r="I1543" s="33" t="s">
        <v>39</v>
      </c>
      <c r="J1543" s="33" t="s">
        <v>40</v>
      </c>
      <c r="K1543" s="33" t="s">
        <v>41</v>
      </c>
    </row>
    <row r="1544" spans="1:12" s="33" customFormat="1" hidden="1" x14ac:dyDescent="0.3">
      <c r="A1544" s="39">
        <v>46094.600208333337</v>
      </c>
      <c r="B1544" s="33">
        <v>62994086124</v>
      </c>
      <c r="C1544" s="33" t="s">
        <v>42</v>
      </c>
      <c r="D1544" s="33">
        <v>4430265054</v>
      </c>
      <c r="E1544" s="33">
        <v>1993</v>
      </c>
      <c r="F1544" s="33">
        <v>1907</v>
      </c>
      <c r="G1544" s="33" t="s">
        <v>38</v>
      </c>
      <c r="H1544" s="33" t="s">
        <v>8095</v>
      </c>
      <c r="I1544" s="33" t="s">
        <v>39</v>
      </c>
      <c r="J1544" s="33" t="s">
        <v>40</v>
      </c>
      <c r="K1544" s="33" t="s">
        <v>41</v>
      </c>
    </row>
    <row r="1545" spans="1:12" s="33" customFormat="1" hidden="1" x14ac:dyDescent="0.3">
      <c r="A1545" s="39">
        <v>46094.599618055552</v>
      </c>
      <c r="B1545" s="33">
        <v>4532541802</v>
      </c>
      <c r="C1545" s="33" t="s">
        <v>44</v>
      </c>
      <c r="D1545" s="33">
        <v>4430265054</v>
      </c>
      <c r="E1545" s="33">
        <v>1397</v>
      </c>
      <c r="F1545" s="33">
        <v>1289</v>
      </c>
      <c r="G1545" s="33" t="s">
        <v>38</v>
      </c>
      <c r="H1545" s="33" t="s">
        <v>8096</v>
      </c>
      <c r="I1545" s="33" t="s">
        <v>39</v>
      </c>
      <c r="J1545" s="33" t="s">
        <v>40</v>
      </c>
      <c r="K1545" s="33" t="s">
        <v>41</v>
      </c>
    </row>
    <row r="1546" spans="1:12" s="33" customFormat="1" hidden="1" x14ac:dyDescent="0.3">
      <c r="A1546" s="39">
        <v>46094.59447916667</v>
      </c>
      <c r="B1546" s="33">
        <v>83988398480</v>
      </c>
      <c r="C1546" s="33" t="s">
        <v>45</v>
      </c>
      <c r="D1546" s="33">
        <v>4430265054</v>
      </c>
      <c r="E1546" s="33">
        <v>1089</v>
      </c>
      <c r="F1546" s="33">
        <v>1055</v>
      </c>
      <c r="G1546" s="33" t="s">
        <v>38</v>
      </c>
      <c r="H1546" s="33" t="s">
        <v>8097</v>
      </c>
      <c r="I1546" s="33" t="s">
        <v>39</v>
      </c>
      <c r="J1546" s="33" t="s">
        <v>40</v>
      </c>
      <c r="K1546" s="33" t="s">
        <v>41</v>
      </c>
    </row>
    <row r="1547" spans="1:12" s="33" customFormat="1" hidden="1" x14ac:dyDescent="0.3">
      <c r="A1547" s="39">
        <v>46094.59034722222</v>
      </c>
      <c r="B1547" s="33" t="s">
        <v>44</v>
      </c>
      <c r="C1547" s="33">
        <v>12997346335</v>
      </c>
      <c r="E1547" s="33">
        <v>689</v>
      </c>
      <c r="F1547" s="33">
        <v>677</v>
      </c>
      <c r="G1547" s="33" t="s">
        <v>38</v>
      </c>
      <c r="H1547" s="33" t="s">
        <v>8098</v>
      </c>
      <c r="I1547" s="33" t="s">
        <v>46</v>
      </c>
      <c r="J1547" s="33" t="s">
        <v>40</v>
      </c>
    </row>
    <row r="1548" spans="1:12" s="33" customFormat="1" hidden="1" x14ac:dyDescent="0.3">
      <c r="A1548" s="39">
        <v>46094.589386574073</v>
      </c>
      <c r="B1548" s="33">
        <v>2222100098</v>
      </c>
      <c r="C1548" s="33" t="s">
        <v>43</v>
      </c>
      <c r="D1548" s="33">
        <v>4430265054</v>
      </c>
      <c r="E1548" s="33">
        <v>702</v>
      </c>
      <c r="F1548" s="33">
        <v>609</v>
      </c>
      <c r="G1548" s="33" t="s">
        <v>38</v>
      </c>
      <c r="H1548" s="33" t="s">
        <v>8099</v>
      </c>
      <c r="I1548" s="33" t="s">
        <v>39</v>
      </c>
      <c r="J1548" s="33" t="s">
        <v>40</v>
      </c>
      <c r="K1548" s="33" t="s">
        <v>41</v>
      </c>
    </row>
    <row r="1549" spans="1:12" s="33" customFormat="1" hidden="1" x14ac:dyDescent="0.3">
      <c r="A1549" s="39">
        <v>46094.5859375</v>
      </c>
      <c r="B1549" s="33">
        <v>44991566223</v>
      </c>
      <c r="C1549" s="33">
        <v>4430265054</v>
      </c>
      <c r="D1549" s="33">
        <v>4430265054</v>
      </c>
      <c r="E1549" s="33">
        <v>2</v>
      </c>
      <c r="F1549" s="33">
        <v>2</v>
      </c>
      <c r="G1549" s="33" t="s">
        <v>3449</v>
      </c>
      <c r="H1549" s="33" t="s">
        <v>8100</v>
      </c>
      <c r="I1549" s="33" t="s">
        <v>39</v>
      </c>
      <c r="J1549" s="33" t="s">
        <v>3451</v>
      </c>
    </row>
    <row r="1550" spans="1:12" s="33" customFormat="1" hidden="1" x14ac:dyDescent="0.3">
      <c r="A1550" s="39">
        <v>46094.585011574076</v>
      </c>
      <c r="B1550" s="33">
        <v>12997346335</v>
      </c>
      <c r="C1550" s="33" t="s">
        <v>43</v>
      </c>
      <c r="D1550" s="33">
        <v>4431268225</v>
      </c>
      <c r="E1550" s="33">
        <v>106</v>
      </c>
      <c r="F1550" s="33">
        <v>67</v>
      </c>
      <c r="G1550" s="33" t="s">
        <v>38</v>
      </c>
      <c r="H1550" s="33" t="s">
        <v>8101</v>
      </c>
      <c r="I1550" s="33" t="s">
        <v>39</v>
      </c>
      <c r="J1550" s="33" t="s">
        <v>40</v>
      </c>
      <c r="K1550" s="33" t="s">
        <v>41</v>
      </c>
    </row>
    <row r="1551" spans="1:12" s="33" customFormat="1" hidden="1" x14ac:dyDescent="0.3">
      <c r="A1551" s="39">
        <v>46094.579907407409</v>
      </c>
      <c r="B1551" s="33" t="s">
        <v>43</v>
      </c>
      <c r="C1551" s="33">
        <v>1131043888</v>
      </c>
      <c r="E1551" s="33">
        <v>289</v>
      </c>
      <c r="F1551" s="33">
        <v>288</v>
      </c>
      <c r="G1551" s="33" t="s">
        <v>38</v>
      </c>
      <c r="H1551" s="33" t="s">
        <v>8102</v>
      </c>
      <c r="I1551" s="33" t="s">
        <v>46</v>
      </c>
      <c r="J1551" s="33" t="s">
        <v>40</v>
      </c>
    </row>
    <row r="1552" spans="1:12" s="33" customFormat="1" hidden="1" x14ac:dyDescent="0.3">
      <c r="A1552" s="39">
        <v>46094.579629629632</v>
      </c>
      <c r="B1552" s="33" t="s">
        <v>42</v>
      </c>
      <c r="C1552" s="33">
        <v>44997450437</v>
      </c>
      <c r="E1552" s="33">
        <v>5</v>
      </c>
      <c r="F1552" s="33">
        <v>0</v>
      </c>
      <c r="G1552" s="33" t="s">
        <v>47</v>
      </c>
      <c r="H1552" s="33" t="s">
        <v>8103</v>
      </c>
      <c r="I1552" s="33" t="s">
        <v>46</v>
      </c>
      <c r="J1552" s="33" t="s">
        <v>40</v>
      </c>
    </row>
    <row r="1553" spans="1:12" s="33" customFormat="1" hidden="1" x14ac:dyDescent="0.3">
      <c r="A1553" s="39">
        <v>46094.579513888886</v>
      </c>
      <c r="B1553" s="33" t="s">
        <v>42</v>
      </c>
      <c r="C1553" s="33">
        <v>4430266599</v>
      </c>
      <c r="E1553" s="33">
        <v>2</v>
      </c>
      <c r="F1553" s="33">
        <v>0</v>
      </c>
      <c r="G1553" s="33" t="s">
        <v>47</v>
      </c>
      <c r="H1553" s="33" t="s">
        <v>8104</v>
      </c>
      <c r="I1553" s="33" t="s">
        <v>46</v>
      </c>
      <c r="J1553" s="33" t="s">
        <v>40</v>
      </c>
    </row>
    <row r="1554" spans="1:12" s="33" customFormat="1" hidden="1" x14ac:dyDescent="0.3">
      <c r="A1554" s="39">
        <v>46094.579444444447</v>
      </c>
      <c r="B1554" s="33" t="s">
        <v>42</v>
      </c>
      <c r="C1554" s="33">
        <v>4430266599</v>
      </c>
      <c r="E1554" s="33">
        <v>2</v>
      </c>
      <c r="F1554" s="33">
        <v>0</v>
      </c>
      <c r="G1554" s="33" t="s">
        <v>47</v>
      </c>
      <c r="H1554" s="33" t="s">
        <v>8105</v>
      </c>
      <c r="I1554" s="33" t="s">
        <v>46</v>
      </c>
      <c r="J1554" s="33" t="s">
        <v>40</v>
      </c>
    </row>
    <row r="1555" spans="1:12" s="33" customFormat="1" hidden="1" x14ac:dyDescent="0.3">
      <c r="A1555" s="39">
        <v>46094.579236111109</v>
      </c>
      <c r="B1555" s="33" t="s">
        <v>42</v>
      </c>
      <c r="C1555" s="33">
        <v>44997450437</v>
      </c>
      <c r="E1555" s="33">
        <v>5</v>
      </c>
      <c r="F1555" s="33">
        <v>0</v>
      </c>
      <c r="G1555" s="33" t="s">
        <v>47</v>
      </c>
      <c r="H1555" s="33" t="s">
        <v>8106</v>
      </c>
      <c r="I1555" s="33" t="s">
        <v>46</v>
      </c>
      <c r="J1555" s="33" t="s">
        <v>40</v>
      </c>
    </row>
    <row r="1556" spans="1:12" s="33" customFormat="1" hidden="1" x14ac:dyDescent="0.3">
      <c r="A1556" s="39">
        <v>46094.579143518517</v>
      </c>
      <c r="B1556" s="33" t="s">
        <v>42</v>
      </c>
      <c r="C1556" s="33">
        <v>44997450437</v>
      </c>
      <c r="E1556" s="33">
        <v>6</v>
      </c>
      <c r="F1556" s="33">
        <v>0</v>
      </c>
      <c r="G1556" s="33" t="s">
        <v>47</v>
      </c>
      <c r="H1556" s="33" t="s">
        <v>8107</v>
      </c>
      <c r="I1556" s="33" t="s">
        <v>46</v>
      </c>
      <c r="J1556" s="33" t="s">
        <v>40</v>
      </c>
    </row>
    <row r="1557" spans="1:12" s="33" customFormat="1" hidden="1" x14ac:dyDescent="0.3">
      <c r="A1557" s="39">
        <v>46094.579050925924</v>
      </c>
      <c r="B1557" s="33" t="s">
        <v>42</v>
      </c>
      <c r="C1557" s="33">
        <v>44997450437</v>
      </c>
      <c r="E1557" s="33">
        <v>5</v>
      </c>
      <c r="F1557" s="33">
        <v>0</v>
      </c>
      <c r="G1557" s="33" t="s">
        <v>47</v>
      </c>
      <c r="H1557" s="33" t="s">
        <v>8108</v>
      </c>
      <c r="I1557" s="33" t="s">
        <v>46</v>
      </c>
      <c r="J1557" s="33" t="s">
        <v>40</v>
      </c>
    </row>
    <row r="1558" spans="1:12" s="33" customFormat="1" hidden="1" x14ac:dyDescent="0.3">
      <c r="A1558" s="39">
        <v>46094.578969907408</v>
      </c>
      <c r="B1558" s="33" t="s">
        <v>42</v>
      </c>
      <c r="C1558" s="33">
        <v>44997450437</v>
      </c>
      <c r="E1558" s="33">
        <v>5</v>
      </c>
      <c r="F1558" s="33">
        <v>0</v>
      </c>
      <c r="G1558" s="33" t="s">
        <v>47</v>
      </c>
      <c r="H1558" s="33" t="s">
        <v>8109</v>
      </c>
      <c r="I1558" s="33" t="s">
        <v>46</v>
      </c>
      <c r="J1558" s="33" t="s">
        <v>40</v>
      </c>
    </row>
    <row r="1559" spans="1:12" s="33" customFormat="1" hidden="1" x14ac:dyDescent="0.3">
      <c r="A1559" s="39">
        <v>46094.576793981483</v>
      </c>
      <c r="B1559" s="33">
        <v>83988398480</v>
      </c>
      <c r="C1559" s="33" t="s">
        <v>45</v>
      </c>
      <c r="D1559" s="33">
        <v>4430265054</v>
      </c>
      <c r="E1559" s="33">
        <v>1172</v>
      </c>
      <c r="F1559" s="33">
        <v>1145</v>
      </c>
      <c r="G1559" s="33" t="s">
        <v>38</v>
      </c>
      <c r="H1559" s="33" t="s">
        <v>8110</v>
      </c>
      <c r="I1559" s="33" t="s">
        <v>39</v>
      </c>
      <c r="J1559" s="33" t="s">
        <v>40</v>
      </c>
      <c r="K1559" s="33" t="s">
        <v>41</v>
      </c>
    </row>
    <row r="1560" spans="1:12" s="33" customFormat="1" hidden="1" x14ac:dyDescent="0.3">
      <c r="A1560" s="39">
        <v>46094.575428240743</v>
      </c>
      <c r="B1560" s="33" t="s">
        <v>45</v>
      </c>
      <c r="C1560" s="33">
        <v>4330333542</v>
      </c>
      <c r="E1560" s="33">
        <v>52</v>
      </c>
      <c r="F1560" s="33">
        <v>25</v>
      </c>
      <c r="G1560" s="33" t="s">
        <v>38</v>
      </c>
      <c r="H1560" s="33" t="s">
        <v>8111</v>
      </c>
      <c r="I1560" s="33" t="s">
        <v>46</v>
      </c>
      <c r="J1560" s="33" t="s">
        <v>40</v>
      </c>
    </row>
    <row r="1561" spans="1:12" s="33" customFormat="1" hidden="1" x14ac:dyDescent="0.3">
      <c r="A1561" s="39">
        <v>46094.574976851851</v>
      </c>
      <c r="B1561" s="33" t="s">
        <v>45</v>
      </c>
      <c r="C1561" s="33">
        <v>4330333542</v>
      </c>
      <c r="E1561" s="33">
        <v>32</v>
      </c>
      <c r="F1561" s="33">
        <v>0</v>
      </c>
      <c r="G1561" s="33" t="s">
        <v>47</v>
      </c>
      <c r="H1561" s="33" t="s">
        <v>8112</v>
      </c>
      <c r="I1561" s="33" t="s">
        <v>46</v>
      </c>
      <c r="J1561" s="33" t="s">
        <v>40</v>
      </c>
    </row>
    <row r="1562" spans="1:12" s="33" customFormat="1" hidden="1" x14ac:dyDescent="0.3">
      <c r="A1562" s="39">
        <v>46094.574942129628</v>
      </c>
      <c r="B1562" s="33" t="s">
        <v>45</v>
      </c>
      <c r="C1562" s="33">
        <v>4330333542</v>
      </c>
      <c r="E1562" s="33">
        <v>0</v>
      </c>
      <c r="F1562" s="33">
        <v>0</v>
      </c>
      <c r="G1562" s="33" t="s">
        <v>47</v>
      </c>
      <c r="H1562" s="33" t="s">
        <v>8113</v>
      </c>
      <c r="I1562" s="33" t="s">
        <v>46</v>
      </c>
      <c r="J1562" s="33" t="s">
        <v>40</v>
      </c>
    </row>
    <row r="1563" spans="1:12" s="33" customFormat="1" hidden="1" x14ac:dyDescent="0.3">
      <c r="A1563" s="39">
        <v>46094.572928240741</v>
      </c>
      <c r="B1563" s="33" t="s">
        <v>48</v>
      </c>
      <c r="C1563" s="33">
        <v>4532541802</v>
      </c>
      <c r="E1563" s="33">
        <v>82</v>
      </c>
      <c r="F1563" s="33">
        <v>81</v>
      </c>
      <c r="G1563" s="33" t="s">
        <v>38</v>
      </c>
      <c r="H1563" s="33" t="s">
        <v>8114</v>
      </c>
      <c r="I1563" s="33" t="s">
        <v>46</v>
      </c>
      <c r="J1563" s="33" t="s">
        <v>40</v>
      </c>
    </row>
    <row r="1564" spans="1:12" s="33" customFormat="1" hidden="1" x14ac:dyDescent="0.3">
      <c r="A1564" s="39">
        <v>46094.570798611108</v>
      </c>
      <c r="B1564" s="33">
        <v>1128787060</v>
      </c>
      <c r="C1564" s="33" t="s">
        <v>48</v>
      </c>
      <c r="D1564" s="33">
        <v>4430265054</v>
      </c>
      <c r="E1564" s="33">
        <v>174</v>
      </c>
      <c r="F1564" s="33">
        <v>153</v>
      </c>
      <c r="G1564" s="33" t="s">
        <v>38</v>
      </c>
      <c r="H1564" s="33" t="s">
        <v>8115</v>
      </c>
      <c r="I1564" s="33" t="s">
        <v>39</v>
      </c>
      <c r="J1564" s="33" t="s">
        <v>40</v>
      </c>
      <c r="K1564" s="33" t="s">
        <v>50</v>
      </c>
    </row>
    <row r="1565" spans="1:12" s="33" customFormat="1" hidden="1" x14ac:dyDescent="0.3">
      <c r="A1565" s="39">
        <v>46094.565034722225</v>
      </c>
      <c r="B1565" s="33" t="s">
        <v>44</v>
      </c>
      <c r="C1565" s="33">
        <v>12997346335</v>
      </c>
      <c r="E1565" s="33">
        <v>51</v>
      </c>
      <c r="F1565" s="33">
        <v>33</v>
      </c>
      <c r="G1565" s="33" t="s">
        <v>38</v>
      </c>
      <c r="H1565" s="33" t="s">
        <v>8116</v>
      </c>
      <c r="I1565" s="33" t="s">
        <v>46</v>
      </c>
      <c r="J1565" s="33" t="s">
        <v>40</v>
      </c>
    </row>
    <row r="1566" spans="1:12" s="33" customFormat="1" x14ac:dyDescent="0.3">
      <c r="A1566" s="39">
        <v>46094.563067129631</v>
      </c>
      <c r="B1566" s="33">
        <v>41991740047</v>
      </c>
      <c r="C1566" s="33" t="s">
        <v>42</v>
      </c>
      <c r="D1566" s="33">
        <v>4430265054</v>
      </c>
      <c r="E1566" s="33">
        <v>1227</v>
      </c>
      <c r="F1566" s="33">
        <v>1187</v>
      </c>
      <c r="G1566" s="33" t="s">
        <v>38</v>
      </c>
      <c r="H1566" s="33" t="s">
        <v>8117</v>
      </c>
      <c r="I1566" s="33" t="s">
        <v>39</v>
      </c>
      <c r="J1566" s="33" t="s">
        <v>40</v>
      </c>
      <c r="K1566" s="33" t="s">
        <v>41</v>
      </c>
      <c r="L1566" s="33">
        <v>5</v>
      </c>
    </row>
    <row r="1567" spans="1:12" s="33" customFormat="1" hidden="1" x14ac:dyDescent="0.3">
      <c r="A1567" s="39">
        <v>46094.562175925923</v>
      </c>
      <c r="B1567" s="33">
        <v>41991740047</v>
      </c>
      <c r="C1567" s="33">
        <v>4430265054</v>
      </c>
      <c r="D1567" s="33">
        <v>4430265054</v>
      </c>
      <c r="E1567" s="33">
        <v>28</v>
      </c>
      <c r="F1567" s="33">
        <v>28</v>
      </c>
      <c r="G1567" s="33" t="s">
        <v>3449</v>
      </c>
      <c r="H1567" s="33" t="s">
        <v>8118</v>
      </c>
      <c r="I1567" s="33" t="s">
        <v>39</v>
      </c>
      <c r="J1567" s="33" t="s">
        <v>3451</v>
      </c>
    </row>
    <row r="1568" spans="1:12" s="33" customFormat="1" hidden="1" x14ac:dyDescent="0.3">
      <c r="A1568" s="39">
        <v>46094.560879629629</v>
      </c>
      <c r="B1568" s="33">
        <v>41991740047</v>
      </c>
      <c r="C1568" s="33">
        <v>4430265054</v>
      </c>
      <c r="D1568" s="33">
        <v>4430265054</v>
      </c>
      <c r="E1568" s="33">
        <v>28</v>
      </c>
      <c r="F1568" s="33">
        <v>28</v>
      </c>
      <c r="G1568" s="33" t="s">
        <v>3449</v>
      </c>
      <c r="H1568" s="33" t="s">
        <v>8119</v>
      </c>
      <c r="I1568" s="33" t="s">
        <v>39</v>
      </c>
      <c r="J1568" s="33" t="s">
        <v>3451</v>
      </c>
    </row>
    <row r="1569" spans="1:12" s="33" customFormat="1" hidden="1" x14ac:dyDescent="0.3">
      <c r="A1569" s="39">
        <v>46094.548437500001</v>
      </c>
      <c r="B1569" s="33">
        <v>41991740047</v>
      </c>
      <c r="C1569" s="33">
        <v>4430265054</v>
      </c>
      <c r="D1569" s="33">
        <v>4430265054</v>
      </c>
      <c r="E1569" s="33">
        <v>14</v>
      </c>
      <c r="F1569" s="33">
        <v>14</v>
      </c>
      <c r="G1569" s="33" t="s">
        <v>3449</v>
      </c>
      <c r="H1569" s="33" t="s">
        <v>8120</v>
      </c>
      <c r="I1569" s="33" t="s">
        <v>39</v>
      </c>
      <c r="J1569" s="33" t="s">
        <v>3451</v>
      </c>
    </row>
    <row r="1570" spans="1:12" s="33" customFormat="1" hidden="1" x14ac:dyDescent="0.3">
      <c r="A1570" s="39">
        <v>46094.491655092592</v>
      </c>
      <c r="B1570" s="33">
        <v>1131043888</v>
      </c>
      <c r="C1570" s="33" t="s">
        <v>43</v>
      </c>
      <c r="D1570" s="33">
        <v>4430265054</v>
      </c>
      <c r="E1570" s="33">
        <v>372</v>
      </c>
      <c r="F1570" s="33">
        <v>288</v>
      </c>
      <c r="G1570" s="33" t="s">
        <v>38</v>
      </c>
      <c r="H1570" s="33" t="s">
        <v>8121</v>
      </c>
      <c r="I1570" s="33" t="s">
        <v>39</v>
      </c>
      <c r="J1570" s="33" t="s">
        <v>40</v>
      </c>
      <c r="K1570" s="33" t="s">
        <v>41</v>
      </c>
    </row>
    <row r="1571" spans="1:12" s="33" customFormat="1" hidden="1" x14ac:dyDescent="0.3">
      <c r="A1571" s="39">
        <v>46094.487974537034</v>
      </c>
      <c r="B1571" s="33">
        <v>44999743444</v>
      </c>
      <c r="C1571" s="33" t="s">
        <v>45</v>
      </c>
      <c r="D1571" s="33">
        <v>4430265054</v>
      </c>
      <c r="E1571" s="33">
        <v>363</v>
      </c>
      <c r="F1571" s="33">
        <v>331</v>
      </c>
      <c r="G1571" s="33" t="s">
        <v>38</v>
      </c>
      <c r="H1571" s="33" t="s">
        <v>8122</v>
      </c>
      <c r="I1571" s="33" t="s">
        <v>39</v>
      </c>
      <c r="J1571" s="33" t="s">
        <v>40</v>
      </c>
      <c r="K1571" s="33" t="s">
        <v>41</v>
      </c>
    </row>
    <row r="1572" spans="1:12" s="33" customFormat="1" hidden="1" x14ac:dyDescent="0.3">
      <c r="A1572" s="39">
        <v>46094.483587962961</v>
      </c>
      <c r="B1572" s="33">
        <v>16997190170</v>
      </c>
      <c r="C1572" s="33" t="s">
        <v>37</v>
      </c>
      <c r="D1572" s="33">
        <v>4430265054</v>
      </c>
      <c r="E1572" s="33">
        <v>893</v>
      </c>
      <c r="F1572" s="33">
        <v>851</v>
      </c>
      <c r="G1572" s="33" t="s">
        <v>38</v>
      </c>
      <c r="H1572" s="33" t="s">
        <v>8123</v>
      </c>
      <c r="I1572" s="33" t="s">
        <v>39</v>
      </c>
      <c r="J1572" s="33" t="s">
        <v>40</v>
      </c>
      <c r="K1572" s="33" t="s">
        <v>41</v>
      </c>
      <c r="L1572" s="33">
        <v>5</v>
      </c>
    </row>
    <row r="1573" spans="1:12" s="33" customFormat="1" hidden="1" x14ac:dyDescent="0.3">
      <c r="A1573" s="39">
        <v>46094.474594907406</v>
      </c>
      <c r="B1573" s="33">
        <v>11985836640</v>
      </c>
      <c r="C1573" s="33" t="s">
        <v>45</v>
      </c>
      <c r="D1573" s="33">
        <v>4430265054</v>
      </c>
      <c r="E1573" s="33">
        <v>728</v>
      </c>
      <c r="F1573" s="33">
        <v>678</v>
      </c>
      <c r="G1573" s="33" t="s">
        <v>38</v>
      </c>
      <c r="H1573" s="33" t="s">
        <v>8124</v>
      </c>
      <c r="I1573" s="33" t="s">
        <v>39</v>
      </c>
      <c r="J1573" s="33" t="s">
        <v>40</v>
      </c>
      <c r="K1573" s="33" t="s">
        <v>41</v>
      </c>
      <c r="L1573" s="33">
        <v>5</v>
      </c>
    </row>
    <row r="1574" spans="1:12" s="33" customFormat="1" hidden="1" x14ac:dyDescent="0.3">
      <c r="A1574" s="39">
        <v>46094.471006944441</v>
      </c>
      <c r="B1574" s="33">
        <v>44999743444</v>
      </c>
      <c r="C1574" s="33" t="s">
        <v>44</v>
      </c>
      <c r="D1574" s="33">
        <v>4430265054</v>
      </c>
      <c r="E1574" s="33">
        <v>532</v>
      </c>
      <c r="F1574" s="33">
        <v>401</v>
      </c>
      <c r="G1574" s="33" t="s">
        <v>38</v>
      </c>
      <c r="H1574" s="33" t="s">
        <v>8125</v>
      </c>
      <c r="I1574" s="33" t="s">
        <v>39</v>
      </c>
      <c r="J1574" s="33" t="s">
        <v>40</v>
      </c>
      <c r="K1574" s="33" t="s">
        <v>41</v>
      </c>
    </row>
    <row r="1575" spans="1:12" s="33" customFormat="1" hidden="1" x14ac:dyDescent="0.3">
      <c r="A1575" s="39">
        <v>46094.469166666669</v>
      </c>
      <c r="B1575" s="33">
        <v>4430315826</v>
      </c>
      <c r="C1575" s="33" t="s">
        <v>43</v>
      </c>
      <c r="D1575" s="33">
        <v>4430265054</v>
      </c>
      <c r="E1575" s="33">
        <v>453</v>
      </c>
      <c r="F1575" s="33">
        <v>406</v>
      </c>
      <c r="G1575" s="33" t="s">
        <v>38</v>
      </c>
      <c r="H1575" s="33" t="s">
        <v>8126</v>
      </c>
      <c r="I1575" s="33" t="s">
        <v>39</v>
      </c>
      <c r="J1575" s="33" t="s">
        <v>40</v>
      </c>
      <c r="K1575" s="33" t="s">
        <v>41</v>
      </c>
    </row>
    <row r="1576" spans="1:12" s="33" customFormat="1" hidden="1" x14ac:dyDescent="0.3">
      <c r="A1576" s="39">
        <v>46094.467974537038</v>
      </c>
      <c r="B1576" s="33">
        <v>44998717172</v>
      </c>
      <c r="C1576" s="33">
        <v>4430265054</v>
      </c>
      <c r="D1576" s="33">
        <v>4430265054</v>
      </c>
      <c r="E1576" s="33">
        <v>5</v>
      </c>
      <c r="F1576" s="33">
        <v>4</v>
      </c>
      <c r="G1576" s="33" t="s">
        <v>3449</v>
      </c>
      <c r="H1576" s="33" t="s">
        <v>8127</v>
      </c>
      <c r="I1576" s="33" t="s">
        <v>39</v>
      </c>
      <c r="J1576" s="33" t="s">
        <v>3451</v>
      </c>
    </row>
    <row r="1577" spans="1:12" s="33" customFormat="1" hidden="1" x14ac:dyDescent="0.3">
      <c r="A1577" s="39">
        <v>46094.466678240744</v>
      </c>
      <c r="B1577" s="33">
        <v>44991249108</v>
      </c>
      <c r="C1577" s="33" t="s">
        <v>45</v>
      </c>
      <c r="D1577" s="33">
        <v>4430265054</v>
      </c>
      <c r="E1577" s="33">
        <v>272</v>
      </c>
      <c r="F1577" s="33">
        <v>231</v>
      </c>
      <c r="G1577" s="33" t="s">
        <v>38</v>
      </c>
      <c r="H1577" s="33" t="s">
        <v>8128</v>
      </c>
      <c r="I1577" s="33" t="s">
        <v>39</v>
      </c>
      <c r="J1577" s="33" t="s">
        <v>40</v>
      </c>
      <c r="K1577" s="33" t="s">
        <v>41</v>
      </c>
      <c r="L1577" s="33">
        <v>5</v>
      </c>
    </row>
    <row r="1578" spans="1:12" s="33" customFormat="1" x14ac:dyDescent="0.3">
      <c r="A1578" s="39">
        <v>46094.466134259259</v>
      </c>
      <c r="B1578" s="33">
        <v>62994086124</v>
      </c>
      <c r="C1578" s="33" t="s">
        <v>42</v>
      </c>
      <c r="D1578" s="33">
        <v>4430265054</v>
      </c>
      <c r="E1578" s="33">
        <v>921</v>
      </c>
      <c r="F1578" s="33">
        <v>855</v>
      </c>
      <c r="G1578" s="33" t="s">
        <v>38</v>
      </c>
      <c r="H1578" s="33" t="s">
        <v>8129</v>
      </c>
      <c r="I1578" s="33" t="s">
        <v>39</v>
      </c>
      <c r="J1578" s="33" t="s">
        <v>40</v>
      </c>
      <c r="K1578" s="33" t="s">
        <v>41</v>
      </c>
      <c r="L1578" s="33">
        <v>5</v>
      </c>
    </row>
    <row r="1579" spans="1:12" s="33" customFormat="1" hidden="1" x14ac:dyDescent="0.3">
      <c r="A1579" s="39">
        <v>46094.463506944441</v>
      </c>
      <c r="B1579" s="33" t="s">
        <v>3627</v>
      </c>
      <c r="C1579" s="33">
        <v>11991841970</v>
      </c>
      <c r="E1579" s="33">
        <v>14</v>
      </c>
      <c r="F1579" s="33">
        <v>8</v>
      </c>
      <c r="G1579" s="33" t="s">
        <v>38</v>
      </c>
      <c r="H1579" s="33" t="s">
        <v>8130</v>
      </c>
      <c r="I1579" s="33" t="s">
        <v>46</v>
      </c>
      <c r="J1579" s="33" t="s">
        <v>3629</v>
      </c>
    </row>
    <row r="1580" spans="1:12" s="33" customFormat="1" hidden="1" x14ac:dyDescent="0.3">
      <c r="A1580" s="39">
        <v>46094.461886574078</v>
      </c>
      <c r="B1580" s="33" t="s">
        <v>3627</v>
      </c>
      <c r="C1580" s="33">
        <v>31971251984</v>
      </c>
      <c r="E1580" s="33">
        <v>7</v>
      </c>
      <c r="F1580" s="33">
        <v>0</v>
      </c>
      <c r="G1580" s="33" t="s">
        <v>47</v>
      </c>
      <c r="H1580" s="33" t="s">
        <v>8131</v>
      </c>
      <c r="I1580" s="33" t="s">
        <v>46</v>
      </c>
      <c r="J1580" s="33" t="s">
        <v>3629</v>
      </c>
    </row>
    <row r="1581" spans="1:12" s="33" customFormat="1" hidden="1" x14ac:dyDescent="0.3">
      <c r="A1581" s="39">
        <v>46094.458611111113</v>
      </c>
      <c r="B1581" s="33" t="s">
        <v>3627</v>
      </c>
      <c r="C1581" s="33">
        <v>1120904570</v>
      </c>
      <c r="E1581" s="33">
        <v>27</v>
      </c>
      <c r="F1581" s="33">
        <v>26</v>
      </c>
      <c r="G1581" s="33" t="s">
        <v>38</v>
      </c>
      <c r="H1581" s="33" t="s">
        <v>8132</v>
      </c>
      <c r="I1581" s="33" t="s">
        <v>46</v>
      </c>
      <c r="J1581" s="33" t="s">
        <v>3629</v>
      </c>
    </row>
    <row r="1582" spans="1:12" s="33" customFormat="1" hidden="1" x14ac:dyDescent="0.3">
      <c r="A1582" s="39">
        <v>46094.454965277779</v>
      </c>
      <c r="B1582" s="33" t="s">
        <v>3627</v>
      </c>
      <c r="C1582" s="33">
        <v>49998138711</v>
      </c>
      <c r="E1582" s="33">
        <v>10</v>
      </c>
      <c r="F1582" s="33">
        <v>3</v>
      </c>
      <c r="G1582" s="33" t="s">
        <v>38</v>
      </c>
      <c r="H1582" s="33" t="s">
        <v>8133</v>
      </c>
      <c r="I1582" s="33" t="s">
        <v>46</v>
      </c>
      <c r="J1582" s="33" t="s">
        <v>3629</v>
      </c>
    </row>
    <row r="1583" spans="1:12" s="33" customFormat="1" hidden="1" x14ac:dyDescent="0.3">
      <c r="A1583" s="39">
        <v>46094.454560185186</v>
      </c>
      <c r="B1583" s="33">
        <v>4430315826</v>
      </c>
      <c r="C1583" s="33" t="s">
        <v>43</v>
      </c>
      <c r="D1583" s="33">
        <v>4430265054</v>
      </c>
      <c r="E1583" s="33">
        <v>554</v>
      </c>
      <c r="F1583" s="33">
        <v>507</v>
      </c>
      <c r="G1583" s="33" t="s">
        <v>38</v>
      </c>
      <c r="H1583" s="33" t="s">
        <v>8134</v>
      </c>
      <c r="I1583" s="33" t="s">
        <v>39</v>
      </c>
      <c r="J1583" s="33" t="s">
        <v>40</v>
      </c>
      <c r="K1583" s="33" t="s">
        <v>41</v>
      </c>
    </row>
    <row r="1584" spans="1:12" s="33" customFormat="1" hidden="1" x14ac:dyDescent="0.3">
      <c r="A1584" s="39">
        <v>46094.45416666667</v>
      </c>
      <c r="B1584" s="33">
        <v>44998266194</v>
      </c>
      <c r="C1584" s="33" t="s">
        <v>44</v>
      </c>
      <c r="D1584" s="33">
        <v>4431268225</v>
      </c>
      <c r="E1584" s="33">
        <v>787</v>
      </c>
      <c r="F1584" s="33">
        <v>749</v>
      </c>
      <c r="G1584" s="33" t="s">
        <v>38</v>
      </c>
      <c r="H1584" s="33" t="s">
        <v>8135</v>
      </c>
      <c r="I1584" s="33" t="s">
        <v>39</v>
      </c>
      <c r="J1584" s="33" t="s">
        <v>40</v>
      </c>
      <c r="K1584" s="33" t="s">
        <v>41</v>
      </c>
      <c r="L1584" s="33">
        <v>5</v>
      </c>
    </row>
    <row r="1585" spans="1:12" s="33" customFormat="1" hidden="1" x14ac:dyDescent="0.3">
      <c r="A1585" s="39">
        <v>46094.450312499997</v>
      </c>
      <c r="B1585" s="33">
        <v>44997618065</v>
      </c>
      <c r="C1585" s="33" t="s">
        <v>37</v>
      </c>
      <c r="D1585" s="33">
        <v>4430265054</v>
      </c>
      <c r="E1585" s="33">
        <v>893</v>
      </c>
      <c r="F1585" s="33">
        <v>861</v>
      </c>
      <c r="G1585" s="33" t="s">
        <v>38</v>
      </c>
      <c r="H1585" s="33" t="s">
        <v>8136</v>
      </c>
      <c r="I1585" s="33" t="s">
        <v>39</v>
      </c>
      <c r="J1585" s="33" t="s">
        <v>40</v>
      </c>
      <c r="K1585" s="33" t="s">
        <v>41</v>
      </c>
    </row>
    <row r="1586" spans="1:12" s="33" customFormat="1" hidden="1" x14ac:dyDescent="0.3">
      <c r="A1586" s="39">
        <v>46094.446192129632</v>
      </c>
      <c r="B1586" s="33">
        <v>4330261969</v>
      </c>
      <c r="C1586" s="33" t="s">
        <v>45</v>
      </c>
      <c r="D1586" s="33">
        <v>4430265054</v>
      </c>
      <c r="E1586" s="33">
        <v>1372</v>
      </c>
      <c r="F1586" s="33">
        <v>1259</v>
      </c>
      <c r="G1586" s="33" t="s">
        <v>38</v>
      </c>
      <c r="H1586" s="33" t="s">
        <v>8137</v>
      </c>
      <c r="I1586" s="33" t="s">
        <v>39</v>
      </c>
      <c r="J1586" s="33" t="s">
        <v>40</v>
      </c>
      <c r="K1586" s="33" t="s">
        <v>41</v>
      </c>
      <c r="L1586" s="33">
        <v>5</v>
      </c>
    </row>
    <row r="1587" spans="1:12" s="33" customFormat="1" hidden="1" x14ac:dyDescent="0.3">
      <c r="A1587" s="39">
        <v>46094.444409722222</v>
      </c>
      <c r="B1587" s="33">
        <v>44997450437</v>
      </c>
      <c r="C1587" s="33" t="s">
        <v>43</v>
      </c>
      <c r="D1587" s="33">
        <v>4431268225</v>
      </c>
      <c r="E1587" s="33">
        <v>274</v>
      </c>
      <c r="F1587" s="33">
        <v>107</v>
      </c>
      <c r="G1587" s="33" t="s">
        <v>38</v>
      </c>
      <c r="H1587" s="33" t="s">
        <v>8138</v>
      </c>
      <c r="I1587" s="33" t="s">
        <v>39</v>
      </c>
      <c r="J1587" s="33" t="s">
        <v>40</v>
      </c>
      <c r="K1587" s="33" t="s">
        <v>41</v>
      </c>
    </row>
    <row r="1588" spans="1:12" s="33" customFormat="1" hidden="1" x14ac:dyDescent="0.3">
      <c r="A1588" s="39">
        <v>46094.443206018521</v>
      </c>
      <c r="B1588" s="33">
        <v>44991388221</v>
      </c>
      <c r="C1588" s="33" t="s">
        <v>42</v>
      </c>
      <c r="D1588" s="33">
        <v>4430265054</v>
      </c>
      <c r="E1588" s="33">
        <v>749</v>
      </c>
      <c r="F1588" s="33">
        <v>669</v>
      </c>
      <c r="G1588" s="33" t="s">
        <v>38</v>
      </c>
      <c r="H1588" s="33" t="s">
        <v>8139</v>
      </c>
      <c r="I1588" s="33" t="s">
        <v>39</v>
      </c>
      <c r="J1588" s="33" t="s">
        <v>40</v>
      </c>
      <c r="K1588" s="33" t="s">
        <v>41</v>
      </c>
    </row>
    <row r="1589" spans="1:12" s="33" customFormat="1" hidden="1" x14ac:dyDescent="0.3">
      <c r="A1589" s="39">
        <v>46094.442546296297</v>
      </c>
      <c r="B1589" s="33">
        <v>4532541802</v>
      </c>
      <c r="C1589" s="33" t="s">
        <v>48</v>
      </c>
      <c r="D1589" s="33">
        <v>4430265054</v>
      </c>
      <c r="E1589" s="33">
        <v>823</v>
      </c>
      <c r="F1589" s="33">
        <v>572</v>
      </c>
      <c r="G1589" s="33" t="s">
        <v>38</v>
      </c>
      <c r="H1589" s="33" t="s">
        <v>8140</v>
      </c>
      <c r="I1589" s="33" t="s">
        <v>39</v>
      </c>
      <c r="J1589" s="33" t="s">
        <v>40</v>
      </c>
      <c r="K1589" s="33" t="s">
        <v>41</v>
      </c>
    </row>
    <row r="1590" spans="1:12" s="33" customFormat="1" hidden="1" x14ac:dyDescent="0.3">
      <c r="A1590" s="39">
        <v>46094.441770833335</v>
      </c>
      <c r="B1590" s="33">
        <v>44988255390</v>
      </c>
      <c r="C1590" s="33" t="s">
        <v>37</v>
      </c>
      <c r="D1590" s="33">
        <v>4430265054</v>
      </c>
      <c r="E1590" s="33">
        <v>655</v>
      </c>
      <c r="F1590" s="33">
        <v>241</v>
      </c>
      <c r="G1590" s="33" t="s">
        <v>38</v>
      </c>
      <c r="H1590" s="33" t="s">
        <v>8141</v>
      </c>
      <c r="I1590" s="33" t="s">
        <v>39</v>
      </c>
      <c r="J1590" s="33" t="s">
        <v>40</v>
      </c>
      <c r="K1590" s="33" t="s">
        <v>41</v>
      </c>
    </row>
    <row r="1591" spans="1:12" s="33" customFormat="1" hidden="1" x14ac:dyDescent="0.3">
      <c r="A1591" s="39">
        <v>46094.437291666669</v>
      </c>
      <c r="B1591" s="33">
        <v>1131043888</v>
      </c>
      <c r="C1591" s="33" t="s">
        <v>44</v>
      </c>
      <c r="D1591" s="33">
        <v>4430265054</v>
      </c>
      <c r="E1591" s="33">
        <v>832</v>
      </c>
      <c r="F1591" s="33">
        <v>672</v>
      </c>
      <c r="G1591" s="33" t="s">
        <v>38</v>
      </c>
      <c r="H1591" s="33" t="s">
        <v>8142</v>
      </c>
      <c r="I1591" s="33" t="s">
        <v>39</v>
      </c>
      <c r="J1591" s="33" t="s">
        <v>40</v>
      </c>
      <c r="K1591" s="33" t="s">
        <v>41</v>
      </c>
      <c r="L1591" s="33">
        <v>5</v>
      </c>
    </row>
    <row r="1592" spans="1:12" s="33" customFormat="1" hidden="1" x14ac:dyDescent="0.3">
      <c r="A1592" s="39">
        <v>46094.437083333331</v>
      </c>
      <c r="B1592" s="33">
        <v>4432256983</v>
      </c>
      <c r="C1592" s="33" t="s">
        <v>45</v>
      </c>
      <c r="D1592" s="33">
        <v>4430265054</v>
      </c>
      <c r="E1592" s="33">
        <v>914</v>
      </c>
      <c r="F1592" s="33">
        <v>868</v>
      </c>
      <c r="G1592" s="33" t="s">
        <v>38</v>
      </c>
      <c r="H1592" s="33" t="s">
        <v>8143</v>
      </c>
      <c r="I1592" s="33" t="s">
        <v>39</v>
      </c>
      <c r="J1592" s="33" t="s">
        <v>40</v>
      </c>
      <c r="K1592" s="33" t="s">
        <v>41</v>
      </c>
      <c r="L1592" s="33">
        <v>5</v>
      </c>
    </row>
    <row r="1593" spans="1:12" s="33" customFormat="1" hidden="1" x14ac:dyDescent="0.3">
      <c r="A1593" s="39">
        <v>46094.434108796297</v>
      </c>
      <c r="B1593" s="33">
        <v>4432524652</v>
      </c>
      <c r="C1593" s="33" t="s">
        <v>43</v>
      </c>
      <c r="D1593" s="33">
        <v>4430265054</v>
      </c>
      <c r="E1593" s="33">
        <v>1036</v>
      </c>
      <c r="F1593" s="33">
        <v>1013</v>
      </c>
      <c r="G1593" s="33" t="s">
        <v>38</v>
      </c>
      <c r="H1593" s="33" t="s">
        <v>8144</v>
      </c>
      <c r="I1593" s="33" t="s">
        <v>39</v>
      </c>
      <c r="J1593" s="33" t="s">
        <v>40</v>
      </c>
      <c r="K1593" s="33" t="s">
        <v>41</v>
      </c>
      <c r="L1593" s="33">
        <v>5</v>
      </c>
    </row>
    <row r="1594" spans="1:12" s="33" customFormat="1" hidden="1" x14ac:dyDescent="0.3">
      <c r="A1594" s="39">
        <v>46094.432604166665</v>
      </c>
      <c r="B1594" s="33" t="s">
        <v>3627</v>
      </c>
      <c r="C1594" s="33">
        <v>31996951643</v>
      </c>
      <c r="E1594" s="33">
        <v>12</v>
      </c>
      <c r="F1594" s="33">
        <v>2</v>
      </c>
      <c r="G1594" s="33" t="s">
        <v>38</v>
      </c>
      <c r="H1594" s="33" t="s">
        <v>8145</v>
      </c>
      <c r="I1594" s="33" t="s">
        <v>46</v>
      </c>
      <c r="J1594" s="33" t="s">
        <v>3629</v>
      </c>
    </row>
    <row r="1595" spans="1:12" s="33" customFormat="1" hidden="1" x14ac:dyDescent="0.3">
      <c r="A1595" s="39">
        <v>46094.428252314814</v>
      </c>
      <c r="B1595" s="33" t="s">
        <v>42</v>
      </c>
      <c r="C1595" s="33">
        <v>4130263118</v>
      </c>
      <c r="E1595" s="33">
        <v>1382</v>
      </c>
      <c r="F1595" s="33">
        <v>1376</v>
      </c>
      <c r="G1595" s="33" t="s">
        <v>38</v>
      </c>
      <c r="H1595" s="33" t="s">
        <v>8146</v>
      </c>
      <c r="I1595" s="33" t="s">
        <v>46</v>
      </c>
      <c r="J1595" s="33" t="s">
        <v>40</v>
      </c>
    </row>
    <row r="1596" spans="1:12" s="33" customFormat="1" hidden="1" x14ac:dyDescent="0.3">
      <c r="A1596" s="39">
        <v>46094.42659722222</v>
      </c>
      <c r="B1596" s="33">
        <v>12997346335</v>
      </c>
      <c r="C1596" s="33" t="s">
        <v>44</v>
      </c>
      <c r="D1596" s="33">
        <v>4430265054</v>
      </c>
      <c r="E1596" s="33">
        <v>1025</v>
      </c>
      <c r="F1596" s="33">
        <v>682</v>
      </c>
      <c r="G1596" s="33" t="s">
        <v>38</v>
      </c>
      <c r="H1596" s="33" t="s">
        <v>8147</v>
      </c>
      <c r="I1596" s="33" t="s">
        <v>39</v>
      </c>
      <c r="J1596" s="33" t="s">
        <v>40</v>
      </c>
      <c r="K1596" s="33" t="s">
        <v>41</v>
      </c>
    </row>
    <row r="1597" spans="1:12" s="33" customFormat="1" hidden="1" x14ac:dyDescent="0.3">
      <c r="A1597" s="39">
        <v>46094.422986111109</v>
      </c>
      <c r="B1597" s="33">
        <v>4430459001</v>
      </c>
      <c r="C1597" s="33" t="s">
        <v>37</v>
      </c>
      <c r="D1597" s="33">
        <v>4430265054</v>
      </c>
      <c r="E1597" s="33">
        <v>1754</v>
      </c>
      <c r="F1597" s="33">
        <v>1666</v>
      </c>
      <c r="G1597" s="33" t="s">
        <v>38</v>
      </c>
      <c r="H1597" s="33" t="s">
        <v>8148</v>
      </c>
      <c r="I1597" s="33" t="s">
        <v>39</v>
      </c>
      <c r="J1597" s="33" t="s">
        <v>40</v>
      </c>
      <c r="K1597" s="33" t="s">
        <v>41</v>
      </c>
    </row>
    <row r="1598" spans="1:12" s="33" customFormat="1" hidden="1" x14ac:dyDescent="0.3">
      <c r="A1598" s="39">
        <v>46094.420914351853</v>
      </c>
      <c r="B1598" s="33">
        <v>43991762957</v>
      </c>
      <c r="C1598" s="33" t="s">
        <v>42</v>
      </c>
      <c r="D1598" s="33">
        <v>4430265054</v>
      </c>
      <c r="E1598" s="33">
        <v>373</v>
      </c>
      <c r="F1598" s="33">
        <v>334</v>
      </c>
      <c r="G1598" s="33" t="s">
        <v>38</v>
      </c>
      <c r="H1598" s="33" t="s">
        <v>8149</v>
      </c>
      <c r="I1598" s="33" t="s">
        <v>39</v>
      </c>
      <c r="J1598" s="33" t="s">
        <v>40</v>
      </c>
      <c r="K1598" s="33" t="s">
        <v>41</v>
      </c>
    </row>
    <row r="1599" spans="1:12" s="33" customFormat="1" hidden="1" x14ac:dyDescent="0.3">
      <c r="A1599" s="39">
        <v>46094.401261574072</v>
      </c>
      <c r="B1599" s="33" t="s">
        <v>45</v>
      </c>
      <c r="C1599" s="33">
        <v>4330333542</v>
      </c>
      <c r="E1599" s="33">
        <v>240</v>
      </c>
      <c r="F1599" s="33">
        <v>234</v>
      </c>
      <c r="G1599" s="33" t="s">
        <v>38</v>
      </c>
      <c r="H1599" s="33" t="s">
        <v>8150</v>
      </c>
      <c r="I1599" s="33" t="s">
        <v>46</v>
      </c>
      <c r="J1599" s="33" t="s">
        <v>40</v>
      </c>
    </row>
    <row r="1600" spans="1:12" s="33" customFormat="1" hidden="1" x14ac:dyDescent="0.3">
      <c r="A1600" s="39">
        <v>46094.39739583333</v>
      </c>
      <c r="B1600" s="33" t="s">
        <v>51</v>
      </c>
      <c r="C1600" s="33">
        <v>4530390051</v>
      </c>
      <c r="E1600" s="33">
        <v>820</v>
      </c>
      <c r="F1600" s="33">
        <v>818</v>
      </c>
      <c r="G1600" s="33" t="s">
        <v>38</v>
      </c>
      <c r="H1600" s="33" t="s">
        <v>8151</v>
      </c>
      <c r="I1600" s="33" t="s">
        <v>46</v>
      </c>
      <c r="J1600" s="33" t="s">
        <v>3629</v>
      </c>
    </row>
    <row r="1601" spans="1:12" s="33" customFormat="1" hidden="1" x14ac:dyDescent="0.3">
      <c r="A1601" s="39">
        <v>46094.397303240738</v>
      </c>
      <c r="B1601" s="33" t="s">
        <v>51</v>
      </c>
      <c r="C1601" s="33">
        <v>4540639075</v>
      </c>
      <c r="E1601" s="33">
        <v>0</v>
      </c>
      <c r="F1601" s="33">
        <v>0</v>
      </c>
      <c r="G1601" s="33" t="s">
        <v>47</v>
      </c>
      <c r="H1601" s="33" t="s">
        <v>8152</v>
      </c>
      <c r="I1601" s="33" t="s">
        <v>46</v>
      </c>
      <c r="J1601" s="33" t="s">
        <v>3629</v>
      </c>
    </row>
    <row r="1602" spans="1:12" s="33" customFormat="1" hidden="1" x14ac:dyDescent="0.3">
      <c r="A1602" s="39">
        <v>46094.397199074076</v>
      </c>
      <c r="B1602" s="33" t="s">
        <v>51</v>
      </c>
      <c r="C1602" s="33">
        <v>4540639075</v>
      </c>
      <c r="E1602" s="33">
        <v>0</v>
      </c>
      <c r="F1602" s="33">
        <v>0</v>
      </c>
      <c r="G1602" s="33" t="s">
        <v>47</v>
      </c>
      <c r="H1602" s="33" t="s">
        <v>8153</v>
      </c>
      <c r="I1602" s="33" t="s">
        <v>46</v>
      </c>
      <c r="J1602" s="33" t="s">
        <v>3629</v>
      </c>
    </row>
    <row r="1603" spans="1:12" s="33" customFormat="1" hidden="1" x14ac:dyDescent="0.3">
      <c r="A1603" s="39">
        <v>46094.397106481483</v>
      </c>
      <c r="B1603" s="33" t="s">
        <v>51</v>
      </c>
      <c r="C1603" s="33">
        <v>4540639075</v>
      </c>
      <c r="E1603" s="33">
        <v>0</v>
      </c>
      <c r="F1603" s="33">
        <v>0</v>
      </c>
      <c r="G1603" s="33" t="s">
        <v>47</v>
      </c>
      <c r="H1603" s="33" t="s">
        <v>8154</v>
      </c>
      <c r="I1603" s="33" t="s">
        <v>46</v>
      </c>
      <c r="J1603" s="33" t="s">
        <v>3629</v>
      </c>
    </row>
    <row r="1604" spans="1:12" s="33" customFormat="1" hidden="1" x14ac:dyDescent="0.3">
      <c r="A1604" s="39">
        <v>46094.396516203706</v>
      </c>
      <c r="B1604" s="33">
        <v>43996893235</v>
      </c>
      <c r="C1604" s="33" t="s">
        <v>45</v>
      </c>
      <c r="D1604" s="33">
        <v>4430265054</v>
      </c>
      <c r="E1604" s="33">
        <v>346</v>
      </c>
      <c r="F1604" s="33">
        <v>285</v>
      </c>
      <c r="G1604" s="33" t="s">
        <v>38</v>
      </c>
      <c r="H1604" s="33" t="s">
        <v>8155</v>
      </c>
      <c r="I1604" s="33" t="s">
        <v>39</v>
      </c>
      <c r="J1604" s="33" t="s">
        <v>40</v>
      </c>
      <c r="K1604" s="33" t="s">
        <v>41</v>
      </c>
    </row>
    <row r="1605" spans="1:12" s="33" customFormat="1" hidden="1" x14ac:dyDescent="0.3">
      <c r="A1605" s="39">
        <v>46094.395949074074</v>
      </c>
      <c r="B1605" s="33">
        <v>43988030048</v>
      </c>
      <c r="C1605" s="33" t="s">
        <v>44</v>
      </c>
      <c r="D1605" s="33">
        <v>4430265054</v>
      </c>
      <c r="E1605" s="33">
        <v>1438</v>
      </c>
      <c r="F1605" s="33">
        <v>1382</v>
      </c>
      <c r="G1605" s="33" t="s">
        <v>38</v>
      </c>
      <c r="H1605" s="33" t="s">
        <v>8156</v>
      </c>
      <c r="I1605" s="33" t="s">
        <v>39</v>
      </c>
      <c r="J1605" s="33" t="s">
        <v>40</v>
      </c>
      <c r="K1605" s="33" t="s">
        <v>41</v>
      </c>
      <c r="L1605" s="33">
        <v>5</v>
      </c>
    </row>
    <row r="1606" spans="1:12" s="33" customFormat="1" hidden="1" x14ac:dyDescent="0.3">
      <c r="A1606" s="39">
        <v>46094.390370370369</v>
      </c>
      <c r="B1606" s="33">
        <v>62994086124</v>
      </c>
      <c r="C1606" s="33" t="s">
        <v>37</v>
      </c>
      <c r="D1606" s="33">
        <v>4430265054</v>
      </c>
      <c r="E1606" s="33">
        <v>1942</v>
      </c>
      <c r="F1606" s="33">
        <v>1827</v>
      </c>
      <c r="G1606" s="33" t="s">
        <v>38</v>
      </c>
      <c r="H1606" s="33" t="s">
        <v>8157</v>
      </c>
      <c r="I1606" s="33" t="s">
        <v>39</v>
      </c>
      <c r="J1606" s="33" t="s">
        <v>40</v>
      </c>
      <c r="K1606" s="33" t="s">
        <v>41</v>
      </c>
      <c r="L1606" s="33">
        <v>5</v>
      </c>
    </row>
    <row r="1607" spans="1:12" s="33" customFormat="1" hidden="1" x14ac:dyDescent="0.3">
      <c r="A1607" s="39">
        <v>46094.38890046296</v>
      </c>
      <c r="B1607" s="33" t="s">
        <v>3627</v>
      </c>
      <c r="C1607" s="33">
        <v>11981725659</v>
      </c>
      <c r="E1607" s="33">
        <v>16</v>
      </c>
      <c r="F1607" s="33">
        <v>4</v>
      </c>
      <c r="G1607" s="33" t="s">
        <v>38</v>
      </c>
      <c r="H1607" s="33" t="s">
        <v>8158</v>
      </c>
      <c r="I1607" s="33" t="s">
        <v>46</v>
      </c>
      <c r="J1607" s="33" t="s">
        <v>3629</v>
      </c>
    </row>
    <row r="1608" spans="1:12" s="33" customFormat="1" hidden="1" x14ac:dyDescent="0.3">
      <c r="A1608" s="39">
        <v>46094.388333333336</v>
      </c>
      <c r="B1608" s="33" t="s">
        <v>3627</v>
      </c>
      <c r="C1608" s="33">
        <v>21959213607</v>
      </c>
      <c r="E1608" s="33">
        <v>21</v>
      </c>
      <c r="F1608" s="33">
        <v>18</v>
      </c>
      <c r="G1608" s="33" t="s">
        <v>38</v>
      </c>
      <c r="H1608" s="33" t="s">
        <v>8159</v>
      </c>
      <c r="I1608" s="33" t="s">
        <v>46</v>
      </c>
      <c r="J1608" s="33" t="s">
        <v>3629</v>
      </c>
    </row>
    <row r="1609" spans="1:12" s="33" customFormat="1" hidden="1" x14ac:dyDescent="0.3">
      <c r="A1609" s="39">
        <v>46094.380057870374</v>
      </c>
      <c r="B1609" s="33">
        <v>4334234629</v>
      </c>
      <c r="C1609" s="33" t="s">
        <v>43</v>
      </c>
      <c r="D1609" s="33">
        <v>4430265054</v>
      </c>
      <c r="E1609" s="33">
        <v>522</v>
      </c>
      <c r="F1609" s="33">
        <v>466</v>
      </c>
      <c r="G1609" s="33" t="s">
        <v>38</v>
      </c>
      <c r="H1609" s="33" t="s">
        <v>8160</v>
      </c>
      <c r="I1609" s="33" t="s">
        <v>39</v>
      </c>
      <c r="J1609" s="33" t="s">
        <v>40</v>
      </c>
      <c r="K1609" s="33" t="s">
        <v>41</v>
      </c>
    </row>
    <row r="1610" spans="1:12" s="33" customFormat="1" hidden="1" x14ac:dyDescent="0.3">
      <c r="A1610" s="39">
        <v>46094.375925925924</v>
      </c>
      <c r="B1610" s="33">
        <v>4532541802</v>
      </c>
      <c r="C1610" s="33" t="s">
        <v>37</v>
      </c>
      <c r="D1610" s="33">
        <v>4430265054</v>
      </c>
      <c r="E1610" s="33">
        <v>999</v>
      </c>
      <c r="F1610" s="33">
        <v>909</v>
      </c>
      <c r="G1610" s="33" t="s">
        <v>38</v>
      </c>
      <c r="H1610" s="33" t="s">
        <v>8161</v>
      </c>
      <c r="I1610" s="33" t="s">
        <v>39</v>
      </c>
      <c r="J1610" s="33" t="s">
        <v>40</v>
      </c>
      <c r="K1610" s="33" t="s">
        <v>41</v>
      </c>
    </row>
    <row r="1611" spans="1:12" s="33" customFormat="1" hidden="1" x14ac:dyDescent="0.3">
      <c r="A1611" s="39">
        <v>46094.372465277775</v>
      </c>
      <c r="B1611" s="33">
        <v>11985836640</v>
      </c>
      <c r="C1611" s="33" t="s">
        <v>42</v>
      </c>
      <c r="D1611" s="33">
        <v>4430265054</v>
      </c>
      <c r="E1611" s="33">
        <v>503</v>
      </c>
      <c r="F1611" s="33">
        <v>370</v>
      </c>
      <c r="G1611" s="33" t="s">
        <v>38</v>
      </c>
      <c r="H1611" s="33" t="s">
        <v>8162</v>
      </c>
      <c r="I1611" s="33" t="s">
        <v>39</v>
      </c>
      <c r="J1611" s="33" t="s">
        <v>40</v>
      </c>
      <c r="K1611" s="33" t="s">
        <v>41</v>
      </c>
    </row>
    <row r="1612" spans="1:12" s="33" customFormat="1" hidden="1" x14ac:dyDescent="0.3">
      <c r="A1612" s="39">
        <v>46094.370821759258</v>
      </c>
      <c r="B1612" s="33">
        <v>1438160351</v>
      </c>
      <c r="C1612" s="33">
        <v>4430265054</v>
      </c>
      <c r="D1612" s="33">
        <v>4430265054</v>
      </c>
      <c r="E1612" s="33">
        <v>8</v>
      </c>
      <c r="F1612" s="33">
        <v>7</v>
      </c>
      <c r="G1612" s="33" t="s">
        <v>3449</v>
      </c>
      <c r="H1612" s="33" t="s">
        <v>8163</v>
      </c>
      <c r="I1612" s="33" t="s">
        <v>39</v>
      </c>
      <c r="J1612" s="33" t="s">
        <v>3451</v>
      </c>
    </row>
    <row r="1613" spans="1:12" s="33" customFormat="1" hidden="1" x14ac:dyDescent="0.3">
      <c r="A1613" s="39">
        <v>46094.367962962962</v>
      </c>
      <c r="B1613" s="33">
        <v>4330333542</v>
      </c>
      <c r="C1613" s="33" t="s">
        <v>45</v>
      </c>
      <c r="D1613" s="33">
        <v>4430265054</v>
      </c>
      <c r="E1613" s="33">
        <v>2107</v>
      </c>
      <c r="F1613" s="33">
        <v>2012</v>
      </c>
      <c r="G1613" s="33" t="s">
        <v>38</v>
      </c>
      <c r="H1613" s="33" t="s">
        <v>8164</v>
      </c>
      <c r="I1613" s="33" t="s">
        <v>39</v>
      </c>
      <c r="J1613" s="33" t="s">
        <v>40</v>
      </c>
      <c r="K1613" s="33" t="s">
        <v>41</v>
      </c>
    </row>
    <row r="1614" spans="1:12" s="33" customFormat="1" hidden="1" x14ac:dyDescent="0.3">
      <c r="A1614" s="39">
        <v>46094.367534722223</v>
      </c>
      <c r="B1614" s="33">
        <v>4330332823</v>
      </c>
      <c r="C1614" s="33">
        <v>4430265054</v>
      </c>
      <c r="D1614" s="33">
        <v>4430265054</v>
      </c>
      <c r="E1614" s="33">
        <v>8</v>
      </c>
      <c r="F1614" s="33">
        <v>7</v>
      </c>
      <c r="G1614" s="33" t="s">
        <v>3449</v>
      </c>
      <c r="H1614" s="33" t="s">
        <v>8165</v>
      </c>
      <c r="I1614" s="33" t="s">
        <v>39</v>
      </c>
      <c r="J1614" s="33" t="s">
        <v>3451</v>
      </c>
    </row>
    <row r="1615" spans="1:12" s="33" customFormat="1" hidden="1" x14ac:dyDescent="0.3">
      <c r="A1615" s="39">
        <v>46094.36446759259</v>
      </c>
      <c r="B1615" s="33">
        <v>4330333542</v>
      </c>
      <c r="C1615" s="33">
        <v>4430265054</v>
      </c>
      <c r="D1615" s="33">
        <v>4430265054</v>
      </c>
      <c r="E1615" s="33">
        <v>51</v>
      </c>
      <c r="F1615" s="33">
        <v>51</v>
      </c>
      <c r="G1615" s="33" t="s">
        <v>3449</v>
      </c>
      <c r="H1615" s="33" t="s">
        <v>8166</v>
      </c>
      <c r="I1615" s="33" t="s">
        <v>39</v>
      </c>
      <c r="J1615" s="33" t="s">
        <v>3451</v>
      </c>
      <c r="K1615" s="33" t="s">
        <v>41</v>
      </c>
    </row>
    <row r="1616" spans="1:12" s="33" customFormat="1" x14ac:dyDescent="0.3">
      <c r="A1616" s="39">
        <v>46094.358043981483</v>
      </c>
      <c r="B1616" s="33">
        <v>4432524636</v>
      </c>
      <c r="C1616" s="33" t="s">
        <v>42</v>
      </c>
      <c r="D1616" s="33">
        <v>4430265054</v>
      </c>
      <c r="E1616" s="33">
        <v>884</v>
      </c>
      <c r="F1616" s="33">
        <v>845</v>
      </c>
      <c r="G1616" s="33" t="s">
        <v>38</v>
      </c>
      <c r="H1616" s="33" t="s">
        <v>8167</v>
      </c>
      <c r="I1616" s="33" t="s">
        <v>39</v>
      </c>
      <c r="J1616" s="33" t="s">
        <v>40</v>
      </c>
      <c r="K1616" s="33" t="s">
        <v>41</v>
      </c>
      <c r="L1616" s="33">
        <v>5</v>
      </c>
    </row>
    <row r="1617" spans="1:12" s="33" customFormat="1" hidden="1" x14ac:dyDescent="0.3">
      <c r="A1617" s="39">
        <v>46094.357743055552</v>
      </c>
      <c r="B1617" s="33">
        <v>4130263118</v>
      </c>
      <c r="C1617" s="33" t="s">
        <v>45</v>
      </c>
      <c r="D1617" s="33">
        <v>4430265054</v>
      </c>
      <c r="E1617" s="33">
        <v>568</v>
      </c>
      <c r="F1617" s="33">
        <v>367</v>
      </c>
      <c r="G1617" s="33" t="s">
        <v>38</v>
      </c>
      <c r="H1617" s="33" t="s">
        <v>8168</v>
      </c>
      <c r="I1617" s="33" t="s">
        <v>39</v>
      </c>
      <c r="J1617" s="33" t="s">
        <v>40</v>
      </c>
      <c r="K1617" s="33" t="s">
        <v>41</v>
      </c>
    </row>
    <row r="1618" spans="1:12" s="33" customFormat="1" hidden="1" x14ac:dyDescent="0.3">
      <c r="A1618" s="39">
        <v>46094.357523148145</v>
      </c>
      <c r="B1618" s="33" t="s">
        <v>43</v>
      </c>
      <c r="C1618" s="33">
        <v>4430459001</v>
      </c>
      <c r="E1618" s="33">
        <v>143</v>
      </c>
      <c r="F1618" s="33">
        <v>134</v>
      </c>
      <c r="G1618" s="33" t="s">
        <v>38</v>
      </c>
      <c r="H1618" s="33" t="s">
        <v>8169</v>
      </c>
      <c r="I1618" s="33" t="s">
        <v>46</v>
      </c>
      <c r="J1618" s="33" t="s">
        <v>40</v>
      </c>
    </row>
    <row r="1619" spans="1:12" s="33" customFormat="1" hidden="1" x14ac:dyDescent="0.3">
      <c r="A1619" s="39">
        <v>46094.343831018516</v>
      </c>
      <c r="B1619" s="33" t="s">
        <v>43</v>
      </c>
      <c r="C1619" s="33">
        <v>4430459001</v>
      </c>
      <c r="E1619" s="33">
        <v>435</v>
      </c>
      <c r="F1619" s="33">
        <v>426</v>
      </c>
      <c r="G1619" s="33" t="s">
        <v>38</v>
      </c>
      <c r="H1619" s="33" t="s">
        <v>8170</v>
      </c>
      <c r="I1619" s="33" t="s">
        <v>46</v>
      </c>
      <c r="J1619" s="33" t="s">
        <v>40</v>
      </c>
    </row>
    <row r="1620" spans="1:12" s="33" customFormat="1" x14ac:dyDescent="0.3">
      <c r="A1620" s="39">
        <v>46093.743287037039</v>
      </c>
      <c r="B1620" s="33">
        <v>41996631918</v>
      </c>
      <c r="C1620" s="33" t="s">
        <v>42</v>
      </c>
      <c r="D1620" s="33">
        <v>4430265054</v>
      </c>
      <c r="E1620" s="33">
        <v>457</v>
      </c>
      <c r="F1620" s="33">
        <v>400</v>
      </c>
      <c r="G1620" s="33" t="s">
        <v>38</v>
      </c>
      <c r="H1620" s="33" t="s">
        <v>8171</v>
      </c>
      <c r="I1620" s="33" t="s">
        <v>39</v>
      </c>
      <c r="J1620" s="33" t="s">
        <v>40</v>
      </c>
      <c r="K1620" s="33" t="s">
        <v>41</v>
      </c>
      <c r="L1620" s="33">
        <v>5</v>
      </c>
    </row>
    <row r="1621" spans="1:12" s="33" customFormat="1" hidden="1" x14ac:dyDescent="0.3">
      <c r="A1621" s="39">
        <v>46093.737696759257</v>
      </c>
      <c r="B1621" s="33">
        <v>4440524992</v>
      </c>
      <c r="C1621" s="33">
        <v>4430265054</v>
      </c>
      <c r="D1621" s="33">
        <v>4430265054</v>
      </c>
      <c r="E1621" s="33">
        <v>7</v>
      </c>
      <c r="F1621" s="33">
        <v>7</v>
      </c>
      <c r="G1621" s="33" t="s">
        <v>3449</v>
      </c>
      <c r="H1621" s="33" t="s">
        <v>8172</v>
      </c>
      <c r="I1621" s="33" t="s">
        <v>39</v>
      </c>
      <c r="J1621" s="33" t="s">
        <v>3451</v>
      </c>
    </row>
    <row r="1622" spans="1:12" s="33" customFormat="1" hidden="1" x14ac:dyDescent="0.3">
      <c r="A1622" s="39">
        <v>46093.737638888888</v>
      </c>
      <c r="B1622" s="33">
        <v>4430273526</v>
      </c>
      <c r="C1622" s="33">
        <v>4430265054</v>
      </c>
      <c r="D1622" s="33">
        <v>4430265054</v>
      </c>
      <c r="E1622" s="33">
        <v>8</v>
      </c>
      <c r="F1622" s="33">
        <v>7</v>
      </c>
      <c r="G1622" s="33" t="s">
        <v>3449</v>
      </c>
      <c r="H1622" s="33" t="s">
        <v>8173</v>
      </c>
      <c r="I1622" s="33" t="s">
        <v>39</v>
      </c>
      <c r="J1622" s="33" t="s">
        <v>3451</v>
      </c>
    </row>
    <row r="1623" spans="1:12" s="33" customFormat="1" hidden="1" x14ac:dyDescent="0.3">
      <c r="A1623" s="39">
        <v>46093.7266087963</v>
      </c>
      <c r="B1623" s="33">
        <v>41999865917</v>
      </c>
      <c r="C1623" s="33" t="s">
        <v>45</v>
      </c>
      <c r="D1623" s="33">
        <v>4430265054</v>
      </c>
      <c r="E1623" s="33">
        <v>599</v>
      </c>
      <c r="F1623" s="33">
        <v>476</v>
      </c>
      <c r="G1623" s="33" t="s">
        <v>38</v>
      </c>
      <c r="H1623" s="33" t="s">
        <v>8174</v>
      </c>
      <c r="I1623" s="33" t="s">
        <v>39</v>
      </c>
      <c r="J1623" s="33" t="s">
        <v>40</v>
      </c>
      <c r="K1623" s="33" t="s">
        <v>41</v>
      </c>
    </row>
    <row r="1624" spans="1:12" s="33" customFormat="1" hidden="1" x14ac:dyDescent="0.3">
      <c r="A1624" s="39">
        <v>46093.721770833334</v>
      </c>
      <c r="B1624" s="33">
        <v>4330333542</v>
      </c>
      <c r="C1624" s="33" t="s">
        <v>43</v>
      </c>
      <c r="D1624" s="33">
        <v>4430265054</v>
      </c>
      <c r="E1624" s="33">
        <v>594</v>
      </c>
      <c r="F1624" s="33">
        <v>535</v>
      </c>
      <c r="G1624" s="33" t="s">
        <v>38</v>
      </c>
      <c r="H1624" s="33" t="s">
        <v>8175</v>
      </c>
      <c r="I1624" s="33" t="s">
        <v>39</v>
      </c>
      <c r="J1624" s="33" t="s">
        <v>40</v>
      </c>
      <c r="K1624" s="33" t="s">
        <v>41</v>
      </c>
    </row>
    <row r="1625" spans="1:12" s="33" customFormat="1" hidden="1" x14ac:dyDescent="0.3">
      <c r="A1625" s="39">
        <v>46093.719641203701</v>
      </c>
      <c r="B1625" s="33">
        <v>47991636470</v>
      </c>
      <c r="C1625" s="33" t="s">
        <v>44</v>
      </c>
      <c r="D1625" s="33">
        <v>4431268225</v>
      </c>
      <c r="E1625" s="33">
        <v>193</v>
      </c>
      <c r="F1625" s="33">
        <v>105</v>
      </c>
      <c r="G1625" s="33" t="s">
        <v>38</v>
      </c>
      <c r="H1625" s="33" t="s">
        <v>8176</v>
      </c>
      <c r="I1625" s="33" t="s">
        <v>39</v>
      </c>
      <c r="J1625" s="33" t="s">
        <v>40</v>
      </c>
      <c r="K1625" s="33" t="s">
        <v>41</v>
      </c>
    </row>
    <row r="1626" spans="1:12" s="33" customFormat="1" x14ac:dyDescent="0.3">
      <c r="A1626" s="39">
        <v>46093.7187037037</v>
      </c>
      <c r="B1626" s="33">
        <v>11953265422</v>
      </c>
      <c r="C1626" s="33" t="s">
        <v>42</v>
      </c>
      <c r="D1626" s="33">
        <v>4430265054</v>
      </c>
      <c r="E1626" s="33">
        <v>515</v>
      </c>
      <c r="F1626" s="33">
        <v>412</v>
      </c>
      <c r="G1626" s="33" t="s">
        <v>38</v>
      </c>
      <c r="H1626" s="33" t="s">
        <v>8177</v>
      </c>
      <c r="I1626" s="33" t="s">
        <v>39</v>
      </c>
      <c r="J1626" s="33" t="s">
        <v>40</v>
      </c>
      <c r="K1626" s="33" t="s">
        <v>41</v>
      </c>
      <c r="L1626" s="33">
        <v>5</v>
      </c>
    </row>
    <row r="1627" spans="1:12" s="33" customFormat="1" hidden="1" x14ac:dyDescent="0.3">
      <c r="A1627" s="39">
        <v>46093.710682870369</v>
      </c>
      <c r="B1627" s="33">
        <v>44999305301</v>
      </c>
      <c r="C1627" s="33" t="s">
        <v>43</v>
      </c>
      <c r="D1627" s="33">
        <v>4430265054</v>
      </c>
      <c r="E1627" s="33">
        <v>329</v>
      </c>
      <c r="F1627" s="33">
        <v>222</v>
      </c>
      <c r="G1627" s="33" t="s">
        <v>38</v>
      </c>
      <c r="H1627" s="33" t="s">
        <v>8178</v>
      </c>
      <c r="I1627" s="33" t="s">
        <v>39</v>
      </c>
      <c r="J1627" s="33" t="s">
        <v>40</v>
      </c>
      <c r="K1627" s="33" t="s">
        <v>41</v>
      </c>
    </row>
    <row r="1628" spans="1:12" s="33" customFormat="1" hidden="1" x14ac:dyDescent="0.3">
      <c r="A1628" s="39">
        <v>46093.710115740738</v>
      </c>
      <c r="B1628" s="33">
        <v>1732146970</v>
      </c>
      <c r="C1628" s="33" t="s">
        <v>37</v>
      </c>
      <c r="D1628" s="33">
        <v>4431268225</v>
      </c>
      <c r="E1628" s="33">
        <v>1783</v>
      </c>
      <c r="F1628" s="33">
        <v>1667</v>
      </c>
      <c r="G1628" s="33" t="s">
        <v>38</v>
      </c>
      <c r="H1628" s="33" t="s">
        <v>8179</v>
      </c>
      <c r="I1628" s="33" t="s">
        <v>39</v>
      </c>
      <c r="J1628" s="33" t="s">
        <v>40</v>
      </c>
      <c r="K1628" s="33" t="s">
        <v>41</v>
      </c>
    </row>
    <row r="1629" spans="1:12" s="33" customFormat="1" hidden="1" x14ac:dyDescent="0.3">
      <c r="A1629" s="39">
        <v>46093.705150462964</v>
      </c>
      <c r="B1629" s="33">
        <v>1438160351</v>
      </c>
      <c r="C1629" s="33">
        <v>4430265054</v>
      </c>
      <c r="D1629" s="33">
        <v>4430265054</v>
      </c>
      <c r="E1629" s="33">
        <v>9</v>
      </c>
      <c r="F1629" s="33">
        <v>8</v>
      </c>
      <c r="G1629" s="33" t="s">
        <v>3449</v>
      </c>
      <c r="H1629" s="33" t="s">
        <v>8180</v>
      </c>
      <c r="I1629" s="33" t="s">
        <v>39</v>
      </c>
      <c r="J1629" s="33" t="s">
        <v>3451</v>
      </c>
    </row>
    <row r="1630" spans="1:12" s="33" customFormat="1" hidden="1" x14ac:dyDescent="0.3">
      <c r="A1630" s="39">
        <v>46093.699062500003</v>
      </c>
      <c r="B1630" s="33">
        <v>1732146970</v>
      </c>
      <c r="C1630" s="33" t="s">
        <v>37</v>
      </c>
      <c r="D1630" s="33">
        <v>4431268225</v>
      </c>
      <c r="E1630" s="33">
        <v>449</v>
      </c>
      <c r="F1630" s="33">
        <v>291</v>
      </c>
      <c r="G1630" s="33" t="s">
        <v>38</v>
      </c>
      <c r="H1630" s="33" t="s">
        <v>8181</v>
      </c>
      <c r="I1630" s="33" t="s">
        <v>39</v>
      </c>
      <c r="J1630" s="33" t="s">
        <v>40</v>
      </c>
      <c r="K1630" s="33" t="s">
        <v>41</v>
      </c>
    </row>
    <row r="1631" spans="1:12" s="33" customFormat="1" hidden="1" x14ac:dyDescent="0.3">
      <c r="A1631" s="39">
        <v>46093.696539351855</v>
      </c>
      <c r="B1631" s="33">
        <v>44988255390</v>
      </c>
      <c r="C1631" s="33" t="s">
        <v>45</v>
      </c>
      <c r="D1631" s="33">
        <v>4430265054</v>
      </c>
      <c r="E1631" s="33">
        <v>743</v>
      </c>
      <c r="F1631" s="33">
        <v>710</v>
      </c>
      <c r="G1631" s="33" t="s">
        <v>38</v>
      </c>
      <c r="H1631" s="33" t="s">
        <v>8182</v>
      </c>
      <c r="I1631" s="33" t="s">
        <v>39</v>
      </c>
      <c r="J1631" s="33" t="s">
        <v>40</v>
      </c>
      <c r="K1631" s="33" t="s">
        <v>41</v>
      </c>
    </row>
    <row r="1632" spans="1:12" s="33" customFormat="1" hidden="1" x14ac:dyDescent="0.3">
      <c r="A1632" s="39">
        <v>46093.695393518516</v>
      </c>
      <c r="B1632" s="33">
        <v>83988398480</v>
      </c>
      <c r="C1632" s="33" t="s">
        <v>44</v>
      </c>
      <c r="D1632" s="33">
        <v>4430265054</v>
      </c>
      <c r="E1632" s="33">
        <v>1300</v>
      </c>
      <c r="F1632" s="33">
        <v>1253</v>
      </c>
      <c r="G1632" s="33" t="s">
        <v>38</v>
      </c>
      <c r="H1632" s="33" t="s">
        <v>8183</v>
      </c>
      <c r="I1632" s="33" t="s">
        <v>39</v>
      </c>
      <c r="J1632" s="33" t="s">
        <v>40</v>
      </c>
      <c r="K1632" s="33" t="s">
        <v>41</v>
      </c>
    </row>
    <row r="1633" spans="1:12" s="33" customFormat="1" hidden="1" x14ac:dyDescent="0.3">
      <c r="A1633" s="39">
        <v>46093.689965277779</v>
      </c>
      <c r="B1633" s="33">
        <v>47991636470</v>
      </c>
      <c r="C1633" s="33" t="s">
        <v>43</v>
      </c>
      <c r="D1633" s="33">
        <v>4431268225</v>
      </c>
      <c r="E1633" s="33">
        <v>740</v>
      </c>
      <c r="F1633" s="33">
        <v>703</v>
      </c>
      <c r="G1633" s="33" t="s">
        <v>38</v>
      </c>
      <c r="H1633" s="33" t="s">
        <v>8184</v>
      </c>
      <c r="I1633" s="33" t="s">
        <v>39</v>
      </c>
      <c r="J1633" s="33" t="s">
        <v>40</v>
      </c>
      <c r="K1633" s="33" t="s">
        <v>41</v>
      </c>
    </row>
    <row r="1634" spans="1:12" s="33" customFormat="1" hidden="1" x14ac:dyDescent="0.3">
      <c r="A1634" s="39">
        <v>46093.689942129633</v>
      </c>
      <c r="B1634" s="33" t="s">
        <v>45</v>
      </c>
      <c r="C1634" s="33">
        <v>44991381017</v>
      </c>
      <c r="E1634" s="33">
        <v>599</v>
      </c>
      <c r="F1634" s="33">
        <v>584</v>
      </c>
      <c r="G1634" s="33" t="s">
        <v>38</v>
      </c>
      <c r="H1634" s="33" t="s">
        <v>8185</v>
      </c>
      <c r="I1634" s="33" t="s">
        <v>46</v>
      </c>
      <c r="J1634" s="33" t="s">
        <v>40</v>
      </c>
    </row>
    <row r="1635" spans="1:12" s="33" customFormat="1" x14ac:dyDescent="0.3">
      <c r="A1635" s="39">
        <v>46093.689641203702</v>
      </c>
      <c r="B1635" s="33">
        <v>44999680829</v>
      </c>
      <c r="C1635" s="33" t="s">
        <v>42</v>
      </c>
      <c r="D1635" s="33">
        <v>4431268225</v>
      </c>
      <c r="E1635" s="33">
        <v>828</v>
      </c>
      <c r="F1635" s="33">
        <v>775</v>
      </c>
      <c r="G1635" s="33" t="s">
        <v>38</v>
      </c>
      <c r="H1635" s="33" t="s">
        <v>8186</v>
      </c>
      <c r="I1635" s="33" t="s">
        <v>39</v>
      </c>
      <c r="J1635" s="33" t="s">
        <v>40</v>
      </c>
      <c r="K1635" s="33" t="s">
        <v>41</v>
      </c>
      <c r="L1635" s="33">
        <v>5</v>
      </c>
    </row>
    <row r="1636" spans="1:12" s="33" customFormat="1" hidden="1" x14ac:dyDescent="0.3">
      <c r="A1636" s="39">
        <v>46093.686724537038</v>
      </c>
      <c r="B1636" s="33">
        <v>44999680829</v>
      </c>
      <c r="C1636" s="33" t="s">
        <v>42</v>
      </c>
      <c r="D1636" s="33">
        <v>4431268225</v>
      </c>
      <c r="E1636" s="33">
        <v>74</v>
      </c>
      <c r="F1636" s="33">
        <v>2</v>
      </c>
      <c r="G1636" s="33" t="s">
        <v>38</v>
      </c>
      <c r="H1636" s="33" t="s">
        <v>8187</v>
      </c>
      <c r="I1636" s="33" t="s">
        <v>39</v>
      </c>
      <c r="J1636" s="33" t="s">
        <v>40</v>
      </c>
      <c r="K1636" s="33" t="s">
        <v>41</v>
      </c>
    </row>
    <row r="1637" spans="1:12" s="33" customFormat="1" hidden="1" x14ac:dyDescent="0.3">
      <c r="A1637" s="39">
        <v>46093.682314814818</v>
      </c>
      <c r="B1637" s="33">
        <v>67992169496</v>
      </c>
      <c r="C1637" s="33" t="s">
        <v>37</v>
      </c>
      <c r="D1637" s="33">
        <v>4430265054</v>
      </c>
      <c r="E1637" s="33">
        <v>1320</v>
      </c>
      <c r="F1637" s="33">
        <v>1252</v>
      </c>
      <c r="G1637" s="33" t="s">
        <v>38</v>
      </c>
      <c r="H1637" s="33" t="s">
        <v>8188</v>
      </c>
      <c r="I1637" s="33" t="s">
        <v>39</v>
      </c>
      <c r="J1637" s="33" t="s">
        <v>40</v>
      </c>
      <c r="K1637" s="33" t="s">
        <v>41</v>
      </c>
    </row>
    <row r="1638" spans="1:12" s="33" customFormat="1" x14ac:dyDescent="0.3">
      <c r="A1638" s="39">
        <v>46093.674502314818</v>
      </c>
      <c r="B1638" s="33">
        <v>4432226677</v>
      </c>
      <c r="C1638" s="33" t="s">
        <v>42</v>
      </c>
      <c r="D1638" s="33">
        <v>4430265054</v>
      </c>
      <c r="E1638" s="33">
        <v>472</v>
      </c>
      <c r="F1638" s="33">
        <v>436</v>
      </c>
      <c r="G1638" s="33" t="s">
        <v>38</v>
      </c>
      <c r="H1638" s="33" t="s">
        <v>8189</v>
      </c>
      <c r="I1638" s="33" t="s">
        <v>39</v>
      </c>
      <c r="J1638" s="33" t="s">
        <v>40</v>
      </c>
      <c r="K1638" s="33" t="s">
        <v>41</v>
      </c>
      <c r="L1638" s="33">
        <v>5</v>
      </c>
    </row>
    <row r="1639" spans="1:12" s="33" customFormat="1" hidden="1" x14ac:dyDescent="0.3">
      <c r="A1639" s="39">
        <v>46093.671365740738</v>
      </c>
      <c r="B1639" s="33">
        <v>4432525112</v>
      </c>
      <c r="C1639" s="33" t="s">
        <v>43</v>
      </c>
      <c r="D1639" s="33">
        <v>4430265054</v>
      </c>
      <c r="E1639" s="33">
        <v>440</v>
      </c>
      <c r="F1639" s="33">
        <v>419</v>
      </c>
      <c r="G1639" s="33" t="s">
        <v>38</v>
      </c>
      <c r="H1639" s="33" t="s">
        <v>8190</v>
      </c>
      <c r="I1639" s="33" t="s">
        <v>39</v>
      </c>
      <c r="J1639" s="33" t="s">
        <v>40</v>
      </c>
      <c r="K1639" s="33" t="s">
        <v>41</v>
      </c>
      <c r="L1639" s="33">
        <v>5</v>
      </c>
    </row>
    <row r="1640" spans="1:12" s="33" customFormat="1" hidden="1" x14ac:dyDescent="0.3">
      <c r="A1640" s="39">
        <v>46093.670127314814</v>
      </c>
      <c r="B1640" s="33">
        <v>44988067937</v>
      </c>
      <c r="C1640" s="33" t="s">
        <v>44</v>
      </c>
      <c r="D1640" s="33">
        <v>4430265054</v>
      </c>
      <c r="E1640" s="33">
        <v>1081</v>
      </c>
      <c r="F1640" s="33">
        <v>1001</v>
      </c>
      <c r="G1640" s="33" t="s">
        <v>38</v>
      </c>
      <c r="H1640" s="33" t="s">
        <v>8191</v>
      </c>
      <c r="I1640" s="33" t="s">
        <v>39</v>
      </c>
      <c r="J1640" s="33" t="s">
        <v>40</v>
      </c>
      <c r="K1640" s="33" t="s">
        <v>41</v>
      </c>
    </row>
    <row r="1641" spans="1:12" s="33" customFormat="1" hidden="1" x14ac:dyDescent="0.3">
      <c r="A1641" s="39">
        <v>46093.665243055555</v>
      </c>
      <c r="B1641" s="33">
        <v>1438160351</v>
      </c>
      <c r="C1641" s="33">
        <v>4430265054</v>
      </c>
      <c r="D1641" s="33">
        <v>4430265054</v>
      </c>
      <c r="E1641" s="33">
        <v>9</v>
      </c>
      <c r="F1641" s="33">
        <v>8</v>
      </c>
      <c r="G1641" s="33" t="s">
        <v>3449</v>
      </c>
      <c r="H1641" s="33" t="s">
        <v>8192</v>
      </c>
      <c r="I1641" s="33" t="s">
        <v>39</v>
      </c>
      <c r="J1641" s="33" t="s">
        <v>3451</v>
      </c>
    </row>
    <row r="1642" spans="1:12" s="33" customFormat="1" hidden="1" x14ac:dyDescent="0.3">
      <c r="A1642" s="39">
        <v>46093.664525462962</v>
      </c>
      <c r="B1642" s="33">
        <v>44988255390</v>
      </c>
      <c r="C1642" s="33" t="s">
        <v>45</v>
      </c>
      <c r="D1642" s="33">
        <v>4430265054</v>
      </c>
      <c r="E1642" s="33">
        <v>1482</v>
      </c>
      <c r="F1642" s="33">
        <v>1398</v>
      </c>
      <c r="G1642" s="33" t="s">
        <v>38</v>
      </c>
      <c r="H1642" s="33" t="s">
        <v>8193</v>
      </c>
      <c r="I1642" s="33" t="s">
        <v>39</v>
      </c>
      <c r="J1642" s="33" t="s">
        <v>40</v>
      </c>
      <c r="K1642" s="33" t="s">
        <v>41</v>
      </c>
    </row>
    <row r="1643" spans="1:12" s="33" customFormat="1" hidden="1" x14ac:dyDescent="0.3">
      <c r="A1643" s="39">
        <v>46093.662187499998</v>
      </c>
      <c r="B1643" s="33">
        <v>73982188717</v>
      </c>
      <c r="C1643" s="33" t="s">
        <v>43</v>
      </c>
      <c r="D1643" s="33">
        <v>4430265054</v>
      </c>
      <c r="E1643" s="33">
        <v>374</v>
      </c>
      <c r="F1643" s="33">
        <v>317</v>
      </c>
      <c r="G1643" s="33" t="s">
        <v>38</v>
      </c>
      <c r="H1643" s="33" t="s">
        <v>8194</v>
      </c>
      <c r="I1643" s="33" t="s">
        <v>39</v>
      </c>
      <c r="J1643" s="33" t="s">
        <v>40</v>
      </c>
      <c r="K1643" s="33" t="s">
        <v>41</v>
      </c>
    </row>
    <row r="1644" spans="1:12" s="33" customFormat="1" hidden="1" x14ac:dyDescent="0.3">
      <c r="A1644" s="39">
        <v>46093.657430555555</v>
      </c>
      <c r="B1644" s="33">
        <v>44988255390</v>
      </c>
      <c r="C1644" s="33">
        <v>4430265054</v>
      </c>
      <c r="D1644" s="33">
        <v>4430265054</v>
      </c>
      <c r="E1644" s="33">
        <v>91</v>
      </c>
      <c r="F1644" s="33">
        <v>90</v>
      </c>
      <c r="G1644" s="33" t="s">
        <v>3449</v>
      </c>
      <c r="H1644" s="33" t="s">
        <v>8195</v>
      </c>
      <c r="I1644" s="33" t="s">
        <v>39</v>
      </c>
      <c r="J1644" s="33" t="s">
        <v>3451</v>
      </c>
      <c r="K1644" s="33" t="s">
        <v>41</v>
      </c>
    </row>
    <row r="1645" spans="1:12" s="33" customFormat="1" hidden="1" x14ac:dyDescent="0.3">
      <c r="A1645" s="39">
        <v>46093.657349537039</v>
      </c>
      <c r="B1645" s="33">
        <v>93991767964</v>
      </c>
      <c r="C1645" s="33" t="s">
        <v>37</v>
      </c>
      <c r="D1645" s="33">
        <v>4430265054</v>
      </c>
      <c r="E1645" s="33">
        <v>1407</v>
      </c>
      <c r="F1645" s="33">
        <v>1321</v>
      </c>
      <c r="G1645" s="33" t="s">
        <v>38</v>
      </c>
      <c r="H1645" s="33" t="s">
        <v>8196</v>
      </c>
      <c r="I1645" s="33" t="s">
        <v>39</v>
      </c>
      <c r="J1645" s="33" t="s">
        <v>40</v>
      </c>
      <c r="K1645" s="33" t="s">
        <v>41</v>
      </c>
      <c r="L1645" s="33">
        <v>5</v>
      </c>
    </row>
    <row r="1646" spans="1:12" s="33" customFormat="1" hidden="1" x14ac:dyDescent="0.3">
      <c r="A1646" s="39">
        <v>46093.649594907409</v>
      </c>
      <c r="B1646" s="33">
        <v>4432520077</v>
      </c>
      <c r="C1646" s="33" t="s">
        <v>42</v>
      </c>
      <c r="D1646" s="33">
        <v>4430265054</v>
      </c>
      <c r="E1646" s="33">
        <v>969</v>
      </c>
      <c r="F1646" s="33">
        <v>937</v>
      </c>
      <c r="G1646" s="33" t="s">
        <v>38</v>
      </c>
      <c r="H1646" s="33" t="s">
        <v>8197</v>
      </c>
      <c r="I1646" s="33" t="s">
        <v>39</v>
      </c>
      <c r="J1646" s="33" t="s">
        <v>40</v>
      </c>
      <c r="K1646" s="33" t="s">
        <v>41</v>
      </c>
    </row>
    <row r="1647" spans="1:12" s="33" customFormat="1" hidden="1" x14ac:dyDescent="0.3">
      <c r="A1647" s="39">
        <v>46093.643368055556</v>
      </c>
      <c r="B1647" s="33">
        <v>44991381017</v>
      </c>
      <c r="C1647" s="33" t="s">
        <v>45</v>
      </c>
      <c r="D1647" s="33">
        <v>4430265054</v>
      </c>
      <c r="E1647" s="33">
        <v>814</v>
      </c>
      <c r="F1647" s="33">
        <v>680</v>
      </c>
      <c r="G1647" s="33" t="s">
        <v>38</v>
      </c>
      <c r="H1647" s="33" t="s">
        <v>8198</v>
      </c>
      <c r="I1647" s="33" t="s">
        <v>39</v>
      </c>
      <c r="J1647" s="33" t="s">
        <v>40</v>
      </c>
      <c r="K1647" s="33" t="s">
        <v>41</v>
      </c>
    </row>
    <row r="1648" spans="1:12" s="33" customFormat="1" hidden="1" x14ac:dyDescent="0.3">
      <c r="A1648" s="39">
        <v>46093.642800925925</v>
      </c>
      <c r="B1648" s="33" t="s">
        <v>3627</v>
      </c>
      <c r="C1648" s="33">
        <v>88996781797</v>
      </c>
      <c r="E1648" s="33">
        <v>14</v>
      </c>
      <c r="F1648" s="33">
        <v>0</v>
      </c>
      <c r="G1648" s="33" t="s">
        <v>47</v>
      </c>
      <c r="H1648" s="33" t="s">
        <v>8199</v>
      </c>
      <c r="I1648" s="33" t="s">
        <v>46</v>
      </c>
      <c r="J1648" s="33" t="s">
        <v>3629</v>
      </c>
    </row>
    <row r="1649" spans="1:11" s="33" customFormat="1" hidden="1" x14ac:dyDescent="0.3">
      <c r="A1649" s="39">
        <v>46093.641921296294</v>
      </c>
      <c r="B1649" s="33" t="s">
        <v>3627</v>
      </c>
      <c r="C1649" s="33">
        <v>85991207676</v>
      </c>
      <c r="E1649" s="33">
        <v>10</v>
      </c>
      <c r="F1649" s="33">
        <v>0</v>
      </c>
      <c r="G1649" s="33" t="s">
        <v>47</v>
      </c>
      <c r="H1649" s="33" t="s">
        <v>8200</v>
      </c>
      <c r="I1649" s="33" t="s">
        <v>46</v>
      </c>
      <c r="J1649" s="33" t="s">
        <v>3629</v>
      </c>
    </row>
    <row r="1650" spans="1:11" s="33" customFormat="1" hidden="1" x14ac:dyDescent="0.3">
      <c r="A1650" s="39">
        <v>46093.640474537038</v>
      </c>
      <c r="B1650" s="33" t="s">
        <v>3627</v>
      </c>
      <c r="C1650" s="33">
        <v>96991718716</v>
      </c>
      <c r="E1650" s="33">
        <v>26</v>
      </c>
      <c r="F1650" s="33">
        <v>16</v>
      </c>
      <c r="G1650" s="33" t="s">
        <v>38</v>
      </c>
      <c r="H1650" s="33" t="s">
        <v>8201</v>
      </c>
      <c r="I1650" s="33" t="s">
        <v>46</v>
      </c>
      <c r="J1650" s="33" t="s">
        <v>3629</v>
      </c>
    </row>
    <row r="1651" spans="1:11" s="33" customFormat="1" hidden="1" x14ac:dyDescent="0.3">
      <c r="A1651" s="39">
        <v>46093.639351851853</v>
      </c>
      <c r="B1651" s="33" t="s">
        <v>3627</v>
      </c>
      <c r="C1651" s="33">
        <v>88996284600</v>
      </c>
      <c r="E1651" s="33">
        <v>6</v>
      </c>
      <c r="F1651" s="33">
        <v>3</v>
      </c>
      <c r="G1651" s="33" t="s">
        <v>38</v>
      </c>
      <c r="H1651" s="33" t="s">
        <v>8202</v>
      </c>
      <c r="I1651" s="33" t="s">
        <v>46</v>
      </c>
      <c r="J1651" s="33" t="s">
        <v>3629</v>
      </c>
    </row>
    <row r="1652" spans="1:11" s="33" customFormat="1" hidden="1" x14ac:dyDescent="0.3">
      <c r="A1652" s="39">
        <v>46093.630277777775</v>
      </c>
      <c r="B1652" s="33">
        <v>1131515685</v>
      </c>
      <c r="C1652" s="33" t="s">
        <v>44</v>
      </c>
      <c r="D1652" s="33">
        <v>4430265054</v>
      </c>
      <c r="E1652" s="33">
        <v>652</v>
      </c>
      <c r="F1652" s="33">
        <v>418</v>
      </c>
      <c r="G1652" s="33" t="s">
        <v>38</v>
      </c>
      <c r="H1652" s="33" t="s">
        <v>8203</v>
      </c>
      <c r="I1652" s="33" t="s">
        <v>39</v>
      </c>
      <c r="J1652" s="33" t="s">
        <v>40</v>
      </c>
      <c r="K1652" s="33" t="s">
        <v>41</v>
      </c>
    </row>
    <row r="1653" spans="1:11" s="33" customFormat="1" hidden="1" x14ac:dyDescent="0.3">
      <c r="A1653" s="39">
        <v>46093.628460648149</v>
      </c>
      <c r="B1653" s="33">
        <v>35998295948</v>
      </c>
      <c r="C1653" s="33" t="s">
        <v>43</v>
      </c>
      <c r="D1653" s="33">
        <v>4430265054</v>
      </c>
      <c r="E1653" s="33">
        <v>1165</v>
      </c>
      <c r="F1653" s="33">
        <v>1142</v>
      </c>
      <c r="G1653" s="33" t="s">
        <v>38</v>
      </c>
      <c r="H1653" s="33" t="s">
        <v>8204</v>
      </c>
      <c r="I1653" s="33" t="s">
        <v>39</v>
      </c>
      <c r="J1653" s="33" t="s">
        <v>40</v>
      </c>
      <c r="K1653" s="33" t="s">
        <v>41</v>
      </c>
    </row>
    <row r="1654" spans="1:11" s="33" customFormat="1" hidden="1" x14ac:dyDescent="0.3">
      <c r="A1654" s="39">
        <v>46093.624432870369</v>
      </c>
      <c r="B1654" s="33">
        <v>44991566223</v>
      </c>
      <c r="C1654" s="33" t="s">
        <v>42</v>
      </c>
      <c r="D1654" s="33">
        <v>4430265054</v>
      </c>
      <c r="E1654" s="33">
        <v>814</v>
      </c>
      <c r="F1654" s="33">
        <v>701</v>
      </c>
      <c r="G1654" s="33" t="s">
        <v>38</v>
      </c>
      <c r="H1654" s="33" t="s">
        <v>8205</v>
      </c>
      <c r="I1654" s="33" t="s">
        <v>39</v>
      </c>
      <c r="J1654" s="33" t="s">
        <v>40</v>
      </c>
      <c r="K1654" s="33" t="s">
        <v>41</v>
      </c>
    </row>
    <row r="1655" spans="1:11" s="33" customFormat="1" hidden="1" x14ac:dyDescent="0.3">
      <c r="A1655" s="39">
        <v>46093.62226851852</v>
      </c>
      <c r="B1655" s="33" t="s">
        <v>48</v>
      </c>
      <c r="C1655" s="33">
        <v>4330333542</v>
      </c>
      <c r="E1655" s="33">
        <v>1186</v>
      </c>
      <c r="F1655" s="33">
        <v>1159</v>
      </c>
      <c r="G1655" s="33" t="s">
        <v>38</v>
      </c>
      <c r="H1655" s="33" t="s">
        <v>8206</v>
      </c>
      <c r="I1655" s="33" t="s">
        <v>46</v>
      </c>
      <c r="J1655" s="33" t="s">
        <v>40</v>
      </c>
    </row>
    <row r="1656" spans="1:11" s="33" customFormat="1" hidden="1" x14ac:dyDescent="0.3">
      <c r="A1656" s="39">
        <v>46093.622233796297</v>
      </c>
      <c r="B1656" s="33" t="s">
        <v>48</v>
      </c>
      <c r="C1656" s="33">
        <v>4330333542</v>
      </c>
      <c r="E1656" s="33">
        <v>0</v>
      </c>
      <c r="F1656" s="33">
        <v>0</v>
      </c>
      <c r="G1656" s="33" t="s">
        <v>47</v>
      </c>
      <c r="H1656" s="33" t="s">
        <v>8207</v>
      </c>
      <c r="I1656" s="33" t="s">
        <v>46</v>
      </c>
      <c r="J1656" s="33" t="s">
        <v>40</v>
      </c>
    </row>
    <row r="1657" spans="1:11" s="33" customFormat="1" hidden="1" x14ac:dyDescent="0.3">
      <c r="A1657" s="39">
        <v>46093.622106481482</v>
      </c>
      <c r="B1657" s="33" t="s">
        <v>48</v>
      </c>
      <c r="C1657" s="33">
        <v>4330333542</v>
      </c>
      <c r="E1657" s="33">
        <v>0</v>
      </c>
      <c r="F1657" s="33">
        <v>0</v>
      </c>
      <c r="G1657" s="33" t="s">
        <v>47</v>
      </c>
      <c r="H1657" s="33" t="s">
        <v>8208</v>
      </c>
      <c r="I1657" s="33" t="s">
        <v>46</v>
      </c>
      <c r="J1657" s="33" t="s">
        <v>40</v>
      </c>
    </row>
    <row r="1658" spans="1:11" s="33" customFormat="1" hidden="1" x14ac:dyDescent="0.3">
      <c r="A1658" s="39">
        <v>46093.62128472222</v>
      </c>
      <c r="B1658" s="33">
        <v>4130263118</v>
      </c>
      <c r="C1658" s="33" t="s">
        <v>45</v>
      </c>
      <c r="D1658" s="33">
        <v>4430265054</v>
      </c>
      <c r="E1658" s="33">
        <v>1232</v>
      </c>
      <c r="F1658" s="33">
        <v>1111</v>
      </c>
      <c r="G1658" s="33" t="s">
        <v>38</v>
      </c>
      <c r="H1658" s="33" t="s">
        <v>8209</v>
      </c>
      <c r="I1658" s="33" t="s">
        <v>39</v>
      </c>
      <c r="J1658" s="33" t="s">
        <v>40</v>
      </c>
      <c r="K1658" s="33" t="s">
        <v>41</v>
      </c>
    </row>
    <row r="1659" spans="1:11" s="33" customFormat="1" hidden="1" x14ac:dyDescent="0.3">
      <c r="A1659" s="39">
        <v>46093.621249999997</v>
      </c>
      <c r="B1659" s="33">
        <v>73982188717</v>
      </c>
      <c r="C1659" s="33" t="s">
        <v>44</v>
      </c>
      <c r="D1659" s="33">
        <v>4430265054</v>
      </c>
      <c r="E1659" s="33">
        <v>953</v>
      </c>
      <c r="F1659" s="33">
        <v>871</v>
      </c>
      <c r="G1659" s="33" t="s">
        <v>38</v>
      </c>
      <c r="H1659" s="33" t="s">
        <v>8210</v>
      </c>
      <c r="I1659" s="33" t="s">
        <v>39</v>
      </c>
      <c r="J1659" s="33" t="s">
        <v>40</v>
      </c>
      <c r="K1659" s="33" t="s">
        <v>41</v>
      </c>
    </row>
    <row r="1660" spans="1:11" s="33" customFormat="1" hidden="1" x14ac:dyDescent="0.3">
      <c r="A1660" s="39">
        <v>46093.618171296293</v>
      </c>
      <c r="B1660" s="33" t="s">
        <v>43</v>
      </c>
      <c r="C1660" s="33">
        <v>44991566223</v>
      </c>
      <c r="E1660" s="33">
        <v>27</v>
      </c>
      <c r="F1660" s="33">
        <v>13</v>
      </c>
      <c r="G1660" s="33" t="s">
        <v>38</v>
      </c>
      <c r="H1660" s="33" t="s">
        <v>8211</v>
      </c>
      <c r="I1660" s="33" t="s">
        <v>46</v>
      </c>
      <c r="J1660" s="33" t="s">
        <v>40</v>
      </c>
    </row>
    <row r="1661" spans="1:11" s="33" customFormat="1" hidden="1" x14ac:dyDescent="0.3">
      <c r="A1661" s="39">
        <v>46093.618159722224</v>
      </c>
      <c r="B1661" s="33">
        <v>62994086124</v>
      </c>
      <c r="C1661" s="33" t="s">
        <v>48</v>
      </c>
      <c r="D1661" s="33">
        <v>4430265054</v>
      </c>
      <c r="E1661" s="33">
        <v>189</v>
      </c>
      <c r="F1661" s="33">
        <v>161</v>
      </c>
      <c r="G1661" s="33" t="s">
        <v>38</v>
      </c>
      <c r="H1661" s="33" t="s">
        <v>8212</v>
      </c>
      <c r="I1661" s="33" t="s">
        <v>39</v>
      </c>
      <c r="J1661" s="33" t="s">
        <v>40</v>
      </c>
      <c r="K1661" s="33" t="s">
        <v>50</v>
      </c>
    </row>
    <row r="1662" spans="1:11" s="33" customFormat="1" hidden="1" x14ac:dyDescent="0.3">
      <c r="A1662" s="39">
        <v>46093.613680555558</v>
      </c>
      <c r="B1662" s="33" t="s">
        <v>48</v>
      </c>
      <c r="C1662" s="33" t="s">
        <v>48</v>
      </c>
      <c r="E1662" s="33">
        <v>7</v>
      </c>
      <c r="F1662" s="33">
        <v>0</v>
      </c>
      <c r="G1662" s="33" t="s">
        <v>47</v>
      </c>
      <c r="H1662" s="33" t="s">
        <v>8213</v>
      </c>
      <c r="I1662" s="33" t="s">
        <v>52</v>
      </c>
      <c r="J1662" s="33" t="s">
        <v>40</v>
      </c>
    </row>
    <row r="1663" spans="1:11" s="33" customFormat="1" hidden="1" x14ac:dyDescent="0.3">
      <c r="A1663" s="39">
        <v>46093.613321759258</v>
      </c>
      <c r="B1663" s="33" t="s">
        <v>48</v>
      </c>
      <c r="C1663" s="33">
        <v>44998267320</v>
      </c>
      <c r="E1663" s="33">
        <v>6</v>
      </c>
      <c r="F1663" s="33">
        <v>0</v>
      </c>
      <c r="G1663" s="33" t="s">
        <v>47</v>
      </c>
      <c r="H1663" s="33" t="s">
        <v>8214</v>
      </c>
      <c r="I1663" s="33" t="s">
        <v>46</v>
      </c>
      <c r="J1663" s="33" t="s">
        <v>40</v>
      </c>
    </row>
    <row r="1664" spans="1:11" s="33" customFormat="1" hidden="1" x14ac:dyDescent="0.3">
      <c r="A1664" s="39">
        <v>46093.612013888887</v>
      </c>
      <c r="B1664" s="33">
        <v>44991566223</v>
      </c>
      <c r="C1664" s="33" t="s">
        <v>43</v>
      </c>
      <c r="D1664" s="33">
        <v>4430265054</v>
      </c>
      <c r="E1664" s="33">
        <v>463</v>
      </c>
      <c r="F1664" s="33">
        <v>396</v>
      </c>
      <c r="G1664" s="33" t="s">
        <v>38</v>
      </c>
      <c r="H1664" s="33" t="s">
        <v>8215</v>
      </c>
      <c r="I1664" s="33" t="s">
        <v>39</v>
      </c>
      <c r="J1664" s="33" t="s">
        <v>40</v>
      </c>
      <c r="K1664" s="33" t="s">
        <v>41</v>
      </c>
    </row>
    <row r="1665" spans="1:12" s="33" customFormat="1" hidden="1" x14ac:dyDescent="0.3">
      <c r="A1665" s="39">
        <v>46093.611550925925</v>
      </c>
      <c r="B1665" s="33">
        <v>67992169496</v>
      </c>
      <c r="C1665" s="33" t="s">
        <v>43</v>
      </c>
      <c r="D1665" s="33">
        <v>4430265054</v>
      </c>
      <c r="E1665" s="33">
        <v>102</v>
      </c>
      <c r="F1665" s="33">
        <v>86</v>
      </c>
      <c r="G1665" s="33" t="s">
        <v>38</v>
      </c>
      <c r="H1665" s="33" t="s">
        <v>8216</v>
      </c>
      <c r="I1665" s="33" t="s">
        <v>39</v>
      </c>
      <c r="J1665" s="33" t="s">
        <v>40</v>
      </c>
      <c r="K1665" s="33" t="s">
        <v>41</v>
      </c>
    </row>
    <row r="1666" spans="1:12" s="33" customFormat="1" hidden="1" x14ac:dyDescent="0.3">
      <c r="A1666" s="39">
        <v>46093.608460648145</v>
      </c>
      <c r="B1666" s="33">
        <v>44997618065</v>
      </c>
      <c r="C1666" s="33" t="s">
        <v>42</v>
      </c>
      <c r="D1666" s="33">
        <v>4430265054</v>
      </c>
      <c r="E1666" s="33">
        <v>699</v>
      </c>
      <c r="F1666" s="33">
        <v>634</v>
      </c>
      <c r="G1666" s="33" t="s">
        <v>38</v>
      </c>
      <c r="H1666" s="33" t="s">
        <v>8217</v>
      </c>
      <c r="I1666" s="33" t="s">
        <v>39</v>
      </c>
      <c r="J1666" s="33" t="s">
        <v>40</v>
      </c>
      <c r="K1666" s="33" t="s">
        <v>41</v>
      </c>
    </row>
    <row r="1667" spans="1:12" s="33" customFormat="1" hidden="1" x14ac:dyDescent="0.3">
      <c r="A1667" s="39">
        <v>46093.607511574075</v>
      </c>
      <c r="B1667" s="33">
        <v>73982188717</v>
      </c>
      <c r="C1667" s="33" t="s">
        <v>44</v>
      </c>
      <c r="D1667" s="33">
        <v>4430265054</v>
      </c>
      <c r="E1667" s="33">
        <v>613</v>
      </c>
      <c r="F1667" s="33">
        <v>613</v>
      </c>
      <c r="G1667" s="33" t="s">
        <v>38</v>
      </c>
      <c r="H1667" s="33" t="s">
        <v>8218</v>
      </c>
      <c r="I1667" s="33" t="s">
        <v>39</v>
      </c>
      <c r="J1667" s="33" t="s">
        <v>40</v>
      </c>
      <c r="K1667" s="33" t="s">
        <v>41</v>
      </c>
    </row>
    <row r="1668" spans="1:12" s="33" customFormat="1" hidden="1" x14ac:dyDescent="0.3">
      <c r="A1668" s="39">
        <v>46093.605104166665</v>
      </c>
      <c r="B1668" s="33" t="s">
        <v>45</v>
      </c>
      <c r="C1668" s="33">
        <v>44997366788</v>
      </c>
      <c r="E1668" s="33">
        <v>1813</v>
      </c>
      <c r="F1668" s="33">
        <v>1806</v>
      </c>
      <c r="G1668" s="33" t="s">
        <v>38</v>
      </c>
      <c r="H1668" s="33" t="s">
        <v>8219</v>
      </c>
      <c r="I1668" s="33" t="s">
        <v>46</v>
      </c>
      <c r="J1668" s="33" t="s">
        <v>40</v>
      </c>
    </row>
    <row r="1669" spans="1:12" s="33" customFormat="1" hidden="1" x14ac:dyDescent="0.3">
      <c r="A1669" s="39">
        <v>46093.604942129627</v>
      </c>
      <c r="B1669" s="33" t="s">
        <v>45</v>
      </c>
      <c r="C1669" s="33">
        <v>44997366788</v>
      </c>
      <c r="E1669" s="33">
        <v>35</v>
      </c>
      <c r="F1669" s="33">
        <v>29</v>
      </c>
      <c r="G1669" s="33" t="s">
        <v>38</v>
      </c>
      <c r="H1669" s="33" t="s">
        <v>8220</v>
      </c>
      <c r="I1669" s="33" t="s">
        <v>46</v>
      </c>
      <c r="J1669" s="33" t="s">
        <v>40</v>
      </c>
    </row>
    <row r="1670" spans="1:12" s="33" customFormat="1" hidden="1" x14ac:dyDescent="0.3">
      <c r="A1670" s="39">
        <v>46093.60434027778</v>
      </c>
      <c r="B1670" s="33">
        <v>62994086124</v>
      </c>
      <c r="C1670" s="33" t="s">
        <v>43</v>
      </c>
      <c r="D1670" s="33">
        <v>4430265054</v>
      </c>
      <c r="E1670" s="33">
        <v>538</v>
      </c>
      <c r="F1670" s="33">
        <v>435</v>
      </c>
      <c r="G1670" s="33" t="s">
        <v>38</v>
      </c>
      <c r="H1670" s="33" t="s">
        <v>8221</v>
      </c>
      <c r="I1670" s="33" t="s">
        <v>39</v>
      </c>
      <c r="J1670" s="33" t="s">
        <v>40</v>
      </c>
      <c r="K1670" s="33" t="s">
        <v>41</v>
      </c>
    </row>
    <row r="1671" spans="1:12" s="33" customFormat="1" hidden="1" x14ac:dyDescent="0.3">
      <c r="A1671" s="39">
        <v>46093.603842592594</v>
      </c>
      <c r="B1671" s="33">
        <v>44999680829</v>
      </c>
      <c r="C1671" s="33" t="s">
        <v>44</v>
      </c>
      <c r="D1671" s="33">
        <v>4431268225</v>
      </c>
      <c r="E1671" s="33">
        <v>376</v>
      </c>
      <c r="F1671" s="33">
        <v>262</v>
      </c>
      <c r="G1671" s="33" t="s">
        <v>38</v>
      </c>
      <c r="H1671" s="33" t="s">
        <v>8222</v>
      </c>
      <c r="I1671" s="33" t="s">
        <v>39</v>
      </c>
      <c r="J1671" s="33" t="s">
        <v>40</v>
      </c>
      <c r="K1671" s="33" t="s">
        <v>41</v>
      </c>
      <c r="L1671" s="33">
        <v>5</v>
      </c>
    </row>
    <row r="1672" spans="1:12" s="33" customFormat="1" hidden="1" x14ac:dyDescent="0.3">
      <c r="A1672" s="39">
        <v>46093.602708333332</v>
      </c>
      <c r="B1672" s="33" t="s">
        <v>3627</v>
      </c>
      <c r="C1672" s="33">
        <v>24988272519</v>
      </c>
      <c r="E1672" s="33">
        <v>22</v>
      </c>
      <c r="F1672" s="33">
        <v>0</v>
      </c>
      <c r="G1672" s="33" t="s">
        <v>47</v>
      </c>
      <c r="H1672" s="33" t="s">
        <v>8223</v>
      </c>
      <c r="I1672" s="33" t="s">
        <v>46</v>
      </c>
      <c r="J1672" s="33" t="s">
        <v>3629</v>
      </c>
    </row>
    <row r="1673" spans="1:12" s="33" customFormat="1" hidden="1" x14ac:dyDescent="0.3">
      <c r="A1673" s="39">
        <v>46093.602199074077</v>
      </c>
      <c r="B1673" s="33">
        <v>44999680829</v>
      </c>
      <c r="C1673" s="33">
        <v>4431268225</v>
      </c>
      <c r="D1673" s="33">
        <v>4431268225</v>
      </c>
      <c r="E1673" s="33">
        <v>69</v>
      </c>
      <c r="F1673" s="33">
        <v>68</v>
      </c>
      <c r="G1673" s="33" t="s">
        <v>3449</v>
      </c>
      <c r="H1673" s="33" t="s">
        <v>8224</v>
      </c>
      <c r="I1673" s="33" t="s">
        <v>39</v>
      </c>
      <c r="J1673" s="33" t="s">
        <v>3451</v>
      </c>
      <c r="K1673" s="33" t="s">
        <v>41</v>
      </c>
    </row>
    <row r="1674" spans="1:12" s="33" customFormat="1" hidden="1" x14ac:dyDescent="0.3">
      <c r="A1674" s="39">
        <v>46093.590937499997</v>
      </c>
      <c r="B1674" s="33" t="s">
        <v>37</v>
      </c>
      <c r="C1674" s="33">
        <v>44991237155</v>
      </c>
      <c r="E1674" s="33">
        <v>3734</v>
      </c>
      <c r="F1674" s="33">
        <v>3711</v>
      </c>
      <c r="G1674" s="33" t="s">
        <v>38</v>
      </c>
      <c r="H1674" s="33" t="s">
        <v>8225</v>
      </c>
      <c r="I1674" s="33" t="s">
        <v>46</v>
      </c>
      <c r="J1674" s="33" t="s">
        <v>40</v>
      </c>
    </row>
    <row r="1675" spans="1:12" s="33" customFormat="1" hidden="1" x14ac:dyDescent="0.3">
      <c r="A1675" s="39">
        <v>46093.586516203701</v>
      </c>
      <c r="B1675" s="33">
        <v>4430289556</v>
      </c>
      <c r="C1675" s="33">
        <v>4430265054</v>
      </c>
      <c r="D1675" s="33">
        <v>4430265054</v>
      </c>
      <c r="E1675" s="33">
        <v>69</v>
      </c>
      <c r="F1675" s="33">
        <v>68</v>
      </c>
      <c r="G1675" s="33" t="s">
        <v>3449</v>
      </c>
      <c r="H1675" s="33" t="s">
        <v>8226</v>
      </c>
      <c r="I1675" s="33" t="s">
        <v>39</v>
      </c>
      <c r="J1675" s="33" t="s">
        <v>3451</v>
      </c>
      <c r="K1675" s="33" t="s">
        <v>41</v>
      </c>
    </row>
    <row r="1676" spans="1:12" s="33" customFormat="1" hidden="1" x14ac:dyDescent="0.3">
      <c r="A1676" s="39">
        <v>46093.582673611112</v>
      </c>
      <c r="B1676" s="33">
        <v>4430256607</v>
      </c>
      <c r="C1676" s="33" t="s">
        <v>48</v>
      </c>
      <c r="D1676" s="33">
        <v>4430265054</v>
      </c>
      <c r="E1676" s="33">
        <v>172</v>
      </c>
      <c r="F1676" s="33">
        <v>171</v>
      </c>
      <c r="G1676" s="33" t="s">
        <v>38</v>
      </c>
      <c r="H1676" s="33" t="s">
        <v>8227</v>
      </c>
      <c r="I1676" s="33" t="s">
        <v>39</v>
      </c>
      <c r="J1676" s="33" t="s">
        <v>40</v>
      </c>
      <c r="K1676" s="33" t="s">
        <v>41</v>
      </c>
    </row>
    <row r="1677" spans="1:12" s="33" customFormat="1" x14ac:dyDescent="0.3">
      <c r="A1677" s="39">
        <v>46093.581354166665</v>
      </c>
      <c r="B1677" s="33">
        <v>44997450437</v>
      </c>
      <c r="C1677" s="33" t="s">
        <v>42</v>
      </c>
      <c r="D1677" s="33">
        <v>4431268225</v>
      </c>
      <c r="E1677" s="33">
        <v>755</v>
      </c>
      <c r="F1677" s="33">
        <v>639</v>
      </c>
      <c r="G1677" s="33" t="s">
        <v>38</v>
      </c>
      <c r="H1677" s="33" t="s">
        <v>8228</v>
      </c>
      <c r="I1677" s="33" t="s">
        <v>39</v>
      </c>
      <c r="J1677" s="33" t="s">
        <v>40</v>
      </c>
      <c r="K1677" s="33" t="s">
        <v>41</v>
      </c>
      <c r="L1677" s="33">
        <v>5</v>
      </c>
    </row>
    <row r="1678" spans="1:12" s="33" customFormat="1" hidden="1" x14ac:dyDescent="0.3">
      <c r="A1678" s="39">
        <v>46093.578680555554</v>
      </c>
      <c r="B1678" s="33">
        <v>4130760170</v>
      </c>
      <c r="C1678" s="33" t="s">
        <v>45</v>
      </c>
      <c r="D1678" s="33">
        <v>4430265054</v>
      </c>
      <c r="E1678" s="33">
        <v>938</v>
      </c>
      <c r="F1678" s="33">
        <v>818</v>
      </c>
      <c r="G1678" s="33" t="s">
        <v>38</v>
      </c>
      <c r="H1678" s="33" t="s">
        <v>8229</v>
      </c>
      <c r="I1678" s="33" t="s">
        <v>39</v>
      </c>
      <c r="J1678" s="33" t="s">
        <v>40</v>
      </c>
      <c r="K1678" s="33" t="s">
        <v>41</v>
      </c>
      <c r="L1678" s="33">
        <v>5</v>
      </c>
    </row>
    <row r="1679" spans="1:12" s="33" customFormat="1" hidden="1" x14ac:dyDescent="0.3">
      <c r="A1679" s="39">
        <v>46093.575324074074</v>
      </c>
      <c r="B1679" s="33" t="s">
        <v>51</v>
      </c>
      <c r="C1679" s="33" t="s">
        <v>5173</v>
      </c>
      <c r="E1679" s="33">
        <v>837</v>
      </c>
      <c r="F1679" s="33">
        <v>833</v>
      </c>
      <c r="G1679" s="33" t="s">
        <v>38</v>
      </c>
      <c r="H1679" s="33" t="s">
        <v>8230</v>
      </c>
      <c r="I1679" s="33" t="s">
        <v>52</v>
      </c>
      <c r="J1679" s="33" t="s">
        <v>3629</v>
      </c>
    </row>
    <row r="1680" spans="1:12" s="33" customFormat="1" hidden="1" x14ac:dyDescent="0.3">
      <c r="A1680" s="39">
        <v>46093.57471064815</v>
      </c>
      <c r="B1680" s="33" t="s">
        <v>51</v>
      </c>
      <c r="C1680" s="33" t="s">
        <v>5173</v>
      </c>
      <c r="E1680" s="33">
        <v>8</v>
      </c>
      <c r="F1680" s="33">
        <v>0</v>
      </c>
      <c r="G1680" s="33" t="s">
        <v>47</v>
      </c>
      <c r="H1680" s="33" t="s">
        <v>8231</v>
      </c>
      <c r="I1680" s="33" t="s">
        <v>52</v>
      </c>
      <c r="J1680" s="33" t="s">
        <v>3629</v>
      </c>
    </row>
    <row r="1681" spans="1:12" s="33" customFormat="1" hidden="1" x14ac:dyDescent="0.3">
      <c r="A1681" s="39">
        <v>46093.574166666665</v>
      </c>
      <c r="B1681" s="33" t="s">
        <v>51</v>
      </c>
      <c r="C1681" s="33" t="s">
        <v>5173</v>
      </c>
      <c r="E1681" s="33">
        <v>8</v>
      </c>
      <c r="F1681" s="33">
        <v>0</v>
      </c>
      <c r="G1681" s="33" t="s">
        <v>47</v>
      </c>
      <c r="H1681" s="33" t="s">
        <v>8232</v>
      </c>
      <c r="I1681" s="33" t="s">
        <v>52</v>
      </c>
      <c r="J1681" s="33" t="s">
        <v>3629</v>
      </c>
    </row>
    <row r="1682" spans="1:12" s="33" customFormat="1" hidden="1" x14ac:dyDescent="0.3">
      <c r="A1682" s="39">
        <v>46093.574050925927</v>
      </c>
      <c r="B1682" s="33">
        <v>4432336975</v>
      </c>
      <c r="C1682" s="33" t="s">
        <v>43</v>
      </c>
      <c r="D1682" s="33">
        <v>4430265054</v>
      </c>
      <c r="E1682" s="33">
        <v>1362</v>
      </c>
      <c r="F1682" s="33">
        <v>1344</v>
      </c>
      <c r="G1682" s="33" t="s">
        <v>38</v>
      </c>
      <c r="H1682" s="33" t="s">
        <v>8233</v>
      </c>
      <c r="I1682" s="33" t="s">
        <v>39</v>
      </c>
      <c r="J1682" s="33" t="s">
        <v>40</v>
      </c>
      <c r="K1682" s="33" t="s">
        <v>41</v>
      </c>
      <c r="L1682" s="33">
        <v>5</v>
      </c>
    </row>
    <row r="1683" spans="1:12" s="33" customFormat="1" hidden="1" x14ac:dyDescent="0.3">
      <c r="A1683" s="39">
        <v>46093.570069444446</v>
      </c>
      <c r="B1683" s="33">
        <v>44991354005</v>
      </c>
      <c r="C1683" s="33" t="s">
        <v>37</v>
      </c>
      <c r="D1683" s="33">
        <v>4430265054</v>
      </c>
      <c r="E1683" s="33">
        <v>613</v>
      </c>
      <c r="F1683" s="33">
        <v>568</v>
      </c>
      <c r="G1683" s="33" t="s">
        <v>38</v>
      </c>
      <c r="H1683" s="33" t="s">
        <v>8234</v>
      </c>
      <c r="I1683" s="33" t="s">
        <v>39</v>
      </c>
      <c r="J1683" s="33" t="s">
        <v>40</v>
      </c>
      <c r="K1683" s="33" t="s">
        <v>41</v>
      </c>
      <c r="L1683" s="33">
        <v>5</v>
      </c>
    </row>
    <row r="1684" spans="1:12" s="33" customFormat="1" hidden="1" x14ac:dyDescent="0.3">
      <c r="A1684" s="39">
        <v>46093.567511574074</v>
      </c>
      <c r="B1684" s="33">
        <v>44991284259</v>
      </c>
      <c r="C1684" s="33" t="s">
        <v>45</v>
      </c>
      <c r="D1684" s="33">
        <v>4430265054</v>
      </c>
      <c r="E1684" s="33">
        <v>1040</v>
      </c>
      <c r="F1684" s="33">
        <v>1008</v>
      </c>
      <c r="G1684" s="33" t="s">
        <v>38</v>
      </c>
      <c r="H1684" s="33" t="s">
        <v>8235</v>
      </c>
      <c r="I1684" s="33" t="s">
        <v>39</v>
      </c>
      <c r="J1684" s="33" t="s">
        <v>40</v>
      </c>
      <c r="K1684" s="33" t="s">
        <v>41</v>
      </c>
      <c r="L1684" s="33">
        <v>5</v>
      </c>
    </row>
    <row r="1685" spans="1:12" s="33" customFormat="1" hidden="1" x14ac:dyDescent="0.3">
      <c r="A1685" s="39">
        <v>46093.567199074074</v>
      </c>
      <c r="B1685" s="33">
        <v>44991566223</v>
      </c>
      <c r="C1685" s="33" t="s">
        <v>42</v>
      </c>
      <c r="D1685" s="33">
        <v>4430265054</v>
      </c>
      <c r="E1685" s="33">
        <v>946</v>
      </c>
      <c r="F1685" s="33">
        <v>903</v>
      </c>
      <c r="G1685" s="33" t="s">
        <v>38</v>
      </c>
      <c r="H1685" s="33" t="s">
        <v>8236</v>
      </c>
      <c r="I1685" s="33" t="s">
        <v>39</v>
      </c>
      <c r="J1685" s="33" t="s">
        <v>40</v>
      </c>
      <c r="K1685" s="33" t="s">
        <v>41</v>
      </c>
    </row>
    <row r="1686" spans="1:12" s="33" customFormat="1" hidden="1" x14ac:dyDescent="0.3">
      <c r="A1686" s="39">
        <v>46093.566759259258</v>
      </c>
      <c r="B1686" s="33" t="s">
        <v>43</v>
      </c>
      <c r="C1686" s="33">
        <v>4430459001</v>
      </c>
      <c r="E1686" s="33">
        <v>219</v>
      </c>
      <c r="F1686" s="33">
        <v>207</v>
      </c>
      <c r="G1686" s="33" t="s">
        <v>38</v>
      </c>
      <c r="H1686" s="33" t="s">
        <v>8237</v>
      </c>
      <c r="I1686" s="33" t="s">
        <v>46</v>
      </c>
      <c r="J1686" s="33" t="s">
        <v>40</v>
      </c>
    </row>
    <row r="1687" spans="1:12" s="33" customFormat="1" hidden="1" x14ac:dyDescent="0.3">
      <c r="A1687" s="39">
        <v>46093.566620370373</v>
      </c>
      <c r="B1687" s="33">
        <v>44991566223</v>
      </c>
      <c r="C1687" s="33">
        <v>4430265054</v>
      </c>
      <c r="D1687" s="33">
        <v>4430265054</v>
      </c>
      <c r="E1687" s="33">
        <v>46</v>
      </c>
      <c r="F1687" s="33">
        <v>45</v>
      </c>
      <c r="G1687" s="33" t="s">
        <v>3449</v>
      </c>
      <c r="H1687" s="33" t="s">
        <v>8238</v>
      </c>
      <c r="I1687" s="33" t="s">
        <v>39</v>
      </c>
      <c r="J1687" s="33" t="s">
        <v>3451</v>
      </c>
      <c r="K1687" s="33" t="s">
        <v>41</v>
      </c>
    </row>
    <row r="1688" spans="1:12" s="33" customFormat="1" hidden="1" x14ac:dyDescent="0.3">
      <c r="A1688" s="39">
        <v>46093.566319444442</v>
      </c>
      <c r="B1688" s="33">
        <v>44991388221</v>
      </c>
      <c r="C1688" s="33">
        <v>4431268225</v>
      </c>
      <c r="D1688" s="33">
        <v>4431268225</v>
      </c>
      <c r="E1688" s="33">
        <v>5</v>
      </c>
      <c r="F1688" s="33">
        <v>5</v>
      </c>
      <c r="G1688" s="33" t="s">
        <v>3449</v>
      </c>
      <c r="H1688" s="33" t="s">
        <v>8239</v>
      </c>
      <c r="I1688" s="33" t="s">
        <v>39</v>
      </c>
      <c r="J1688" s="33" t="s">
        <v>3451</v>
      </c>
    </row>
    <row r="1689" spans="1:12" s="33" customFormat="1" hidden="1" x14ac:dyDescent="0.3">
      <c r="A1689" s="39">
        <v>46093.56621527778</v>
      </c>
      <c r="B1689" s="33" t="s">
        <v>45</v>
      </c>
      <c r="C1689" s="33">
        <v>44991284259</v>
      </c>
      <c r="E1689" s="33">
        <v>47</v>
      </c>
      <c r="F1689" s="33">
        <v>45</v>
      </c>
      <c r="G1689" s="33" t="s">
        <v>38</v>
      </c>
      <c r="H1689" s="33" t="s">
        <v>8240</v>
      </c>
      <c r="I1689" s="33" t="s">
        <v>46</v>
      </c>
      <c r="J1689" s="33" t="s">
        <v>40</v>
      </c>
    </row>
    <row r="1690" spans="1:12" s="33" customFormat="1" hidden="1" x14ac:dyDescent="0.3">
      <c r="A1690" s="39">
        <v>46093.566087962965</v>
      </c>
      <c r="B1690" s="33" t="s">
        <v>45</v>
      </c>
      <c r="C1690" s="33">
        <v>44991388221</v>
      </c>
      <c r="E1690" s="33">
        <v>8</v>
      </c>
      <c r="F1690" s="33">
        <v>0</v>
      </c>
      <c r="G1690" s="33" t="s">
        <v>47</v>
      </c>
      <c r="H1690" s="33" t="s">
        <v>8241</v>
      </c>
      <c r="I1690" s="33" t="s">
        <v>46</v>
      </c>
      <c r="J1690" s="33" t="s">
        <v>40</v>
      </c>
    </row>
    <row r="1691" spans="1:12" s="33" customFormat="1" hidden="1" x14ac:dyDescent="0.3">
      <c r="A1691" s="39">
        <v>46093.565613425926</v>
      </c>
      <c r="B1691" s="33">
        <v>44991566223</v>
      </c>
      <c r="C1691" s="33">
        <v>4430265054</v>
      </c>
      <c r="D1691" s="33">
        <v>4430265054</v>
      </c>
      <c r="E1691" s="33">
        <v>53</v>
      </c>
      <c r="F1691" s="33">
        <v>53</v>
      </c>
      <c r="G1691" s="33" t="s">
        <v>3449</v>
      </c>
      <c r="H1691" s="33" t="s">
        <v>8242</v>
      </c>
      <c r="I1691" s="33" t="s">
        <v>39</v>
      </c>
      <c r="J1691" s="33" t="s">
        <v>3451</v>
      </c>
      <c r="K1691" s="33" t="s">
        <v>41</v>
      </c>
    </row>
    <row r="1692" spans="1:12" s="33" customFormat="1" hidden="1" x14ac:dyDescent="0.3">
      <c r="A1692" s="39">
        <v>46093.563194444447</v>
      </c>
      <c r="B1692" s="33">
        <v>44991566223</v>
      </c>
      <c r="C1692" s="33" t="s">
        <v>37</v>
      </c>
      <c r="D1692" s="33">
        <v>4430265054</v>
      </c>
      <c r="E1692" s="33">
        <v>147</v>
      </c>
      <c r="F1692" s="33">
        <v>109</v>
      </c>
      <c r="G1692" s="33" t="s">
        <v>38</v>
      </c>
      <c r="H1692" s="33" t="s">
        <v>8243</v>
      </c>
      <c r="I1692" s="33" t="s">
        <v>39</v>
      </c>
      <c r="J1692" s="33" t="s">
        <v>40</v>
      </c>
      <c r="K1692" s="33" t="s">
        <v>41</v>
      </c>
    </row>
    <row r="1693" spans="1:12" s="33" customFormat="1" hidden="1" x14ac:dyDescent="0.3">
      <c r="A1693" s="39">
        <v>46093.559374999997</v>
      </c>
      <c r="B1693" s="33" t="s">
        <v>45</v>
      </c>
      <c r="C1693" s="33">
        <v>44991284259</v>
      </c>
      <c r="E1693" s="33">
        <v>36</v>
      </c>
      <c r="F1693" s="33">
        <v>34</v>
      </c>
      <c r="G1693" s="33" t="s">
        <v>38</v>
      </c>
      <c r="H1693" s="33" t="s">
        <v>8244</v>
      </c>
      <c r="I1693" s="33" t="s">
        <v>46</v>
      </c>
      <c r="J1693" s="33" t="s">
        <v>40</v>
      </c>
    </row>
    <row r="1694" spans="1:12" s="33" customFormat="1" hidden="1" x14ac:dyDescent="0.3">
      <c r="A1694" s="39">
        <v>46093.541388888887</v>
      </c>
      <c r="B1694" s="33">
        <v>4432651717</v>
      </c>
      <c r="C1694" s="33">
        <v>4430265054</v>
      </c>
      <c r="D1694" s="33">
        <v>4430265054</v>
      </c>
      <c r="E1694" s="33">
        <v>1</v>
      </c>
      <c r="F1694" s="33">
        <v>1</v>
      </c>
      <c r="G1694" s="33" t="s">
        <v>3449</v>
      </c>
      <c r="H1694" s="33" t="s">
        <v>8245</v>
      </c>
      <c r="I1694" s="33" t="s">
        <v>39</v>
      </c>
      <c r="J1694" s="33" t="s">
        <v>3451</v>
      </c>
    </row>
    <row r="1695" spans="1:12" s="33" customFormat="1" hidden="1" x14ac:dyDescent="0.3">
      <c r="A1695" s="39">
        <v>46093.509166666663</v>
      </c>
      <c r="B1695" s="33">
        <v>4130263118</v>
      </c>
      <c r="C1695" s="33">
        <v>4430265054</v>
      </c>
      <c r="D1695" s="33">
        <v>4430265054</v>
      </c>
      <c r="E1695" s="33">
        <v>17</v>
      </c>
      <c r="F1695" s="33">
        <v>16</v>
      </c>
      <c r="G1695" s="33" t="s">
        <v>3449</v>
      </c>
      <c r="H1695" s="33" t="s">
        <v>8246</v>
      </c>
      <c r="I1695" s="33" t="s">
        <v>39</v>
      </c>
      <c r="J1695" s="33" t="s">
        <v>3451</v>
      </c>
    </row>
    <row r="1696" spans="1:12" s="33" customFormat="1" hidden="1" x14ac:dyDescent="0.3">
      <c r="A1696" s="39">
        <v>46093.498217592591</v>
      </c>
      <c r="B1696" s="33">
        <v>4439001698</v>
      </c>
      <c r="C1696" s="33" t="s">
        <v>3627</v>
      </c>
      <c r="D1696" s="33">
        <v>4430265054</v>
      </c>
      <c r="E1696" s="33">
        <v>83</v>
      </c>
      <c r="F1696" s="33">
        <v>62</v>
      </c>
      <c r="G1696" s="33" t="s">
        <v>38</v>
      </c>
      <c r="H1696" s="33" t="s">
        <v>8247</v>
      </c>
      <c r="I1696" s="33" t="s">
        <v>39</v>
      </c>
      <c r="J1696" s="33" t="s">
        <v>3629</v>
      </c>
      <c r="K1696" s="33" t="s">
        <v>50</v>
      </c>
    </row>
    <row r="1697" spans="1:12" s="33" customFormat="1" hidden="1" x14ac:dyDescent="0.3">
      <c r="A1697" s="39">
        <v>46093.494166666664</v>
      </c>
      <c r="B1697" s="33">
        <v>44991388221</v>
      </c>
      <c r="C1697" s="33" t="s">
        <v>45</v>
      </c>
      <c r="D1697" s="33">
        <v>4430265054</v>
      </c>
      <c r="E1697" s="33">
        <v>558</v>
      </c>
      <c r="F1697" s="33">
        <v>501</v>
      </c>
      <c r="G1697" s="33" t="s">
        <v>38</v>
      </c>
      <c r="H1697" s="33" t="s">
        <v>8248</v>
      </c>
      <c r="I1697" s="33" t="s">
        <v>39</v>
      </c>
      <c r="J1697" s="33" t="s">
        <v>40</v>
      </c>
      <c r="K1697" s="33" t="s">
        <v>41</v>
      </c>
    </row>
    <row r="1698" spans="1:12" s="33" customFormat="1" hidden="1" x14ac:dyDescent="0.3">
      <c r="A1698" s="39">
        <v>46093.49145833333</v>
      </c>
      <c r="B1698" s="33" t="s">
        <v>44</v>
      </c>
      <c r="C1698" s="33">
        <v>35998295948</v>
      </c>
      <c r="E1698" s="33">
        <v>320</v>
      </c>
      <c r="F1698" s="33">
        <v>289</v>
      </c>
      <c r="G1698" s="33" t="s">
        <v>38</v>
      </c>
      <c r="H1698" s="33" t="s">
        <v>8249</v>
      </c>
      <c r="I1698" s="33" t="s">
        <v>46</v>
      </c>
      <c r="J1698" s="33" t="s">
        <v>40</v>
      </c>
    </row>
    <row r="1699" spans="1:12" s="33" customFormat="1" hidden="1" x14ac:dyDescent="0.3">
      <c r="A1699" s="39">
        <v>46093.487546296295</v>
      </c>
      <c r="B1699" s="33">
        <v>44991484476</v>
      </c>
      <c r="C1699" s="33" t="s">
        <v>42</v>
      </c>
      <c r="D1699" s="33">
        <v>4431268225</v>
      </c>
      <c r="E1699" s="33">
        <v>204</v>
      </c>
      <c r="F1699" s="33">
        <v>178</v>
      </c>
      <c r="G1699" s="33" t="s">
        <v>38</v>
      </c>
      <c r="H1699" s="33" t="s">
        <v>8250</v>
      </c>
      <c r="I1699" s="33" t="s">
        <v>39</v>
      </c>
      <c r="J1699" s="33" t="s">
        <v>40</v>
      </c>
      <c r="K1699" s="33" t="s">
        <v>41</v>
      </c>
    </row>
    <row r="1700" spans="1:12" s="33" customFormat="1" hidden="1" x14ac:dyDescent="0.3">
      <c r="A1700" s="39">
        <v>46093.486909722225</v>
      </c>
      <c r="B1700" s="33" t="s">
        <v>42</v>
      </c>
      <c r="C1700" s="33">
        <v>44991484476</v>
      </c>
      <c r="E1700" s="33">
        <v>52</v>
      </c>
      <c r="F1700" s="33">
        <v>16</v>
      </c>
      <c r="G1700" s="33" t="s">
        <v>38</v>
      </c>
      <c r="H1700" s="33" t="s">
        <v>8251</v>
      </c>
      <c r="I1700" s="33" t="s">
        <v>46</v>
      </c>
      <c r="J1700" s="33" t="s">
        <v>40</v>
      </c>
    </row>
    <row r="1701" spans="1:12" s="33" customFormat="1" hidden="1" x14ac:dyDescent="0.3">
      <c r="A1701" s="39">
        <v>46093.486574074072</v>
      </c>
      <c r="B1701" s="33" t="s">
        <v>42</v>
      </c>
      <c r="C1701" s="33">
        <v>44991484476</v>
      </c>
      <c r="E1701" s="33">
        <v>55</v>
      </c>
      <c r="F1701" s="33">
        <v>36</v>
      </c>
      <c r="G1701" s="33" t="s">
        <v>38</v>
      </c>
      <c r="H1701" s="33" t="s">
        <v>8252</v>
      </c>
      <c r="I1701" s="33" t="s">
        <v>46</v>
      </c>
      <c r="J1701" s="33" t="s">
        <v>40</v>
      </c>
    </row>
    <row r="1702" spans="1:12" s="33" customFormat="1" hidden="1" x14ac:dyDescent="0.3">
      <c r="A1702" s="39">
        <v>46093.486238425925</v>
      </c>
      <c r="B1702" s="33" t="s">
        <v>44</v>
      </c>
      <c r="C1702" s="33">
        <v>4130775695</v>
      </c>
      <c r="E1702" s="33">
        <v>409</v>
      </c>
      <c r="F1702" s="33">
        <v>401</v>
      </c>
      <c r="G1702" s="33" t="s">
        <v>38</v>
      </c>
      <c r="H1702" s="33" t="s">
        <v>8253</v>
      </c>
      <c r="I1702" s="33" t="s">
        <v>46</v>
      </c>
      <c r="J1702" s="33" t="s">
        <v>40</v>
      </c>
      <c r="L1702" s="33">
        <v>5</v>
      </c>
    </row>
    <row r="1703" spans="1:12" s="33" customFormat="1" hidden="1" x14ac:dyDescent="0.3">
      <c r="A1703" s="39">
        <v>46093.485625000001</v>
      </c>
      <c r="B1703" s="33">
        <v>44991388221</v>
      </c>
      <c r="C1703" s="33">
        <v>4430265054</v>
      </c>
      <c r="D1703" s="33">
        <v>4430265054</v>
      </c>
      <c r="E1703" s="33">
        <v>8</v>
      </c>
      <c r="F1703" s="33">
        <v>8</v>
      </c>
      <c r="G1703" s="33" t="s">
        <v>3449</v>
      </c>
      <c r="H1703" s="33" t="s">
        <v>8254</v>
      </c>
      <c r="I1703" s="33" t="s">
        <v>39</v>
      </c>
      <c r="J1703" s="33" t="s">
        <v>3451</v>
      </c>
    </row>
    <row r="1704" spans="1:12" s="33" customFormat="1" hidden="1" x14ac:dyDescent="0.3">
      <c r="A1704" s="39">
        <v>46093.484282407408</v>
      </c>
      <c r="B1704" s="33">
        <v>11985836640</v>
      </c>
      <c r="C1704" s="33" t="s">
        <v>37</v>
      </c>
      <c r="D1704" s="33">
        <v>4430265054</v>
      </c>
      <c r="E1704" s="33">
        <v>390</v>
      </c>
      <c r="F1704" s="33">
        <v>348</v>
      </c>
      <c r="G1704" s="33" t="s">
        <v>38</v>
      </c>
      <c r="H1704" s="33" t="s">
        <v>8255</v>
      </c>
      <c r="I1704" s="33" t="s">
        <v>39</v>
      </c>
      <c r="J1704" s="33" t="s">
        <v>40</v>
      </c>
      <c r="K1704" s="33" t="s">
        <v>41</v>
      </c>
    </row>
    <row r="1705" spans="1:12" s="33" customFormat="1" hidden="1" x14ac:dyDescent="0.3">
      <c r="A1705" s="39">
        <v>46093.482523148145</v>
      </c>
      <c r="B1705" s="33">
        <v>4435228300</v>
      </c>
      <c r="C1705" s="33" t="s">
        <v>45</v>
      </c>
      <c r="D1705" s="33">
        <v>4430265054</v>
      </c>
      <c r="E1705" s="33">
        <v>485</v>
      </c>
      <c r="F1705" s="33">
        <v>401</v>
      </c>
      <c r="G1705" s="33" t="s">
        <v>38</v>
      </c>
      <c r="H1705" s="33" t="s">
        <v>8256</v>
      </c>
      <c r="I1705" s="33" t="s">
        <v>39</v>
      </c>
      <c r="J1705" s="33" t="s">
        <v>40</v>
      </c>
      <c r="K1705" s="33" t="s">
        <v>41</v>
      </c>
    </row>
    <row r="1706" spans="1:12" s="33" customFormat="1" hidden="1" x14ac:dyDescent="0.3">
      <c r="A1706" s="39">
        <v>46093.47556712963</v>
      </c>
      <c r="B1706" s="33">
        <v>35998295948</v>
      </c>
      <c r="C1706" s="33" t="s">
        <v>44</v>
      </c>
      <c r="D1706" s="33">
        <v>4430265054</v>
      </c>
      <c r="E1706" s="33">
        <v>805</v>
      </c>
      <c r="F1706" s="33">
        <v>658</v>
      </c>
      <c r="G1706" s="33" t="s">
        <v>38</v>
      </c>
      <c r="H1706" s="33" t="s">
        <v>8257</v>
      </c>
      <c r="I1706" s="33" t="s">
        <v>39</v>
      </c>
      <c r="J1706" s="33" t="s">
        <v>40</v>
      </c>
      <c r="K1706" s="33" t="s">
        <v>41</v>
      </c>
    </row>
    <row r="1707" spans="1:12" s="33" customFormat="1" hidden="1" x14ac:dyDescent="0.3">
      <c r="A1707" s="39">
        <v>46093.473773148151</v>
      </c>
      <c r="B1707" s="33" t="s">
        <v>45</v>
      </c>
      <c r="C1707" s="33">
        <v>4436249360</v>
      </c>
      <c r="E1707" s="33">
        <v>471</v>
      </c>
      <c r="F1707" s="33">
        <v>459</v>
      </c>
      <c r="G1707" s="33" t="s">
        <v>38</v>
      </c>
      <c r="H1707" s="33" t="s">
        <v>8258</v>
      </c>
      <c r="I1707" s="33" t="s">
        <v>46</v>
      </c>
      <c r="J1707" s="33" t="s">
        <v>40</v>
      </c>
      <c r="L1707" s="33">
        <v>5</v>
      </c>
    </row>
    <row r="1708" spans="1:12" s="33" customFormat="1" hidden="1" x14ac:dyDescent="0.3">
      <c r="A1708" s="39">
        <v>46093.472754629627</v>
      </c>
      <c r="B1708" s="33" t="s">
        <v>45</v>
      </c>
      <c r="C1708" s="33">
        <v>11953265422</v>
      </c>
      <c r="E1708" s="33">
        <v>85</v>
      </c>
      <c r="F1708" s="33">
        <v>80</v>
      </c>
      <c r="G1708" s="33" t="s">
        <v>38</v>
      </c>
      <c r="H1708" s="33" t="s">
        <v>8259</v>
      </c>
      <c r="I1708" s="33" t="s">
        <v>46</v>
      </c>
      <c r="J1708" s="33" t="s">
        <v>40</v>
      </c>
    </row>
    <row r="1709" spans="1:12" s="33" customFormat="1" hidden="1" x14ac:dyDescent="0.3">
      <c r="A1709" s="39">
        <v>46093.471724537034</v>
      </c>
      <c r="B1709" s="33" t="s">
        <v>42</v>
      </c>
      <c r="C1709" s="33">
        <v>44991484476</v>
      </c>
      <c r="E1709" s="33">
        <v>85</v>
      </c>
      <c r="F1709" s="33">
        <v>73</v>
      </c>
      <c r="G1709" s="33" t="s">
        <v>38</v>
      </c>
      <c r="H1709" s="33" t="s">
        <v>8260</v>
      </c>
      <c r="I1709" s="33" t="s">
        <v>46</v>
      </c>
      <c r="J1709" s="33" t="s">
        <v>40</v>
      </c>
    </row>
    <row r="1710" spans="1:12" s="33" customFormat="1" hidden="1" x14ac:dyDescent="0.3">
      <c r="A1710" s="39">
        <v>46093.470173611109</v>
      </c>
      <c r="B1710" s="33">
        <v>35998295948</v>
      </c>
      <c r="C1710" s="33" t="s">
        <v>48</v>
      </c>
      <c r="D1710" s="33">
        <v>4430265054</v>
      </c>
      <c r="E1710" s="33">
        <v>125</v>
      </c>
      <c r="F1710" s="33">
        <v>104</v>
      </c>
      <c r="G1710" s="33" t="s">
        <v>38</v>
      </c>
      <c r="H1710" s="33" t="s">
        <v>8261</v>
      </c>
      <c r="I1710" s="33" t="s">
        <v>39</v>
      </c>
      <c r="J1710" s="33" t="s">
        <v>40</v>
      </c>
      <c r="K1710" s="33" t="s">
        <v>41</v>
      </c>
    </row>
    <row r="1711" spans="1:12" s="33" customFormat="1" hidden="1" x14ac:dyDescent="0.3">
      <c r="A1711" s="39">
        <v>46093.46943287037</v>
      </c>
      <c r="B1711" s="33">
        <v>44997343311</v>
      </c>
      <c r="C1711" s="33" t="s">
        <v>37</v>
      </c>
      <c r="D1711" s="33">
        <v>4430265054</v>
      </c>
      <c r="E1711" s="33">
        <v>451</v>
      </c>
      <c r="F1711" s="33">
        <v>367</v>
      </c>
      <c r="G1711" s="33" t="s">
        <v>38</v>
      </c>
      <c r="H1711" s="33" t="s">
        <v>8262</v>
      </c>
      <c r="I1711" s="33" t="s">
        <v>39</v>
      </c>
      <c r="J1711" s="33" t="s">
        <v>40</v>
      </c>
      <c r="K1711" s="33" t="s">
        <v>41</v>
      </c>
      <c r="L1711" s="33">
        <v>5</v>
      </c>
    </row>
    <row r="1712" spans="1:12" s="33" customFormat="1" hidden="1" x14ac:dyDescent="0.3">
      <c r="A1712" s="39">
        <v>46093.469039351854</v>
      </c>
      <c r="B1712" s="33">
        <v>44991388221</v>
      </c>
      <c r="C1712" s="33" t="s">
        <v>43</v>
      </c>
      <c r="D1712" s="33">
        <v>4430265054</v>
      </c>
      <c r="E1712" s="33">
        <v>457</v>
      </c>
      <c r="F1712" s="33">
        <v>395</v>
      </c>
      <c r="G1712" s="33" t="s">
        <v>38</v>
      </c>
      <c r="H1712" s="33" t="s">
        <v>8263</v>
      </c>
      <c r="I1712" s="33" t="s">
        <v>39</v>
      </c>
      <c r="J1712" s="33" t="s">
        <v>40</v>
      </c>
      <c r="K1712" s="33" t="s">
        <v>41</v>
      </c>
      <c r="L1712" s="33">
        <v>5</v>
      </c>
    </row>
    <row r="1713" spans="1:12" s="33" customFormat="1" hidden="1" x14ac:dyDescent="0.3">
      <c r="A1713" s="39">
        <v>46093.465648148151</v>
      </c>
      <c r="B1713" s="33">
        <v>4436281154</v>
      </c>
      <c r="C1713" s="33" t="s">
        <v>44</v>
      </c>
      <c r="D1713" s="33">
        <v>4430265054</v>
      </c>
      <c r="E1713" s="33">
        <v>367</v>
      </c>
      <c r="F1713" s="33">
        <v>311</v>
      </c>
      <c r="G1713" s="33" t="s">
        <v>38</v>
      </c>
      <c r="H1713" s="33" t="s">
        <v>8264</v>
      </c>
      <c r="I1713" s="33" t="s">
        <v>39</v>
      </c>
      <c r="J1713" s="33" t="s">
        <v>40</v>
      </c>
      <c r="K1713" s="33" t="s">
        <v>41</v>
      </c>
    </row>
    <row r="1714" spans="1:12" s="33" customFormat="1" hidden="1" x14ac:dyDescent="0.3">
      <c r="A1714" s="39">
        <v>46093.462685185186</v>
      </c>
      <c r="B1714" s="33" t="s">
        <v>3627</v>
      </c>
      <c r="C1714" s="33">
        <v>51999194287</v>
      </c>
      <c r="E1714" s="33">
        <v>10</v>
      </c>
      <c r="F1714" s="33">
        <v>0</v>
      </c>
      <c r="G1714" s="33" t="s">
        <v>47</v>
      </c>
      <c r="H1714" s="33" t="s">
        <v>8265</v>
      </c>
      <c r="I1714" s="33" t="s">
        <v>46</v>
      </c>
      <c r="J1714" s="33" t="s">
        <v>3629</v>
      </c>
    </row>
    <row r="1715" spans="1:12" s="33" customFormat="1" hidden="1" x14ac:dyDescent="0.3">
      <c r="A1715" s="39">
        <v>46093.462627314817</v>
      </c>
      <c r="B1715" s="33">
        <v>11953265422</v>
      </c>
      <c r="C1715" s="33" t="s">
        <v>43</v>
      </c>
      <c r="D1715" s="33">
        <v>4430265054</v>
      </c>
      <c r="E1715" s="33">
        <v>300</v>
      </c>
      <c r="F1715" s="33">
        <v>227</v>
      </c>
      <c r="G1715" s="33" t="s">
        <v>38</v>
      </c>
      <c r="H1715" s="33" t="s">
        <v>8266</v>
      </c>
      <c r="I1715" s="33" t="s">
        <v>39</v>
      </c>
      <c r="J1715" s="33" t="s">
        <v>40</v>
      </c>
      <c r="K1715" s="33" t="s">
        <v>41</v>
      </c>
    </row>
    <row r="1716" spans="1:12" s="33" customFormat="1" hidden="1" x14ac:dyDescent="0.3">
      <c r="A1716" s="39">
        <v>46093.458668981482</v>
      </c>
      <c r="B1716" s="33" t="s">
        <v>3627</v>
      </c>
      <c r="C1716" s="33">
        <v>37998036840</v>
      </c>
      <c r="E1716" s="33">
        <v>9</v>
      </c>
      <c r="F1716" s="33">
        <v>1</v>
      </c>
      <c r="G1716" s="33" t="s">
        <v>38</v>
      </c>
      <c r="H1716" s="33" t="s">
        <v>8267</v>
      </c>
      <c r="I1716" s="33" t="s">
        <v>46</v>
      </c>
      <c r="J1716" s="33" t="s">
        <v>3629</v>
      </c>
    </row>
    <row r="1717" spans="1:12" s="33" customFormat="1" hidden="1" x14ac:dyDescent="0.3">
      <c r="A1717" s="39">
        <v>46093.458124999997</v>
      </c>
      <c r="B1717" s="33">
        <v>44988255390</v>
      </c>
      <c r="C1717" s="33" t="s">
        <v>45</v>
      </c>
      <c r="D1717" s="33">
        <v>4430265054</v>
      </c>
      <c r="E1717" s="33">
        <v>587</v>
      </c>
      <c r="F1717" s="33">
        <v>553</v>
      </c>
      <c r="G1717" s="33" t="s">
        <v>38</v>
      </c>
      <c r="H1717" s="33" t="s">
        <v>8268</v>
      </c>
      <c r="I1717" s="33" t="s">
        <v>39</v>
      </c>
      <c r="J1717" s="33" t="s">
        <v>40</v>
      </c>
      <c r="K1717" s="33" t="s">
        <v>41</v>
      </c>
    </row>
    <row r="1718" spans="1:12" s="33" customFormat="1" hidden="1" x14ac:dyDescent="0.3">
      <c r="A1718" s="39">
        <v>46093.456747685188</v>
      </c>
      <c r="B1718" s="33">
        <v>4430141092</v>
      </c>
      <c r="C1718" s="33" t="s">
        <v>43</v>
      </c>
      <c r="D1718" s="33">
        <v>4430265054</v>
      </c>
      <c r="E1718" s="33">
        <v>174</v>
      </c>
      <c r="F1718" s="33">
        <v>155</v>
      </c>
      <c r="G1718" s="33" t="s">
        <v>38</v>
      </c>
      <c r="H1718" s="33" t="s">
        <v>8269</v>
      </c>
      <c r="I1718" s="33" t="s">
        <v>39</v>
      </c>
      <c r="J1718" s="33" t="s">
        <v>40</v>
      </c>
      <c r="K1718" s="33" t="s">
        <v>41</v>
      </c>
    </row>
    <row r="1719" spans="1:12" s="33" customFormat="1" hidden="1" x14ac:dyDescent="0.3">
      <c r="A1719" s="39">
        <v>46093.456006944441</v>
      </c>
      <c r="B1719" s="33">
        <v>12997346335</v>
      </c>
      <c r="C1719" s="33" t="s">
        <v>48</v>
      </c>
      <c r="D1719" s="33">
        <v>4430265054</v>
      </c>
      <c r="E1719" s="33">
        <v>641</v>
      </c>
      <c r="F1719" s="33">
        <v>561</v>
      </c>
      <c r="G1719" s="33" t="s">
        <v>38</v>
      </c>
      <c r="H1719" s="33" t="s">
        <v>8270</v>
      </c>
      <c r="I1719" s="33" t="s">
        <v>39</v>
      </c>
      <c r="J1719" s="33" t="s">
        <v>40</v>
      </c>
      <c r="K1719" s="33" t="s">
        <v>41</v>
      </c>
      <c r="L1719" s="33">
        <v>5</v>
      </c>
    </row>
    <row r="1720" spans="1:12" s="33" customFormat="1" hidden="1" x14ac:dyDescent="0.3">
      <c r="A1720" s="39">
        <v>46093.455983796295</v>
      </c>
      <c r="B1720" s="33">
        <v>11916079448</v>
      </c>
      <c r="C1720" s="33" t="s">
        <v>44</v>
      </c>
      <c r="D1720" s="33">
        <v>4430265054</v>
      </c>
      <c r="E1720" s="33">
        <v>365</v>
      </c>
      <c r="F1720" s="33">
        <v>278</v>
      </c>
      <c r="G1720" s="33" t="s">
        <v>38</v>
      </c>
      <c r="H1720" s="33" t="s">
        <v>8271</v>
      </c>
      <c r="I1720" s="33" t="s">
        <v>39</v>
      </c>
      <c r="J1720" s="33" t="s">
        <v>40</v>
      </c>
      <c r="K1720" s="33" t="s">
        <v>41</v>
      </c>
    </row>
    <row r="1721" spans="1:12" s="33" customFormat="1" hidden="1" x14ac:dyDescent="0.3">
      <c r="A1721" s="39">
        <v>46093.454456018517</v>
      </c>
      <c r="B1721" s="33">
        <v>4432524636</v>
      </c>
      <c r="C1721" s="33" t="s">
        <v>43</v>
      </c>
      <c r="D1721" s="33">
        <v>4430265054</v>
      </c>
      <c r="E1721" s="33">
        <v>187</v>
      </c>
      <c r="F1721" s="33">
        <v>116</v>
      </c>
      <c r="G1721" s="33" t="s">
        <v>38</v>
      </c>
      <c r="H1721" s="33" t="s">
        <v>8272</v>
      </c>
      <c r="I1721" s="33" t="s">
        <v>39</v>
      </c>
      <c r="J1721" s="33" t="s">
        <v>40</v>
      </c>
      <c r="K1721" s="33" t="s">
        <v>41</v>
      </c>
      <c r="L1721" s="33">
        <v>5</v>
      </c>
    </row>
    <row r="1722" spans="1:12" s="33" customFormat="1" hidden="1" x14ac:dyDescent="0.3">
      <c r="A1722" s="39">
        <v>46093.453217592592</v>
      </c>
      <c r="B1722" s="33">
        <v>4432677399</v>
      </c>
      <c r="C1722" s="33" t="s">
        <v>42</v>
      </c>
      <c r="D1722" s="33">
        <v>4430265054</v>
      </c>
      <c r="E1722" s="33">
        <v>1146</v>
      </c>
      <c r="F1722" s="33">
        <v>1108</v>
      </c>
      <c r="G1722" s="33" t="s">
        <v>38</v>
      </c>
      <c r="H1722" s="33" t="s">
        <v>8273</v>
      </c>
      <c r="I1722" s="33" t="s">
        <v>39</v>
      </c>
      <c r="J1722" s="33" t="s">
        <v>40</v>
      </c>
      <c r="K1722" s="33" t="s">
        <v>41</v>
      </c>
    </row>
    <row r="1723" spans="1:12" s="33" customFormat="1" hidden="1" x14ac:dyDescent="0.3">
      <c r="A1723" s="39">
        <v>46093.452314814815</v>
      </c>
      <c r="B1723" s="33">
        <v>4432677399</v>
      </c>
      <c r="C1723" s="33">
        <v>4430265054</v>
      </c>
      <c r="D1723" s="33">
        <v>4430265054</v>
      </c>
      <c r="E1723" s="33">
        <v>45</v>
      </c>
      <c r="F1723" s="33">
        <v>45</v>
      </c>
      <c r="G1723" s="33" t="s">
        <v>3449</v>
      </c>
      <c r="H1723" s="33" t="s">
        <v>8274</v>
      </c>
      <c r="I1723" s="33" t="s">
        <v>39</v>
      </c>
      <c r="J1723" s="33" t="s">
        <v>3451</v>
      </c>
      <c r="K1723" s="33" t="s">
        <v>41</v>
      </c>
    </row>
    <row r="1724" spans="1:12" s="33" customFormat="1" hidden="1" x14ac:dyDescent="0.3">
      <c r="A1724" s="39">
        <v>46093.45103009259</v>
      </c>
      <c r="B1724" s="33" t="s">
        <v>48</v>
      </c>
      <c r="C1724" s="33">
        <v>4330333542</v>
      </c>
      <c r="E1724" s="33">
        <v>33</v>
      </c>
      <c r="F1724" s="33">
        <v>26</v>
      </c>
      <c r="G1724" s="33" t="s">
        <v>38</v>
      </c>
      <c r="H1724" s="33" t="s">
        <v>8275</v>
      </c>
      <c r="I1724" s="33" t="s">
        <v>46</v>
      </c>
      <c r="J1724" s="33" t="s">
        <v>40</v>
      </c>
    </row>
    <row r="1725" spans="1:12" s="33" customFormat="1" hidden="1" x14ac:dyDescent="0.3">
      <c r="A1725" s="39">
        <v>46093.446620370371</v>
      </c>
      <c r="B1725" s="33">
        <v>44991388221</v>
      </c>
      <c r="C1725" s="33" t="s">
        <v>42</v>
      </c>
      <c r="D1725" s="33">
        <v>4430265054</v>
      </c>
      <c r="E1725" s="33">
        <v>399</v>
      </c>
      <c r="F1725" s="33">
        <v>187</v>
      </c>
      <c r="G1725" s="33" t="s">
        <v>38</v>
      </c>
      <c r="H1725" s="33" t="s">
        <v>8276</v>
      </c>
      <c r="I1725" s="33" t="s">
        <v>39</v>
      </c>
      <c r="J1725" s="33" t="s">
        <v>40</v>
      </c>
      <c r="K1725" s="33" t="s">
        <v>41</v>
      </c>
    </row>
    <row r="1726" spans="1:12" s="33" customFormat="1" hidden="1" x14ac:dyDescent="0.3">
      <c r="A1726" s="39">
        <v>46093.439282407409</v>
      </c>
      <c r="B1726" s="33">
        <v>44991284259</v>
      </c>
      <c r="C1726" s="33" t="s">
        <v>45</v>
      </c>
      <c r="D1726" s="33">
        <v>4430265054</v>
      </c>
      <c r="E1726" s="33">
        <v>1631</v>
      </c>
      <c r="F1726" s="33">
        <v>1605</v>
      </c>
      <c r="G1726" s="33" t="s">
        <v>38</v>
      </c>
      <c r="H1726" s="33" t="s">
        <v>8277</v>
      </c>
      <c r="I1726" s="33" t="s">
        <v>39</v>
      </c>
      <c r="J1726" s="33" t="s">
        <v>40</v>
      </c>
      <c r="K1726" s="33" t="s">
        <v>41</v>
      </c>
    </row>
    <row r="1727" spans="1:12" s="33" customFormat="1" hidden="1" x14ac:dyDescent="0.3">
      <c r="A1727" s="39">
        <v>46093.43917824074</v>
      </c>
      <c r="B1727" s="33">
        <v>44991381017</v>
      </c>
      <c r="C1727" s="33" t="s">
        <v>37</v>
      </c>
      <c r="D1727" s="33">
        <v>4430265054</v>
      </c>
      <c r="E1727" s="33">
        <v>2638</v>
      </c>
      <c r="F1727" s="33">
        <v>2510</v>
      </c>
      <c r="G1727" s="33" t="s">
        <v>38</v>
      </c>
      <c r="H1727" s="33" t="s">
        <v>8278</v>
      </c>
      <c r="I1727" s="33" t="s">
        <v>39</v>
      </c>
      <c r="J1727" s="33" t="s">
        <v>40</v>
      </c>
      <c r="K1727" s="33" t="s">
        <v>41</v>
      </c>
    </row>
    <row r="1728" spans="1:12" s="33" customFormat="1" hidden="1" x14ac:dyDescent="0.3">
      <c r="A1728" s="39">
        <v>46093.43822916667</v>
      </c>
      <c r="B1728" s="33" t="s">
        <v>43</v>
      </c>
      <c r="C1728" s="33">
        <v>4430459001</v>
      </c>
      <c r="E1728" s="33">
        <v>240</v>
      </c>
      <c r="F1728" s="33">
        <v>221</v>
      </c>
      <c r="G1728" s="33" t="s">
        <v>38</v>
      </c>
      <c r="H1728" s="33" t="s">
        <v>8279</v>
      </c>
      <c r="I1728" s="33" t="s">
        <v>46</v>
      </c>
      <c r="J1728" s="33" t="s">
        <v>40</v>
      </c>
    </row>
    <row r="1729" spans="1:13" hidden="1" x14ac:dyDescent="0.3">
      <c r="A1729" s="39">
        <v>46093.434004629627</v>
      </c>
      <c r="B1729" s="33">
        <v>4330332823</v>
      </c>
      <c r="C1729" s="33" t="s">
        <v>48</v>
      </c>
      <c r="D1729" s="33">
        <v>4430265054</v>
      </c>
      <c r="E1729" s="33">
        <v>1012</v>
      </c>
      <c r="F1729" s="33">
        <v>1011</v>
      </c>
      <c r="G1729" s="33" t="s">
        <v>38</v>
      </c>
      <c r="H1729" s="33" t="s">
        <v>8280</v>
      </c>
      <c r="I1729" s="33" t="s">
        <v>39</v>
      </c>
      <c r="J1729" s="33" t="s">
        <v>40</v>
      </c>
      <c r="K1729" s="33" t="s">
        <v>41</v>
      </c>
      <c r="M1729" s="33"/>
    </row>
    <row r="1730" spans="1:13" hidden="1" x14ac:dyDescent="0.3">
      <c r="A1730" s="39">
        <v>46093.43341435185</v>
      </c>
      <c r="B1730" s="33">
        <v>44991484476</v>
      </c>
      <c r="C1730" s="33" t="s">
        <v>42</v>
      </c>
      <c r="D1730" s="33">
        <v>4430265054</v>
      </c>
      <c r="E1730" s="33">
        <v>779</v>
      </c>
      <c r="F1730" s="33">
        <v>737</v>
      </c>
      <c r="G1730" s="33" t="s">
        <v>38</v>
      </c>
      <c r="H1730" s="33" t="s">
        <v>8281</v>
      </c>
      <c r="I1730" s="33" t="s">
        <v>39</v>
      </c>
      <c r="J1730" s="33" t="s">
        <v>40</v>
      </c>
      <c r="K1730" s="33" t="s">
        <v>41</v>
      </c>
      <c r="M1730" s="33"/>
    </row>
    <row r="1731" spans="1:13" hidden="1" x14ac:dyDescent="0.3">
      <c r="A1731" s="39">
        <v>46093.431863425925</v>
      </c>
      <c r="B1731" s="33">
        <v>4430450103</v>
      </c>
      <c r="C1731" s="33" t="s">
        <v>43</v>
      </c>
      <c r="D1731" s="33">
        <v>4430265054</v>
      </c>
      <c r="E1731" s="33">
        <v>420</v>
      </c>
      <c r="F1731" s="33">
        <v>323</v>
      </c>
      <c r="G1731" s="33" t="s">
        <v>38</v>
      </c>
      <c r="H1731" s="33" t="s">
        <v>8282</v>
      </c>
      <c r="I1731" s="33" t="s">
        <v>39</v>
      </c>
      <c r="J1731" s="33" t="s">
        <v>40</v>
      </c>
      <c r="K1731" s="33" t="s">
        <v>41</v>
      </c>
      <c r="L1731" s="33">
        <v>5</v>
      </c>
      <c r="M1731" s="33"/>
    </row>
    <row r="1732" spans="1:13" hidden="1" x14ac:dyDescent="0.3">
      <c r="A1732" s="39">
        <v>46093.431157407409</v>
      </c>
      <c r="B1732" s="33">
        <v>44997735525</v>
      </c>
      <c r="C1732" s="33" t="s">
        <v>45</v>
      </c>
      <c r="D1732" s="33">
        <v>4430265054</v>
      </c>
      <c r="E1732" s="33">
        <v>643</v>
      </c>
      <c r="F1732" s="33">
        <v>590</v>
      </c>
      <c r="G1732" s="33" t="s">
        <v>38</v>
      </c>
      <c r="H1732" s="33" t="s">
        <v>8283</v>
      </c>
      <c r="I1732" s="33" t="s">
        <v>39</v>
      </c>
      <c r="J1732" s="33" t="s">
        <v>40</v>
      </c>
      <c r="K1732" s="33" t="s">
        <v>41</v>
      </c>
      <c r="L1732" s="33">
        <v>5</v>
      </c>
      <c r="M1732" s="33"/>
    </row>
    <row r="1733" spans="1:13" hidden="1" x14ac:dyDescent="0.3">
      <c r="A1733" s="39">
        <v>46093.423344907409</v>
      </c>
      <c r="B1733" s="33">
        <v>4433543396</v>
      </c>
      <c r="C1733" s="33" t="s">
        <v>43</v>
      </c>
      <c r="D1733" s="33">
        <v>4430265054</v>
      </c>
      <c r="E1733" s="33">
        <v>394</v>
      </c>
      <c r="F1733" s="33">
        <v>338</v>
      </c>
      <c r="G1733" s="33" t="s">
        <v>38</v>
      </c>
      <c r="H1733" s="33" t="s">
        <v>8284</v>
      </c>
      <c r="I1733" s="33" t="s">
        <v>39</v>
      </c>
      <c r="J1733" s="33" t="s">
        <v>40</v>
      </c>
      <c r="K1733" s="33" t="s">
        <v>41</v>
      </c>
      <c r="M1733" s="33"/>
    </row>
    <row r="1734" spans="1:13" hidden="1" x14ac:dyDescent="0.3">
      <c r="A1734" s="39">
        <v>46093.418912037036</v>
      </c>
      <c r="B1734" s="33">
        <v>4130775695</v>
      </c>
      <c r="C1734" s="33" t="s">
        <v>44</v>
      </c>
      <c r="D1734" s="33">
        <v>4430265054</v>
      </c>
      <c r="E1734" s="33">
        <v>1833</v>
      </c>
      <c r="F1734" s="33">
        <v>1590</v>
      </c>
      <c r="G1734" s="33" t="s">
        <v>38</v>
      </c>
      <c r="H1734" s="33" t="s">
        <v>8285</v>
      </c>
      <c r="I1734" s="33" t="s">
        <v>39</v>
      </c>
      <c r="J1734" s="33" t="s">
        <v>40</v>
      </c>
      <c r="K1734" s="33" t="s">
        <v>41</v>
      </c>
      <c r="M1734" s="33"/>
    </row>
    <row r="1735" spans="1:13" hidden="1" x14ac:dyDescent="0.3">
      <c r="A1735" s="39">
        <v>46093.418761574074</v>
      </c>
      <c r="B1735" s="33" t="s">
        <v>48</v>
      </c>
      <c r="C1735" s="33">
        <v>44991448236</v>
      </c>
      <c r="E1735" s="33">
        <v>192</v>
      </c>
      <c r="F1735" s="33">
        <v>180</v>
      </c>
      <c r="G1735" s="33" t="s">
        <v>38</v>
      </c>
      <c r="H1735" s="33" t="s">
        <v>8286</v>
      </c>
      <c r="I1735" s="33" t="s">
        <v>46</v>
      </c>
      <c r="J1735" s="33" t="s">
        <v>40</v>
      </c>
      <c r="M1735" s="33"/>
    </row>
    <row r="1736" spans="1:13" hidden="1" x14ac:dyDescent="0.3">
      <c r="A1736" s="39">
        <v>46093.41746527778</v>
      </c>
      <c r="B1736" s="33">
        <v>44997450437</v>
      </c>
      <c r="C1736" s="33" t="s">
        <v>37</v>
      </c>
      <c r="D1736" s="33">
        <v>4431268225</v>
      </c>
      <c r="E1736" s="33">
        <v>603</v>
      </c>
      <c r="F1736" s="33">
        <v>526</v>
      </c>
      <c r="G1736" s="33" t="s">
        <v>38</v>
      </c>
      <c r="H1736" s="33" t="s">
        <v>8287</v>
      </c>
      <c r="I1736" s="33" t="s">
        <v>39</v>
      </c>
      <c r="J1736" s="33" t="s">
        <v>40</v>
      </c>
      <c r="K1736" s="33" t="s">
        <v>41</v>
      </c>
      <c r="L1736" s="37">
        <v>5</v>
      </c>
      <c r="M1736" s="36" t="s">
        <v>9490</v>
      </c>
    </row>
    <row r="1737" spans="1:13" hidden="1" x14ac:dyDescent="0.3">
      <c r="A1737" s="39">
        <v>46093.415613425925</v>
      </c>
      <c r="B1737" s="33">
        <v>4430459001</v>
      </c>
      <c r="C1737" s="33" t="s">
        <v>43</v>
      </c>
      <c r="D1737" s="33">
        <v>4430265054</v>
      </c>
      <c r="E1737" s="33">
        <v>561</v>
      </c>
      <c r="F1737" s="33">
        <v>480</v>
      </c>
      <c r="G1737" s="33" t="s">
        <v>38</v>
      </c>
      <c r="H1737" s="33" t="s">
        <v>8288</v>
      </c>
      <c r="I1737" s="33" t="s">
        <v>39</v>
      </c>
      <c r="J1737" s="33" t="s">
        <v>40</v>
      </c>
      <c r="K1737" s="33" t="s">
        <v>41</v>
      </c>
      <c r="M1737" s="33"/>
    </row>
    <row r="1738" spans="1:13" hidden="1" x14ac:dyDescent="0.3">
      <c r="A1738" s="39">
        <v>46093.41474537037</v>
      </c>
      <c r="B1738" s="33">
        <v>44991284259</v>
      </c>
      <c r="C1738" s="33" t="s">
        <v>44</v>
      </c>
      <c r="D1738" s="33">
        <v>4430265054</v>
      </c>
      <c r="E1738" s="33">
        <v>540</v>
      </c>
      <c r="F1738" s="33">
        <v>405</v>
      </c>
      <c r="G1738" s="33" t="s">
        <v>38</v>
      </c>
      <c r="H1738" s="33" t="s">
        <v>8289</v>
      </c>
      <c r="I1738" s="33" t="s">
        <v>39</v>
      </c>
      <c r="J1738" s="33" t="s">
        <v>40</v>
      </c>
      <c r="K1738" s="33" t="s">
        <v>41</v>
      </c>
      <c r="M1738" s="33"/>
    </row>
    <row r="1739" spans="1:13" hidden="1" x14ac:dyDescent="0.3">
      <c r="A1739" s="39">
        <v>46093.414560185185</v>
      </c>
      <c r="B1739" s="33">
        <v>11985836640</v>
      </c>
      <c r="C1739" s="33" t="s">
        <v>42</v>
      </c>
      <c r="D1739" s="33">
        <v>4430265054</v>
      </c>
      <c r="E1739" s="33">
        <v>570</v>
      </c>
      <c r="F1739" s="33">
        <v>521</v>
      </c>
      <c r="G1739" s="33" t="s">
        <v>38</v>
      </c>
      <c r="H1739" s="33" t="s">
        <v>8290</v>
      </c>
      <c r="I1739" s="33" t="s">
        <v>39</v>
      </c>
      <c r="J1739" s="33" t="s">
        <v>40</v>
      </c>
      <c r="K1739" s="33" t="s">
        <v>41</v>
      </c>
      <c r="M1739" s="33"/>
    </row>
    <row r="1740" spans="1:13" hidden="1" x14ac:dyDescent="0.3">
      <c r="A1740" s="39">
        <v>46093.413773148146</v>
      </c>
      <c r="B1740" s="33" t="s">
        <v>48</v>
      </c>
      <c r="C1740" s="33">
        <v>44999090169</v>
      </c>
      <c r="E1740" s="33">
        <v>73</v>
      </c>
      <c r="F1740" s="33">
        <v>51</v>
      </c>
      <c r="G1740" s="33" t="s">
        <v>38</v>
      </c>
      <c r="H1740" s="33" t="s">
        <v>8291</v>
      </c>
      <c r="I1740" s="33" t="s">
        <v>46</v>
      </c>
      <c r="J1740" s="33" t="s">
        <v>40</v>
      </c>
      <c r="M1740" s="33"/>
    </row>
    <row r="1741" spans="1:13" hidden="1" x14ac:dyDescent="0.3">
      <c r="A1741" s="39">
        <v>46093.406053240738</v>
      </c>
      <c r="B1741" s="33">
        <v>62994086124</v>
      </c>
      <c r="C1741" s="33" t="s">
        <v>45</v>
      </c>
      <c r="D1741" s="33">
        <v>4430265054</v>
      </c>
      <c r="E1741" s="33">
        <v>1641</v>
      </c>
      <c r="F1741" s="33">
        <v>1608</v>
      </c>
      <c r="G1741" s="33" t="s">
        <v>38</v>
      </c>
      <c r="H1741" s="33" t="s">
        <v>8292</v>
      </c>
      <c r="I1741" s="33" t="s">
        <v>39</v>
      </c>
      <c r="J1741" s="33" t="s">
        <v>40</v>
      </c>
      <c r="K1741" s="33" t="s">
        <v>41</v>
      </c>
      <c r="M1741" s="33"/>
    </row>
    <row r="1742" spans="1:13" hidden="1" x14ac:dyDescent="0.3">
      <c r="A1742" s="39">
        <v>46093.402951388889</v>
      </c>
      <c r="B1742" s="33">
        <v>44984321102</v>
      </c>
      <c r="C1742" s="33" t="s">
        <v>37</v>
      </c>
      <c r="D1742" s="33">
        <v>4430265054</v>
      </c>
      <c r="E1742" s="33">
        <v>282</v>
      </c>
      <c r="F1742" s="33">
        <v>259</v>
      </c>
      <c r="G1742" s="33" t="s">
        <v>38</v>
      </c>
      <c r="H1742" s="33" t="s">
        <v>8293</v>
      </c>
      <c r="I1742" s="33" t="s">
        <v>39</v>
      </c>
      <c r="J1742" s="33" t="s">
        <v>40</v>
      </c>
      <c r="K1742" s="33" t="s">
        <v>41</v>
      </c>
      <c r="L1742" s="33">
        <v>5</v>
      </c>
      <c r="M1742" s="33"/>
    </row>
    <row r="1743" spans="1:13" hidden="1" x14ac:dyDescent="0.3">
      <c r="A1743" s="39">
        <v>46093.40216435185</v>
      </c>
      <c r="B1743" s="33">
        <v>44999676986</v>
      </c>
      <c r="C1743" s="33" t="s">
        <v>3627</v>
      </c>
      <c r="D1743" s="33">
        <v>4430265054</v>
      </c>
      <c r="E1743" s="33">
        <v>76</v>
      </c>
      <c r="F1743" s="33">
        <v>56</v>
      </c>
      <c r="G1743" s="33" t="s">
        <v>38</v>
      </c>
      <c r="H1743" s="33" t="s">
        <v>8294</v>
      </c>
      <c r="I1743" s="33" t="s">
        <v>39</v>
      </c>
      <c r="J1743" s="33" t="s">
        <v>3629</v>
      </c>
      <c r="K1743" s="33" t="s">
        <v>50</v>
      </c>
      <c r="M1743" s="33"/>
    </row>
    <row r="1744" spans="1:13" hidden="1" x14ac:dyDescent="0.3">
      <c r="A1744" s="39">
        <v>46093.401388888888</v>
      </c>
      <c r="B1744" s="33" t="s">
        <v>44</v>
      </c>
      <c r="C1744" s="33">
        <v>44991388221</v>
      </c>
      <c r="E1744" s="33">
        <v>497</v>
      </c>
      <c r="F1744" s="33">
        <v>490</v>
      </c>
      <c r="G1744" s="33" t="s">
        <v>38</v>
      </c>
      <c r="H1744" s="33" t="s">
        <v>8295</v>
      </c>
      <c r="I1744" s="33" t="s">
        <v>46</v>
      </c>
      <c r="J1744" s="33" t="s">
        <v>40</v>
      </c>
      <c r="L1744" s="33">
        <v>5</v>
      </c>
      <c r="M1744" s="33"/>
    </row>
    <row r="1745" spans="1:12" s="33" customFormat="1" hidden="1" x14ac:dyDescent="0.3">
      <c r="A1745" s="39">
        <v>46093.393773148149</v>
      </c>
      <c r="B1745" s="33">
        <v>1128787060</v>
      </c>
      <c r="C1745" s="33" t="s">
        <v>48</v>
      </c>
      <c r="D1745" s="33">
        <v>4430265054</v>
      </c>
      <c r="E1745" s="33">
        <v>186</v>
      </c>
      <c r="F1745" s="33">
        <v>171</v>
      </c>
      <c r="G1745" s="33" t="s">
        <v>38</v>
      </c>
      <c r="H1745" s="33" t="s">
        <v>8296</v>
      </c>
      <c r="I1745" s="33" t="s">
        <v>39</v>
      </c>
      <c r="J1745" s="33" t="s">
        <v>40</v>
      </c>
      <c r="K1745" s="33" t="s">
        <v>41</v>
      </c>
    </row>
    <row r="1746" spans="1:12" s="33" customFormat="1" hidden="1" x14ac:dyDescent="0.3">
      <c r="A1746" s="39">
        <v>46093.389976851853</v>
      </c>
      <c r="B1746" s="33" t="s">
        <v>48</v>
      </c>
      <c r="C1746" s="33">
        <v>44999090169</v>
      </c>
      <c r="E1746" s="33">
        <v>261</v>
      </c>
      <c r="F1746" s="33">
        <v>255</v>
      </c>
      <c r="G1746" s="33" t="s">
        <v>38</v>
      </c>
      <c r="H1746" s="33" t="s">
        <v>8297</v>
      </c>
      <c r="I1746" s="33" t="s">
        <v>46</v>
      </c>
      <c r="J1746" s="33" t="s">
        <v>40</v>
      </c>
    </row>
    <row r="1747" spans="1:12" s="33" customFormat="1" hidden="1" x14ac:dyDescent="0.3">
      <c r="A1747" s="39">
        <v>46093.389756944445</v>
      </c>
      <c r="B1747" s="33">
        <v>44991388221</v>
      </c>
      <c r="C1747" s="33" t="s">
        <v>44</v>
      </c>
      <c r="D1747" s="33">
        <v>4430265054</v>
      </c>
      <c r="E1747" s="33">
        <v>750</v>
      </c>
      <c r="F1747" s="33">
        <v>640</v>
      </c>
      <c r="G1747" s="33" t="s">
        <v>38</v>
      </c>
      <c r="H1747" s="33" t="s">
        <v>8298</v>
      </c>
      <c r="I1747" s="33" t="s">
        <v>39</v>
      </c>
      <c r="J1747" s="33" t="s">
        <v>40</v>
      </c>
      <c r="K1747" s="33" t="s">
        <v>41</v>
      </c>
    </row>
    <row r="1748" spans="1:12" s="33" customFormat="1" hidden="1" x14ac:dyDescent="0.3">
      <c r="A1748" s="39">
        <v>46093.385706018518</v>
      </c>
      <c r="B1748" s="33">
        <v>4439001698</v>
      </c>
      <c r="C1748" s="33" t="s">
        <v>3627</v>
      </c>
      <c r="D1748" s="33">
        <v>4430265054</v>
      </c>
      <c r="E1748" s="33">
        <v>113</v>
      </c>
      <c r="F1748" s="33">
        <v>93</v>
      </c>
      <c r="G1748" s="33" t="s">
        <v>38</v>
      </c>
      <c r="H1748" s="33" t="s">
        <v>8299</v>
      </c>
      <c r="I1748" s="33" t="s">
        <v>39</v>
      </c>
      <c r="J1748" s="33" t="s">
        <v>3629</v>
      </c>
      <c r="K1748" s="33" t="s">
        <v>50</v>
      </c>
    </row>
    <row r="1749" spans="1:12" s="33" customFormat="1" hidden="1" x14ac:dyDescent="0.3">
      <c r="A1749" s="39">
        <v>46093.377106481479</v>
      </c>
      <c r="B1749" s="33">
        <v>4430459001</v>
      </c>
      <c r="C1749" s="33" t="s">
        <v>45</v>
      </c>
      <c r="D1749" s="33">
        <v>4430265054</v>
      </c>
      <c r="E1749" s="33">
        <v>412</v>
      </c>
      <c r="F1749" s="33">
        <v>355</v>
      </c>
      <c r="G1749" s="33" t="s">
        <v>38</v>
      </c>
      <c r="H1749" s="33" t="s">
        <v>8300</v>
      </c>
      <c r="I1749" s="33" t="s">
        <v>39</v>
      </c>
      <c r="J1749" s="33" t="s">
        <v>40</v>
      </c>
      <c r="K1749" s="33" t="s">
        <v>41</v>
      </c>
      <c r="L1749" s="33">
        <v>5</v>
      </c>
    </row>
    <row r="1750" spans="1:12" s="33" customFormat="1" hidden="1" x14ac:dyDescent="0.3">
      <c r="A1750" s="39">
        <v>46093.373831018522</v>
      </c>
      <c r="B1750" s="33" t="s">
        <v>45</v>
      </c>
      <c r="C1750" s="33">
        <v>44997450437</v>
      </c>
      <c r="E1750" s="33">
        <v>100</v>
      </c>
      <c r="F1750" s="33">
        <v>86</v>
      </c>
      <c r="G1750" s="33" t="s">
        <v>38</v>
      </c>
      <c r="H1750" s="33" t="s">
        <v>8301</v>
      </c>
      <c r="I1750" s="33" t="s">
        <v>46</v>
      </c>
      <c r="J1750" s="33" t="s">
        <v>40</v>
      </c>
    </row>
    <row r="1751" spans="1:12" s="33" customFormat="1" hidden="1" x14ac:dyDescent="0.3">
      <c r="A1751" s="39">
        <v>46093.37332175926</v>
      </c>
      <c r="B1751" s="33" t="s">
        <v>45</v>
      </c>
      <c r="C1751" s="33">
        <v>44997450437</v>
      </c>
      <c r="E1751" s="33">
        <v>70</v>
      </c>
      <c r="F1751" s="33">
        <v>30</v>
      </c>
      <c r="G1751" s="33" t="s">
        <v>38</v>
      </c>
      <c r="H1751" s="33" t="s">
        <v>8302</v>
      </c>
      <c r="I1751" s="33" t="s">
        <v>46</v>
      </c>
      <c r="J1751" s="33" t="s">
        <v>40</v>
      </c>
    </row>
    <row r="1752" spans="1:12" s="33" customFormat="1" hidden="1" x14ac:dyDescent="0.3">
      <c r="A1752" s="39">
        <v>46093.372673611113</v>
      </c>
      <c r="B1752" s="33">
        <v>1131043888</v>
      </c>
      <c r="C1752" s="33" t="s">
        <v>44</v>
      </c>
      <c r="D1752" s="33">
        <v>4430265054</v>
      </c>
      <c r="E1752" s="33">
        <v>872</v>
      </c>
      <c r="F1752" s="33">
        <v>801</v>
      </c>
      <c r="G1752" s="33" t="s">
        <v>38</v>
      </c>
      <c r="H1752" s="33" t="s">
        <v>8303</v>
      </c>
      <c r="I1752" s="33" t="s">
        <v>39</v>
      </c>
      <c r="J1752" s="33" t="s">
        <v>40</v>
      </c>
      <c r="K1752" s="33" t="s">
        <v>41</v>
      </c>
      <c r="L1752" s="33">
        <v>5</v>
      </c>
    </row>
    <row r="1753" spans="1:12" s="33" customFormat="1" hidden="1" x14ac:dyDescent="0.3">
      <c r="A1753" s="39">
        <v>46093.369270833333</v>
      </c>
      <c r="B1753" s="33">
        <v>1438160351</v>
      </c>
      <c r="C1753" s="33">
        <v>4430265054</v>
      </c>
      <c r="D1753" s="33">
        <v>4430265054</v>
      </c>
      <c r="E1753" s="33">
        <v>8</v>
      </c>
      <c r="F1753" s="33">
        <v>7</v>
      </c>
      <c r="G1753" s="33" t="s">
        <v>3449</v>
      </c>
      <c r="H1753" s="33" t="s">
        <v>8304</v>
      </c>
      <c r="I1753" s="33" t="s">
        <v>39</v>
      </c>
      <c r="J1753" s="33" t="s">
        <v>3451</v>
      </c>
    </row>
    <row r="1754" spans="1:12" s="33" customFormat="1" hidden="1" x14ac:dyDescent="0.3">
      <c r="A1754" s="39">
        <v>46093.366215277776</v>
      </c>
      <c r="B1754" s="33">
        <v>44998761561</v>
      </c>
      <c r="C1754" s="33">
        <v>4430265054</v>
      </c>
      <c r="D1754" s="33">
        <v>4430265054</v>
      </c>
      <c r="E1754" s="33">
        <v>33</v>
      </c>
      <c r="F1754" s="33">
        <v>33</v>
      </c>
      <c r="G1754" s="33" t="s">
        <v>3449</v>
      </c>
      <c r="H1754" s="33" t="s">
        <v>8305</v>
      </c>
      <c r="I1754" s="33" t="s">
        <v>39</v>
      </c>
      <c r="J1754" s="33" t="s">
        <v>3451</v>
      </c>
      <c r="K1754" s="33" t="s">
        <v>41</v>
      </c>
    </row>
    <row r="1755" spans="1:12" s="33" customFormat="1" hidden="1" x14ac:dyDescent="0.3">
      <c r="A1755" s="39">
        <v>46093.366064814814</v>
      </c>
      <c r="B1755" s="33" t="s">
        <v>3627</v>
      </c>
      <c r="C1755" s="33">
        <v>31999772419</v>
      </c>
      <c r="E1755" s="33">
        <v>32</v>
      </c>
      <c r="F1755" s="33">
        <v>0</v>
      </c>
      <c r="G1755" s="33" t="s">
        <v>47</v>
      </c>
      <c r="H1755" s="33" t="s">
        <v>8306</v>
      </c>
      <c r="I1755" s="33" t="s">
        <v>46</v>
      </c>
      <c r="J1755" s="33" t="s">
        <v>3629</v>
      </c>
    </row>
    <row r="1756" spans="1:12" s="33" customFormat="1" hidden="1" x14ac:dyDescent="0.3">
      <c r="A1756" s="39">
        <v>46093.365520833337</v>
      </c>
      <c r="B1756" s="33">
        <v>4432325260</v>
      </c>
      <c r="C1756" s="33" t="s">
        <v>42</v>
      </c>
      <c r="D1756" s="33">
        <v>4430265054</v>
      </c>
      <c r="E1756" s="33">
        <v>1240</v>
      </c>
      <c r="F1756" s="33">
        <v>1199</v>
      </c>
      <c r="G1756" s="33" t="s">
        <v>38</v>
      </c>
      <c r="H1756" s="33" t="s">
        <v>8307</v>
      </c>
      <c r="I1756" s="33" t="s">
        <v>39</v>
      </c>
      <c r="J1756" s="33" t="s">
        <v>40</v>
      </c>
      <c r="K1756" s="33" t="s">
        <v>41</v>
      </c>
    </row>
    <row r="1757" spans="1:12" s="33" customFormat="1" hidden="1" x14ac:dyDescent="0.3">
      <c r="A1757" s="39">
        <v>46093.36277777778</v>
      </c>
      <c r="B1757" s="33">
        <v>4330333558</v>
      </c>
      <c r="C1757" s="33" t="s">
        <v>37</v>
      </c>
      <c r="D1757" s="33">
        <v>4430265054</v>
      </c>
      <c r="E1757" s="33">
        <v>638</v>
      </c>
      <c r="F1757" s="33">
        <v>574</v>
      </c>
      <c r="G1757" s="33" t="s">
        <v>38</v>
      </c>
      <c r="H1757" s="33" t="s">
        <v>8308</v>
      </c>
      <c r="I1757" s="33" t="s">
        <v>39</v>
      </c>
      <c r="J1757" s="33" t="s">
        <v>40</v>
      </c>
      <c r="K1757" s="33" t="s">
        <v>41</v>
      </c>
      <c r="L1757" s="33">
        <v>5</v>
      </c>
    </row>
    <row r="1758" spans="1:12" s="33" customFormat="1" hidden="1" x14ac:dyDescent="0.3">
      <c r="A1758" s="39">
        <v>46093.362754629627</v>
      </c>
      <c r="B1758" s="33">
        <v>44997450437</v>
      </c>
      <c r="C1758" s="33" t="s">
        <v>45</v>
      </c>
      <c r="D1758" s="33">
        <v>4430265054</v>
      </c>
      <c r="E1758" s="33">
        <v>313</v>
      </c>
      <c r="F1758" s="33">
        <v>279</v>
      </c>
      <c r="G1758" s="33" t="s">
        <v>38</v>
      </c>
      <c r="H1758" s="33" t="s">
        <v>8309</v>
      </c>
      <c r="I1758" s="33" t="s">
        <v>39</v>
      </c>
      <c r="J1758" s="33" t="s">
        <v>40</v>
      </c>
      <c r="K1758" s="33" t="s">
        <v>41</v>
      </c>
    </row>
    <row r="1759" spans="1:12" s="33" customFormat="1" hidden="1" x14ac:dyDescent="0.3">
      <c r="A1759" s="39">
        <v>46093.362581018519</v>
      </c>
      <c r="B1759" s="33">
        <v>73982188717</v>
      </c>
      <c r="C1759" s="33" t="s">
        <v>44</v>
      </c>
      <c r="D1759" s="33">
        <v>4430265054</v>
      </c>
      <c r="E1759" s="33">
        <v>294</v>
      </c>
      <c r="F1759" s="33">
        <v>253</v>
      </c>
      <c r="G1759" s="33" t="s">
        <v>38</v>
      </c>
      <c r="H1759" s="33" t="s">
        <v>8310</v>
      </c>
      <c r="I1759" s="33" t="s">
        <v>39</v>
      </c>
      <c r="J1759" s="33" t="s">
        <v>40</v>
      </c>
      <c r="K1759" s="33" t="s">
        <v>41</v>
      </c>
    </row>
    <row r="1760" spans="1:12" s="33" customFormat="1" hidden="1" x14ac:dyDescent="0.3">
      <c r="A1760" s="39">
        <v>46093.35732638889</v>
      </c>
      <c r="B1760" s="33">
        <v>4430152533</v>
      </c>
      <c r="C1760" s="33" t="s">
        <v>45</v>
      </c>
      <c r="D1760" s="33">
        <v>4430265054</v>
      </c>
      <c r="E1760" s="33">
        <v>462</v>
      </c>
      <c r="F1760" s="33">
        <v>375</v>
      </c>
      <c r="G1760" s="33" t="s">
        <v>38</v>
      </c>
      <c r="H1760" s="33" t="s">
        <v>8311</v>
      </c>
      <c r="I1760" s="33" t="s">
        <v>39</v>
      </c>
      <c r="J1760" s="33" t="s">
        <v>40</v>
      </c>
      <c r="K1760" s="33" t="s">
        <v>41</v>
      </c>
      <c r="L1760" s="33">
        <v>5</v>
      </c>
    </row>
    <row r="1761" spans="1:12" s="33" customFormat="1" hidden="1" x14ac:dyDescent="0.3">
      <c r="A1761" s="39">
        <v>46093.35696759259</v>
      </c>
      <c r="B1761" s="33">
        <v>4430468252</v>
      </c>
      <c r="C1761" s="33" t="s">
        <v>37</v>
      </c>
      <c r="D1761" s="33">
        <v>4430265054</v>
      </c>
      <c r="E1761" s="33">
        <v>498</v>
      </c>
      <c r="F1761" s="33">
        <v>476</v>
      </c>
      <c r="G1761" s="33" t="s">
        <v>38</v>
      </c>
      <c r="H1761" s="33" t="s">
        <v>8312</v>
      </c>
      <c r="I1761" s="33" t="s">
        <v>39</v>
      </c>
      <c r="J1761" s="33" t="s">
        <v>40</v>
      </c>
      <c r="K1761" s="33" t="s">
        <v>41</v>
      </c>
      <c r="L1761" s="33">
        <v>5</v>
      </c>
    </row>
    <row r="1762" spans="1:12" s="33" customFormat="1" hidden="1" x14ac:dyDescent="0.3">
      <c r="A1762" s="39">
        <v>46093.35491898148</v>
      </c>
      <c r="B1762" s="33">
        <v>44988303530</v>
      </c>
      <c r="C1762" s="33" t="s">
        <v>43</v>
      </c>
      <c r="D1762" s="33">
        <v>4430265054</v>
      </c>
      <c r="E1762" s="33">
        <v>483</v>
      </c>
      <c r="F1762" s="33">
        <v>327</v>
      </c>
      <c r="G1762" s="33" t="s">
        <v>38</v>
      </c>
      <c r="H1762" s="33" t="s">
        <v>8313</v>
      </c>
      <c r="I1762" s="33" t="s">
        <v>39</v>
      </c>
      <c r="J1762" s="33" t="s">
        <v>40</v>
      </c>
      <c r="K1762" s="33" t="s">
        <v>41</v>
      </c>
      <c r="L1762" s="33">
        <v>5</v>
      </c>
    </row>
    <row r="1763" spans="1:12" s="33" customFormat="1" hidden="1" x14ac:dyDescent="0.3">
      <c r="A1763" s="39">
        <v>46093.353900462964</v>
      </c>
      <c r="B1763" s="33">
        <v>44988303530</v>
      </c>
      <c r="C1763" s="33">
        <v>4430265054</v>
      </c>
      <c r="D1763" s="33">
        <v>4430265054</v>
      </c>
      <c r="E1763" s="33">
        <v>28</v>
      </c>
      <c r="F1763" s="33">
        <v>28</v>
      </c>
      <c r="G1763" s="33" t="s">
        <v>3449</v>
      </c>
      <c r="H1763" s="33" t="s">
        <v>8314</v>
      </c>
      <c r="I1763" s="33" t="s">
        <v>39</v>
      </c>
      <c r="J1763" s="33" t="s">
        <v>3451</v>
      </c>
    </row>
    <row r="1764" spans="1:12" s="33" customFormat="1" hidden="1" x14ac:dyDescent="0.3">
      <c r="A1764" s="39">
        <v>46093.346597222226</v>
      </c>
      <c r="B1764" s="33" t="s">
        <v>44</v>
      </c>
      <c r="C1764" s="33">
        <v>4430284942</v>
      </c>
      <c r="E1764" s="33">
        <v>548</v>
      </c>
      <c r="F1764" s="33">
        <v>541</v>
      </c>
      <c r="G1764" s="33" t="s">
        <v>38</v>
      </c>
      <c r="H1764" s="33" t="s">
        <v>8315</v>
      </c>
      <c r="I1764" s="33" t="s">
        <v>46</v>
      </c>
      <c r="J1764" s="33" t="s">
        <v>40</v>
      </c>
    </row>
    <row r="1765" spans="1:12" s="33" customFormat="1" hidden="1" x14ac:dyDescent="0.3">
      <c r="A1765" s="39">
        <v>46093.344189814816</v>
      </c>
      <c r="B1765" s="33">
        <v>4330333558</v>
      </c>
      <c r="C1765" s="33">
        <v>4430265054</v>
      </c>
      <c r="D1765" s="33">
        <v>4430265054</v>
      </c>
      <c r="E1765" s="33">
        <v>12</v>
      </c>
      <c r="F1765" s="33">
        <v>11</v>
      </c>
      <c r="G1765" s="33" t="s">
        <v>3449</v>
      </c>
      <c r="H1765" s="33" t="s">
        <v>8316</v>
      </c>
      <c r="I1765" s="33" t="s">
        <v>39</v>
      </c>
      <c r="J1765" s="33" t="s">
        <v>3451</v>
      </c>
    </row>
    <row r="1766" spans="1:12" s="33" customFormat="1" hidden="1" x14ac:dyDescent="0.3">
      <c r="A1766" s="39">
        <v>46092.727997685186</v>
      </c>
      <c r="B1766" s="33" t="s">
        <v>37</v>
      </c>
      <c r="C1766" s="33">
        <v>4435231494</v>
      </c>
      <c r="E1766" s="33">
        <v>64</v>
      </c>
      <c r="F1766" s="33">
        <v>0</v>
      </c>
      <c r="G1766" s="33" t="s">
        <v>47</v>
      </c>
      <c r="H1766" s="33" t="s">
        <v>8317</v>
      </c>
      <c r="I1766" s="33" t="s">
        <v>46</v>
      </c>
      <c r="J1766" s="33" t="s">
        <v>40</v>
      </c>
    </row>
    <row r="1767" spans="1:12" s="33" customFormat="1" hidden="1" x14ac:dyDescent="0.3">
      <c r="A1767" s="39">
        <v>46092.727453703701</v>
      </c>
      <c r="B1767" s="33" t="s">
        <v>37</v>
      </c>
      <c r="C1767" s="33">
        <v>44999114340</v>
      </c>
      <c r="E1767" s="33">
        <v>5</v>
      </c>
      <c r="F1767" s="33">
        <v>0</v>
      </c>
      <c r="G1767" s="33" t="s">
        <v>47</v>
      </c>
      <c r="H1767" s="33" t="s">
        <v>8318</v>
      </c>
      <c r="I1767" s="33" t="s">
        <v>46</v>
      </c>
      <c r="J1767" s="33" t="s">
        <v>40</v>
      </c>
    </row>
    <row r="1768" spans="1:12" s="33" customFormat="1" hidden="1" x14ac:dyDescent="0.3">
      <c r="A1768" s="39">
        <v>46092.725868055553</v>
      </c>
      <c r="B1768" s="33" t="s">
        <v>37</v>
      </c>
      <c r="C1768" s="33">
        <v>4435231494</v>
      </c>
      <c r="E1768" s="33">
        <v>37</v>
      </c>
      <c r="F1768" s="33">
        <v>0</v>
      </c>
      <c r="G1768" s="33" t="s">
        <v>47</v>
      </c>
      <c r="H1768" s="33" t="s">
        <v>8319</v>
      </c>
      <c r="I1768" s="33" t="s">
        <v>46</v>
      </c>
      <c r="J1768" s="33" t="s">
        <v>40</v>
      </c>
    </row>
    <row r="1769" spans="1:12" s="33" customFormat="1" hidden="1" x14ac:dyDescent="0.3">
      <c r="A1769" s="39">
        <v>46092.725844907407</v>
      </c>
      <c r="B1769" s="33" t="s">
        <v>3627</v>
      </c>
      <c r="C1769" s="33">
        <v>5130728140</v>
      </c>
      <c r="E1769" s="33">
        <v>30</v>
      </c>
      <c r="F1769" s="33">
        <v>0</v>
      </c>
      <c r="G1769" s="33" t="s">
        <v>47</v>
      </c>
      <c r="H1769" s="33" t="s">
        <v>8320</v>
      </c>
      <c r="I1769" s="33" t="s">
        <v>46</v>
      </c>
      <c r="J1769" s="33" t="s">
        <v>3629</v>
      </c>
    </row>
    <row r="1770" spans="1:12" s="33" customFormat="1" hidden="1" x14ac:dyDescent="0.3">
      <c r="A1770" s="39">
        <v>46092.724745370368</v>
      </c>
      <c r="B1770" s="33" t="s">
        <v>3627</v>
      </c>
      <c r="C1770" s="33">
        <v>64992912549</v>
      </c>
      <c r="E1770" s="33">
        <v>23</v>
      </c>
      <c r="F1770" s="33">
        <v>0</v>
      </c>
      <c r="G1770" s="33" t="s">
        <v>47</v>
      </c>
      <c r="H1770" s="33" t="s">
        <v>8321</v>
      </c>
      <c r="I1770" s="33" t="s">
        <v>46</v>
      </c>
      <c r="J1770" s="33" t="s">
        <v>3629</v>
      </c>
    </row>
    <row r="1771" spans="1:12" s="33" customFormat="1" hidden="1" x14ac:dyDescent="0.3">
      <c r="A1771" s="39">
        <v>46092.724606481483</v>
      </c>
      <c r="B1771" s="33" t="s">
        <v>42</v>
      </c>
      <c r="C1771" s="33">
        <v>65999058382</v>
      </c>
      <c r="E1771" s="33">
        <v>676</v>
      </c>
      <c r="F1771" s="33">
        <v>662</v>
      </c>
      <c r="G1771" s="33" t="s">
        <v>38</v>
      </c>
      <c r="H1771" s="33" t="s">
        <v>8322</v>
      </c>
      <c r="I1771" s="33" t="s">
        <v>46</v>
      </c>
      <c r="J1771" s="33" t="s">
        <v>40</v>
      </c>
    </row>
    <row r="1772" spans="1:12" s="33" customFormat="1" hidden="1" x14ac:dyDescent="0.3">
      <c r="A1772" s="39">
        <v>46092.722858796296</v>
      </c>
      <c r="B1772" s="33" t="s">
        <v>48</v>
      </c>
      <c r="C1772" s="33">
        <v>4434212150</v>
      </c>
      <c r="E1772" s="33">
        <v>260</v>
      </c>
      <c r="F1772" s="33">
        <v>247</v>
      </c>
      <c r="G1772" s="33" t="s">
        <v>38</v>
      </c>
      <c r="H1772" s="33" t="s">
        <v>8323</v>
      </c>
      <c r="I1772" s="33" t="s">
        <v>46</v>
      </c>
      <c r="J1772" s="33" t="s">
        <v>40</v>
      </c>
    </row>
    <row r="1773" spans="1:12" s="33" customFormat="1" hidden="1" x14ac:dyDescent="0.3">
      <c r="A1773" s="39">
        <v>46092.722800925927</v>
      </c>
      <c r="B1773" s="33" t="s">
        <v>48</v>
      </c>
      <c r="C1773" s="33">
        <v>4434212150</v>
      </c>
      <c r="E1773" s="33">
        <v>2</v>
      </c>
      <c r="F1773" s="33">
        <v>0</v>
      </c>
      <c r="G1773" s="33" t="s">
        <v>47</v>
      </c>
      <c r="H1773" s="33" t="s">
        <v>8324</v>
      </c>
      <c r="I1773" s="33" t="s">
        <v>46</v>
      </c>
      <c r="J1773" s="33" t="s">
        <v>40</v>
      </c>
    </row>
    <row r="1774" spans="1:12" s="33" customFormat="1" hidden="1" x14ac:dyDescent="0.3">
      <c r="A1774" s="39">
        <v>46092.721574074072</v>
      </c>
      <c r="B1774" s="33" t="s">
        <v>3627</v>
      </c>
      <c r="C1774" s="33">
        <v>62996592326</v>
      </c>
      <c r="E1774" s="33">
        <v>13</v>
      </c>
      <c r="F1774" s="33">
        <v>6</v>
      </c>
      <c r="G1774" s="33" t="s">
        <v>38</v>
      </c>
      <c r="H1774" s="33" t="s">
        <v>8325</v>
      </c>
      <c r="I1774" s="33" t="s">
        <v>46</v>
      </c>
      <c r="J1774" s="33" t="s">
        <v>3629</v>
      </c>
    </row>
    <row r="1775" spans="1:12" s="33" customFormat="1" hidden="1" x14ac:dyDescent="0.3">
      <c r="A1775" s="39">
        <v>46092.720219907409</v>
      </c>
      <c r="B1775" s="33" t="s">
        <v>3627</v>
      </c>
      <c r="C1775" s="33">
        <v>11992169368</v>
      </c>
      <c r="E1775" s="33">
        <v>7</v>
      </c>
      <c r="F1775" s="33">
        <v>0</v>
      </c>
      <c r="G1775" s="33" t="s">
        <v>47</v>
      </c>
      <c r="H1775" s="33" t="s">
        <v>8326</v>
      </c>
      <c r="I1775" s="33" t="s">
        <v>46</v>
      </c>
      <c r="J1775" s="33" t="s">
        <v>3629</v>
      </c>
    </row>
    <row r="1776" spans="1:12" s="33" customFormat="1" hidden="1" x14ac:dyDescent="0.3">
      <c r="A1776" s="39">
        <v>46092.710104166668</v>
      </c>
      <c r="B1776" s="33">
        <v>4430282545</v>
      </c>
      <c r="C1776" s="33" t="s">
        <v>37</v>
      </c>
      <c r="D1776" s="33">
        <v>4430265054</v>
      </c>
      <c r="E1776" s="33">
        <v>1066</v>
      </c>
      <c r="F1776" s="33">
        <v>999</v>
      </c>
      <c r="G1776" s="33" t="s">
        <v>38</v>
      </c>
      <c r="H1776" s="33" t="s">
        <v>8327</v>
      </c>
      <c r="I1776" s="33" t="s">
        <v>39</v>
      </c>
      <c r="J1776" s="33" t="s">
        <v>40</v>
      </c>
      <c r="K1776" s="33" t="s">
        <v>41</v>
      </c>
    </row>
    <row r="1777" spans="1:12" s="33" customFormat="1" hidden="1" x14ac:dyDescent="0.3">
      <c r="A1777" s="39">
        <v>46092.703113425923</v>
      </c>
      <c r="B1777" s="33">
        <v>62991155122</v>
      </c>
      <c r="C1777" s="33" t="s">
        <v>44</v>
      </c>
      <c r="D1777" s="33">
        <v>4430265054</v>
      </c>
      <c r="E1777" s="33">
        <v>669</v>
      </c>
      <c r="F1777" s="33">
        <v>562</v>
      </c>
      <c r="G1777" s="33" t="s">
        <v>38</v>
      </c>
      <c r="H1777" s="33" t="s">
        <v>8328</v>
      </c>
      <c r="I1777" s="33" t="s">
        <v>39</v>
      </c>
      <c r="J1777" s="33" t="s">
        <v>40</v>
      </c>
      <c r="K1777" s="33" t="s">
        <v>41</v>
      </c>
    </row>
    <row r="1778" spans="1:12" s="33" customFormat="1" hidden="1" x14ac:dyDescent="0.3">
      <c r="A1778" s="39">
        <v>46092.695694444446</v>
      </c>
      <c r="B1778" s="33">
        <v>4430450103</v>
      </c>
      <c r="C1778" s="33">
        <v>4430265054</v>
      </c>
      <c r="D1778" s="33">
        <v>4430265054</v>
      </c>
      <c r="E1778" s="33">
        <v>9</v>
      </c>
      <c r="F1778" s="33">
        <v>9</v>
      </c>
      <c r="G1778" s="33" t="s">
        <v>3449</v>
      </c>
      <c r="H1778" s="33" t="s">
        <v>8329</v>
      </c>
      <c r="I1778" s="33" t="s">
        <v>39</v>
      </c>
      <c r="J1778" s="33" t="s">
        <v>3451</v>
      </c>
    </row>
    <row r="1779" spans="1:12" s="33" customFormat="1" hidden="1" x14ac:dyDescent="0.3">
      <c r="A1779" s="39">
        <v>46092.689791666664</v>
      </c>
      <c r="B1779" s="33">
        <v>11953265422</v>
      </c>
      <c r="C1779" s="33" t="s">
        <v>43</v>
      </c>
      <c r="D1779" s="33">
        <v>4430265054</v>
      </c>
      <c r="E1779" s="33">
        <v>382</v>
      </c>
      <c r="F1779" s="33">
        <v>361</v>
      </c>
      <c r="G1779" s="33" t="s">
        <v>38</v>
      </c>
      <c r="H1779" s="33" t="s">
        <v>8330</v>
      </c>
      <c r="I1779" s="33" t="s">
        <v>39</v>
      </c>
      <c r="J1779" s="33" t="s">
        <v>40</v>
      </c>
      <c r="K1779" s="33" t="s">
        <v>41</v>
      </c>
    </row>
    <row r="1780" spans="1:12" s="33" customFormat="1" hidden="1" x14ac:dyDescent="0.3">
      <c r="A1780" s="39">
        <v>46092.686435185184</v>
      </c>
      <c r="B1780" s="33">
        <v>6234347959</v>
      </c>
      <c r="C1780" s="33" t="s">
        <v>48</v>
      </c>
      <c r="D1780" s="33">
        <v>4430265054</v>
      </c>
      <c r="E1780" s="33">
        <v>481</v>
      </c>
      <c r="F1780" s="33">
        <v>481</v>
      </c>
      <c r="G1780" s="33" t="s">
        <v>38</v>
      </c>
      <c r="H1780" s="33" t="s">
        <v>8331</v>
      </c>
      <c r="I1780" s="33" t="s">
        <v>39</v>
      </c>
      <c r="J1780" s="33" t="s">
        <v>40</v>
      </c>
      <c r="K1780" s="33" t="s">
        <v>41</v>
      </c>
    </row>
    <row r="1781" spans="1:12" s="33" customFormat="1" hidden="1" x14ac:dyDescent="0.3">
      <c r="A1781" s="39">
        <v>46092.682233796295</v>
      </c>
      <c r="B1781" s="33">
        <v>47999115463</v>
      </c>
      <c r="C1781" s="33" t="s">
        <v>43</v>
      </c>
      <c r="D1781" s="33">
        <v>4430265054</v>
      </c>
      <c r="E1781" s="33">
        <v>212</v>
      </c>
      <c r="F1781" s="33">
        <v>154</v>
      </c>
      <c r="G1781" s="33" t="s">
        <v>38</v>
      </c>
      <c r="H1781" s="33" t="s">
        <v>8332</v>
      </c>
      <c r="I1781" s="33" t="s">
        <v>39</v>
      </c>
      <c r="J1781" s="33" t="s">
        <v>40</v>
      </c>
      <c r="K1781" s="33" t="s">
        <v>41</v>
      </c>
    </row>
    <row r="1782" spans="1:12" s="33" customFormat="1" hidden="1" x14ac:dyDescent="0.3">
      <c r="A1782" s="39">
        <v>46092.681203703702</v>
      </c>
      <c r="B1782" s="33">
        <v>44997650834</v>
      </c>
      <c r="C1782" s="33" t="s">
        <v>37</v>
      </c>
      <c r="D1782" s="33">
        <v>4430265054</v>
      </c>
      <c r="E1782" s="33">
        <v>1755</v>
      </c>
      <c r="F1782" s="33">
        <v>1731</v>
      </c>
      <c r="G1782" s="33" t="s">
        <v>38</v>
      </c>
      <c r="H1782" s="33" t="s">
        <v>8333</v>
      </c>
      <c r="I1782" s="33" t="s">
        <v>39</v>
      </c>
      <c r="J1782" s="33" t="s">
        <v>40</v>
      </c>
      <c r="K1782" s="33" t="s">
        <v>41</v>
      </c>
      <c r="L1782" s="33">
        <v>5</v>
      </c>
    </row>
    <row r="1783" spans="1:12" s="33" customFormat="1" hidden="1" x14ac:dyDescent="0.3">
      <c r="A1783" s="39">
        <v>46092.680613425924</v>
      </c>
      <c r="B1783" s="33" t="s">
        <v>37</v>
      </c>
      <c r="C1783" s="33">
        <v>44997650834</v>
      </c>
      <c r="E1783" s="33">
        <v>11</v>
      </c>
      <c r="F1783" s="33">
        <v>0</v>
      </c>
      <c r="G1783" s="33" t="s">
        <v>47</v>
      </c>
      <c r="H1783" s="33" t="s">
        <v>8334</v>
      </c>
      <c r="I1783" s="33" t="s">
        <v>46</v>
      </c>
      <c r="J1783" s="33" t="s">
        <v>40</v>
      </c>
    </row>
    <row r="1784" spans="1:12" s="33" customFormat="1" hidden="1" x14ac:dyDescent="0.3">
      <c r="A1784" s="39">
        <v>46092.680138888885</v>
      </c>
      <c r="B1784" s="33">
        <v>44997650834</v>
      </c>
      <c r="C1784" s="33">
        <v>4430265054</v>
      </c>
      <c r="D1784" s="33">
        <v>4430265054</v>
      </c>
      <c r="E1784" s="33">
        <v>64</v>
      </c>
      <c r="F1784" s="33">
        <v>64</v>
      </c>
      <c r="G1784" s="33" t="s">
        <v>3449</v>
      </c>
      <c r="H1784" s="33" t="s">
        <v>8335</v>
      </c>
      <c r="I1784" s="33" t="s">
        <v>39</v>
      </c>
      <c r="J1784" s="33" t="s">
        <v>3451</v>
      </c>
      <c r="K1784" s="33" t="s">
        <v>41</v>
      </c>
    </row>
    <row r="1785" spans="1:12" s="33" customFormat="1" hidden="1" x14ac:dyDescent="0.3">
      <c r="A1785" s="39">
        <v>46092.679837962962</v>
      </c>
      <c r="B1785" s="33" t="s">
        <v>37</v>
      </c>
      <c r="C1785" s="33">
        <v>44997650834</v>
      </c>
      <c r="E1785" s="33">
        <v>17</v>
      </c>
      <c r="F1785" s="33">
        <v>0</v>
      </c>
      <c r="G1785" s="33" t="s">
        <v>47</v>
      </c>
      <c r="H1785" s="33" t="s">
        <v>8336</v>
      </c>
      <c r="I1785" s="33" t="s">
        <v>46</v>
      </c>
      <c r="J1785" s="33" t="s">
        <v>40</v>
      </c>
    </row>
    <row r="1786" spans="1:12" s="33" customFormat="1" x14ac:dyDescent="0.3">
      <c r="A1786" s="39">
        <v>46092.679016203707</v>
      </c>
      <c r="B1786" s="33">
        <v>4430450103</v>
      </c>
      <c r="C1786" s="33" t="s">
        <v>42</v>
      </c>
      <c r="D1786" s="33">
        <v>4430265054</v>
      </c>
      <c r="E1786" s="33">
        <v>980</v>
      </c>
      <c r="F1786" s="33">
        <v>823</v>
      </c>
      <c r="G1786" s="33" t="s">
        <v>38</v>
      </c>
      <c r="H1786" s="33" t="s">
        <v>8337</v>
      </c>
      <c r="I1786" s="33" t="s">
        <v>39</v>
      </c>
      <c r="J1786" s="33" t="s">
        <v>40</v>
      </c>
      <c r="K1786" s="33" t="s">
        <v>41</v>
      </c>
      <c r="L1786" s="33">
        <v>5</v>
      </c>
    </row>
    <row r="1787" spans="1:12" s="33" customFormat="1" hidden="1" x14ac:dyDescent="0.3">
      <c r="A1787" s="39">
        <v>46092.677569444444</v>
      </c>
      <c r="B1787" s="33">
        <v>44997650834</v>
      </c>
      <c r="C1787" s="33" t="s">
        <v>37</v>
      </c>
      <c r="D1787" s="33">
        <v>4430265054</v>
      </c>
      <c r="E1787" s="33">
        <v>208</v>
      </c>
      <c r="F1787" s="33">
        <v>159</v>
      </c>
      <c r="G1787" s="33" t="s">
        <v>38</v>
      </c>
      <c r="H1787" s="33" t="s">
        <v>8338</v>
      </c>
      <c r="I1787" s="33" t="s">
        <v>39</v>
      </c>
      <c r="J1787" s="33" t="s">
        <v>40</v>
      </c>
      <c r="K1787" s="33" t="s">
        <v>41</v>
      </c>
    </row>
    <row r="1788" spans="1:12" s="33" customFormat="1" hidden="1" x14ac:dyDescent="0.3">
      <c r="A1788" s="39">
        <v>46092.670046296298</v>
      </c>
      <c r="B1788" s="33" t="s">
        <v>42</v>
      </c>
      <c r="C1788" s="33">
        <v>41999865917</v>
      </c>
      <c r="E1788" s="33">
        <v>133</v>
      </c>
      <c r="F1788" s="33">
        <v>131</v>
      </c>
      <c r="G1788" s="33" t="s">
        <v>38</v>
      </c>
      <c r="H1788" s="33" t="s">
        <v>8339</v>
      </c>
      <c r="I1788" s="33" t="s">
        <v>46</v>
      </c>
      <c r="J1788" s="33" t="s">
        <v>40</v>
      </c>
    </row>
    <row r="1789" spans="1:12" s="33" customFormat="1" hidden="1" x14ac:dyDescent="0.3">
      <c r="A1789" s="39">
        <v>46092.668749999997</v>
      </c>
      <c r="B1789" s="33" t="s">
        <v>42</v>
      </c>
      <c r="C1789" s="33">
        <v>45999171866</v>
      </c>
      <c r="E1789" s="33">
        <v>97</v>
      </c>
      <c r="F1789" s="33">
        <v>81</v>
      </c>
      <c r="G1789" s="33" t="s">
        <v>38</v>
      </c>
      <c r="H1789" s="33" t="s">
        <v>8340</v>
      </c>
      <c r="I1789" s="33" t="s">
        <v>46</v>
      </c>
      <c r="J1789" s="33" t="s">
        <v>40</v>
      </c>
    </row>
    <row r="1790" spans="1:12" s="33" customFormat="1" hidden="1" x14ac:dyDescent="0.3">
      <c r="A1790" s="39">
        <v>46092.668287037035</v>
      </c>
      <c r="B1790" s="33" t="s">
        <v>42</v>
      </c>
      <c r="C1790" s="33">
        <v>45999171866</v>
      </c>
      <c r="E1790" s="33">
        <v>24</v>
      </c>
      <c r="F1790" s="33">
        <v>11</v>
      </c>
      <c r="G1790" s="33" t="s">
        <v>38</v>
      </c>
      <c r="H1790" s="33" t="s">
        <v>8341</v>
      </c>
      <c r="I1790" s="33" t="s">
        <v>46</v>
      </c>
      <c r="J1790" s="33" t="s">
        <v>40</v>
      </c>
    </row>
    <row r="1791" spans="1:12" s="33" customFormat="1" hidden="1" x14ac:dyDescent="0.3">
      <c r="A1791" s="39">
        <v>46092.667164351849</v>
      </c>
      <c r="B1791" s="33" t="s">
        <v>48</v>
      </c>
      <c r="C1791" s="33">
        <v>4434212150</v>
      </c>
      <c r="E1791" s="33">
        <v>642</v>
      </c>
      <c r="F1791" s="33">
        <v>631</v>
      </c>
      <c r="G1791" s="33" t="s">
        <v>38</v>
      </c>
      <c r="H1791" s="33" t="s">
        <v>8342</v>
      </c>
      <c r="I1791" s="33" t="s">
        <v>46</v>
      </c>
      <c r="J1791" s="33" t="s">
        <v>40</v>
      </c>
    </row>
    <row r="1792" spans="1:12" s="33" customFormat="1" hidden="1" x14ac:dyDescent="0.3">
      <c r="A1792" s="39">
        <v>46092.667071759257</v>
      </c>
      <c r="B1792" s="33">
        <v>6234347959</v>
      </c>
      <c r="C1792" s="33" t="s">
        <v>43</v>
      </c>
      <c r="D1792" s="33">
        <v>4430265054</v>
      </c>
      <c r="E1792" s="33">
        <v>1103</v>
      </c>
      <c r="F1792" s="33">
        <v>1020</v>
      </c>
      <c r="G1792" s="33" t="s">
        <v>38</v>
      </c>
      <c r="H1792" s="33" t="s">
        <v>8343</v>
      </c>
      <c r="I1792" s="33" t="s">
        <v>39</v>
      </c>
      <c r="J1792" s="33" t="s">
        <v>40</v>
      </c>
      <c r="K1792" s="33" t="s">
        <v>41</v>
      </c>
    </row>
    <row r="1793" spans="1:12" s="33" customFormat="1" hidden="1" x14ac:dyDescent="0.3">
      <c r="A1793" s="39">
        <v>46092.667060185187</v>
      </c>
      <c r="B1793" s="33" t="s">
        <v>48</v>
      </c>
      <c r="C1793" s="33">
        <v>4434212150</v>
      </c>
      <c r="E1793" s="33">
        <v>2</v>
      </c>
      <c r="F1793" s="33">
        <v>0</v>
      </c>
      <c r="G1793" s="33" t="s">
        <v>47</v>
      </c>
      <c r="H1793" s="33" t="s">
        <v>8344</v>
      </c>
      <c r="I1793" s="33" t="s">
        <v>46</v>
      </c>
      <c r="J1793" s="33" t="s">
        <v>40</v>
      </c>
    </row>
    <row r="1794" spans="1:12" s="33" customFormat="1" hidden="1" x14ac:dyDescent="0.3">
      <c r="A1794" s="39">
        <v>46092.664895833332</v>
      </c>
      <c r="B1794" s="33">
        <v>4130296118</v>
      </c>
      <c r="C1794" s="33" t="s">
        <v>37</v>
      </c>
      <c r="D1794" s="33">
        <v>4430265054</v>
      </c>
      <c r="E1794" s="33">
        <v>782</v>
      </c>
      <c r="F1794" s="33">
        <v>760</v>
      </c>
      <c r="G1794" s="33" t="s">
        <v>38</v>
      </c>
      <c r="H1794" s="33" t="s">
        <v>8345</v>
      </c>
      <c r="I1794" s="33" t="s">
        <v>39</v>
      </c>
      <c r="J1794" s="33" t="s">
        <v>40</v>
      </c>
      <c r="K1794" s="33" t="s">
        <v>41</v>
      </c>
      <c r="L1794" s="33">
        <v>5</v>
      </c>
    </row>
    <row r="1795" spans="1:12" s="33" customFormat="1" hidden="1" x14ac:dyDescent="0.3">
      <c r="A1795" s="39">
        <v>46092.662974537037</v>
      </c>
      <c r="B1795" s="33" t="s">
        <v>43</v>
      </c>
      <c r="C1795" s="33">
        <v>44991225699</v>
      </c>
      <c r="E1795" s="33">
        <v>237</v>
      </c>
      <c r="F1795" s="33">
        <v>221</v>
      </c>
      <c r="G1795" s="33" t="s">
        <v>38</v>
      </c>
      <c r="H1795" s="33" t="s">
        <v>8346</v>
      </c>
      <c r="I1795" s="33" t="s">
        <v>46</v>
      </c>
      <c r="J1795" s="33" t="s">
        <v>40</v>
      </c>
    </row>
    <row r="1796" spans="1:12" s="33" customFormat="1" hidden="1" x14ac:dyDescent="0.3">
      <c r="A1796" s="39">
        <v>46092.66269675926</v>
      </c>
      <c r="B1796" s="33" t="s">
        <v>43</v>
      </c>
      <c r="C1796" s="33">
        <v>44991225699</v>
      </c>
      <c r="E1796" s="33">
        <v>37</v>
      </c>
      <c r="F1796" s="33">
        <v>30</v>
      </c>
      <c r="G1796" s="33" t="s">
        <v>38</v>
      </c>
      <c r="H1796" s="33" t="s">
        <v>8347</v>
      </c>
      <c r="I1796" s="33" t="s">
        <v>46</v>
      </c>
      <c r="J1796" s="33" t="s">
        <v>40</v>
      </c>
    </row>
    <row r="1797" spans="1:12" s="33" customFormat="1" hidden="1" x14ac:dyDescent="0.3">
      <c r="A1797" s="39">
        <v>46092.659548611111</v>
      </c>
      <c r="B1797" s="33" t="s">
        <v>43</v>
      </c>
      <c r="C1797" s="33">
        <v>4432697000</v>
      </c>
      <c r="E1797" s="33">
        <v>263</v>
      </c>
      <c r="F1797" s="33">
        <v>250</v>
      </c>
      <c r="G1797" s="33" t="s">
        <v>38</v>
      </c>
      <c r="H1797" s="33" t="s">
        <v>8348</v>
      </c>
      <c r="I1797" s="33" t="s">
        <v>46</v>
      </c>
      <c r="J1797" s="33" t="s">
        <v>40</v>
      </c>
      <c r="L1797" s="33">
        <v>5</v>
      </c>
    </row>
    <row r="1798" spans="1:12" s="33" customFormat="1" hidden="1" x14ac:dyDescent="0.3">
      <c r="A1798" s="39">
        <v>46092.653564814813</v>
      </c>
      <c r="B1798" s="33">
        <v>35998295948</v>
      </c>
      <c r="C1798" s="33" t="s">
        <v>42</v>
      </c>
      <c r="D1798" s="33">
        <v>4430265054</v>
      </c>
      <c r="E1798" s="33">
        <v>723</v>
      </c>
      <c r="F1798" s="33">
        <v>649</v>
      </c>
      <c r="G1798" s="33" t="s">
        <v>38</v>
      </c>
      <c r="H1798" s="33" t="s">
        <v>8349</v>
      </c>
      <c r="I1798" s="33" t="s">
        <v>39</v>
      </c>
      <c r="J1798" s="33" t="s">
        <v>40</v>
      </c>
      <c r="K1798" s="33" t="s">
        <v>41</v>
      </c>
    </row>
    <row r="1799" spans="1:12" s="33" customFormat="1" hidden="1" x14ac:dyDescent="0.3">
      <c r="A1799" s="39">
        <v>46092.651331018518</v>
      </c>
      <c r="B1799" s="33">
        <v>44988303530</v>
      </c>
      <c r="C1799" s="33" t="s">
        <v>44</v>
      </c>
      <c r="D1799" s="33">
        <v>4430265054</v>
      </c>
      <c r="E1799" s="33">
        <v>744</v>
      </c>
      <c r="F1799" s="33">
        <v>482</v>
      </c>
      <c r="G1799" s="33" t="s">
        <v>38</v>
      </c>
      <c r="H1799" s="33" t="s">
        <v>8350</v>
      </c>
      <c r="I1799" s="33" t="s">
        <v>39</v>
      </c>
      <c r="J1799" s="33" t="s">
        <v>40</v>
      </c>
      <c r="K1799" s="33" t="s">
        <v>41</v>
      </c>
    </row>
    <row r="1800" spans="1:12" s="33" customFormat="1" hidden="1" x14ac:dyDescent="0.3">
      <c r="A1800" s="39">
        <v>46092.651238425926</v>
      </c>
      <c r="B1800" s="33" t="s">
        <v>45</v>
      </c>
      <c r="C1800" s="33">
        <v>44999844110</v>
      </c>
      <c r="E1800" s="33">
        <v>711</v>
      </c>
      <c r="F1800" s="33">
        <v>698</v>
      </c>
      <c r="G1800" s="33" t="s">
        <v>38</v>
      </c>
      <c r="H1800" s="33" t="s">
        <v>8351</v>
      </c>
      <c r="I1800" s="33" t="s">
        <v>46</v>
      </c>
      <c r="J1800" s="33" t="s">
        <v>40</v>
      </c>
    </row>
    <row r="1801" spans="1:12" s="33" customFormat="1" hidden="1" x14ac:dyDescent="0.3">
      <c r="A1801" s="39">
        <v>46092.645300925928</v>
      </c>
      <c r="B1801" s="33" t="s">
        <v>37</v>
      </c>
      <c r="C1801" s="33">
        <v>44999599335</v>
      </c>
      <c r="E1801" s="33">
        <v>45</v>
      </c>
      <c r="F1801" s="33">
        <v>29</v>
      </c>
      <c r="G1801" s="33" t="s">
        <v>38</v>
      </c>
      <c r="H1801" s="33" t="s">
        <v>8352</v>
      </c>
      <c r="I1801" s="33" t="s">
        <v>46</v>
      </c>
      <c r="J1801" s="33" t="s">
        <v>40</v>
      </c>
    </row>
    <row r="1802" spans="1:12" s="33" customFormat="1" hidden="1" x14ac:dyDescent="0.3">
      <c r="A1802" s="39">
        <v>46092.645266203705</v>
      </c>
      <c r="B1802" s="33" t="s">
        <v>37</v>
      </c>
      <c r="C1802" s="33" t="s">
        <v>48</v>
      </c>
      <c r="E1802" s="33">
        <v>1</v>
      </c>
      <c r="F1802" s="33">
        <v>0</v>
      </c>
      <c r="G1802" s="33" t="s">
        <v>47</v>
      </c>
      <c r="H1802" s="33" t="s">
        <v>8353</v>
      </c>
      <c r="I1802" s="33" t="s">
        <v>52</v>
      </c>
      <c r="J1802" s="33" t="s">
        <v>40</v>
      </c>
    </row>
    <row r="1803" spans="1:12" s="33" customFormat="1" hidden="1" x14ac:dyDescent="0.3">
      <c r="A1803" s="39">
        <v>46092.637418981481</v>
      </c>
      <c r="B1803" s="33">
        <v>44998761561</v>
      </c>
      <c r="C1803" s="33" t="s">
        <v>48</v>
      </c>
      <c r="D1803" s="33">
        <v>4430265054</v>
      </c>
      <c r="E1803" s="33">
        <v>104</v>
      </c>
      <c r="F1803" s="33">
        <v>65</v>
      </c>
      <c r="G1803" s="33" t="s">
        <v>38</v>
      </c>
      <c r="H1803" s="33" t="s">
        <v>8354</v>
      </c>
      <c r="I1803" s="33" t="s">
        <v>39</v>
      </c>
      <c r="J1803" s="33" t="s">
        <v>40</v>
      </c>
      <c r="K1803" s="33" t="s">
        <v>41</v>
      </c>
    </row>
    <row r="1804" spans="1:12" s="33" customFormat="1" hidden="1" x14ac:dyDescent="0.3">
      <c r="A1804" s="39">
        <v>46092.63652777778</v>
      </c>
      <c r="B1804" s="33">
        <v>4130760170</v>
      </c>
      <c r="C1804" s="33" t="s">
        <v>42</v>
      </c>
      <c r="D1804" s="33">
        <v>4430265054</v>
      </c>
      <c r="E1804" s="33">
        <v>204</v>
      </c>
      <c r="F1804" s="33">
        <v>174</v>
      </c>
      <c r="G1804" s="33" t="s">
        <v>38</v>
      </c>
      <c r="H1804" s="33" t="s">
        <v>8355</v>
      </c>
      <c r="I1804" s="33" t="s">
        <v>39</v>
      </c>
      <c r="J1804" s="33" t="s">
        <v>40</v>
      </c>
      <c r="K1804" s="33" t="s">
        <v>41</v>
      </c>
    </row>
    <row r="1805" spans="1:12" s="33" customFormat="1" hidden="1" x14ac:dyDescent="0.3">
      <c r="A1805" s="39">
        <v>46092.636157407411</v>
      </c>
      <c r="B1805" s="33">
        <v>43999388040</v>
      </c>
      <c r="C1805" s="33" t="s">
        <v>44</v>
      </c>
      <c r="D1805" s="33">
        <v>4430265054</v>
      </c>
      <c r="E1805" s="33">
        <v>854</v>
      </c>
      <c r="F1805" s="33">
        <v>814</v>
      </c>
      <c r="G1805" s="33" t="s">
        <v>38</v>
      </c>
      <c r="H1805" s="33" t="s">
        <v>8356</v>
      </c>
      <c r="I1805" s="33" t="s">
        <v>39</v>
      </c>
      <c r="J1805" s="33" t="s">
        <v>40</v>
      </c>
      <c r="K1805" s="33" t="s">
        <v>41</v>
      </c>
      <c r="L1805" s="33">
        <v>5</v>
      </c>
    </row>
    <row r="1806" spans="1:12" s="33" customFormat="1" hidden="1" x14ac:dyDescent="0.3">
      <c r="A1806" s="39">
        <v>46092.630613425928</v>
      </c>
      <c r="B1806" s="33">
        <v>4432697000</v>
      </c>
      <c r="C1806" s="33" t="s">
        <v>43</v>
      </c>
      <c r="D1806" s="33">
        <v>4430265054</v>
      </c>
      <c r="E1806" s="33">
        <v>959</v>
      </c>
      <c r="F1806" s="33">
        <v>812</v>
      </c>
      <c r="G1806" s="33" t="s">
        <v>38</v>
      </c>
      <c r="H1806" s="33" t="s">
        <v>8357</v>
      </c>
      <c r="I1806" s="33" t="s">
        <v>39</v>
      </c>
      <c r="J1806" s="33" t="s">
        <v>40</v>
      </c>
      <c r="K1806" s="33" t="s">
        <v>41</v>
      </c>
      <c r="L1806" s="33">
        <v>5</v>
      </c>
    </row>
    <row r="1807" spans="1:12" s="33" customFormat="1" hidden="1" x14ac:dyDescent="0.3">
      <c r="A1807" s="39">
        <v>46092.630381944444</v>
      </c>
      <c r="B1807" s="33" t="s">
        <v>45</v>
      </c>
      <c r="C1807" s="33">
        <v>11953265422</v>
      </c>
      <c r="E1807" s="33">
        <v>72</v>
      </c>
      <c r="F1807" s="33">
        <v>68</v>
      </c>
      <c r="G1807" s="33" t="s">
        <v>38</v>
      </c>
      <c r="H1807" s="33" t="s">
        <v>8358</v>
      </c>
      <c r="I1807" s="33" t="s">
        <v>46</v>
      </c>
      <c r="J1807" s="33" t="s">
        <v>40</v>
      </c>
    </row>
    <row r="1808" spans="1:12" s="33" customFormat="1" hidden="1" x14ac:dyDescent="0.3">
      <c r="A1808" s="39">
        <v>46092.630196759259</v>
      </c>
      <c r="B1808" s="33" t="s">
        <v>43</v>
      </c>
      <c r="C1808" s="33">
        <v>6234347959</v>
      </c>
      <c r="E1808" s="33">
        <v>45</v>
      </c>
      <c r="F1808" s="33">
        <v>38</v>
      </c>
      <c r="G1808" s="33" t="s">
        <v>38</v>
      </c>
      <c r="H1808" s="33" t="s">
        <v>8359</v>
      </c>
      <c r="I1808" s="33" t="s">
        <v>46</v>
      </c>
      <c r="J1808" s="33" t="s">
        <v>40</v>
      </c>
    </row>
    <row r="1809" spans="1:12" s="33" customFormat="1" hidden="1" x14ac:dyDescent="0.3">
      <c r="A1809" s="39">
        <v>46092.630023148151</v>
      </c>
      <c r="B1809" s="33" t="s">
        <v>3627</v>
      </c>
      <c r="C1809" s="33">
        <v>44998562645</v>
      </c>
      <c r="E1809" s="33">
        <v>109</v>
      </c>
      <c r="F1809" s="33">
        <v>105</v>
      </c>
      <c r="G1809" s="33" t="s">
        <v>38</v>
      </c>
      <c r="H1809" s="33" t="s">
        <v>8360</v>
      </c>
      <c r="I1809" s="33" t="s">
        <v>46</v>
      </c>
      <c r="J1809" s="33" t="s">
        <v>3629</v>
      </c>
    </row>
    <row r="1810" spans="1:12" s="33" customFormat="1" hidden="1" x14ac:dyDescent="0.3">
      <c r="A1810" s="39">
        <v>46092.629826388889</v>
      </c>
      <c r="B1810" s="33">
        <v>11953265422</v>
      </c>
      <c r="C1810" s="33" t="s">
        <v>45</v>
      </c>
      <c r="D1810" s="33">
        <v>4430265054</v>
      </c>
      <c r="E1810" s="33">
        <v>1025</v>
      </c>
      <c r="F1810" s="33">
        <v>925</v>
      </c>
      <c r="G1810" s="33" t="s">
        <v>38</v>
      </c>
      <c r="H1810" s="33" t="s">
        <v>8361</v>
      </c>
      <c r="I1810" s="33" t="s">
        <v>39</v>
      </c>
      <c r="J1810" s="33" t="s">
        <v>40</v>
      </c>
      <c r="K1810" s="33" t="s">
        <v>41</v>
      </c>
    </row>
    <row r="1811" spans="1:12" s="33" customFormat="1" hidden="1" x14ac:dyDescent="0.3">
      <c r="A1811" s="39">
        <v>46092.629710648151</v>
      </c>
      <c r="B1811" s="33" t="s">
        <v>45</v>
      </c>
      <c r="C1811" s="33">
        <v>11953265422</v>
      </c>
      <c r="E1811" s="33">
        <v>39</v>
      </c>
      <c r="F1811" s="33">
        <v>34</v>
      </c>
      <c r="G1811" s="33" t="s">
        <v>38</v>
      </c>
      <c r="H1811" s="33" t="s">
        <v>8362</v>
      </c>
      <c r="I1811" s="33" t="s">
        <v>46</v>
      </c>
      <c r="J1811" s="33" t="s">
        <v>40</v>
      </c>
    </row>
    <row r="1812" spans="1:12" s="33" customFormat="1" hidden="1" x14ac:dyDescent="0.3">
      <c r="A1812" s="39">
        <v>46092.629664351851</v>
      </c>
      <c r="B1812" s="33">
        <v>44998068281</v>
      </c>
      <c r="C1812" s="33" t="s">
        <v>44</v>
      </c>
      <c r="D1812" s="33">
        <v>4430265054</v>
      </c>
      <c r="E1812" s="33">
        <v>298</v>
      </c>
      <c r="F1812" s="33">
        <v>236</v>
      </c>
      <c r="G1812" s="33" t="s">
        <v>38</v>
      </c>
      <c r="H1812" s="33" t="s">
        <v>8363</v>
      </c>
      <c r="I1812" s="33" t="s">
        <v>39</v>
      </c>
      <c r="J1812" s="33" t="s">
        <v>40</v>
      </c>
      <c r="K1812" s="33" t="s">
        <v>41</v>
      </c>
      <c r="L1812" s="33">
        <v>5</v>
      </c>
    </row>
    <row r="1813" spans="1:12" s="33" customFormat="1" hidden="1" x14ac:dyDescent="0.3">
      <c r="A1813" s="39">
        <v>46092.629618055558</v>
      </c>
      <c r="B1813" s="33">
        <v>44998562645</v>
      </c>
      <c r="C1813" s="33">
        <v>4430265054</v>
      </c>
      <c r="D1813" s="33">
        <v>4430265054</v>
      </c>
      <c r="E1813" s="33">
        <v>38</v>
      </c>
      <c r="F1813" s="33">
        <v>38</v>
      </c>
      <c r="G1813" s="33" t="s">
        <v>3449</v>
      </c>
      <c r="H1813" s="33" t="s">
        <v>8364</v>
      </c>
      <c r="I1813" s="33" t="s">
        <v>39</v>
      </c>
      <c r="J1813" s="33" t="s">
        <v>3451</v>
      </c>
      <c r="K1813" s="33" t="s">
        <v>50</v>
      </c>
    </row>
    <row r="1814" spans="1:12" s="33" customFormat="1" hidden="1" x14ac:dyDescent="0.3">
      <c r="A1814" s="39">
        <v>46092.629525462966</v>
      </c>
      <c r="B1814" s="33" t="s">
        <v>45</v>
      </c>
      <c r="C1814" s="33">
        <v>11953265422</v>
      </c>
      <c r="E1814" s="33">
        <v>42</v>
      </c>
      <c r="F1814" s="33">
        <v>37</v>
      </c>
      <c r="G1814" s="33" t="s">
        <v>38</v>
      </c>
      <c r="H1814" s="33" t="s">
        <v>8365</v>
      </c>
      <c r="I1814" s="33" t="s">
        <v>46</v>
      </c>
      <c r="J1814" s="33" t="s">
        <v>40</v>
      </c>
    </row>
    <row r="1815" spans="1:12" s="33" customFormat="1" hidden="1" x14ac:dyDescent="0.3">
      <c r="A1815" s="39">
        <v>46092.629467592589</v>
      </c>
      <c r="B1815" s="33" t="s">
        <v>3627</v>
      </c>
      <c r="C1815" s="33">
        <v>44998562645</v>
      </c>
      <c r="E1815" s="33">
        <v>5</v>
      </c>
      <c r="F1815" s="33">
        <v>4</v>
      </c>
      <c r="G1815" s="33" t="s">
        <v>38</v>
      </c>
      <c r="H1815" s="33" t="s">
        <v>8366</v>
      </c>
      <c r="I1815" s="33" t="s">
        <v>46</v>
      </c>
      <c r="J1815" s="33" t="s">
        <v>3629</v>
      </c>
    </row>
    <row r="1816" spans="1:12" s="33" customFormat="1" hidden="1" x14ac:dyDescent="0.3">
      <c r="A1816" s="39">
        <v>46092.629386574074</v>
      </c>
      <c r="B1816" s="33" t="s">
        <v>3627</v>
      </c>
      <c r="C1816" s="33">
        <v>44998562645</v>
      </c>
      <c r="E1816" s="33">
        <v>6</v>
      </c>
      <c r="F1816" s="33">
        <v>4</v>
      </c>
      <c r="G1816" s="33" t="s">
        <v>38</v>
      </c>
      <c r="H1816" s="33" t="s">
        <v>8367</v>
      </c>
      <c r="I1816" s="33" t="s">
        <v>46</v>
      </c>
      <c r="J1816" s="33" t="s">
        <v>3629</v>
      </c>
    </row>
    <row r="1817" spans="1:12" s="33" customFormat="1" hidden="1" x14ac:dyDescent="0.3">
      <c r="A1817" s="39">
        <v>46092.629328703704</v>
      </c>
      <c r="B1817" s="33">
        <v>4432256273</v>
      </c>
      <c r="C1817" s="33" t="s">
        <v>37</v>
      </c>
      <c r="D1817" s="33">
        <v>4430265054</v>
      </c>
      <c r="E1817" s="33">
        <v>919</v>
      </c>
      <c r="F1817" s="33">
        <v>897</v>
      </c>
      <c r="G1817" s="33" t="s">
        <v>38</v>
      </c>
      <c r="H1817" s="33" t="s">
        <v>8368</v>
      </c>
      <c r="I1817" s="33" t="s">
        <v>39</v>
      </c>
      <c r="J1817" s="33" t="s">
        <v>40</v>
      </c>
      <c r="K1817" s="33" t="s">
        <v>41</v>
      </c>
      <c r="L1817" s="33">
        <v>5</v>
      </c>
    </row>
    <row r="1818" spans="1:12" s="33" customFormat="1" hidden="1" x14ac:dyDescent="0.3">
      <c r="A1818" s="39">
        <v>46092.628333333334</v>
      </c>
      <c r="B1818" s="33">
        <v>4432256273</v>
      </c>
      <c r="C1818" s="33">
        <v>4430265054</v>
      </c>
      <c r="D1818" s="33">
        <v>4430265054</v>
      </c>
      <c r="E1818" s="33">
        <v>11</v>
      </c>
      <c r="F1818" s="33">
        <v>10</v>
      </c>
      <c r="G1818" s="33" t="s">
        <v>3449</v>
      </c>
      <c r="H1818" s="33" t="s">
        <v>8369</v>
      </c>
      <c r="I1818" s="33" t="s">
        <v>39</v>
      </c>
      <c r="J1818" s="33" t="s">
        <v>3451</v>
      </c>
    </row>
    <row r="1819" spans="1:12" s="33" customFormat="1" hidden="1" x14ac:dyDescent="0.3">
      <c r="A1819" s="39">
        <v>46092.62777777778</v>
      </c>
      <c r="B1819" s="33">
        <v>11953265422</v>
      </c>
      <c r="C1819" s="33" t="s">
        <v>45</v>
      </c>
      <c r="D1819" s="33">
        <v>4430265054</v>
      </c>
      <c r="E1819" s="33">
        <v>156</v>
      </c>
      <c r="F1819" s="33">
        <v>138</v>
      </c>
      <c r="G1819" s="33" t="s">
        <v>38</v>
      </c>
      <c r="H1819" s="33" t="s">
        <v>8370</v>
      </c>
      <c r="I1819" s="33" t="s">
        <v>39</v>
      </c>
      <c r="J1819" s="33" t="s">
        <v>40</v>
      </c>
      <c r="K1819" s="33" t="s">
        <v>41</v>
      </c>
    </row>
    <row r="1820" spans="1:12" s="33" customFormat="1" hidden="1" x14ac:dyDescent="0.3">
      <c r="A1820" s="39">
        <v>46092.627743055556</v>
      </c>
      <c r="B1820" s="33">
        <v>44998562645</v>
      </c>
      <c r="C1820" s="33" t="s">
        <v>3627</v>
      </c>
      <c r="D1820" s="33">
        <v>4430265054</v>
      </c>
      <c r="E1820" s="33">
        <v>133</v>
      </c>
      <c r="F1820" s="33">
        <v>112</v>
      </c>
      <c r="G1820" s="33" t="s">
        <v>38</v>
      </c>
      <c r="H1820" s="33" t="s">
        <v>8371</v>
      </c>
      <c r="I1820" s="33" t="s">
        <v>39</v>
      </c>
      <c r="J1820" s="33" t="s">
        <v>3629</v>
      </c>
      <c r="K1820" s="33" t="s">
        <v>50</v>
      </c>
    </row>
    <row r="1821" spans="1:12" s="33" customFormat="1" hidden="1" x14ac:dyDescent="0.3">
      <c r="A1821" s="39">
        <v>46092.626782407409</v>
      </c>
      <c r="B1821" s="33">
        <v>11953265422</v>
      </c>
      <c r="C1821" s="33" t="s">
        <v>45</v>
      </c>
      <c r="D1821" s="33">
        <v>4430265054</v>
      </c>
      <c r="E1821" s="33">
        <v>69</v>
      </c>
      <c r="F1821" s="33">
        <v>33</v>
      </c>
      <c r="G1821" s="33" t="s">
        <v>38</v>
      </c>
      <c r="H1821" s="33" t="s">
        <v>8372</v>
      </c>
      <c r="I1821" s="33" t="s">
        <v>39</v>
      </c>
      <c r="J1821" s="33" t="s">
        <v>40</v>
      </c>
      <c r="K1821" s="33" t="s">
        <v>41</v>
      </c>
    </row>
    <row r="1822" spans="1:12" s="33" customFormat="1" hidden="1" x14ac:dyDescent="0.3">
      <c r="A1822" s="39">
        <v>46092.623124999998</v>
      </c>
      <c r="B1822" s="33">
        <v>44999689445</v>
      </c>
      <c r="C1822" s="33" t="s">
        <v>42</v>
      </c>
      <c r="D1822" s="33">
        <v>4430265054</v>
      </c>
      <c r="E1822" s="33">
        <v>692</v>
      </c>
      <c r="F1822" s="33">
        <v>616</v>
      </c>
      <c r="G1822" s="33" t="s">
        <v>38</v>
      </c>
      <c r="H1822" s="33" t="s">
        <v>8373</v>
      </c>
      <c r="I1822" s="33" t="s">
        <v>39</v>
      </c>
      <c r="J1822" s="33" t="s">
        <v>40</v>
      </c>
      <c r="K1822" s="33" t="s">
        <v>41</v>
      </c>
    </row>
    <row r="1823" spans="1:12" s="33" customFormat="1" hidden="1" x14ac:dyDescent="0.3">
      <c r="A1823" s="39">
        <v>46092.61645833333</v>
      </c>
      <c r="B1823" s="33">
        <v>6234347959</v>
      </c>
      <c r="C1823" s="33" t="s">
        <v>43</v>
      </c>
      <c r="D1823" s="33">
        <v>4430265054</v>
      </c>
      <c r="E1823" s="33">
        <v>1141</v>
      </c>
      <c r="F1823" s="33">
        <v>1062</v>
      </c>
      <c r="G1823" s="33" t="s">
        <v>38</v>
      </c>
      <c r="H1823" s="33" t="s">
        <v>8374</v>
      </c>
      <c r="I1823" s="33" t="s">
        <v>39</v>
      </c>
      <c r="J1823" s="33" t="s">
        <v>40</v>
      </c>
      <c r="K1823" s="33" t="s">
        <v>41</v>
      </c>
    </row>
    <row r="1824" spans="1:12" s="33" customFormat="1" hidden="1" x14ac:dyDescent="0.3">
      <c r="A1824" s="39">
        <v>46092.608541666668</v>
      </c>
      <c r="B1824" s="33">
        <v>11953265422</v>
      </c>
      <c r="C1824" s="33" t="s">
        <v>45</v>
      </c>
      <c r="D1824" s="33">
        <v>4430265054</v>
      </c>
      <c r="E1824" s="33">
        <v>1218</v>
      </c>
      <c r="F1824" s="33">
        <v>1117</v>
      </c>
      <c r="G1824" s="33" t="s">
        <v>38</v>
      </c>
      <c r="H1824" s="33" t="s">
        <v>8375</v>
      </c>
      <c r="I1824" s="33" t="s">
        <v>39</v>
      </c>
      <c r="J1824" s="33" t="s">
        <v>40</v>
      </c>
      <c r="K1824" s="33" t="s">
        <v>41</v>
      </c>
    </row>
    <row r="1825" spans="1:12" s="33" customFormat="1" hidden="1" x14ac:dyDescent="0.3">
      <c r="A1825" s="39">
        <v>46092.603252314817</v>
      </c>
      <c r="B1825" s="33">
        <v>1732146970</v>
      </c>
      <c r="C1825" s="33" t="s">
        <v>37</v>
      </c>
      <c r="D1825" s="33">
        <v>4431268225</v>
      </c>
      <c r="E1825" s="33">
        <v>668</v>
      </c>
      <c r="F1825" s="33">
        <v>572</v>
      </c>
      <c r="G1825" s="33" t="s">
        <v>38</v>
      </c>
      <c r="H1825" s="33" t="s">
        <v>8376</v>
      </c>
      <c r="I1825" s="33" t="s">
        <v>39</v>
      </c>
      <c r="J1825" s="33" t="s">
        <v>40</v>
      </c>
      <c r="K1825" s="33" t="s">
        <v>41</v>
      </c>
    </row>
    <row r="1826" spans="1:12" s="33" customFormat="1" hidden="1" x14ac:dyDescent="0.3">
      <c r="A1826" s="39">
        <v>46092.60224537037</v>
      </c>
      <c r="B1826" s="33">
        <v>44991388221</v>
      </c>
      <c r="C1826" s="33" t="s">
        <v>43</v>
      </c>
      <c r="D1826" s="33">
        <v>4430265054</v>
      </c>
      <c r="E1826" s="33">
        <v>1170</v>
      </c>
      <c r="F1826" s="33">
        <v>1058</v>
      </c>
      <c r="G1826" s="33" t="s">
        <v>38</v>
      </c>
      <c r="H1826" s="33" t="s">
        <v>8377</v>
      </c>
      <c r="I1826" s="33" t="s">
        <v>39</v>
      </c>
      <c r="J1826" s="33" t="s">
        <v>40</v>
      </c>
      <c r="K1826" s="33" t="s">
        <v>41</v>
      </c>
    </row>
    <row r="1827" spans="1:12" s="33" customFormat="1" hidden="1" x14ac:dyDescent="0.3">
      <c r="A1827" s="39">
        <v>46092.6</v>
      </c>
      <c r="B1827" s="33">
        <v>31995957530</v>
      </c>
      <c r="C1827" s="33" t="s">
        <v>42</v>
      </c>
      <c r="D1827" s="33">
        <v>4431268225</v>
      </c>
      <c r="E1827" s="33">
        <v>1485</v>
      </c>
      <c r="F1827" s="33">
        <v>1469</v>
      </c>
      <c r="G1827" s="33" t="s">
        <v>38</v>
      </c>
      <c r="H1827" s="33" t="s">
        <v>8378</v>
      </c>
      <c r="I1827" s="33" t="s">
        <v>39</v>
      </c>
      <c r="J1827" s="33" t="s">
        <v>40</v>
      </c>
      <c r="K1827" s="33" t="s">
        <v>41</v>
      </c>
    </row>
    <row r="1828" spans="1:12" s="33" customFormat="1" hidden="1" x14ac:dyDescent="0.3">
      <c r="A1828" s="39">
        <v>46092.598958333336</v>
      </c>
      <c r="B1828" s="33" t="s">
        <v>42</v>
      </c>
      <c r="C1828" s="33">
        <v>31995957530</v>
      </c>
      <c r="E1828" s="33">
        <v>7</v>
      </c>
      <c r="F1828" s="33">
        <v>0</v>
      </c>
      <c r="G1828" s="33" t="s">
        <v>47</v>
      </c>
      <c r="H1828" s="33" t="s">
        <v>8379</v>
      </c>
      <c r="I1828" s="33" t="s">
        <v>46</v>
      </c>
      <c r="J1828" s="33" t="s">
        <v>40</v>
      </c>
    </row>
    <row r="1829" spans="1:12" s="33" customFormat="1" hidden="1" x14ac:dyDescent="0.3">
      <c r="A1829" s="39">
        <v>46092.59884259259</v>
      </c>
      <c r="B1829" s="33" t="s">
        <v>42</v>
      </c>
      <c r="C1829" s="33">
        <v>31995957530</v>
      </c>
      <c r="E1829" s="33">
        <v>7</v>
      </c>
      <c r="F1829" s="33">
        <v>0</v>
      </c>
      <c r="G1829" s="33" t="s">
        <v>47</v>
      </c>
      <c r="H1829" s="33" t="s">
        <v>8380</v>
      </c>
      <c r="I1829" s="33" t="s">
        <v>46</v>
      </c>
      <c r="J1829" s="33" t="s">
        <v>40</v>
      </c>
    </row>
    <row r="1830" spans="1:12" s="33" customFormat="1" hidden="1" x14ac:dyDescent="0.3">
      <c r="A1830" s="39">
        <v>46092.598564814813</v>
      </c>
      <c r="B1830" s="33">
        <v>1128787060</v>
      </c>
      <c r="C1830" s="33">
        <v>3000</v>
      </c>
      <c r="D1830" s="33">
        <v>4430265054</v>
      </c>
      <c r="E1830" s="33">
        <v>127</v>
      </c>
      <c r="F1830" s="33">
        <v>106</v>
      </c>
      <c r="G1830" s="33" t="s">
        <v>38</v>
      </c>
      <c r="H1830" s="33" t="s">
        <v>8381</v>
      </c>
      <c r="I1830" s="33" t="s">
        <v>39</v>
      </c>
      <c r="J1830" s="33" t="s">
        <v>3451</v>
      </c>
      <c r="K1830" s="33" t="s">
        <v>41</v>
      </c>
    </row>
    <row r="1831" spans="1:12" s="33" customFormat="1" hidden="1" x14ac:dyDescent="0.3">
      <c r="A1831" s="39">
        <v>46092.597511574073</v>
      </c>
      <c r="B1831" s="33" t="s">
        <v>43</v>
      </c>
      <c r="C1831" s="33">
        <v>1732146970</v>
      </c>
      <c r="E1831" s="33">
        <v>355</v>
      </c>
      <c r="F1831" s="33">
        <v>354</v>
      </c>
      <c r="G1831" s="33" t="s">
        <v>38</v>
      </c>
      <c r="H1831" s="33" t="s">
        <v>8382</v>
      </c>
      <c r="I1831" s="33" t="s">
        <v>46</v>
      </c>
      <c r="J1831" s="33" t="s">
        <v>40</v>
      </c>
    </row>
    <row r="1832" spans="1:12" s="33" customFormat="1" hidden="1" x14ac:dyDescent="0.3">
      <c r="A1832" s="39">
        <v>46092.596018518518</v>
      </c>
      <c r="B1832" s="33">
        <v>4331622700</v>
      </c>
      <c r="C1832" s="33" t="s">
        <v>44</v>
      </c>
      <c r="D1832" s="33">
        <v>4430265054</v>
      </c>
      <c r="E1832" s="33">
        <v>2196</v>
      </c>
      <c r="F1832" s="33">
        <v>2160</v>
      </c>
      <c r="G1832" s="33" t="s">
        <v>38</v>
      </c>
      <c r="H1832" s="33" t="s">
        <v>8383</v>
      </c>
      <c r="I1832" s="33" t="s">
        <v>39</v>
      </c>
      <c r="J1832" s="33" t="s">
        <v>40</v>
      </c>
      <c r="K1832" s="33" t="s">
        <v>41</v>
      </c>
      <c r="L1832" s="33">
        <v>5</v>
      </c>
    </row>
    <row r="1833" spans="1:12" s="33" customFormat="1" hidden="1" x14ac:dyDescent="0.3">
      <c r="A1833" s="39">
        <v>46092.595405092594</v>
      </c>
      <c r="B1833" s="33" t="s">
        <v>43</v>
      </c>
      <c r="C1833" s="33">
        <v>1732146970</v>
      </c>
      <c r="E1833" s="33">
        <v>168</v>
      </c>
      <c r="F1833" s="33">
        <v>166</v>
      </c>
      <c r="G1833" s="33" t="s">
        <v>38</v>
      </c>
      <c r="H1833" s="33" t="s">
        <v>8384</v>
      </c>
      <c r="I1833" s="33" t="s">
        <v>46</v>
      </c>
      <c r="J1833" s="33" t="s">
        <v>40</v>
      </c>
    </row>
    <row r="1834" spans="1:12" s="33" customFormat="1" hidden="1" x14ac:dyDescent="0.3">
      <c r="A1834" s="39">
        <v>46092.593009259261</v>
      </c>
      <c r="B1834" s="33">
        <v>4430145151</v>
      </c>
      <c r="C1834" s="33">
        <v>4430265054</v>
      </c>
      <c r="D1834" s="33">
        <v>4430265054</v>
      </c>
      <c r="E1834" s="33">
        <v>83</v>
      </c>
      <c r="F1834" s="33">
        <v>82</v>
      </c>
      <c r="G1834" s="33" t="s">
        <v>3449</v>
      </c>
      <c r="H1834" s="33" t="s">
        <v>8385</v>
      </c>
      <c r="I1834" s="33" t="s">
        <v>39</v>
      </c>
      <c r="J1834" s="33" t="s">
        <v>3451</v>
      </c>
      <c r="K1834" s="33" t="s">
        <v>41</v>
      </c>
    </row>
    <row r="1835" spans="1:12" s="33" customFormat="1" hidden="1" x14ac:dyDescent="0.3">
      <c r="A1835" s="39">
        <v>46092.589594907404</v>
      </c>
      <c r="B1835" s="33">
        <v>44991069557</v>
      </c>
      <c r="C1835" s="33">
        <v>4430265054</v>
      </c>
      <c r="D1835" s="33">
        <v>4430265054</v>
      </c>
      <c r="E1835" s="33">
        <v>51</v>
      </c>
      <c r="F1835" s="33">
        <v>51</v>
      </c>
      <c r="G1835" s="33" t="s">
        <v>3449</v>
      </c>
      <c r="H1835" s="33" t="s">
        <v>8386</v>
      </c>
      <c r="I1835" s="33" t="s">
        <v>39</v>
      </c>
      <c r="J1835" s="33" t="s">
        <v>3451</v>
      </c>
      <c r="K1835" s="33" t="s">
        <v>41</v>
      </c>
    </row>
    <row r="1836" spans="1:12" s="33" customFormat="1" hidden="1" x14ac:dyDescent="0.3">
      <c r="A1836" s="39">
        <v>46092.588900462964</v>
      </c>
      <c r="B1836" s="33" t="s">
        <v>43</v>
      </c>
      <c r="C1836" s="33">
        <v>44991225699</v>
      </c>
      <c r="E1836" s="33">
        <v>35</v>
      </c>
      <c r="F1836" s="33">
        <v>0</v>
      </c>
      <c r="G1836" s="33" t="s">
        <v>47</v>
      </c>
      <c r="H1836" s="33" t="s">
        <v>8387</v>
      </c>
      <c r="I1836" s="33" t="s">
        <v>46</v>
      </c>
      <c r="J1836" s="33" t="s">
        <v>40</v>
      </c>
    </row>
    <row r="1837" spans="1:12" s="33" customFormat="1" hidden="1" x14ac:dyDescent="0.3">
      <c r="A1837" s="39">
        <v>46092.579953703702</v>
      </c>
      <c r="B1837" s="33">
        <v>44991443785</v>
      </c>
      <c r="C1837" s="33" t="s">
        <v>44</v>
      </c>
      <c r="D1837" s="33">
        <v>4430265054</v>
      </c>
      <c r="E1837" s="33">
        <v>327</v>
      </c>
      <c r="F1837" s="33">
        <v>207</v>
      </c>
      <c r="G1837" s="33" t="s">
        <v>38</v>
      </c>
      <c r="H1837" s="33" t="s">
        <v>8388</v>
      </c>
      <c r="I1837" s="33" t="s">
        <v>39</v>
      </c>
      <c r="J1837" s="33" t="s">
        <v>40</v>
      </c>
      <c r="K1837" s="33" t="s">
        <v>41</v>
      </c>
    </row>
    <row r="1838" spans="1:12" s="33" customFormat="1" hidden="1" x14ac:dyDescent="0.3">
      <c r="A1838" s="39">
        <v>46092.575416666667</v>
      </c>
      <c r="B1838" s="33">
        <v>44999689445</v>
      </c>
      <c r="C1838" s="33" t="s">
        <v>45</v>
      </c>
      <c r="D1838" s="33">
        <v>4430265054</v>
      </c>
      <c r="E1838" s="33">
        <v>1029</v>
      </c>
      <c r="F1838" s="33">
        <v>940</v>
      </c>
      <c r="G1838" s="33" t="s">
        <v>38</v>
      </c>
      <c r="H1838" s="33" t="s">
        <v>8389</v>
      </c>
      <c r="I1838" s="33" t="s">
        <v>39</v>
      </c>
      <c r="J1838" s="33" t="s">
        <v>40</v>
      </c>
      <c r="K1838" s="33" t="s">
        <v>41</v>
      </c>
    </row>
    <row r="1839" spans="1:12" s="33" customFormat="1" hidden="1" x14ac:dyDescent="0.3">
      <c r="A1839" s="39">
        <v>46092.568194444444</v>
      </c>
      <c r="B1839" s="33">
        <v>11953265422</v>
      </c>
      <c r="C1839" s="33" t="s">
        <v>44</v>
      </c>
      <c r="D1839" s="33">
        <v>4430265054</v>
      </c>
      <c r="E1839" s="33">
        <v>1042</v>
      </c>
      <c r="F1839" s="33">
        <v>1019</v>
      </c>
      <c r="G1839" s="33" t="s">
        <v>38</v>
      </c>
      <c r="H1839" s="33" t="s">
        <v>8390</v>
      </c>
      <c r="I1839" s="33" t="s">
        <v>39</v>
      </c>
      <c r="J1839" s="33" t="s">
        <v>40</v>
      </c>
      <c r="K1839" s="33" t="s">
        <v>41</v>
      </c>
    </row>
    <row r="1840" spans="1:12" s="33" customFormat="1" hidden="1" x14ac:dyDescent="0.3">
      <c r="A1840" s="39">
        <v>46092.567430555559</v>
      </c>
      <c r="B1840" s="33">
        <v>44997687156</v>
      </c>
      <c r="C1840" s="33" t="s">
        <v>43</v>
      </c>
      <c r="D1840" s="33">
        <v>4430265054</v>
      </c>
      <c r="E1840" s="33">
        <v>1203</v>
      </c>
      <c r="F1840" s="33">
        <v>1126</v>
      </c>
      <c r="G1840" s="33" t="s">
        <v>38</v>
      </c>
      <c r="H1840" s="33" t="s">
        <v>8391</v>
      </c>
      <c r="I1840" s="33" t="s">
        <v>39</v>
      </c>
      <c r="J1840" s="33" t="s">
        <v>40</v>
      </c>
      <c r="K1840" s="33" t="s">
        <v>41</v>
      </c>
    </row>
    <row r="1841" spans="1:11" s="33" customFormat="1" hidden="1" x14ac:dyDescent="0.3">
      <c r="A1841" s="39">
        <v>46092.567372685182</v>
      </c>
      <c r="B1841" s="33">
        <v>31995957530</v>
      </c>
      <c r="C1841" s="33" t="s">
        <v>42</v>
      </c>
      <c r="D1841" s="33">
        <v>4430265054</v>
      </c>
      <c r="E1841" s="33">
        <v>2699</v>
      </c>
      <c r="F1841" s="33">
        <v>2661</v>
      </c>
      <c r="G1841" s="33" t="s">
        <v>38</v>
      </c>
      <c r="H1841" s="33" t="s">
        <v>8392</v>
      </c>
      <c r="I1841" s="33" t="s">
        <v>39</v>
      </c>
      <c r="J1841" s="33" t="s">
        <v>40</v>
      </c>
      <c r="K1841" s="33" t="s">
        <v>41</v>
      </c>
    </row>
    <row r="1842" spans="1:11" s="33" customFormat="1" hidden="1" x14ac:dyDescent="0.3">
      <c r="A1842" s="39">
        <v>46092.562997685185</v>
      </c>
      <c r="B1842" s="33">
        <v>44999844110</v>
      </c>
      <c r="C1842" s="33" t="s">
        <v>45</v>
      </c>
      <c r="D1842" s="33">
        <v>4430265054</v>
      </c>
      <c r="E1842" s="33">
        <v>106</v>
      </c>
      <c r="F1842" s="33">
        <v>71</v>
      </c>
      <c r="G1842" s="33" t="s">
        <v>38</v>
      </c>
      <c r="H1842" s="33" t="s">
        <v>8393</v>
      </c>
      <c r="I1842" s="33" t="s">
        <v>39</v>
      </c>
      <c r="J1842" s="33" t="s">
        <v>40</v>
      </c>
      <c r="K1842" s="33" t="s">
        <v>41</v>
      </c>
    </row>
    <row r="1843" spans="1:11" s="33" customFormat="1" hidden="1" x14ac:dyDescent="0.3">
      <c r="A1843" s="39">
        <v>46092.558981481481</v>
      </c>
      <c r="B1843" s="33">
        <v>44997687156</v>
      </c>
      <c r="C1843" s="33">
        <v>4430265054</v>
      </c>
      <c r="D1843" s="33">
        <v>4430265054</v>
      </c>
      <c r="E1843" s="33">
        <v>29</v>
      </c>
      <c r="F1843" s="33">
        <v>28</v>
      </c>
      <c r="G1843" s="33" t="s">
        <v>3449</v>
      </c>
      <c r="H1843" s="33" t="s">
        <v>8394</v>
      </c>
      <c r="I1843" s="33" t="s">
        <v>39</v>
      </c>
      <c r="J1843" s="33" t="s">
        <v>3451</v>
      </c>
    </row>
    <row r="1844" spans="1:11" s="33" customFormat="1" hidden="1" x14ac:dyDescent="0.3">
      <c r="A1844" s="39">
        <v>46092.552476851852</v>
      </c>
      <c r="B1844" s="33">
        <v>4130760170</v>
      </c>
      <c r="C1844" s="33">
        <v>4430265054</v>
      </c>
      <c r="D1844" s="33">
        <v>4430265054</v>
      </c>
      <c r="E1844" s="33">
        <v>29</v>
      </c>
      <c r="F1844" s="33">
        <v>28</v>
      </c>
      <c r="G1844" s="33" t="s">
        <v>3449</v>
      </c>
      <c r="H1844" s="33" t="s">
        <v>8395</v>
      </c>
      <c r="I1844" s="33" t="s">
        <v>39</v>
      </c>
      <c r="J1844" s="33" t="s">
        <v>3451</v>
      </c>
    </row>
    <row r="1845" spans="1:11" s="33" customFormat="1" hidden="1" x14ac:dyDescent="0.3">
      <c r="A1845" s="39">
        <v>46092.548101851855</v>
      </c>
      <c r="B1845" s="33">
        <v>43999388040</v>
      </c>
      <c r="C1845" s="33">
        <v>4430265054</v>
      </c>
      <c r="D1845" s="33">
        <v>4430265054</v>
      </c>
      <c r="E1845" s="33">
        <v>15</v>
      </c>
      <c r="F1845" s="33">
        <v>15</v>
      </c>
      <c r="G1845" s="33" t="s">
        <v>3449</v>
      </c>
      <c r="H1845" s="33" t="s">
        <v>8396</v>
      </c>
      <c r="I1845" s="33" t="s">
        <v>39</v>
      </c>
      <c r="J1845" s="33" t="s">
        <v>3451</v>
      </c>
    </row>
    <row r="1846" spans="1:11" s="33" customFormat="1" hidden="1" x14ac:dyDescent="0.3">
      <c r="A1846" s="39">
        <v>46092.50104166667</v>
      </c>
      <c r="B1846" s="33">
        <v>4130775695</v>
      </c>
      <c r="C1846" s="33">
        <v>4430265054</v>
      </c>
      <c r="D1846" s="33">
        <v>4430265054</v>
      </c>
      <c r="E1846" s="33">
        <v>29</v>
      </c>
      <c r="F1846" s="33">
        <v>28</v>
      </c>
      <c r="G1846" s="33" t="s">
        <v>3449</v>
      </c>
      <c r="H1846" s="33" t="s">
        <v>8397</v>
      </c>
      <c r="I1846" s="33" t="s">
        <v>39</v>
      </c>
      <c r="J1846" s="33" t="s">
        <v>3451</v>
      </c>
    </row>
    <row r="1847" spans="1:11" s="33" customFormat="1" hidden="1" x14ac:dyDescent="0.3">
      <c r="A1847" s="39">
        <v>46092.492800925924</v>
      </c>
      <c r="B1847" s="33">
        <v>31995957530</v>
      </c>
      <c r="C1847" s="33">
        <v>4430265054</v>
      </c>
      <c r="D1847" s="33">
        <v>4430265054</v>
      </c>
      <c r="E1847" s="33">
        <v>28</v>
      </c>
      <c r="F1847" s="33">
        <v>27</v>
      </c>
      <c r="G1847" s="33" t="s">
        <v>3449</v>
      </c>
      <c r="H1847" s="33" t="s">
        <v>8398</v>
      </c>
      <c r="I1847" s="33" t="s">
        <v>39</v>
      </c>
      <c r="J1847" s="33" t="s">
        <v>3451</v>
      </c>
    </row>
    <row r="1848" spans="1:11" s="33" customFormat="1" hidden="1" x14ac:dyDescent="0.3">
      <c r="A1848" s="39">
        <v>46092.492604166669</v>
      </c>
      <c r="B1848" s="33">
        <v>31995957530</v>
      </c>
      <c r="C1848" s="33" t="s">
        <v>42</v>
      </c>
      <c r="D1848" s="33">
        <v>4430265054</v>
      </c>
      <c r="E1848" s="33">
        <v>781</v>
      </c>
      <c r="F1848" s="33">
        <v>757</v>
      </c>
      <c r="G1848" s="33" t="s">
        <v>38</v>
      </c>
      <c r="H1848" s="33" t="s">
        <v>8399</v>
      </c>
      <c r="I1848" s="33" t="s">
        <v>39</v>
      </c>
      <c r="J1848" s="33" t="s">
        <v>40</v>
      </c>
      <c r="K1848" s="33" t="s">
        <v>41</v>
      </c>
    </row>
    <row r="1849" spans="1:11" s="33" customFormat="1" hidden="1" x14ac:dyDescent="0.3">
      <c r="A1849" s="39">
        <v>46092.490682870368</v>
      </c>
      <c r="B1849" s="33" t="s">
        <v>42</v>
      </c>
      <c r="C1849" s="33">
        <v>31995957530</v>
      </c>
      <c r="E1849" s="33">
        <v>6</v>
      </c>
      <c r="F1849" s="33">
        <v>0</v>
      </c>
      <c r="G1849" s="33" t="s">
        <v>47</v>
      </c>
      <c r="H1849" s="33" t="s">
        <v>8400</v>
      </c>
      <c r="I1849" s="33" t="s">
        <v>46</v>
      </c>
      <c r="J1849" s="33" t="s">
        <v>40</v>
      </c>
    </row>
    <row r="1850" spans="1:11" s="33" customFormat="1" hidden="1" x14ac:dyDescent="0.3">
      <c r="A1850" s="39">
        <v>46092.488310185188</v>
      </c>
      <c r="B1850" s="33" t="s">
        <v>42</v>
      </c>
      <c r="C1850" s="33">
        <v>31995957530</v>
      </c>
      <c r="E1850" s="33">
        <v>8</v>
      </c>
      <c r="F1850" s="33">
        <v>0</v>
      </c>
      <c r="G1850" s="33" t="s">
        <v>47</v>
      </c>
      <c r="H1850" s="33" t="s">
        <v>8401</v>
      </c>
      <c r="I1850" s="33" t="s">
        <v>46</v>
      </c>
      <c r="J1850" s="33" t="s">
        <v>40</v>
      </c>
    </row>
    <row r="1851" spans="1:11" s="33" customFormat="1" hidden="1" x14ac:dyDescent="0.3">
      <c r="A1851" s="39">
        <v>46092.486388888887</v>
      </c>
      <c r="B1851" s="33" t="s">
        <v>42</v>
      </c>
      <c r="C1851" s="33">
        <v>31995957530</v>
      </c>
      <c r="E1851" s="33">
        <v>6</v>
      </c>
      <c r="F1851" s="33">
        <v>0</v>
      </c>
      <c r="G1851" s="33" t="s">
        <v>47</v>
      </c>
      <c r="H1851" s="33" t="s">
        <v>8402</v>
      </c>
      <c r="I1851" s="33" t="s">
        <v>46</v>
      </c>
      <c r="J1851" s="33" t="s">
        <v>40</v>
      </c>
    </row>
    <row r="1852" spans="1:11" s="33" customFormat="1" hidden="1" x14ac:dyDescent="0.3">
      <c r="A1852" s="39">
        <v>46092.486145833333</v>
      </c>
      <c r="B1852" s="33" t="s">
        <v>42</v>
      </c>
      <c r="C1852" s="33">
        <v>31995957530</v>
      </c>
      <c r="E1852" s="33">
        <v>5</v>
      </c>
      <c r="F1852" s="33">
        <v>0</v>
      </c>
      <c r="G1852" s="33" t="s">
        <v>47</v>
      </c>
      <c r="H1852" s="33" t="s">
        <v>8403</v>
      </c>
      <c r="I1852" s="33" t="s">
        <v>46</v>
      </c>
      <c r="J1852" s="33" t="s">
        <v>40</v>
      </c>
    </row>
    <row r="1853" spans="1:11" s="33" customFormat="1" hidden="1" x14ac:dyDescent="0.3">
      <c r="A1853" s="39">
        <v>46092.486076388886</v>
      </c>
      <c r="B1853" s="33" t="s">
        <v>42</v>
      </c>
      <c r="C1853" s="33">
        <v>31995957530</v>
      </c>
      <c r="E1853" s="33">
        <v>5</v>
      </c>
      <c r="F1853" s="33">
        <v>0</v>
      </c>
      <c r="G1853" s="33" t="s">
        <v>47</v>
      </c>
      <c r="H1853" s="33" t="s">
        <v>8404</v>
      </c>
      <c r="I1853" s="33" t="s">
        <v>46</v>
      </c>
      <c r="J1853" s="33" t="s">
        <v>40</v>
      </c>
    </row>
    <row r="1854" spans="1:11" s="33" customFormat="1" hidden="1" x14ac:dyDescent="0.3">
      <c r="A1854" s="39">
        <v>46092.485983796294</v>
      </c>
      <c r="B1854" s="33" t="s">
        <v>42</v>
      </c>
      <c r="C1854" s="33">
        <v>31995957530</v>
      </c>
      <c r="E1854" s="33">
        <v>6</v>
      </c>
      <c r="F1854" s="33">
        <v>0</v>
      </c>
      <c r="G1854" s="33" t="s">
        <v>47</v>
      </c>
      <c r="H1854" s="33" t="s">
        <v>8405</v>
      </c>
      <c r="I1854" s="33" t="s">
        <v>46</v>
      </c>
      <c r="J1854" s="33" t="s">
        <v>40</v>
      </c>
    </row>
    <row r="1855" spans="1:11" s="33" customFormat="1" hidden="1" x14ac:dyDescent="0.3">
      <c r="A1855" s="39">
        <v>46092.485798611109</v>
      </c>
      <c r="B1855" s="33" t="s">
        <v>42</v>
      </c>
      <c r="C1855" s="33">
        <v>31995957530</v>
      </c>
      <c r="E1855" s="33">
        <v>12</v>
      </c>
      <c r="F1855" s="33">
        <v>0</v>
      </c>
      <c r="G1855" s="33" t="s">
        <v>47</v>
      </c>
      <c r="H1855" s="33" t="s">
        <v>8406</v>
      </c>
      <c r="I1855" s="33" t="s">
        <v>46</v>
      </c>
      <c r="J1855" s="33" t="s">
        <v>40</v>
      </c>
    </row>
    <row r="1856" spans="1:11" s="33" customFormat="1" hidden="1" x14ac:dyDescent="0.3">
      <c r="A1856" s="39">
        <v>46092.485625000001</v>
      </c>
      <c r="B1856" s="33" t="s">
        <v>42</v>
      </c>
      <c r="C1856" s="33">
        <v>31995957530</v>
      </c>
      <c r="E1856" s="33">
        <v>13</v>
      </c>
      <c r="F1856" s="33">
        <v>0</v>
      </c>
      <c r="G1856" s="33" t="s">
        <v>47</v>
      </c>
      <c r="H1856" s="33" t="s">
        <v>8407</v>
      </c>
      <c r="I1856" s="33" t="s">
        <v>46</v>
      </c>
      <c r="J1856" s="33" t="s">
        <v>40</v>
      </c>
    </row>
    <row r="1857" spans="1:12" s="33" customFormat="1" hidden="1" x14ac:dyDescent="0.3">
      <c r="A1857" s="39">
        <v>46092.479872685188</v>
      </c>
      <c r="B1857" s="33">
        <v>44991069557</v>
      </c>
      <c r="C1857" s="33" t="s">
        <v>37</v>
      </c>
      <c r="D1857" s="33">
        <v>4430265054</v>
      </c>
      <c r="E1857" s="33">
        <v>641</v>
      </c>
      <c r="F1857" s="33">
        <v>622</v>
      </c>
      <c r="G1857" s="33" t="s">
        <v>38</v>
      </c>
      <c r="H1857" s="33" t="s">
        <v>8408</v>
      </c>
      <c r="I1857" s="33" t="s">
        <v>39</v>
      </c>
      <c r="J1857" s="33" t="s">
        <v>40</v>
      </c>
      <c r="K1857" s="33" t="s">
        <v>41</v>
      </c>
      <c r="L1857" s="33">
        <v>5</v>
      </c>
    </row>
    <row r="1858" spans="1:12" s="33" customFormat="1" hidden="1" x14ac:dyDescent="0.3">
      <c r="A1858" s="39">
        <v>46092.479305555556</v>
      </c>
      <c r="B1858" s="33">
        <v>43999965552</v>
      </c>
      <c r="C1858" s="33" t="s">
        <v>44</v>
      </c>
      <c r="D1858" s="33">
        <v>4430265054</v>
      </c>
      <c r="E1858" s="33">
        <v>704</v>
      </c>
      <c r="F1858" s="33">
        <v>663</v>
      </c>
      <c r="G1858" s="33" t="s">
        <v>38</v>
      </c>
      <c r="H1858" s="33" t="s">
        <v>8409</v>
      </c>
      <c r="I1858" s="33" t="s">
        <v>39</v>
      </c>
      <c r="J1858" s="33" t="s">
        <v>40</v>
      </c>
      <c r="K1858" s="33" t="s">
        <v>41</v>
      </c>
    </row>
    <row r="1859" spans="1:12" s="33" customFormat="1" hidden="1" x14ac:dyDescent="0.3">
      <c r="A1859" s="39">
        <v>46092.478888888887</v>
      </c>
      <c r="B1859" s="33">
        <v>35998295948</v>
      </c>
      <c r="C1859" s="33" t="s">
        <v>45</v>
      </c>
      <c r="D1859" s="33">
        <v>4430265054</v>
      </c>
      <c r="E1859" s="33">
        <v>450</v>
      </c>
      <c r="F1859" s="33">
        <v>392</v>
      </c>
      <c r="G1859" s="33" t="s">
        <v>38</v>
      </c>
      <c r="H1859" s="33" t="s">
        <v>8410</v>
      </c>
      <c r="I1859" s="33" t="s">
        <v>39</v>
      </c>
      <c r="J1859" s="33" t="s">
        <v>40</v>
      </c>
      <c r="K1859" s="33" t="s">
        <v>41</v>
      </c>
    </row>
    <row r="1860" spans="1:12" s="33" customFormat="1" hidden="1" x14ac:dyDescent="0.3">
      <c r="A1860" s="39">
        <v>46092.478078703702</v>
      </c>
      <c r="B1860" s="33">
        <v>44991069557</v>
      </c>
      <c r="C1860" s="33" t="s">
        <v>44</v>
      </c>
      <c r="D1860" s="33">
        <v>4430265054</v>
      </c>
      <c r="E1860" s="33">
        <v>143</v>
      </c>
      <c r="F1860" s="33">
        <v>24</v>
      </c>
      <c r="G1860" s="33" t="s">
        <v>38</v>
      </c>
      <c r="H1860" s="33" t="s">
        <v>8411</v>
      </c>
      <c r="I1860" s="33" t="s">
        <v>39</v>
      </c>
      <c r="J1860" s="33" t="s">
        <v>40</v>
      </c>
      <c r="K1860" s="33" t="s">
        <v>41</v>
      </c>
    </row>
    <row r="1861" spans="1:12" s="33" customFormat="1" hidden="1" x14ac:dyDescent="0.3">
      <c r="A1861" s="39">
        <v>46092.468229166669</v>
      </c>
      <c r="B1861" s="33">
        <v>11953265422</v>
      </c>
      <c r="C1861" s="33" t="s">
        <v>37</v>
      </c>
      <c r="D1861" s="33">
        <v>4430265054</v>
      </c>
      <c r="E1861" s="33">
        <v>461</v>
      </c>
      <c r="F1861" s="33">
        <v>378</v>
      </c>
      <c r="G1861" s="33" t="s">
        <v>38</v>
      </c>
      <c r="H1861" s="33" t="s">
        <v>8412</v>
      </c>
      <c r="I1861" s="33" t="s">
        <v>39</v>
      </c>
      <c r="J1861" s="33" t="s">
        <v>40</v>
      </c>
      <c r="K1861" s="33" t="s">
        <v>41</v>
      </c>
    </row>
    <row r="1862" spans="1:12" s="33" customFormat="1" hidden="1" x14ac:dyDescent="0.3">
      <c r="A1862" s="39">
        <v>46092.467256944445</v>
      </c>
      <c r="B1862" s="33">
        <v>4432272377</v>
      </c>
      <c r="C1862" s="33" t="s">
        <v>45</v>
      </c>
      <c r="D1862" s="33">
        <v>4430265054</v>
      </c>
      <c r="E1862" s="33">
        <v>946</v>
      </c>
      <c r="F1862" s="33">
        <v>875</v>
      </c>
      <c r="G1862" s="33" t="s">
        <v>38</v>
      </c>
      <c r="H1862" s="33" t="s">
        <v>8413</v>
      </c>
      <c r="I1862" s="33" t="s">
        <v>39</v>
      </c>
      <c r="J1862" s="33" t="s">
        <v>40</v>
      </c>
      <c r="K1862" s="33" t="s">
        <v>41</v>
      </c>
      <c r="L1862" s="33">
        <v>4</v>
      </c>
    </row>
    <row r="1863" spans="1:12" s="33" customFormat="1" hidden="1" x14ac:dyDescent="0.3">
      <c r="A1863" s="39">
        <v>46092.464861111112</v>
      </c>
      <c r="B1863" s="33">
        <v>44991069557</v>
      </c>
      <c r="C1863" s="33" t="s">
        <v>43</v>
      </c>
      <c r="D1863" s="33">
        <v>4430265054</v>
      </c>
      <c r="E1863" s="33">
        <v>654</v>
      </c>
      <c r="F1863" s="33">
        <v>614</v>
      </c>
      <c r="G1863" s="33" t="s">
        <v>38</v>
      </c>
      <c r="H1863" s="33" t="s">
        <v>8414</v>
      </c>
      <c r="I1863" s="33" t="s">
        <v>39</v>
      </c>
      <c r="J1863" s="33" t="s">
        <v>40</v>
      </c>
      <c r="K1863" s="33" t="s">
        <v>41</v>
      </c>
      <c r="L1863" s="33">
        <v>5</v>
      </c>
    </row>
    <row r="1864" spans="1:12" s="33" customFormat="1" hidden="1" x14ac:dyDescent="0.3">
      <c r="A1864" s="39">
        <v>46092.464525462965</v>
      </c>
      <c r="B1864" s="33" t="s">
        <v>3627</v>
      </c>
      <c r="C1864" s="33">
        <v>4430153305</v>
      </c>
      <c r="E1864" s="33">
        <v>1</v>
      </c>
      <c r="F1864" s="33">
        <v>0</v>
      </c>
      <c r="G1864" s="33" t="s">
        <v>47</v>
      </c>
      <c r="H1864" s="33" t="s">
        <v>8415</v>
      </c>
      <c r="I1864" s="33" t="s">
        <v>46</v>
      </c>
      <c r="J1864" s="33" t="s">
        <v>3629</v>
      </c>
    </row>
    <row r="1865" spans="1:12" s="33" customFormat="1" hidden="1" x14ac:dyDescent="0.3">
      <c r="A1865" s="39">
        <v>46092.463726851849</v>
      </c>
      <c r="B1865" s="33">
        <v>4334234629</v>
      </c>
      <c r="C1865" s="33" t="s">
        <v>44</v>
      </c>
      <c r="D1865" s="33">
        <v>4430265054</v>
      </c>
      <c r="E1865" s="33">
        <v>307</v>
      </c>
      <c r="F1865" s="33">
        <v>275</v>
      </c>
      <c r="G1865" s="33" t="s">
        <v>38</v>
      </c>
      <c r="H1865" s="33" t="s">
        <v>8416</v>
      </c>
      <c r="I1865" s="33" t="s">
        <v>39</v>
      </c>
      <c r="J1865" s="33" t="s">
        <v>40</v>
      </c>
      <c r="K1865" s="33" t="s">
        <v>41</v>
      </c>
      <c r="L1865" s="33">
        <v>4</v>
      </c>
    </row>
    <row r="1866" spans="1:12" s="33" customFormat="1" hidden="1" x14ac:dyDescent="0.3">
      <c r="A1866" s="39">
        <v>46092.460520833331</v>
      </c>
      <c r="B1866" s="33">
        <v>4330261969</v>
      </c>
      <c r="C1866" s="33" t="s">
        <v>37</v>
      </c>
      <c r="D1866" s="33">
        <v>4430265054</v>
      </c>
      <c r="E1866" s="33">
        <v>419</v>
      </c>
      <c r="F1866" s="33">
        <v>361</v>
      </c>
      <c r="G1866" s="33" t="s">
        <v>38</v>
      </c>
      <c r="H1866" s="33" t="s">
        <v>8417</v>
      </c>
      <c r="I1866" s="33" t="s">
        <v>39</v>
      </c>
      <c r="J1866" s="33" t="s">
        <v>40</v>
      </c>
      <c r="K1866" s="33" t="s">
        <v>41</v>
      </c>
    </row>
    <row r="1867" spans="1:12" s="33" customFormat="1" hidden="1" x14ac:dyDescent="0.3">
      <c r="A1867" s="39">
        <v>46092.452708333331</v>
      </c>
      <c r="B1867" s="33" t="s">
        <v>48</v>
      </c>
      <c r="C1867" s="33">
        <v>15997113760</v>
      </c>
      <c r="E1867" s="33">
        <v>1139</v>
      </c>
      <c r="F1867" s="33">
        <v>1125</v>
      </c>
      <c r="G1867" s="33" t="s">
        <v>38</v>
      </c>
      <c r="H1867" s="33" t="s">
        <v>8418</v>
      </c>
      <c r="I1867" s="33" t="s">
        <v>46</v>
      </c>
      <c r="J1867" s="33" t="s">
        <v>40</v>
      </c>
    </row>
    <row r="1868" spans="1:12" s="33" customFormat="1" hidden="1" x14ac:dyDescent="0.3">
      <c r="A1868" s="39">
        <v>46092.452627314815</v>
      </c>
      <c r="B1868" s="33" t="s">
        <v>48</v>
      </c>
      <c r="C1868" s="33">
        <v>44984241715</v>
      </c>
      <c r="E1868" s="33">
        <v>2</v>
      </c>
      <c r="F1868" s="33">
        <v>0</v>
      </c>
      <c r="G1868" s="33" t="s">
        <v>47</v>
      </c>
      <c r="H1868" s="33" t="s">
        <v>8419</v>
      </c>
      <c r="I1868" s="33" t="s">
        <v>46</v>
      </c>
      <c r="J1868" s="33" t="s">
        <v>40</v>
      </c>
    </row>
    <row r="1869" spans="1:12" s="33" customFormat="1" hidden="1" x14ac:dyDescent="0.3">
      <c r="A1869" s="39">
        <v>46092.452013888891</v>
      </c>
      <c r="B1869" s="33">
        <v>44984241715</v>
      </c>
      <c r="C1869" s="33" t="s">
        <v>37</v>
      </c>
      <c r="D1869" s="33">
        <v>4430265054</v>
      </c>
      <c r="E1869" s="33">
        <v>428</v>
      </c>
      <c r="F1869" s="33">
        <v>353</v>
      </c>
      <c r="G1869" s="33" t="s">
        <v>38</v>
      </c>
      <c r="H1869" s="33" t="s">
        <v>8420</v>
      </c>
      <c r="I1869" s="33" t="s">
        <v>39</v>
      </c>
      <c r="J1869" s="33" t="s">
        <v>40</v>
      </c>
      <c r="K1869" s="33" t="s">
        <v>41</v>
      </c>
      <c r="L1869" s="33">
        <v>5</v>
      </c>
    </row>
    <row r="1870" spans="1:12" s="33" customFormat="1" hidden="1" x14ac:dyDescent="0.3">
      <c r="A1870" s="39">
        <v>46092.451944444445</v>
      </c>
      <c r="B1870" s="33">
        <v>73982188717</v>
      </c>
      <c r="C1870" s="33" t="s">
        <v>45</v>
      </c>
      <c r="D1870" s="33">
        <v>4430265054</v>
      </c>
      <c r="E1870" s="33">
        <v>208</v>
      </c>
      <c r="F1870" s="33">
        <v>166</v>
      </c>
      <c r="G1870" s="33" t="s">
        <v>38</v>
      </c>
      <c r="H1870" s="33" t="s">
        <v>8421</v>
      </c>
      <c r="I1870" s="33" t="s">
        <v>39</v>
      </c>
      <c r="J1870" s="33" t="s">
        <v>40</v>
      </c>
      <c r="K1870" s="33" t="s">
        <v>41</v>
      </c>
    </row>
    <row r="1871" spans="1:12" s="33" customFormat="1" hidden="1" x14ac:dyDescent="0.3">
      <c r="A1871" s="39">
        <v>46092.451886574076</v>
      </c>
      <c r="B1871" s="33" t="s">
        <v>48</v>
      </c>
      <c r="C1871" s="33">
        <v>15997113760</v>
      </c>
      <c r="E1871" s="33">
        <v>40</v>
      </c>
      <c r="F1871" s="33">
        <v>0</v>
      </c>
      <c r="G1871" s="33" t="s">
        <v>47</v>
      </c>
      <c r="H1871" s="33" t="s">
        <v>8422</v>
      </c>
      <c r="I1871" s="33" t="s">
        <v>46</v>
      </c>
      <c r="J1871" s="33" t="s">
        <v>40</v>
      </c>
    </row>
    <row r="1872" spans="1:12" s="33" customFormat="1" hidden="1" x14ac:dyDescent="0.3">
      <c r="A1872" s="39">
        <v>46092.45040509259</v>
      </c>
      <c r="B1872" s="33">
        <v>4433542435</v>
      </c>
      <c r="C1872" s="33" t="s">
        <v>43</v>
      </c>
      <c r="D1872" s="33">
        <v>4430265054</v>
      </c>
      <c r="E1872" s="33">
        <v>490</v>
      </c>
      <c r="F1872" s="33">
        <v>351</v>
      </c>
      <c r="G1872" s="33" t="s">
        <v>38</v>
      </c>
      <c r="H1872" s="33" t="s">
        <v>8423</v>
      </c>
      <c r="I1872" s="33" t="s">
        <v>39</v>
      </c>
      <c r="J1872" s="33" t="s">
        <v>40</v>
      </c>
      <c r="K1872" s="33" t="s">
        <v>41</v>
      </c>
    </row>
    <row r="1873" spans="1:12" s="33" customFormat="1" hidden="1" x14ac:dyDescent="0.3">
      <c r="A1873" s="39">
        <v>46092.44394675926</v>
      </c>
      <c r="B1873" s="33">
        <v>4430191401</v>
      </c>
      <c r="C1873" s="33" t="s">
        <v>42</v>
      </c>
      <c r="D1873" s="33">
        <v>4430265054</v>
      </c>
      <c r="E1873" s="33">
        <v>325</v>
      </c>
      <c r="F1873" s="33">
        <v>282</v>
      </c>
      <c r="G1873" s="33" t="s">
        <v>38</v>
      </c>
      <c r="H1873" s="33" t="s">
        <v>8424</v>
      </c>
      <c r="I1873" s="33" t="s">
        <v>39</v>
      </c>
      <c r="J1873" s="33" t="s">
        <v>40</v>
      </c>
      <c r="K1873" s="33" t="s">
        <v>41</v>
      </c>
    </row>
    <row r="1874" spans="1:12" s="33" customFormat="1" hidden="1" x14ac:dyDescent="0.3">
      <c r="A1874" s="39">
        <v>46092.442175925928</v>
      </c>
      <c r="B1874" s="33">
        <v>83988398480</v>
      </c>
      <c r="C1874" s="33" t="s">
        <v>37</v>
      </c>
      <c r="D1874" s="33">
        <v>4430265054</v>
      </c>
      <c r="E1874" s="33">
        <v>620</v>
      </c>
      <c r="F1874" s="33">
        <v>568</v>
      </c>
      <c r="G1874" s="33" t="s">
        <v>38</v>
      </c>
      <c r="H1874" s="33" t="s">
        <v>8425</v>
      </c>
      <c r="I1874" s="33" t="s">
        <v>39</v>
      </c>
      <c r="J1874" s="33" t="s">
        <v>40</v>
      </c>
      <c r="K1874" s="33" t="s">
        <v>41</v>
      </c>
    </row>
    <row r="1875" spans="1:12" s="33" customFormat="1" hidden="1" x14ac:dyDescent="0.3">
      <c r="A1875" s="39">
        <v>46092.439664351848</v>
      </c>
      <c r="B1875" s="33" t="s">
        <v>3052</v>
      </c>
      <c r="C1875" s="33" t="s">
        <v>43</v>
      </c>
      <c r="D1875" s="33">
        <v>4430265054</v>
      </c>
      <c r="E1875" s="33">
        <v>532</v>
      </c>
      <c r="F1875" s="33">
        <v>461</v>
      </c>
      <c r="G1875" s="33" t="s">
        <v>38</v>
      </c>
      <c r="H1875" s="33" t="s">
        <v>8426</v>
      </c>
      <c r="I1875" s="33" t="s">
        <v>39</v>
      </c>
      <c r="J1875" s="33" t="s">
        <v>40</v>
      </c>
      <c r="K1875" s="33" t="s">
        <v>41</v>
      </c>
    </row>
    <row r="1876" spans="1:12" s="33" customFormat="1" hidden="1" x14ac:dyDescent="0.3">
      <c r="A1876" s="39">
        <v>46092.42591435185</v>
      </c>
      <c r="B1876" s="33">
        <v>4432672194</v>
      </c>
      <c r="C1876" s="33" t="s">
        <v>43</v>
      </c>
      <c r="D1876" s="33">
        <v>4430265054</v>
      </c>
      <c r="E1876" s="33">
        <v>415</v>
      </c>
      <c r="F1876" s="33">
        <v>395</v>
      </c>
      <c r="G1876" s="33" t="s">
        <v>38</v>
      </c>
      <c r="H1876" s="33" t="s">
        <v>8427</v>
      </c>
      <c r="I1876" s="33" t="s">
        <v>39</v>
      </c>
      <c r="J1876" s="33" t="s">
        <v>40</v>
      </c>
      <c r="K1876" s="33" t="s">
        <v>41</v>
      </c>
    </row>
    <row r="1877" spans="1:12" s="33" customFormat="1" hidden="1" x14ac:dyDescent="0.3">
      <c r="A1877" s="39">
        <v>46092.424097222225</v>
      </c>
      <c r="B1877" s="33">
        <v>4434239353</v>
      </c>
      <c r="C1877" s="33" t="s">
        <v>45</v>
      </c>
      <c r="D1877" s="33">
        <v>4430265054</v>
      </c>
      <c r="E1877" s="33">
        <v>378</v>
      </c>
      <c r="F1877" s="33">
        <v>351</v>
      </c>
      <c r="G1877" s="33" t="s">
        <v>38</v>
      </c>
      <c r="H1877" s="33" t="s">
        <v>8428</v>
      </c>
      <c r="I1877" s="33" t="s">
        <v>39</v>
      </c>
      <c r="J1877" s="33" t="s">
        <v>40</v>
      </c>
      <c r="K1877" s="33" t="s">
        <v>41</v>
      </c>
    </row>
    <row r="1878" spans="1:12" s="33" customFormat="1" hidden="1" x14ac:dyDescent="0.3">
      <c r="A1878" s="39">
        <v>46092.423530092594</v>
      </c>
      <c r="B1878" s="33">
        <v>44998266194</v>
      </c>
      <c r="C1878" s="33" t="s">
        <v>42</v>
      </c>
      <c r="D1878" s="33">
        <v>4431268225</v>
      </c>
      <c r="E1878" s="33">
        <v>892</v>
      </c>
      <c r="F1878" s="33">
        <v>810</v>
      </c>
      <c r="G1878" s="33" t="s">
        <v>38</v>
      </c>
      <c r="H1878" s="33" t="s">
        <v>8429</v>
      </c>
      <c r="I1878" s="33" t="s">
        <v>39</v>
      </c>
      <c r="J1878" s="33" t="s">
        <v>40</v>
      </c>
      <c r="K1878" s="33" t="s">
        <v>41</v>
      </c>
    </row>
    <row r="1879" spans="1:12" s="33" customFormat="1" hidden="1" x14ac:dyDescent="0.3">
      <c r="A1879" s="39">
        <v>46092.423333333332</v>
      </c>
      <c r="B1879" s="33">
        <v>67999627692</v>
      </c>
      <c r="C1879" s="33" t="s">
        <v>37</v>
      </c>
      <c r="D1879" s="33">
        <v>4430265054</v>
      </c>
      <c r="E1879" s="33">
        <v>1500</v>
      </c>
      <c r="F1879" s="33">
        <v>1418</v>
      </c>
      <c r="G1879" s="33" t="s">
        <v>38</v>
      </c>
      <c r="H1879" s="33" t="s">
        <v>8430</v>
      </c>
      <c r="I1879" s="33" t="s">
        <v>39</v>
      </c>
      <c r="J1879" s="33" t="s">
        <v>40</v>
      </c>
      <c r="K1879" s="33" t="s">
        <v>41</v>
      </c>
    </row>
    <row r="1880" spans="1:12" s="33" customFormat="1" hidden="1" x14ac:dyDescent="0.3">
      <c r="A1880" s="39">
        <v>46092.419699074075</v>
      </c>
      <c r="B1880" s="33">
        <v>67992169496</v>
      </c>
      <c r="C1880" s="33" t="s">
        <v>43</v>
      </c>
      <c r="D1880" s="33">
        <v>4430265054</v>
      </c>
      <c r="E1880" s="33">
        <v>38</v>
      </c>
      <c r="F1880" s="33">
        <v>28</v>
      </c>
      <c r="G1880" s="33" t="s">
        <v>38</v>
      </c>
      <c r="H1880" s="33" t="s">
        <v>8431</v>
      </c>
      <c r="I1880" s="33" t="s">
        <v>39</v>
      </c>
      <c r="J1880" s="33" t="s">
        <v>40</v>
      </c>
      <c r="K1880" s="33" t="s">
        <v>41</v>
      </c>
    </row>
    <row r="1881" spans="1:12" s="33" customFormat="1" hidden="1" x14ac:dyDescent="0.3">
      <c r="A1881" s="39">
        <v>46092.417349537034</v>
      </c>
      <c r="B1881" s="33" t="s">
        <v>3052</v>
      </c>
      <c r="C1881" s="33" t="s">
        <v>44</v>
      </c>
      <c r="D1881" s="33">
        <v>4430265054</v>
      </c>
      <c r="E1881" s="33">
        <v>509</v>
      </c>
      <c r="F1881" s="33">
        <v>377</v>
      </c>
      <c r="G1881" s="33" t="s">
        <v>38</v>
      </c>
      <c r="H1881" s="33" t="s">
        <v>8432</v>
      </c>
      <c r="I1881" s="33" t="s">
        <v>39</v>
      </c>
      <c r="J1881" s="33" t="s">
        <v>40</v>
      </c>
      <c r="K1881" s="33" t="s">
        <v>41</v>
      </c>
    </row>
    <row r="1882" spans="1:12" s="33" customFormat="1" hidden="1" x14ac:dyDescent="0.3">
      <c r="A1882" s="39">
        <v>46092.416770833333</v>
      </c>
      <c r="B1882" s="33">
        <v>4432520077</v>
      </c>
      <c r="C1882" s="33" t="s">
        <v>37</v>
      </c>
      <c r="D1882" s="33">
        <v>4430265054</v>
      </c>
      <c r="E1882" s="33">
        <v>341</v>
      </c>
      <c r="F1882" s="33">
        <v>304</v>
      </c>
      <c r="G1882" s="33" t="s">
        <v>38</v>
      </c>
      <c r="H1882" s="33" t="s">
        <v>8433</v>
      </c>
      <c r="I1882" s="33" t="s">
        <v>39</v>
      </c>
      <c r="J1882" s="33" t="s">
        <v>40</v>
      </c>
      <c r="K1882" s="33" t="s">
        <v>41</v>
      </c>
    </row>
    <row r="1883" spans="1:12" s="33" customFormat="1" hidden="1" x14ac:dyDescent="0.3">
      <c r="A1883" s="39">
        <v>46092.411782407406</v>
      </c>
      <c r="B1883" s="33">
        <v>4430450103</v>
      </c>
      <c r="C1883" s="33" t="s">
        <v>45</v>
      </c>
      <c r="D1883" s="33">
        <v>4430265054</v>
      </c>
      <c r="E1883" s="33">
        <v>787</v>
      </c>
      <c r="F1883" s="33">
        <v>757</v>
      </c>
      <c r="G1883" s="33" t="s">
        <v>38</v>
      </c>
      <c r="H1883" s="33" t="s">
        <v>8434</v>
      </c>
      <c r="I1883" s="33" t="s">
        <v>39</v>
      </c>
      <c r="J1883" s="33" t="s">
        <v>40</v>
      </c>
      <c r="K1883" s="33" t="s">
        <v>41</v>
      </c>
      <c r="L1883" s="33">
        <v>5</v>
      </c>
    </row>
    <row r="1884" spans="1:12" s="33" customFormat="1" hidden="1" x14ac:dyDescent="0.3">
      <c r="A1884" s="39">
        <v>46092.410995370374</v>
      </c>
      <c r="B1884" s="33">
        <v>44991284259</v>
      </c>
      <c r="C1884" s="33" t="s">
        <v>42</v>
      </c>
      <c r="D1884" s="33">
        <v>4430265054</v>
      </c>
      <c r="E1884" s="33">
        <v>308</v>
      </c>
      <c r="F1884" s="33">
        <v>277</v>
      </c>
      <c r="G1884" s="33" t="s">
        <v>38</v>
      </c>
      <c r="H1884" s="33" t="s">
        <v>8435</v>
      </c>
      <c r="I1884" s="33" t="s">
        <v>39</v>
      </c>
      <c r="J1884" s="33" t="s">
        <v>40</v>
      </c>
      <c r="K1884" s="33" t="s">
        <v>41</v>
      </c>
    </row>
    <row r="1885" spans="1:12" s="33" customFormat="1" hidden="1" x14ac:dyDescent="0.3">
      <c r="A1885" s="39">
        <v>46092.410104166665</v>
      </c>
      <c r="B1885" s="33">
        <v>12997346335</v>
      </c>
      <c r="C1885" s="33" t="s">
        <v>43</v>
      </c>
      <c r="D1885" s="33">
        <v>4430265054</v>
      </c>
      <c r="E1885" s="33">
        <v>572</v>
      </c>
      <c r="F1885" s="33">
        <v>486</v>
      </c>
      <c r="G1885" s="33" t="s">
        <v>38</v>
      </c>
      <c r="H1885" s="33" t="s">
        <v>8436</v>
      </c>
      <c r="I1885" s="33" t="s">
        <v>39</v>
      </c>
      <c r="J1885" s="33" t="s">
        <v>40</v>
      </c>
      <c r="K1885" s="33" t="s">
        <v>41</v>
      </c>
      <c r="L1885" s="33">
        <v>5</v>
      </c>
    </row>
    <row r="1886" spans="1:12" s="33" customFormat="1" hidden="1" x14ac:dyDescent="0.3">
      <c r="A1886" s="39">
        <v>46092.405694444446</v>
      </c>
      <c r="B1886" s="33">
        <v>4430145172</v>
      </c>
      <c r="C1886" s="33" t="s">
        <v>45</v>
      </c>
      <c r="D1886" s="33">
        <v>4430265054</v>
      </c>
      <c r="E1886" s="33">
        <v>272</v>
      </c>
      <c r="F1886" s="33">
        <v>238</v>
      </c>
      <c r="G1886" s="33" t="s">
        <v>38</v>
      </c>
      <c r="H1886" s="33" t="s">
        <v>8437</v>
      </c>
      <c r="I1886" s="33" t="s">
        <v>39</v>
      </c>
      <c r="J1886" s="33" t="s">
        <v>40</v>
      </c>
      <c r="K1886" s="33" t="s">
        <v>41</v>
      </c>
    </row>
    <row r="1887" spans="1:12" s="33" customFormat="1" hidden="1" x14ac:dyDescent="0.3">
      <c r="A1887" s="39">
        <v>46092.402430555558</v>
      </c>
      <c r="B1887" s="33">
        <v>93991495484</v>
      </c>
      <c r="C1887" s="33" t="s">
        <v>44</v>
      </c>
      <c r="D1887" s="33">
        <v>4430265054</v>
      </c>
      <c r="E1887" s="33">
        <v>1161</v>
      </c>
      <c r="F1887" s="33">
        <v>1110</v>
      </c>
      <c r="G1887" s="33" t="s">
        <v>38</v>
      </c>
      <c r="H1887" s="33" t="s">
        <v>8438</v>
      </c>
      <c r="I1887" s="33" t="s">
        <v>39</v>
      </c>
      <c r="J1887" s="33" t="s">
        <v>40</v>
      </c>
      <c r="K1887" s="33" t="s">
        <v>41</v>
      </c>
      <c r="L1887" s="33">
        <v>5</v>
      </c>
    </row>
    <row r="1888" spans="1:12" s="33" customFormat="1" hidden="1" x14ac:dyDescent="0.3">
      <c r="A1888" s="39">
        <v>46092.396458333336</v>
      </c>
      <c r="B1888" s="33">
        <v>4337713131</v>
      </c>
      <c r="C1888" s="33">
        <v>4430265054</v>
      </c>
      <c r="D1888" s="33">
        <v>4430265054</v>
      </c>
      <c r="E1888" s="33">
        <v>25</v>
      </c>
      <c r="F1888" s="33">
        <v>24</v>
      </c>
      <c r="G1888" s="33" t="s">
        <v>3449</v>
      </c>
      <c r="H1888" s="33" t="s">
        <v>8439</v>
      </c>
      <c r="I1888" s="33" t="s">
        <v>39</v>
      </c>
      <c r="J1888" s="33" t="s">
        <v>3451</v>
      </c>
    </row>
    <row r="1889" spans="1:12" s="33" customFormat="1" hidden="1" x14ac:dyDescent="0.3">
      <c r="A1889" s="39">
        <v>46092.390104166669</v>
      </c>
      <c r="B1889" s="33">
        <v>4430291622</v>
      </c>
      <c r="C1889" s="33" t="s">
        <v>45</v>
      </c>
      <c r="D1889" s="33">
        <v>4430265054</v>
      </c>
      <c r="E1889" s="33">
        <v>421</v>
      </c>
      <c r="F1889" s="33">
        <v>384</v>
      </c>
      <c r="G1889" s="33" t="s">
        <v>38</v>
      </c>
      <c r="H1889" s="33" t="s">
        <v>8440</v>
      </c>
      <c r="I1889" s="33" t="s">
        <v>39</v>
      </c>
      <c r="J1889" s="33" t="s">
        <v>40</v>
      </c>
      <c r="K1889" s="33" t="s">
        <v>41</v>
      </c>
      <c r="L1889" s="33">
        <v>5</v>
      </c>
    </row>
    <row r="1890" spans="1:12" s="33" customFormat="1" hidden="1" x14ac:dyDescent="0.3">
      <c r="A1890" s="39">
        <v>46092.390034722222</v>
      </c>
      <c r="B1890" s="33">
        <v>35998295948</v>
      </c>
      <c r="C1890" s="33" t="s">
        <v>43</v>
      </c>
      <c r="D1890" s="33">
        <v>4430265054</v>
      </c>
      <c r="E1890" s="33">
        <v>210</v>
      </c>
      <c r="F1890" s="33">
        <v>175</v>
      </c>
      <c r="G1890" s="33" t="s">
        <v>38</v>
      </c>
      <c r="H1890" s="33" t="s">
        <v>8441</v>
      </c>
      <c r="I1890" s="33" t="s">
        <v>39</v>
      </c>
      <c r="J1890" s="33" t="s">
        <v>40</v>
      </c>
      <c r="K1890" s="33" t="s">
        <v>41</v>
      </c>
    </row>
    <row r="1891" spans="1:12" s="33" customFormat="1" hidden="1" x14ac:dyDescent="0.3">
      <c r="A1891" s="39">
        <v>46092.385474537034</v>
      </c>
      <c r="B1891" s="33">
        <v>44999844110</v>
      </c>
      <c r="C1891" s="33" t="s">
        <v>45</v>
      </c>
      <c r="D1891" s="33">
        <v>4431268225</v>
      </c>
      <c r="E1891" s="33">
        <v>221</v>
      </c>
      <c r="F1891" s="33">
        <v>170</v>
      </c>
      <c r="G1891" s="33" t="s">
        <v>38</v>
      </c>
      <c r="H1891" s="33" t="s">
        <v>8442</v>
      </c>
      <c r="I1891" s="33" t="s">
        <v>39</v>
      </c>
      <c r="J1891" s="33" t="s">
        <v>40</v>
      </c>
      <c r="K1891" s="33" t="s">
        <v>41</v>
      </c>
    </row>
    <row r="1892" spans="1:12" s="33" customFormat="1" hidden="1" x14ac:dyDescent="0.3">
      <c r="A1892" s="39">
        <v>46092.382557870369</v>
      </c>
      <c r="B1892" s="33" t="s">
        <v>45</v>
      </c>
      <c r="C1892" s="33">
        <v>44999844110</v>
      </c>
      <c r="E1892" s="33">
        <v>59</v>
      </c>
      <c r="F1892" s="33">
        <v>35</v>
      </c>
      <c r="G1892" s="33" t="s">
        <v>38</v>
      </c>
      <c r="H1892" s="33" t="s">
        <v>8443</v>
      </c>
      <c r="I1892" s="33" t="s">
        <v>46</v>
      </c>
      <c r="J1892" s="33" t="s">
        <v>40</v>
      </c>
    </row>
    <row r="1893" spans="1:12" s="33" customFormat="1" hidden="1" x14ac:dyDescent="0.3">
      <c r="A1893" s="39">
        <v>46092.381851851853</v>
      </c>
      <c r="B1893" s="33" t="s">
        <v>45</v>
      </c>
      <c r="C1893" s="33">
        <v>44999844110</v>
      </c>
      <c r="E1893" s="33">
        <v>59</v>
      </c>
      <c r="F1893" s="33">
        <v>38</v>
      </c>
      <c r="G1893" s="33" t="s">
        <v>38</v>
      </c>
      <c r="H1893" s="33" t="s">
        <v>8444</v>
      </c>
      <c r="I1893" s="33" t="s">
        <v>46</v>
      </c>
      <c r="J1893" s="33" t="s">
        <v>40</v>
      </c>
    </row>
    <row r="1894" spans="1:12" s="33" customFormat="1" hidden="1" x14ac:dyDescent="0.3">
      <c r="A1894" s="39">
        <v>46092.381377314814</v>
      </c>
      <c r="B1894" s="33">
        <v>4430273523</v>
      </c>
      <c r="C1894" s="33">
        <v>4430265054</v>
      </c>
      <c r="D1894" s="33">
        <v>4430265054</v>
      </c>
      <c r="E1894" s="33">
        <v>37</v>
      </c>
      <c r="F1894" s="33">
        <v>36</v>
      </c>
      <c r="G1894" s="33" t="s">
        <v>3449</v>
      </c>
      <c r="H1894" s="33" t="s">
        <v>8445</v>
      </c>
      <c r="I1894" s="33" t="s">
        <v>39</v>
      </c>
      <c r="J1894" s="33" t="s">
        <v>3451</v>
      </c>
      <c r="K1894" s="33" t="s">
        <v>41</v>
      </c>
    </row>
    <row r="1895" spans="1:12" s="33" customFormat="1" hidden="1" x14ac:dyDescent="0.3">
      <c r="A1895" s="39">
        <v>46092.378148148149</v>
      </c>
      <c r="B1895" s="33">
        <v>35998295948</v>
      </c>
      <c r="C1895" s="33" t="s">
        <v>44</v>
      </c>
      <c r="D1895" s="33">
        <v>4430265054</v>
      </c>
      <c r="E1895" s="33">
        <v>643</v>
      </c>
      <c r="F1895" s="33">
        <v>601</v>
      </c>
      <c r="G1895" s="33" t="s">
        <v>38</v>
      </c>
      <c r="H1895" s="33" t="s">
        <v>8446</v>
      </c>
      <c r="I1895" s="33" t="s">
        <v>39</v>
      </c>
      <c r="J1895" s="33" t="s">
        <v>40</v>
      </c>
      <c r="K1895" s="33" t="s">
        <v>41</v>
      </c>
    </row>
    <row r="1896" spans="1:12" s="33" customFormat="1" hidden="1" x14ac:dyDescent="0.3">
      <c r="A1896" s="39">
        <v>46092.374305555553</v>
      </c>
      <c r="B1896" s="33">
        <v>12981700386</v>
      </c>
      <c r="C1896" s="33" t="s">
        <v>37</v>
      </c>
      <c r="D1896" s="33">
        <v>4430265054</v>
      </c>
      <c r="E1896" s="33">
        <v>612</v>
      </c>
      <c r="F1896" s="33">
        <v>454</v>
      </c>
      <c r="G1896" s="33" t="s">
        <v>38</v>
      </c>
      <c r="H1896" s="33" t="s">
        <v>8447</v>
      </c>
      <c r="I1896" s="33" t="s">
        <v>39</v>
      </c>
      <c r="J1896" s="33" t="s">
        <v>40</v>
      </c>
      <c r="K1896" s="33" t="s">
        <v>41</v>
      </c>
    </row>
    <row r="1897" spans="1:12" s="33" customFormat="1" hidden="1" x14ac:dyDescent="0.3">
      <c r="A1897" s="39">
        <v>46092.37195601852</v>
      </c>
      <c r="B1897" s="33">
        <v>1438160351</v>
      </c>
      <c r="C1897" s="33">
        <v>4430265054</v>
      </c>
      <c r="D1897" s="33">
        <v>4430265054</v>
      </c>
      <c r="E1897" s="33">
        <v>8</v>
      </c>
      <c r="F1897" s="33">
        <v>7</v>
      </c>
      <c r="G1897" s="33" t="s">
        <v>3449</v>
      </c>
      <c r="H1897" s="33" t="s">
        <v>8448</v>
      </c>
      <c r="I1897" s="33" t="s">
        <v>39</v>
      </c>
      <c r="J1897" s="33" t="s">
        <v>3451</v>
      </c>
    </row>
    <row r="1898" spans="1:12" s="33" customFormat="1" hidden="1" x14ac:dyDescent="0.3">
      <c r="A1898" s="39">
        <v>46092.371504629627</v>
      </c>
      <c r="B1898" s="33">
        <v>44997687156</v>
      </c>
      <c r="C1898" s="33" t="s">
        <v>44</v>
      </c>
      <c r="D1898" s="33">
        <v>4430265054</v>
      </c>
      <c r="E1898" s="33">
        <v>467</v>
      </c>
      <c r="F1898" s="33">
        <v>376</v>
      </c>
      <c r="G1898" s="33" t="s">
        <v>38</v>
      </c>
      <c r="H1898" s="33" t="s">
        <v>8449</v>
      </c>
      <c r="I1898" s="33" t="s">
        <v>39</v>
      </c>
      <c r="J1898" s="33" t="s">
        <v>40</v>
      </c>
      <c r="K1898" s="33" t="s">
        <v>41</v>
      </c>
    </row>
    <row r="1899" spans="1:12" s="33" customFormat="1" hidden="1" x14ac:dyDescent="0.3">
      <c r="A1899" s="39">
        <v>46092.370243055557</v>
      </c>
      <c r="B1899" s="33">
        <v>4432541200</v>
      </c>
      <c r="C1899" s="33" t="s">
        <v>45</v>
      </c>
      <c r="D1899" s="33">
        <v>4430265054</v>
      </c>
      <c r="E1899" s="33">
        <v>713</v>
      </c>
      <c r="F1899" s="33">
        <v>681</v>
      </c>
      <c r="G1899" s="33" t="s">
        <v>38</v>
      </c>
      <c r="H1899" s="33" t="s">
        <v>8450</v>
      </c>
      <c r="I1899" s="33" t="s">
        <v>39</v>
      </c>
      <c r="J1899" s="33" t="s">
        <v>40</v>
      </c>
      <c r="K1899" s="33" t="s">
        <v>41</v>
      </c>
      <c r="L1899" s="33">
        <v>5</v>
      </c>
    </row>
    <row r="1900" spans="1:12" s="33" customFormat="1" hidden="1" x14ac:dyDescent="0.3">
      <c r="A1900" s="39">
        <v>46092.367222222223</v>
      </c>
      <c r="B1900" s="33">
        <v>35998295948</v>
      </c>
      <c r="C1900" s="33" t="s">
        <v>37</v>
      </c>
      <c r="D1900" s="33">
        <v>4430265054</v>
      </c>
      <c r="E1900" s="33">
        <v>481</v>
      </c>
      <c r="F1900" s="33">
        <v>421</v>
      </c>
      <c r="G1900" s="33" t="s">
        <v>38</v>
      </c>
      <c r="H1900" s="33" t="s">
        <v>8451</v>
      </c>
      <c r="I1900" s="33" t="s">
        <v>39</v>
      </c>
      <c r="J1900" s="33" t="s">
        <v>40</v>
      </c>
      <c r="K1900" s="33" t="s">
        <v>41</v>
      </c>
      <c r="L1900" s="33">
        <v>5</v>
      </c>
    </row>
    <row r="1901" spans="1:12" s="33" customFormat="1" hidden="1" x14ac:dyDescent="0.3">
      <c r="A1901" s="39">
        <v>46092.362824074073</v>
      </c>
      <c r="B1901" s="33">
        <v>44991249108</v>
      </c>
      <c r="C1901" s="33" t="s">
        <v>37</v>
      </c>
      <c r="D1901" s="33">
        <v>4430265054</v>
      </c>
      <c r="E1901" s="33">
        <v>162</v>
      </c>
      <c r="F1901" s="33">
        <v>102</v>
      </c>
      <c r="G1901" s="33" t="s">
        <v>38</v>
      </c>
      <c r="H1901" s="33" t="s">
        <v>8452</v>
      </c>
      <c r="I1901" s="33" t="s">
        <v>39</v>
      </c>
      <c r="J1901" s="33" t="s">
        <v>40</v>
      </c>
      <c r="K1901" s="33" t="s">
        <v>41</v>
      </c>
      <c r="L1901" s="33">
        <v>5</v>
      </c>
    </row>
    <row r="1902" spans="1:12" s="33" customFormat="1" hidden="1" x14ac:dyDescent="0.3">
      <c r="A1902" s="39">
        <v>46092.359849537039</v>
      </c>
      <c r="B1902" s="33">
        <v>4430282545</v>
      </c>
      <c r="C1902" s="33" t="s">
        <v>43</v>
      </c>
      <c r="D1902" s="33">
        <v>4430265054</v>
      </c>
      <c r="E1902" s="33">
        <v>310</v>
      </c>
      <c r="F1902" s="33">
        <v>254</v>
      </c>
      <c r="G1902" s="33" t="s">
        <v>38</v>
      </c>
      <c r="H1902" s="33" t="s">
        <v>8453</v>
      </c>
      <c r="I1902" s="33" t="s">
        <v>39</v>
      </c>
      <c r="J1902" s="33" t="s">
        <v>40</v>
      </c>
      <c r="K1902" s="33" t="s">
        <v>41</v>
      </c>
    </row>
    <row r="1903" spans="1:12" s="33" customFormat="1" hidden="1" x14ac:dyDescent="0.3">
      <c r="A1903" s="39">
        <v>46092.356724537036</v>
      </c>
      <c r="B1903" s="33">
        <v>44999844110</v>
      </c>
      <c r="C1903" s="33" t="s">
        <v>45</v>
      </c>
      <c r="D1903" s="33">
        <v>4430265054</v>
      </c>
      <c r="E1903" s="33">
        <v>750</v>
      </c>
      <c r="F1903" s="33">
        <v>690</v>
      </c>
      <c r="G1903" s="33" t="s">
        <v>38</v>
      </c>
      <c r="H1903" s="33" t="s">
        <v>8454</v>
      </c>
      <c r="I1903" s="33" t="s">
        <v>39</v>
      </c>
      <c r="J1903" s="33" t="s">
        <v>40</v>
      </c>
      <c r="K1903" s="33" t="s">
        <v>41</v>
      </c>
    </row>
    <row r="1904" spans="1:12" s="33" customFormat="1" hidden="1" x14ac:dyDescent="0.3">
      <c r="A1904" s="39">
        <v>46092.345312500001</v>
      </c>
      <c r="B1904" s="33" t="s">
        <v>45</v>
      </c>
      <c r="C1904" s="33">
        <v>4130263118</v>
      </c>
      <c r="E1904" s="33">
        <v>697</v>
      </c>
      <c r="F1904" s="33">
        <v>689</v>
      </c>
      <c r="G1904" s="33" t="s">
        <v>38</v>
      </c>
      <c r="H1904" s="33" t="s">
        <v>8455</v>
      </c>
      <c r="I1904" s="33" t="s">
        <v>46</v>
      </c>
      <c r="J1904" s="33" t="s">
        <v>40</v>
      </c>
    </row>
    <row r="1905" spans="1:12" s="33" customFormat="1" hidden="1" x14ac:dyDescent="0.3">
      <c r="A1905" s="39">
        <v>46092.342893518522</v>
      </c>
      <c r="B1905" s="33">
        <v>44999844110</v>
      </c>
      <c r="C1905" s="33">
        <v>4430265054</v>
      </c>
      <c r="D1905" s="33">
        <v>4430265054</v>
      </c>
      <c r="E1905" s="33">
        <v>11</v>
      </c>
      <c r="F1905" s="33">
        <v>10</v>
      </c>
      <c r="G1905" s="33" t="s">
        <v>3449</v>
      </c>
      <c r="H1905" s="33" t="s">
        <v>8456</v>
      </c>
      <c r="I1905" s="33" t="s">
        <v>39</v>
      </c>
      <c r="J1905" s="33" t="s">
        <v>3451</v>
      </c>
    </row>
    <row r="1906" spans="1:12" s="33" customFormat="1" hidden="1" x14ac:dyDescent="0.3">
      <c r="A1906" s="39">
        <v>46092.336157407408</v>
      </c>
      <c r="B1906" s="33">
        <v>4430282545</v>
      </c>
      <c r="C1906" s="33">
        <v>4430265054</v>
      </c>
      <c r="D1906" s="33">
        <v>4430265054</v>
      </c>
      <c r="E1906" s="33">
        <v>13</v>
      </c>
      <c r="F1906" s="33">
        <v>12</v>
      </c>
      <c r="G1906" s="33" t="s">
        <v>3449</v>
      </c>
      <c r="H1906" s="33" t="s">
        <v>8457</v>
      </c>
      <c r="I1906" s="33" t="s">
        <v>39</v>
      </c>
      <c r="J1906" s="33" t="s">
        <v>3451</v>
      </c>
    </row>
    <row r="1907" spans="1:12" s="33" customFormat="1" hidden="1" x14ac:dyDescent="0.3">
      <c r="A1907" s="39">
        <v>46091.747800925928</v>
      </c>
      <c r="B1907" s="33">
        <v>1128897100</v>
      </c>
      <c r="C1907" s="33" t="s">
        <v>5173</v>
      </c>
      <c r="D1907" s="33">
        <v>4430265054</v>
      </c>
      <c r="E1907" s="33">
        <v>113</v>
      </c>
      <c r="F1907" s="33">
        <v>92</v>
      </c>
      <c r="G1907" s="33" t="s">
        <v>38</v>
      </c>
      <c r="H1907" s="33" t="s">
        <v>8458</v>
      </c>
      <c r="I1907" s="33" t="s">
        <v>39</v>
      </c>
      <c r="J1907" s="33" t="s">
        <v>3629</v>
      </c>
      <c r="K1907" s="33" t="s">
        <v>50</v>
      </c>
    </row>
    <row r="1908" spans="1:12" s="33" customFormat="1" hidden="1" x14ac:dyDescent="0.3">
      <c r="A1908" s="39">
        <v>46091.736562500002</v>
      </c>
      <c r="B1908" s="33">
        <v>44997687156</v>
      </c>
      <c r="C1908" s="33" t="s">
        <v>44</v>
      </c>
      <c r="D1908" s="33">
        <v>4430265054</v>
      </c>
      <c r="E1908" s="33">
        <v>576</v>
      </c>
      <c r="F1908" s="33">
        <v>512</v>
      </c>
      <c r="G1908" s="33" t="s">
        <v>38</v>
      </c>
      <c r="H1908" s="33" t="s">
        <v>8459</v>
      </c>
      <c r="I1908" s="33" t="s">
        <v>39</v>
      </c>
      <c r="J1908" s="33" t="s">
        <v>40</v>
      </c>
      <c r="K1908" s="33" t="s">
        <v>41</v>
      </c>
    </row>
    <row r="1909" spans="1:12" s="33" customFormat="1" hidden="1" x14ac:dyDescent="0.3">
      <c r="A1909" s="39">
        <v>46091.711400462962</v>
      </c>
      <c r="B1909" s="33">
        <v>4532541802</v>
      </c>
      <c r="C1909" s="33" t="s">
        <v>43</v>
      </c>
      <c r="D1909" s="33">
        <v>4430265054</v>
      </c>
      <c r="E1909" s="33">
        <v>2023</v>
      </c>
      <c r="F1909" s="33">
        <v>1959</v>
      </c>
      <c r="G1909" s="33" t="s">
        <v>38</v>
      </c>
      <c r="H1909" s="33" t="s">
        <v>8460</v>
      </c>
      <c r="I1909" s="33" t="s">
        <v>39</v>
      </c>
      <c r="J1909" s="33" t="s">
        <v>40</v>
      </c>
      <c r="K1909" s="33" t="s">
        <v>41</v>
      </c>
    </row>
    <row r="1910" spans="1:12" s="33" customFormat="1" hidden="1" x14ac:dyDescent="0.3">
      <c r="A1910" s="39">
        <v>46091.70689814815</v>
      </c>
      <c r="B1910" s="33" t="s">
        <v>45</v>
      </c>
      <c r="C1910" s="33">
        <v>62994086124</v>
      </c>
      <c r="E1910" s="33">
        <v>59</v>
      </c>
      <c r="F1910" s="33">
        <v>45</v>
      </c>
      <c r="G1910" s="33" t="s">
        <v>38</v>
      </c>
      <c r="H1910" s="33" t="s">
        <v>8461</v>
      </c>
      <c r="I1910" s="33" t="s">
        <v>46</v>
      </c>
      <c r="J1910" s="33" t="s">
        <v>40</v>
      </c>
    </row>
    <row r="1911" spans="1:12" s="33" customFormat="1" hidden="1" x14ac:dyDescent="0.3">
      <c r="A1911" s="39">
        <v>46091.70684027778</v>
      </c>
      <c r="B1911" s="33" t="s">
        <v>43</v>
      </c>
      <c r="C1911" s="33">
        <v>42998221810</v>
      </c>
      <c r="E1911" s="33">
        <v>203</v>
      </c>
      <c r="F1911" s="33">
        <v>185</v>
      </c>
      <c r="G1911" s="33" t="s">
        <v>38</v>
      </c>
      <c r="H1911" s="33" t="s">
        <v>8462</v>
      </c>
      <c r="I1911" s="33" t="s">
        <v>46</v>
      </c>
      <c r="J1911" s="33" t="s">
        <v>40</v>
      </c>
    </row>
    <row r="1912" spans="1:12" s="33" customFormat="1" hidden="1" x14ac:dyDescent="0.3">
      <c r="A1912" s="39">
        <v>46091.70417824074</v>
      </c>
      <c r="B1912" s="33">
        <v>4435226025</v>
      </c>
      <c r="C1912" s="33" t="s">
        <v>37</v>
      </c>
      <c r="D1912" s="33">
        <v>4430265054</v>
      </c>
      <c r="E1912" s="33">
        <v>523</v>
      </c>
      <c r="F1912" s="33">
        <v>485</v>
      </c>
      <c r="G1912" s="33" t="s">
        <v>38</v>
      </c>
      <c r="H1912" s="33" t="s">
        <v>8463</v>
      </c>
      <c r="I1912" s="33" t="s">
        <v>39</v>
      </c>
      <c r="J1912" s="33" t="s">
        <v>40</v>
      </c>
      <c r="K1912" s="33" t="s">
        <v>41</v>
      </c>
    </row>
    <row r="1913" spans="1:12" s="33" customFormat="1" hidden="1" x14ac:dyDescent="0.3">
      <c r="A1913" s="39">
        <v>46091.699259259258</v>
      </c>
      <c r="B1913" s="33" t="s">
        <v>43</v>
      </c>
      <c r="C1913" s="33">
        <v>42998221810</v>
      </c>
      <c r="E1913" s="33">
        <v>238</v>
      </c>
      <c r="F1913" s="33">
        <v>218</v>
      </c>
      <c r="G1913" s="33" t="s">
        <v>38</v>
      </c>
      <c r="H1913" s="33" t="s">
        <v>8464</v>
      </c>
      <c r="I1913" s="33" t="s">
        <v>46</v>
      </c>
      <c r="J1913" s="33" t="s">
        <v>40</v>
      </c>
    </row>
    <row r="1914" spans="1:12" s="33" customFormat="1" hidden="1" x14ac:dyDescent="0.3">
      <c r="A1914" s="39">
        <v>46091.686608796299</v>
      </c>
      <c r="B1914" s="33">
        <v>4430284942</v>
      </c>
      <c r="C1914" s="33" t="s">
        <v>44</v>
      </c>
      <c r="D1914" s="33">
        <v>4430265054</v>
      </c>
      <c r="E1914" s="33">
        <v>307</v>
      </c>
      <c r="F1914" s="33">
        <v>273</v>
      </c>
      <c r="G1914" s="33" t="s">
        <v>38</v>
      </c>
      <c r="H1914" s="33" t="s">
        <v>8465</v>
      </c>
      <c r="I1914" s="33" t="s">
        <v>39</v>
      </c>
      <c r="J1914" s="33" t="s">
        <v>40</v>
      </c>
      <c r="K1914" s="33" t="s">
        <v>41</v>
      </c>
    </row>
    <row r="1915" spans="1:12" s="33" customFormat="1" hidden="1" x14ac:dyDescent="0.3">
      <c r="A1915" s="39">
        <v>46091.685972222222</v>
      </c>
      <c r="B1915" s="33">
        <v>4432269849</v>
      </c>
      <c r="C1915" s="33" t="s">
        <v>43</v>
      </c>
      <c r="D1915" s="33">
        <v>4430265054</v>
      </c>
      <c r="E1915" s="33">
        <v>453</v>
      </c>
      <c r="F1915" s="33">
        <v>410</v>
      </c>
      <c r="G1915" s="33" t="s">
        <v>38</v>
      </c>
      <c r="H1915" s="33" t="s">
        <v>8466</v>
      </c>
      <c r="I1915" s="33" t="s">
        <v>39</v>
      </c>
      <c r="J1915" s="33" t="s">
        <v>40</v>
      </c>
      <c r="K1915" s="33" t="s">
        <v>41</v>
      </c>
      <c r="L1915" s="33">
        <v>5</v>
      </c>
    </row>
    <row r="1916" spans="1:12" s="33" customFormat="1" hidden="1" x14ac:dyDescent="0.3">
      <c r="A1916" s="39">
        <v>46091.684687499997</v>
      </c>
      <c r="B1916" s="33">
        <v>44998849102</v>
      </c>
      <c r="C1916" s="33" t="s">
        <v>45</v>
      </c>
      <c r="D1916" s="33">
        <v>4430265054</v>
      </c>
      <c r="E1916" s="33">
        <v>1120</v>
      </c>
      <c r="F1916" s="33">
        <v>1044</v>
      </c>
      <c r="G1916" s="33" t="s">
        <v>38</v>
      </c>
      <c r="H1916" s="33" t="s">
        <v>8467</v>
      </c>
      <c r="I1916" s="33" t="s">
        <v>39</v>
      </c>
      <c r="J1916" s="33" t="s">
        <v>40</v>
      </c>
      <c r="K1916" s="33" t="s">
        <v>41</v>
      </c>
    </row>
    <row r="1917" spans="1:12" s="33" customFormat="1" x14ac:dyDescent="0.3">
      <c r="A1917" s="39">
        <v>46091.680439814816</v>
      </c>
      <c r="B1917" s="33">
        <v>44991388221</v>
      </c>
      <c r="C1917" s="33" t="s">
        <v>42</v>
      </c>
      <c r="D1917" s="33">
        <v>4430265054</v>
      </c>
      <c r="E1917" s="33">
        <v>710</v>
      </c>
      <c r="F1917" s="33">
        <v>673</v>
      </c>
      <c r="G1917" s="33" t="s">
        <v>38</v>
      </c>
      <c r="H1917" s="33" t="s">
        <v>8468</v>
      </c>
      <c r="I1917" s="33" t="s">
        <v>39</v>
      </c>
      <c r="J1917" s="33" t="s">
        <v>40</v>
      </c>
      <c r="K1917" s="33" t="s">
        <v>41</v>
      </c>
      <c r="L1917" s="33">
        <v>5</v>
      </c>
    </row>
    <row r="1918" spans="1:12" s="33" customFormat="1" hidden="1" x14ac:dyDescent="0.3">
      <c r="A1918" s="39">
        <v>46091.680428240739</v>
      </c>
      <c r="B1918" s="33">
        <v>44991249108</v>
      </c>
      <c r="C1918" s="33" t="s">
        <v>43</v>
      </c>
      <c r="D1918" s="33">
        <v>4430265054</v>
      </c>
      <c r="E1918" s="33">
        <v>104</v>
      </c>
      <c r="F1918" s="33">
        <v>44</v>
      </c>
      <c r="G1918" s="33" t="s">
        <v>38</v>
      </c>
      <c r="H1918" s="33" t="s">
        <v>8469</v>
      </c>
      <c r="I1918" s="33" t="s">
        <v>39</v>
      </c>
      <c r="J1918" s="33" t="s">
        <v>40</v>
      </c>
      <c r="K1918" s="33" t="s">
        <v>41</v>
      </c>
    </row>
    <row r="1919" spans="1:12" s="33" customFormat="1" hidden="1" x14ac:dyDescent="0.3">
      <c r="A1919" s="39">
        <v>46091.675312500003</v>
      </c>
      <c r="B1919" s="33">
        <v>4430284942</v>
      </c>
      <c r="C1919" s="33" t="s">
        <v>43</v>
      </c>
      <c r="D1919" s="33">
        <v>4430265054</v>
      </c>
      <c r="E1919" s="33">
        <v>76</v>
      </c>
      <c r="F1919" s="33">
        <v>38</v>
      </c>
      <c r="G1919" s="33" t="s">
        <v>38</v>
      </c>
      <c r="H1919" s="33" t="s">
        <v>8470</v>
      </c>
      <c r="I1919" s="33" t="s">
        <v>39</v>
      </c>
      <c r="J1919" s="33" t="s">
        <v>40</v>
      </c>
      <c r="K1919" s="33" t="s">
        <v>41</v>
      </c>
    </row>
    <row r="1920" spans="1:12" s="33" customFormat="1" hidden="1" x14ac:dyDescent="0.3">
      <c r="A1920" s="39">
        <v>46091.674722222226</v>
      </c>
      <c r="B1920" s="33">
        <v>44991388221</v>
      </c>
      <c r="C1920" s="33">
        <v>4430265054</v>
      </c>
      <c r="D1920" s="33">
        <v>4430265054</v>
      </c>
      <c r="E1920" s="33">
        <v>9</v>
      </c>
      <c r="F1920" s="33">
        <v>9</v>
      </c>
      <c r="G1920" s="33" t="s">
        <v>3449</v>
      </c>
      <c r="H1920" s="33" t="s">
        <v>8471</v>
      </c>
      <c r="I1920" s="33" t="s">
        <v>39</v>
      </c>
      <c r="J1920" s="33" t="s">
        <v>3451</v>
      </c>
    </row>
    <row r="1921" spans="1:13" hidden="1" x14ac:dyDescent="0.3">
      <c r="A1921" s="39">
        <v>46091.674560185187</v>
      </c>
      <c r="B1921" s="33">
        <v>4430284942</v>
      </c>
      <c r="C1921" s="33">
        <v>4430265054</v>
      </c>
      <c r="D1921" s="33">
        <v>4430265054</v>
      </c>
      <c r="E1921" s="33">
        <v>6</v>
      </c>
      <c r="F1921" s="33">
        <v>6</v>
      </c>
      <c r="G1921" s="33" t="s">
        <v>3449</v>
      </c>
      <c r="H1921" s="33" t="s">
        <v>8472</v>
      </c>
      <c r="I1921" s="33" t="s">
        <v>39</v>
      </c>
      <c r="J1921" s="33" t="s">
        <v>3451</v>
      </c>
      <c r="M1921" s="33"/>
    </row>
    <row r="1922" spans="1:13" hidden="1" x14ac:dyDescent="0.3">
      <c r="A1922" s="39">
        <v>46091.674062500002</v>
      </c>
      <c r="B1922" s="33">
        <v>4430284942</v>
      </c>
      <c r="C1922" s="33">
        <v>4430265054</v>
      </c>
      <c r="D1922" s="33">
        <v>4430265054</v>
      </c>
      <c r="E1922" s="33">
        <v>17</v>
      </c>
      <c r="F1922" s="33">
        <v>17</v>
      </c>
      <c r="G1922" s="33" t="s">
        <v>3449</v>
      </c>
      <c r="H1922" s="33" t="s">
        <v>8473</v>
      </c>
      <c r="I1922" s="33" t="s">
        <v>39</v>
      </c>
      <c r="J1922" s="33" t="s">
        <v>3451</v>
      </c>
      <c r="K1922" s="33" t="s">
        <v>41</v>
      </c>
      <c r="M1922" s="33"/>
    </row>
    <row r="1923" spans="1:13" hidden="1" x14ac:dyDescent="0.3">
      <c r="A1923" s="39">
        <v>46091.670115740744</v>
      </c>
      <c r="B1923" s="33" t="s">
        <v>37</v>
      </c>
      <c r="C1923" s="33">
        <v>44999689445</v>
      </c>
      <c r="E1923" s="33">
        <v>230</v>
      </c>
      <c r="F1923" s="33">
        <v>225</v>
      </c>
      <c r="G1923" s="33" t="s">
        <v>38</v>
      </c>
      <c r="H1923" s="33" t="s">
        <v>8474</v>
      </c>
      <c r="I1923" s="33" t="s">
        <v>46</v>
      </c>
      <c r="J1923" s="33" t="s">
        <v>40</v>
      </c>
      <c r="M1923" s="33"/>
    </row>
    <row r="1924" spans="1:13" hidden="1" x14ac:dyDescent="0.3">
      <c r="A1924" s="39">
        <v>46091.669953703706</v>
      </c>
      <c r="B1924" s="33" t="s">
        <v>43</v>
      </c>
      <c r="C1924" s="33">
        <v>6234347959</v>
      </c>
      <c r="E1924" s="33">
        <v>1</v>
      </c>
      <c r="F1924" s="33">
        <v>0</v>
      </c>
      <c r="G1924" s="33" t="s">
        <v>47</v>
      </c>
      <c r="H1924" s="33" t="s">
        <v>8475</v>
      </c>
      <c r="I1924" s="33" t="s">
        <v>46</v>
      </c>
      <c r="J1924" s="33" t="s">
        <v>40</v>
      </c>
      <c r="M1924" s="33"/>
    </row>
    <row r="1925" spans="1:13" hidden="1" x14ac:dyDescent="0.3">
      <c r="A1925" s="39">
        <v>46091.669895833336</v>
      </c>
      <c r="B1925" s="33">
        <v>6234347959</v>
      </c>
      <c r="C1925" s="33" t="s">
        <v>43</v>
      </c>
      <c r="D1925" s="33">
        <v>4430265054</v>
      </c>
      <c r="E1925" s="33">
        <v>260</v>
      </c>
      <c r="F1925" s="33">
        <v>232</v>
      </c>
      <c r="G1925" s="33" t="s">
        <v>38</v>
      </c>
      <c r="H1925" s="33" t="s">
        <v>8476</v>
      </c>
      <c r="I1925" s="33" t="s">
        <v>39</v>
      </c>
      <c r="J1925" s="33" t="s">
        <v>40</v>
      </c>
      <c r="K1925" s="33" t="s">
        <v>41</v>
      </c>
      <c r="M1925" s="33"/>
    </row>
    <row r="1926" spans="1:13" hidden="1" x14ac:dyDescent="0.3">
      <c r="A1926" s="39">
        <v>46091.667488425926</v>
      </c>
      <c r="B1926" s="33">
        <v>4430284942</v>
      </c>
      <c r="C1926" s="33">
        <v>4430265054</v>
      </c>
      <c r="D1926" s="33">
        <v>4430265054</v>
      </c>
      <c r="E1926" s="33">
        <v>66</v>
      </c>
      <c r="F1926" s="33">
        <v>66</v>
      </c>
      <c r="G1926" s="33" t="s">
        <v>3449</v>
      </c>
      <c r="H1926" s="33" t="s">
        <v>8477</v>
      </c>
      <c r="I1926" s="33" t="s">
        <v>39</v>
      </c>
      <c r="J1926" s="33" t="s">
        <v>3451</v>
      </c>
      <c r="K1926" s="33" t="s">
        <v>41</v>
      </c>
      <c r="M1926" s="33"/>
    </row>
    <row r="1927" spans="1:13" hidden="1" x14ac:dyDescent="0.3">
      <c r="A1927" s="39">
        <v>46091.66741898148</v>
      </c>
      <c r="B1927" s="33">
        <v>44999827582</v>
      </c>
      <c r="C1927" s="33" t="s">
        <v>45</v>
      </c>
      <c r="D1927" s="33">
        <v>4430265054</v>
      </c>
      <c r="E1927" s="33">
        <v>111</v>
      </c>
      <c r="F1927" s="33">
        <v>78</v>
      </c>
      <c r="G1927" s="33" t="s">
        <v>38</v>
      </c>
      <c r="H1927" s="33" t="s">
        <v>8478</v>
      </c>
      <c r="I1927" s="33" t="s">
        <v>39</v>
      </c>
      <c r="J1927" s="33" t="s">
        <v>40</v>
      </c>
      <c r="K1927" s="33" t="s">
        <v>41</v>
      </c>
      <c r="L1927" s="37">
        <v>4</v>
      </c>
      <c r="M1927" s="36" t="s">
        <v>9489</v>
      </c>
    </row>
    <row r="1928" spans="1:13" hidden="1" x14ac:dyDescent="0.3">
      <c r="A1928" s="39">
        <v>46091.666990740741</v>
      </c>
      <c r="B1928" s="33">
        <v>44999689445</v>
      </c>
      <c r="C1928" s="33" t="s">
        <v>37</v>
      </c>
      <c r="D1928" s="33">
        <v>4430265054</v>
      </c>
      <c r="E1928" s="33">
        <v>226</v>
      </c>
      <c r="F1928" s="33">
        <v>182</v>
      </c>
      <c r="G1928" s="33" t="s">
        <v>38</v>
      </c>
      <c r="H1928" s="33" t="s">
        <v>8479</v>
      </c>
      <c r="I1928" s="33" t="s">
        <v>39</v>
      </c>
      <c r="J1928" s="33" t="s">
        <v>40</v>
      </c>
      <c r="K1928" s="33" t="s">
        <v>41</v>
      </c>
      <c r="M1928" s="33"/>
    </row>
    <row r="1929" spans="1:13" hidden="1" x14ac:dyDescent="0.3">
      <c r="A1929" s="39">
        <v>46091.666944444441</v>
      </c>
      <c r="B1929" s="33">
        <v>6234347959</v>
      </c>
      <c r="C1929" s="33" t="s">
        <v>43</v>
      </c>
      <c r="D1929" s="33">
        <v>4430265054</v>
      </c>
      <c r="E1929" s="33">
        <v>241</v>
      </c>
      <c r="F1929" s="33">
        <v>183</v>
      </c>
      <c r="G1929" s="33" t="s">
        <v>38</v>
      </c>
      <c r="H1929" s="33" t="s">
        <v>8480</v>
      </c>
      <c r="I1929" s="33" t="s">
        <v>39</v>
      </c>
      <c r="J1929" s="33" t="s">
        <v>40</v>
      </c>
      <c r="K1929" s="33" t="s">
        <v>41</v>
      </c>
      <c r="M1929" s="33"/>
    </row>
    <row r="1930" spans="1:13" hidden="1" x14ac:dyDescent="0.3">
      <c r="A1930" s="39">
        <v>46091.65960648148</v>
      </c>
      <c r="B1930" s="33">
        <v>44997687156</v>
      </c>
      <c r="C1930" s="33" t="s">
        <v>44</v>
      </c>
      <c r="D1930" s="33">
        <v>4430265054</v>
      </c>
      <c r="E1930" s="33">
        <v>1584</v>
      </c>
      <c r="F1930" s="33">
        <v>1523</v>
      </c>
      <c r="G1930" s="33" t="s">
        <v>38</v>
      </c>
      <c r="H1930" s="33" t="s">
        <v>8481</v>
      </c>
      <c r="I1930" s="33" t="s">
        <v>39</v>
      </c>
      <c r="J1930" s="33" t="s">
        <v>40</v>
      </c>
      <c r="K1930" s="33" t="s">
        <v>41</v>
      </c>
      <c r="M1930" s="33"/>
    </row>
    <row r="1931" spans="1:13" hidden="1" x14ac:dyDescent="0.3">
      <c r="A1931" s="39">
        <v>46091.65079861111</v>
      </c>
      <c r="B1931" s="33">
        <v>4430284942</v>
      </c>
      <c r="C1931" s="33" t="s">
        <v>44</v>
      </c>
      <c r="D1931" s="33">
        <v>4430265054</v>
      </c>
      <c r="E1931" s="33">
        <v>269</v>
      </c>
      <c r="F1931" s="33">
        <v>227</v>
      </c>
      <c r="G1931" s="33" t="s">
        <v>38</v>
      </c>
      <c r="H1931" s="33" t="s">
        <v>8482</v>
      </c>
      <c r="I1931" s="33" t="s">
        <v>39</v>
      </c>
      <c r="J1931" s="33" t="s">
        <v>40</v>
      </c>
      <c r="K1931" s="33" t="s">
        <v>41</v>
      </c>
      <c r="M1931" s="33"/>
    </row>
    <row r="1932" spans="1:13" hidden="1" x14ac:dyDescent="0.3">
      <c r="A1932" s="39">
        <v>46091.646203703705</v>
      </c>
      <c r="B1932" s="33">
        <v>44991388221</v>
      </c>
      <c r="C1932" s="33" t="s">
        <v>37</v>
      </c>
      <c r="D1932" s="33">
        <v>4430265054</v>
      </c>
      <c r="E1932" s="33">
        <v>210</v>
      </c>
      <c r="F1932" s="33">
        <v>129</v>
      </c>
      <c r="G1932" s="33" t="s">
        <v>38</v>
      </c>
      <c r="H1932" s="33" t="s">
        <v>8483</v>
      </c>
      <c r="I1932" s="33" t="s">
        <v>39</v>
      </c>
      <c r="J1932" s="33" t="s">
        <v>40</v>
      </c>
      <c r="K1932" s="33" t="s">
        <v>41</v>
      </c>
      <c r="L1932" s="33">
        <v>5</v>
      </c>
      <c r="M1932" s="33"/>
    </row>
    <row r="1933" spans="1:13" hidden="1" x14ac:dyDescent="0.3">
      <c r="A1933" s="39">
        <v>46091.645057870373</v>
      </c>
      <c r="B1933" s="33">
        <v>4436281154</v>
      </c>
      <c r="C1933" s="33" t="s">
        <v>45</v>
      </c>
      <c r="D1933" s="33">
        <v>4430265054</v>
      </c>
      <c r="E1933" s="33">
        <v>840</v>
      </c>
      <c r="F1933" s="33">
        <v>776</v>
      </c>
      <c r="G1933" s="33" t="s">
        <v>38</v>
      </c>
      <c r="H1933" s="33" t="s">
        <v>8484</v>
      </c>
      <c r="I1933" s="33" t="s">
        <v>39</v>
      </c>
      <c r="J1933" s="33" t="s">
        <v>40</v>
      </c>
      <c r="K1933" s="33" t="s">
        <v>41</v>
      </c>
      <c r="L1933" s="33">
        <v>5</v>
      </c>
      <c r="M1933" s="33"/>
    </row>
    <row r="1934" spans="1:13" hidden="1" x14ac:dyDescent="0.3">
      <c r="A1934" s="39">
        <v>46091.643506944441</v>
      </c>
      <c r="B1934" s="33" t="s">
        <v>43</v>
      </c>
      <c r="C1934" s="33">
        <v>1732146970</v>
      </c>
      <c r="E1934" s="33">
        <v>137</v>
      </c>
      <c r="F1934" s="33">
        <v>136</v>
      </c>
      <c r="G1934" s="33" t="s">
        <v>38</v>
      </c>
      <c r="H1934" s="33" t="s">
        <v>8485</v>
      </c>
      <c r="I1934" s="33" t="s">
        <v>46</v>
      </c>
      <c r="J1934" s="33" t="s">
        <v>40</v>
      </c>
      <c r="M1934" s="33"/>
    </row>
    <row r="1935" spans="1:13" hidden="1" x14ac:dyDescent="0.3">
      <c r="A1935" s="39">
        <v>46091.640868055554</v>
      </c>
      <c r="B1935" s="33">
        <v>44991249108</v>
      </c>
      <c r="C1935" s="33" t="s">
        <v>42</v>
      </c>
      <c r="D1935" s="33">
        <v>4430265054</v>
      </c>
      <c r="E1935" s="33">
        <v>499</v>
      </c>
      <c r="F1935" s="33">
        <v>474</v>
      </c>
      <c r="G1935" s="33" t="s">
        <v>38</v>
      </c>
      <c r="H1935" s="33" t="s">
        <v>8486</v>
      </c>
      <c r="I1935" s="33" t="s">
        <v>39</v>
      </c>
      <c r="J1935" s="33" t="s">
        <v>40</v>
      </c>
      <c r="K1935" s="33" t="s">
        <v>41</v>
      </c>
      <c r="M1935" s="33"/>
    </row>
    <row r="1936" spans="1:13" hidden="1" x14ac:dyDescent="0.3">
      <c r="A1936" s="39">
        <v>46091.631203703706</v>
      </c>
      <c r="B1936" s="33" t="s">
        <v>37</v>
      </c>
      <c r="C1936" s="33">
        <v>4435341422</v>
      </c>
      <c r="E1936" s="33">
        <v>302</v>
      </c>
      <c r="F1936" s="33">
        <v>295</v>
      </c>
      <c r="G1936" s="33" t="s">
        <v>38</v>
      </c>
      <c r="H1936" s="33" t="s">
        <v>8487</v>
      </c>
      <c r="I1936" s="33" t="s">
        <v>46</v>
      </c>
      <c r="J1936" s="33" t="s">
        <v>40</v>
      </c>
      <c r="M1936" s="33"/>
    </row>
    <row r="1937" spans="1:12" s="33" customFormat="1" hidden="1" x14ac:dyDescent="0.3">
      <c r="A1937" s="39">
        <v>46091.625115740739</v>
      </c>
      <c r="B1937" s="33" t="s">
        <v>37</v>
      </c>
      <c r="C1937" s="33">
        <v>4435341422</v>
      </c>
      <c r="E1937" s="33">
        <v>503</v>
      </c>
      <c r="F1937" s="33">
        <v>496</v>
      </c>
      <c r="G1937" s="33" t="s">
        <v>38</v>
      </c>
      <c r="H1937" s="33" t="s">
        <v>8488</v>
      </c>
      <c r="I1937" s="33" t="s">
        <v>46</v>
      </c>
      <c r="J1937" s="33" t="s">
        <v>40</v>
      </c>
    </row>
    <row r="1938" spans="1:12" s="33" customFormat="1" hidden="1" x14ac:dyDescent="0.3">
      <c r="A1938" s="39">
        <v>46091.624583333331</v>
      </c>
      <c r="B1938" s="33">
        <v>4436351818</v>
      </c>
      <c r="C1938" s="33" t="s">
        <v>42</v>
      </c>
      <c r="D1938" s="33">
        <v>4430265054</v>
      </c>
      <c r="E1938" s="33">
        <v>609</v>
      </c>
      <c r="F1938" s="33">
        <v>596</v>
      </c>
      <c r="G1938" s="33" t="s">
        <v>38</v>
      </c>
      <c r="H1938" s="33" t="s">
        <v>8489</v>
      </c>
      <c r="I1938" s="33" t="s">
        <v>39</v>
      </c>
      <c r="J1938" s="33" t="s">
        <v>40</v>
      </c>
      <c r="K1938" s="33" t="s">
        <v>41</v>
      </c>
    </row>
    <row r="1939" spans="1:12" s="33" customFormat="1" hidden="1" x14ac:dyDescent="0.3">
      <c r="A1939" s="39">
        <v>46091.624247685184</v>
      </c>
      <c r="B1939" s="33" t="s">
        <v>37</v>
      </c>
      <c r="C1939" s="33">
        <v>4435341422</v>
      </c>
      <c r="E1939" s="33">
        <v>31</v>
      </c>
      <c r="F1939" s="33">
        <v>0</v>
      </c>
      <c r="G1939" s="33" t="s">
        <v>47</v>
      </c>
      <c r="H1939" s="33" t="s">
        <v>8490</v>
      </c>
      <c r="I1939" s="33" t="s">
        <v>46</v>
      </c>
      <c r="J1939" s="33" t="s">
        <v>40</v>
      </c>
    </row>
    <row r="1940" spans="1:12" s="33" customFormat="1" hidden="1" x14ac:dyDescent="0.3">
      <c r="A1940" s="39">
        <v>46091.624027777776</v>
      </c>
      <c r="B1940" s="33" t="s">
        <v>42</v>
      </c>
      <c r="C1940" s="33">
        <v>4436351414</v>
      </c>
      <c r="E1940" s="33">
        <v>2</v>
      </c>
      <c r="F1940" s="33">
        <v>0</v>
      </c>
      <c r="G1940" s="33" t="s">
        <v>47</v>
      </c>
      <c r="H1940" s="33" t="s">
        <v>8491</v>
      </c>
      <c r="I1940" s="33" t="s">
        <v>46</v>
      </c>
      <c r="J1940" s="33" t="s">
        <v>40</v>
      </c>
    </row>
    <row r="1941" spans="1:12" s="33" customFormat="1" hidden="1" x14ac:dyDescent="0.3">
      <c r="A1941" s="39">
        <v>46091.62395833333</v>
      </c>
      <c r="B1941" s="33" t="s">
        <v>42</v>
      </c>
      <c r="C1941" s="33">
        <v>4436351414</v>
      </c>
      <c r="E1941" s="33">
        <v>3</v>
      </c>
      <c r="F1941" s="33">
        <v>0</v>
      </c>
      <c r="G1941" s="33" t="s">
        <v>47</v>
      </c>
      <c r="H1941" s="33" t="s">
        <v>8492</v>
      </c>
      <c r="I1941" s="33" t="s">
        <v>46</v>
      </c>
      <c r="J1941" s="33" t="s">
        <v>40</v>
      </c>
    </row>
    <row r="1942" spans="1:12" s="33" customFormat="1" hidden="1" x14ac:dyDescent="0.3">
      <c r="A1942" s="39">
        <v>46091.623877314814</v>
      </c>
      <c r="B1942" s="33" t="s">
        <v>42</v>
      </c>
      <c r="C1942" s="33">
        <v>4436351414</v>
      </c>
      <c r="E1942" s="33">
        <v>5</v>
      </c>
      <c r="F1942" s="33">
        <v>0</v>
      </c>
      <c r="G1942" s="33" t="s">
        <v>47</v>
      </c>
      <c r="H1942" s="33" t="s">
        <v>8493</v>
      </c>
      <c r="I1942" s="33" t="s">
        <v>46</v>
      </c>
      <c r="J1942" s="33" t="s">
        <v>40</v>
      </c>
    </row>
    <row r="1943" spans="1:12" s="33" customFormat="1" hidden="1" x14ac:dyDescent="0.3">
      <c r="A1943" s="39">
        <v>46091.623796296299</v>
      </c>
      <c r="B1943" s="33" t="s">
        <v>43</v>
      </c>
      <c r="C1943" s="33">
        <v>43991364602</v>
      </c>
      <c r="E1943" s="33">
        <v>102</v>
      </c>
      <c r="F1943" s="33">
        <v>91</v>
      </c>
      <c r="G1943" s="33" t="s">
        <v>38</v>
      </c>
      <c r="H1943" s="33" t="s">
        <v>8494</v>
      </c>
      <c r="I1943" s="33" t="s">
        <v>46</v>
      </c>
      <c r="J1943" s="33" t="s">
        <v>40</v>
      </c>
    </row>
    <row r="1944" spans="1:12" s="33" customFormat="1" hidden="1" x14ac:dyDescent="0.3">
      <c r="A1944" s="39">
        <v>46091.623784722222</v>
      </c>
      <c r="B1944" s="33" t="s">
        <v>42</v>
      </c>
      <c r="C1944" s="33">
        <v>4436351414</v>
      </c>
      <c r="E1944" s="33">
        <v>5</v>
      </c>
      <c r="F1944" s="33">
        <v>0</v>
      </c>
      <c r="G1944" s="33" t="s">
        <v>47</v>
      </c>
      <c r="H1944" s="33" t="s">
        <v>8495</v>
      </c>
      <c r="I1944" s="33" t="s">
        <v>46</v>
      </c>
      <c r="J1944" s="33" t="s">
        <v>40</v>
      </c>
    </row>
    <row r="1945" spans="1:12" s="33" customFormat="1" x14ac:dyDescent="0.3">
      <c r="A1945" s="39">
        <v>46091.619629629633</v>
      </c>
      <c r="B1945" s="33">
        <v>4436351414</v>
      </c>
      <c r="C1945" s="33" t="s">
        <v>42</v>
      </c>
      <c r="D1945" s="33">
        <v>4430265054</v>
      </c>
      <c r="E1945" s="33">
        <v>383</v>
      </c>
      <c r="F1945" s="33">
        <v>346</v>
      </c>
      <c r="G1945" s="33" t="s">
        <v>38</v>
      </c>
      <c r="H1945" s="33" t="s">
        <v>8496</v>
      </c>
      <c r="I1945" s="33" t="s">
        <v>39</v>
      </c>
      <c r="J1945" s="33" t="s">
        <v>40</v>
      </c>
      <c r="K1945" s="33" t="s">
        <v>41</v>
      </c>
      <c r="L1945" s="33">
        <v>5</v>
      </c>
    </row>
    <row r="1946" spans="1:12" s="33" customFormat="1" hidden="1" x14ac:dyDescent="0.3">
      <c r="A1946" s="39">
        <v>46091.617939814816</v>
      </c>
      <c r="B1946" s="33">
        <v>43991364602</v>
      </c>
      <c r="C1946" s="33" t="s">
        <v>43</v>
      </c>
      <c r="D1946" s="33">
        <v>4430265054</v>
      </c>
      <c r="E1946" s="33">
        <v>479</v>
      </c>
      <c r="F1946" s="33">
        <v>440</v>
      </c>
      <c r="G1946" s="33" t="s">
        <v>38</v>
      </c>
      <c r="H1946" s="33" t="s">
        <v>8497</v>
      </c>
      <c r="I1946" s="33" t="s">
        <v>39</v>
      </c>
      <c r="J1946" s="33" t="s">
        <v>40</v>
      </c>
      <c r="K1946" s="33" t="s">
        <v>41</v>
      </c>
    </row>
    <row r="1947" spans="1:12" s="33" customFormat="1" hidden="1" x14ac:dyDescent="0.3">
      <c r="A1947" s="39">
        <v>46091.614618055559</v>
      </c>
      <c r="B1947" s="33" t="s">
        <v>37</v>
      </c>
      <c r="C1947" s="33">
        <v>4435341422</v>
      </c>
      <c r="E1947" s="33">
        <v>853</v>
      </c>
      <c r="F1947" s="33">
        <v>844</v>
      </c>
      <c r="G1947" s="33" t="s">
        <v>38</v>
      </c>
      <c r="H1947" s="33" t="s">
        <v>8498</v>
      </c>
      <c r="I1947" s="33" t="s">
        <v>46</v>
      </c>
      <c r="J1947" s="33" t="s">
        <v>40</v>
      </c>
    </row>
    <row r="1948" spans="1:12" s="33" customFormat="1" hidden="1" x14ac:dyDescent="0.3">
      <c r="A1948" s="39">
        <v>46091.611307870371</v>
      </c>
      <c r="B1948" s="33">
        <v>4432336975</v>
      </c>
      <c r="C1948" s="33" t="s">
        <v>44</v>
      </c>
      <c r="D1948" s="33">
        <v>4430265054</v>
      </c>
      <c r="E1948" s="33">
        <v>1115</v>
      </c>
      <c r="F1948" s="33">
        <v>1074</v>
      </c>
      <c r="G1948" s="33" t="s">
        <v>38</v>
      </c>
      <c r="H1948" s="33" t="s">
        <v>8499</v>
      </c>
      <c r="I1948" s="33" t="s">
        <v>39</v>
      </c>
      <c r="J1948" s="33" t="s">
        <v>40</v>
      </c>
      <c r="K1948" s="33" t="s">
        <v>41</v>
      </c>
      <c r="L1948" s="33">
        <v>5</v>
      </c>
    </row>
    <row r="1949" spans="1:12" s="33" customFormat="1" hidden="1" x14ac:dyDescent="0.3">
      <c r="A1949" s="39">
        <v>46091.611261574071</v>
      </c>
      <c r="B1949" s="33">
        <v>44991388221</v>
      </c>
      <c r="C1949" s="33" t="s">
        <v>45</v>
      </c>
      <c r="D1949" s="33">
        <v>4430265054</v>
      </c>
      <c r="E1949" s="33">
        <v>877</v>
      </c>
      <c r="F1949" s="33">
        <v>846</v>
      </c>
      <c r="G1949" s="33" t="s">
        <v>38</v>
      </c>
      <c r="H1949" s="33" t="s">
        <v>8500</v>
      </c>
      <c r="I1949" s="33" t="s">
        <v>39</v>
      </c>
      <c r="J1949" s="33" t="s">
        <v>40</v>
      </c>
      <c r="K1949" s="33" t="s">
        <v>41</v>
      </c>
      <c r="L1949" s="33">
        <v>5</v>
      </c>
    </row>
    <row r="1950" spans="1:12" s="33" customFormat="1" hidden="1" x14ac:dyDescent="0.3">
      <c r="A1950" s="39">
        <v>46091.60261574074</v>
      </c>
      <c r="B1950" s="33">
        <v>4130775695</v>
      </c>
      <c r="C1950" s="33" t="s">
        <v>43</v>
      </c>
      <c r="D1950" s="33">
        <v>4430265054</v>
      </c>
      <c r="E1950" s="33">
        <v>495</v>
      </c>
      <c r="F1950" s="33">
        <v>453</v>
      </c>
      <c r="G1950" s="33" t="s">
        <v>38</v>
      </c>
      <c r="H1950" s="33" t="s">
        <v>8501</v>
      </c>
      <c r="I1950" s="33" t="s">
        <v>39</v>
      </c>
      <c r="J1950" s="33" t="s">
        <v>40</v>
      </c>
      <c r="K1950" s="33" t="s">
        <v>41</v>
      </c>
    </row>
    <row r="1951" spans="1:12" s="33" customFormat="1" hidden="1" x14ac:dyDescent="0.3">
      <c r="A1951" s="39">
        <v>46091.600358796299</v>
      </c>
      <c r="B1951" s="33" t="s">
        <v>37</v>
      </c>
      <c r="C1951" s="33">
        <v>4430318514</v>
      </c>
      <c r="E1951" s="33">
        <v>1135</v>
      </c>
      <c r="F1951" s="33">
        <v>1124</v>
      </c>
      <c r="G1951" s="33" t="s">
        <v>38</v>
      </c>
      <c r="H1951" s="33" t="s">
        <v>8502</v>
      </c>
      <c r="I1951" s="33" t="s">
        <v>46</v>
      </c>
      <c r="J1951" s="33" t="s">
        <v>40</v>
      </c>
      <c r="L1951" s="33">
        <v>5</v>
      </c>
    </row>
    <row r="1952" spans="1:12" s="33" customFormat="1" hidden="1" x14ac:dyDescent="0.3">
      <c r="A1952" s="39">
        <v>46091.600254629629</v>
      </c>
      <c r="B1952" s="33" t="s">
        <v>37</v>
      </c>
      <c r="C1952" s="33">
        <v>4430318514</v>
      </c>
      <c r="E1952" s="33">
        <v>8</v>
      </c>
      <c r="F1952" s="33">
        <v>0</v>
      </c>
      <c r="G1952" s="33" t="s">
        <v>47</v>
      </c>
      <c r="H1952" s="33" t="s">
        <v>8503</v>
      </c>
      <c r="I1952" s="33" t="s">
        <v>46</v>
      </c>
      <c r="J1952" s="33" t="s">
        <v>40</v>
      </c>
    </row>
    <row r="1953" spans="1:12" s="33" customFormat="1" hidden="1" x14ac:dyDescent="0.3">
      <c r="A1953" s="39">
        <v>46091.596516203703</v>
      </c>
      <c r="B1953" s="33">
        <v>4436281154</v>
      </c>
      <c r="C1953" s="33" t="s">
        <v>42</v>
      </c>
      <c r="D1953" s="33">
        <v>4430265054</v>
      </c>
      <c r="E1953" s="33">
        <v>1429</v>
      </c>
      <c r="F1953" s="33">
        <v>1392</v>
      </c>
      <c r="G1953" s="33" t="s">
        <v>38</v>
      </c>
      <c r="H1953" s="33" t="s">
        <v>8504</v>
      </c>
      <c r="I1953" s="33" t="s">
        <v>39</v>
      </c>
      <c r="J1953" s="33" t="s">
        <v>40</v>
      </c>
      <c r="K1953" s="33" t="s">
        <v>41</v>
      </c>
    </row>
    <row r="1954" spans="1:12" s="33" customFormat="1" hidden="1" x14ac:dyDescent="0.3">
      <c r="A1954" s="39">
        <v>46091.59648148148</v>
      </c>
      <c r="B1954" s="33">
        <v>4436281154</v>
      </c>
      <c r="C1954" s="33">
        <v>4430265054</v>
      </c>
      <c r="D1954" s="33">
        <v>4430265054</v>
      </c>
      <c r="E1954" s="33">
        <v>1</v>
      </c>
      <c r="F1954" s="33">
        <v>0</v>
      </c>
      <c r="G1954" s="33" t="s">
        <v>47</v>
      </c>
      <c r="H1954" s="33" t="s">
        <v>8505</v>
      </c>
      <c r="I1954" s="33" t="s">
        <v>39</v>
      </c>
      <c r="J1954" s="33" t="s">
        <v>3451</v>
      </c>
    </row>
    <row r="1955" spans="1:12" s="33" customFormat="1" hidden="1" x14ac:dyDescent="0.3">
      <c r="A1955" s="39">
        <v>46091.589965277781</v>
      </c>
      <c r="B1955" s="33">
        <v>44999976008</v>
      </c>
      <c r="C1955" s="33" t="s">
        <v>45</v>
      </c>
      <c r="D1955" s="33">
        <v>4430265054</v>
      </c>
      <c r="E1955" s="33">
        <v>1034</v>
      </c>
      <c r="F1955" s="33">
        <v>995</v>
      </c>
      <c r="G1955" s="33" t="s">
        <v>38</v>
      </c>
      <c r="H1955" s="33" t="s">
        <v>8506</v>
      </c>
      <c r="I1955" s="33" t="s">
        <v>39</v>
      </c>
      <c r="J1955" s="33" t="s">
        <v>40</v>
      </c>
      <c r="K1955" s="33" t="s">
        <v>41</v>
      </c>
    </row>
    <row r="1956" spans="1:12" s="33" customFormat="1" hidden="1" x14ac:dyDescent="0.3">
      <c r="A1956" s="39">
        <v>46091.587858796294</v>
      </c>
      <c r="B1956" s="33">
        <v>44997687156</v>
      </c>
      <c r="C1956" s="33" t="s">
        <v>37</v>
      </c>
      <c r="D1956" s="33">
        <v>4430265054</v>
      </c>
      <c r="E1956" s="33">
        <v>660</v>
      </c>
      <c r="F1956" s="33">
        <v>601</v>
      </c>
      <c r="G1956" s="33" t="s">
        <v>38</v>
      </c>
      <c r="H1956" s="33" t="s">
        <v>8507</v>
      </c>
      <c r="I1956" s="33" t="s">
        <v>39</v>
      </c>
      <c r="J1956" s="33" t="s">
        <v>40</v>
      </c>
      <c r="K1956" s="33" t="s">
        <v>41</v>
      </c>
    </row>
    <row r="1957" spans="1:12" s="33" customFormat="1" hidden="1" x14ac:dyDescent="0.3">
      <c r="A1957" s="39">
        <v>46091.587268518517</v>
      </c>
      <c r="B1957" s="33" t="s">
        <v>44</v>
      </c>
      <c r="C1957" s="33">
        <v>4334232912</v>
      </c>
      <c r="E1957" s="33">
        <v>239</v>
      </c>
      <c r="F1957" s="33">
        <v>228</v>
      </c>
      <c r="G1957" s="33" t="s">
        <v>38</v>
      </c>
      <c r="H1957" s="33" t="s">
        <v>8508</v>
      </c>
      <c r="I1957" s="33" t="s">
        <v>46</v>
      </c>
      <c r="J1957" s="33" t="s">
        <v>40</v>
      </c>
    </row>
    <row r="1958" spans="1:12" s="33" customFormat="1" hidden="1" x14ac:dyDescent="0.3">
      <c r="A1958" s="39">
        <v>46091.583935185183</v>
      </c>
      <c r="B1958" s="33">
        <v>44998039090</v>
      </c>
      <c r="C1958" s="33" t="s">
        <v>43</v>
      </c>
      <c r="D1958" s="33">
        <v>4430265054</v>
      </c>
      <c r="E1958" s="33">
        <v>231</v>
      </c>
      <c r="F1958" s="33">
        <v>98</v>
      </c>
      <c r="G1958" s="33" t="s">
        <v>38</v>
      </c>
      <c r="H1958" s="33" t="s">
        <v>8509</v>
      </c>
      <c r="I1958" s="33" t="s">
        <v>39</v>
      </c>
      <c r="J1958" s="33" t="s">
        <v>40</v>
      </c>
      <c r="K1958" s="33" t="s">
        <v>41</v>
      </c>
    </row>
    <row r="1959" spans="1:12" s="33" customFormat="1" hidden="1" x14ac:dyDescent="0.3">
      <c r="A1959" s="39">
        <v>46091.581875000003</v>
      </c>
      <c r="B1959" s="33" t="s">
        <v>45</v>
      </c>
      <c r="C1959" s="33">
        <v>4130263118</v>
      </c>
      <c r="E1959" s="33">
        <v>66</v>
      </c>
      <c r="F1959" s="33">
        <v>59</v>
      </c>
      <c r="G1959" s="33" t="s">
        <v>38</v>
      </c>
      <c r="H1959" s="33" t="s">
        <v>8510</v>
      </c>
      <c r="I1959" s="33" t="s">
        <v>46</v>
      </c>
      <c r="J1959" s="33" t="s">
        <v>40</v>
      </c>
    </row>
    <row r="1960" spans="1:12" s="33" customFormat="1" hidden="1" x14ac:dyDescent="0.3">
      <c r="A1960" s="39">
        <v>46091.576898148145</v>
      </c>
      <c r="B1960" s="33" t="s">
        <v>42</v>
      </c>
      <c r="C1960" s="33">
        <v>44998266194</v>
      </c>
      <c r="E1960" s="33">
        <v>128</v>
      </c>
      <c r="F1960" s="33">
        <v>118</v>
      </c>
      <c r="G1960" s="33" t="s">
        <v>38</v>
      </c>
      <c r="H1960" s="33" t="s">
        <v>8511</v>
      </c>
      <c r="I1960" s="33" t="s">
        <v>46</v>
      </c>
      <c r="J1960" s="33" t="s">
        <v>40</v>
      </c>
    </row>
    <row r="1961" spans="1:12" s="33" customFormat="1" hidden="1" x14ac:dyDescent="0.3">
      <c r="A1961" s="39">
        <v>46091.575578703705</v>
      </c>
      <c r="B1961" s="33" t="s">
        <v>45</v>
      </c>
      <c r="C1961" s="33">
        <v>4432520077</v>
      </c>
      <c r="E1961" s="33">
        <v>447</v>
      </c>
      <c r="F1961" s="33">
        <v>427</v>
      </c>
      <c r="G1961" s="33" t="s">
        <v>38</v>
      </c>
      <c r="H1961" s="33" t="s">
        <v>8512</v>
      </c>
      <c r="I1961" s="33" t="s">
        <v>46</v>
      </c>
      <c r="J1961" s="33" t="s">
        <v>40</v>
      </c>
      <c r="L1961" s="33">
        <v>5</v>
      </c>
    </row>
    <row r="1962" spans="1:12" s="33" customFormat="1" hidden="1" x14ac:dyDescent="0.3">
      <c r="A1962" s="39">
        <v>46091.575520833336</v>
      </c>
      <c r="B1962" s="33">
        <v>44991484476</v>
      </c>
      <c r="C1962" s="33" t="s">
        <v>43</v>
      </c>
      <c r="D1962" s="33">
        <v>4430265054</v>
      </c>
      <c r="E1962" s="33">
        <v>669</v>
      </c>
      <c r="F1962" s="33">
        <v>583</v>
      </c>
      <c r="G1962" s="33" t="s">
        <v>38</v>
      </c>
      <c r="H1962" s="33" t="s">
        <v>8513</v>
      </c>
      <c r="I1962" s="33" t="s">
        <v>39</v>
      </c>
      <c r="J1962" s="33" t="s">
        <v>40</v>
      </c>
      <c r="K1962" s="33" t="s">
        <v>41</v>
      </c>
    </row>
    <row r="1963" spans="1:12" s="33" customFormat="1" hidden="1" x14ac:dyDescent="0.3">
      <c r="A1963" s="39">
        <v>46091.575486111113</v>
      </c>
      <c r="B1963" s="33" t="s">
        <v>42</v>
      </c>
      <c r="C1963" s="33">
        <v>4430233291</v>
      </c>
      <c r="E1963" s="33">
        <v>2</v>
      </c>
      <c r="F1963" s="33">
        <v>0</v>
      </c>
      <c r="G1963" s="33" t="s">
        <v>47</v>
      </c>
      <c r="H1963" s="33" t="s">
        <v>8514</v>
      </c>
      <c r="I1963" s="33" t="s">
        <v>46</v>
      </c>
      <c r="J1963" s="33" t="s">
        <v>40</v>
      </c>
    </row>
    <row r="1964" spans="1:12" s="33" customFormat="1" hidden="1" x14ac:dyDescent="0.3">
      <c r="A1964" s="39">
        <v>46091.575474537036</v>
      </c>
      <c r="B1964" s="33" t="s">
        <v>45</v>
      </c>
      <c r="C1964" s="33">
        <v>44984241715</v>
      </c>
      <c r="E1964" s="33">
        <v>6</v>
      </c>
      <c r="F1964" s="33">
        <v>0</v>
      </c>
      <c r="G1964" s="33" t="s">
        <v>47</v>
      </c>
      <c r="H1964" s="33" t="s">
        <v>8515</v>
      </c>
      <c r="I1964" s="33" t="s">
        <v>46</v>
      </c>
      <c r="J1964" s="33" t="s">
        <v>40</v>
      </c>
    </row>
    <row r="1965" spans="1:12" s="33" customFormat="1" hidden="1" x14ac:dyDescent="0.3">
      <c r="A1965" s="39">
        <v>46091.575439814813</v>
      </c>
      <c r="B1965" s="33" t="s">
        <v>42</v>
      </c>
      <c r="C1965" s="33">
        <v>4430233291</v>
      </c>
      <c r="E1965" s="33">
        <v>2</v>
      </c>
      <c r="F1965" s="33">
        <v>0</v>
      </c>
      <c r="G1965" s="33" t="s">
        <v>47</v>
      </c>
      <c r="H1965" s="33" t="s">
        <v>8516</v>
      </c>
      <c r="I1965" s="33" t="s">
        <v>46</v>
      </c>
      <c r="J1965" s="33" t="s">
        <v>40</v>
      </c>
    </row>
    <row r="1966" spans="1:12" s="33" customFormat="1" hidden="1" x14ac:dyDescent="0.3">
      <c r="A1966" s="39">
        <v>46091.57540509259</v>
      </c>
      <c r="B1966" s="33" t="s">
        <v>42</v>
      </c>
      <c r="C1966" s="33">
        <v>4430233291</v>
      </c>
      <c r="E1966" s="33">
        <v>2</v>
      </c>
      <c r="F1966" s="33">
        <v>0</v>
      </c>
      <c r="G1966" s="33" t="s">
        <v>47</v>
      </c>
      <c r="H1966" s="33" t="s">
        <v>8517</v>
      </c>
      <c r="I1966" s="33" t="s">
        <v>46</v>
      </c>
      <c r="J1966" s="33" t="s">
        <v>40</v>
      </c>
    </row>
    <row r="1967" spans="1:12" s="33" customFormat="1" hidden="1" x14ac:dyDescent="0.3">
      <c r="A1967" s="39">
        <v>46091.575335648151</v>
      </c>
      <c r="B1967" s="33" t="s">
        <v>42</v>
      </c>
      <c r="C1967" s="33">
        <v>4430233291</v>
      </c>
      <c r="E1967" s="33">
        <v>4</v>
      </c>
      <c r="F1967" s="33">
        <v>0</v>
      </c>
      <c r="G1967" s="33" t="s">
        <v>47</v>
      </c>
      <c r="H1967" s="33" t="s">
        <v>8518</v>
      </c>
      <c r="I1967" s="33" t="s">
        <v>46</v>
      </c>
      <c r="J1967" s="33" t="s">
        <v>40</v>
      </c>
    </row>
    <row r="1968" spans="1:12" s="33" customFormat="1" hidden="1" x14ac:dyDescent="0.3">
      <c r="A1968" s="39">
        <v>46091.575289351851</v>
      </c>
      <c r="B1968" s="33" t="s">
        <v>42</v>
      </c>
      <c r="C1968" s="33">
        <v>4430233291</v>
      </c>
      <c r="E1968" s="33">
        <v>2</v>
      </c>
      <c r="F1968" s="33">
        <v>0</v>
      </c>
      <c r="G1968" s="33" t="s">
        <v>47</v>
      </c>
      <c r="H1968" s="33" t="s">
        <v>8519</v>
      </c>
      <c r="I1968" s="33" t="s">
        <v>46</v>
      </c>
      <c r="J1968" s="33" t="s">
        <v>40</v>
      </c>
    </row>
    <row r="1969" spans="1:11" s="33" customFormat="1" hidden="1" x14ac:dyDescent="0.3">
      <c r="A1969" s="39">
        <v>46091.574918981481</v>
      </c>
      <c r="B1969" s="33" t="s">
        <v>42</v>
      </c>
      <c r="C1969" s="33">
        <v>44999723261</v>
      </c>
      <c r="E1969" s="33">
        <v>10</v>
      </c>
      <c r="F1969" s="33">
        <v>0</v>
      </c>
      <c r="G1969" s="33" t="s">
        <v>47</v>
      </c>
      <c r="H1969" s="33" t="s">
        <v>8520</v>
      </c>
      <c r="I1969" s="33" t="s">
        <v>46</v>
      </c>
      <c r="J1969" s="33" t="s">
        <v>40</v>
      </c>
    </row>
    <row r="1970" spans="1:11" s="33" customFormat="1" hidden="1" x14ac:dyDescent="0.3">
      <c r="A1970" s="39">
        <v>46091.574756944443</v>
      </c>
      <c r="B1970" s="33" t="s">
        <v>42</v>
      </c>
      <c r="C1970" s="33">
        <v>44999723261</v>
      </c>
      <c r="E1970" s="33">
        <v>11</v>
      </c>
      <c r="F1970" s="33">
        <v>0</v>
      </c>
      <c r="G1970" s="33" t="s">
        <v>47</v>
      </c>
      <c r="H1970" s="33" t="s">
        <v>8521</v>
      </c>
      <c r="I1970" s="33" t="s">
        <v>46</v>
      </c>
      <c r="J1970" s="33" t="s">
        <v>40</v>
      </c>
    </row>
    <row r="1971" spans="1:11" s="33" customFormat="1" hidden="1" x14ac:dyDescent="0.3">
      <c r="A1971" s="39">
        <v>46091.574525462966</v>
      </c>
      <c r="B1971" s="33" t="s">
        <v>43</v>
      </c>
      <c r="C1971" s="33">
        <v>44998717172</v>
      </c>
      <c r="E1971" s="33">
        <v>35</v>
      </c>
      <c r="F1971" s="33">
        <v>0</v>
      </c>
      <c r="G1971" s="33" t="s">
        <v>47</v>
      </c>
      <c r="H1971" s="33" t="s">
        <v>8522</v>
      </c>
      <c r="I1971" s="33" t="s">
        <v>46</v>
      </c>
      <c r="J1971" s="33" t="s">
        <v>40</v>
      </c>
    </row>
    <row r="1972" spans="1:11" s="33" customFormat="1" hidden="1" x14ac:dyDescent="0.3">
      <c r="A1972" s="39">
        <v>46091.569131944445</v>
      </c>
      <c r="B1972" s="33" t="s">
        <v>42</v>
      </c>
      <c r="C1972" s="33">
        <v>4430233291</v>
      </c>
      <c r="E1972" s="33">
        <v>1</v>
      </c>
      <c r="F1972" s="33">
        <v>0</v>
      </c>
      <c r="G1972" s="33" t="s">
        <v>47</v>
      </c>
      <c r="H1972" s="33" t="s">
        <v>8523</v>
      </c>
      <c r="I1972" s="33" t="s">
        <v>46</v>
      </c>
      <c r="J1972" s="33" t="s">
        <v>40</v>
      </c>
    </row>
    <row r="1973" spans="1:11" s="33" customFormat="1" hidden="1" x14ac:dyDescent="0.3">
      <c r="A1973" s="39">
        <v>46091.569097222222</v>
      </c>
      <c r="B1973" s="33" t="s">
        <v>42</v>
      </c>
      <c r="C1973" s="33">
        <v>4430233291</v>
      </c>
      <c r="E1973" s="33">
        <v>1</v>
      </c>
      <c r="F1973" s="33">
        <v>0</v>
      </c>
      <c r="G1973" s="33" t="s">
        <v>47</v>
      </c>
      <c r="H1973" s="33" t="s">
        <v>8524</v>
      </c>
      <c r="I1973" s="33" t="s">
        <v>46</v>
      </c>
      <c r="J1973" s="33" t="s">
        <v>40</v>
      </c>
    </row>
    <row r="1974" spans="1:11" s="33" customFormat="1" hidden="1" x14ac:dyDescent="0.3">
      <c r="A1974" s="39">
        <v>46091.569050925929</v>
      </c>
      <c r="B1974" s="33" t="s">
        <v>42</v>
      </c>
      <c r="C1974" s="33">
        <v>4430233291</v>
      </c>
      <c r="E1974" s="33">
        <v>2</v>
      </c>
      <c r="F1974" s="33">
        <v>0</v>
      </c>
      <c r="G1974" s="33" t="s">
        <v>47</v>
      </c>
      <c r="H1974" s="33" t="s">
        <v>8525</v>
      </c>
      <c r="I1974" s="33" t="s">
        <v>46</v>
      </c>
      <c r="J1974" s="33" t="s">
        <v>40</v>
      </c>
    </row>
    <row r="1975" spans="1:11" s="33" customFormat="1" hidden="1" x14ac:dyDescent="0.3">
      <c r="A1975" s="39">
        <v>46091.568993055553</v>
      </c>
      <c r="B1975" s="33" t="s">
        <v>42</v>
      </c>
      <c r="C1975" s="33">
        <v>4430233291</v>
      </c>
      <c r="E1975" s="33">
        <v>3</v>
      </c>
      <c r="F1975" s="33">
        <v>0</v>
      </c>
      <c r="G1975" s="33" t="s">
        <v>47</v>
      </c>
      <c r="H1975" s="33" t="s">
        <v>8526</v>
      </c>
      <c r="I1975" s="33" t="s">
        <v>46</v>
      </c>
      <c r="J1975" s="33" t="s">
        <v>40</v>
      </c>
    </row>
    <row r="1976" spans="1:11" s="33" customFormat="1" hidden="1" x14ac:dyDescent="0.3">
      <c r="A1976" s="39">
        <v>46091.568888888891</v>
      </c>
      <c r="B1976" s="33" t="s">
        <v>42</v>
      </c>
      <c r="C1976" s="33">
        <v>4430233291</v>
      </c>
      <c r="E1976" s="33">
        <v>2</v>
      </c>
      <c r="F1976" s="33">
        <v>0</v>
      </c>
      <c r="G1976" s="33" t="s">
        <v>47</v>
      </c>
      <c r="H1976" s="33" t="s">
        <v>8527</v>
      </c>
      <c r="I1976" s="33" t="s">
        <v>46</v>
      </c>
      <c r="J1976" s="33" t="s">
        <v>40</v>
      </c>
    </row>
    <row r="1977" spans="1:11" s="33" customFormat="1" hidden="1" x14ac:dyDescent="0.3">
      <c r="A1977" s="39">
        <v>46091.568796296298</v>
      </c>
      <c r="B1977" s="33" t="s">
        <v>42</v>
      </c>
      <c r="C1977" s="33">
        <v>4430233291</v>
      </c>
      <c r="E1977" s="33">
        <v>6</v>
      </c>
      <c r="F1977" s="33">
        <v>0</v>
      </c>
      <c r="G1977" s="33" t="s">
        <v>47</v>
      </c>
      <c r="H1977" s="33" t="s">
        <v>8528</v>
      </c>
      <c r="I1977" s="33" t="s">
        <v>46</v>
      </c>
      <c r="J1977" s="33" t="s">
        <v>40</v>
      </c>
    </row>
    <row r="1978" spans="1:11" s="33" customFormat="1" hidden="1" x14ac:dyDescent="0.3">
      <c r="A1978" s="39">
        <v>46091.566354166665</v>
      </c>
      <c r="B1978" s="33">
        <v>4430145172</v>
      </c>
      <c r="C1978" s="33" t="s">
        <v>45</v>
      </c>
      <c r="D1978" s="33">
        <v>4430265054</v>
      </c>
      <c r="E1978" s="33">
        <v>617</v>
      </c>
      <c r="F1978" s="33">
        <v>557</v>
      </c>
      <c r="G1978" s="33" t="s">
        <v>38</v>
      </c>
      <c r="H1978" s="33" t="s">
        <v>8529</v>
      </c>
      <c r="I1978" s="33" t="s">
        <v>39</v>
      </c>
      <c r="J1978" s="33" t="s">
        <v>40</v>
      </c>
      <c r="K1978" s="33" t="s">
        <v>41</v>
      </c>
    </row>
    <row r="1979" spans="1:11" s="33" customFormat="1" hidden="1" x14ac:dyDescent="0.3">
      <c r="A1979" s="39">
        <v>46091.566261574073</v>
      </c>
      <c r="B1979" s="33">
        <v>4334232912</v>
      </c>
      <c r="C1979" s="33" t="s">
        <v>37</v>
      </c>
      <c r="D1979" s="33">
        <v>4430265054</v>
      </c>
      <c r="E1979" s="33">
        <v>369</v>
      </c>
      <c r="F1979" s="33">
        <v>317</v>
      </c>
      <c r="G1979" s="33" t="s">
        <v>38</v>
      </c>
      <c r="H1979" s="33" t="s">
        <v>8530</v>
      </c>
      <c r="I1979" s="33" t="s">
        <v>39</v>
      </c>
      <c r="J1979" s="33" t="s">
        <v>40</v>
      </c>
      <c r="K1979" s="33" t="s">
        <v>41</v>
      </c>
    </row>
    <row r="1980" spans="1:11" s="33" customFormat="1" hidden="1" x14ac:dyDescent="0.3">
      <c r="A1980" s="39">
        <v>46091.561655092592</v>
      </c>
      <c r="B1980" s="33">
        <v>4334234629</v>
      </c>
      <c r="C1980" s="33">
        <v>4430265054</v>
      </c>
      <c r="D1980" s="33">
        <v>4430265054</v>
      </c>
      <c r="E1980" s="33">
        <v>15</v>
      </c>
      <c r="F1980" s="33">
        <v>14</v>
      </c>
      <c r="G1980" s="33" t="s">
        <v>3449</v>
      </c>
      <c r="H1980" s="33" t="s">
        <v>8531</v>
      </c>
      <c r="I1980" s="33" t="s">
        <v>39</v>
      </c>
      <c r="J1980" s="33" t="s">
        <v>3451</v>
      </c>
    </row>
    <row r="1981" spans="1:11" s="33" customFormat="1" hidden="1" x14ac:dyDescent="0.3">
      <c r="A1981" s="39">
        <v>46091.533437500002</v>
      </c>
      <c r="B1981" s="33">
        <v>1128787060</v>
      </c>
      <c r="C1981" s="33">
        <v>4430265054</v>
      </c>
      <c r="D1981" s="33">
        <v>4430265054</v>
      </c>
      <c r="E1981" s="33">
        <v>18</v>
      </c>
      <c r="F1981" s="33">
        <v>18</v>
      </c>
      <c r="G1981" s="33" t="s">
        <v>3449</v>
      </c>
      <c r="H1981" s="33" t="s">
        <v>8532</v>
      </c>
      <c r="I1981" s="33" t="s">
        <v>39</v>
      </c>
      <c r="J1981" s="33" t="s">
        <v>3451</v>
      </c>
    </row>
    <row r="1982" spans="1:11" s="33" customFormat="1" hidden="1" x14ac:dyDescent="0.3">
      <c r="A1982" s="39">
        <v>46091.531423611108</v>
      </c>
      <c r="B1982" s="33">
        <v>99984754234</v>
      </c>
      <c r="C1982" s="33">
        <v>4430265054</v>
      </c>
      <c r="D1982" s="33">
        <v>4430265054</v>
      </c>
      <c r="E1982" s="33">
        <v>11</v>
      </c>
      <c r="F1982" s="33">
        <v>10</v>
      </c>
      <c r="G1982" s="33" t="s">
        <v>3449</v>
      </c>
      <c r="H1982" s="33" t="s">
        <v>8533</v>
      </c>
      <c r="I1982" s="33" t="s">
        <v>39</v>
      </c>
      <c r="J1982" s="33" t="s">
        <v>3451</v>
      </c>
    </row>
    <row r="1983" spans="1:11" s="33" customFormat="1" hidden="1" x14ac:dyDescent="0.3">
      <c r="A1983" s="39">
        <v>46091.530960648146</v>
      </c>
      <c r="B1983" s="33">
        <v>99984754234</v>
      </c>
      <c r="C1983" s="33">
        <v>4430265054</v>
      </c>
      <c r="D1983" s="33">
        <v>4430265054</v>
      </c>
      <c r="E1983" s="33">
        <v>29</v>
      </c>
      <c r="F1983" s="33">
        <v>28</v>
      </c>
      <c r="G1983" s="33" t="s">
        <v>3449</v>
      </c>
      <c r="H1983" s="33" t="s">
        <v>8534</v>
      </c>
      <c r="I1983" s="33" t="s">
        <v>39</v>
      </c>
      <c r="J1983" s="33" t="s">
        <v>3451</v>
      </c>
    </row>
    <row r="1984" spans="1:11" s="33" customFormat="1" hidden="1" x14ac:dyDescent="0.3">
      <c r="A1984" s="39">
        <v>46091.497233796297</v>
      </c>
      <c r="B1984" s="33" t="s">
        <v>42</v>
      </c>
      <c r="C1984" s="33">
        <v>4430450103</v>
      </c>
      <c r="E1984" s="33">
        <v>88</v>
      </c>
      <c r="F1984" s="33">
        <v>74</v>
      </c>
      <c r="G1984" s="33" t="s">
        <v>38</v>
      </c>
      <c r="H1984" s="33" t="s">
        <v>8535</v>
      </c>
      <c r="I1984" s="33" t="s">
        <v>46</v>
      </c>
      <c r="J1984" s="33" t="s">
        <v>40</v>
      </c>
    </row>
    <row r="1985" spans="1:12" s="33" customFormat="1" hidden="1" x14ac:dyDescent="0.3">
      <c r="A1985" s="39">
        <v>46091.496932870374</v>
      </c>
      <c r="B1985" s="33" t="s">
        <v>42</v>
      </c>
      <c r="C1985" s="33">
        <v>4430450103</v>
      </c>
      <c r="E1985" s="33">
        <v>23</v>
      </c>
      <c r="F1985" s="33">
        <v>12</v>
      </c>
      <c r="G1985" s="33" t="s">
        <v>38</v>
      </c>
      <c r="H1985" s="33" t="s">
        <v>8536</v>
      </c>
      <c r="I1985" s="33" t="s">
        <v>46</v>
      </c>
      <c r="J1985" s="33" t="s">
        <v>40</v>
      </c>
    </row>
    <row r="1986" spans="1:12" s="33" customFormat="1" x14ac:dyDescent="0.3">
      <c r="A1986" s="39">
        <v>46091.473611111112</v>
      </c>
      <c r="B1986" s="33">
        <v>4430450103</v>
      </c>
      <c r="C1986" s="33" t="s">
        <v>42</v>
      </c>
      <c r="D1986" s="33">
        <v>4430265054</v>
      </c>
      <c r="E1986" s="33">
        <v>1375</v>
      </c>
      <c r="F1986" s="33">
        <v>1291</v>
      </c>
      <c r="G1986" s="33" t="s">
        <v>38</v>
      </c>
      <c r="H1986" s="33" t="s">
        <v>8537</v>
      </c>
      <c r="I1986" s="33" t="s">
        <v>39</v>
      </c>
      <c r="J1986" s="33" t="s">
        <v>40</v>
      </c>
      <c r="K1986" s="33" t="s">
        <v>41</v>
      </c>
      <c r="L1986" s="33">
        <v>5</v>
      </c>
    </row>
    <row r="1987" spans="1:12" s="33" customFormat="1" hidden="1" x14ac:dyDescent="0.3">
      <c r="A1987" s="39">
        <v>46091.470659722225</v>
      </c>
      <c r="B1987" s="33">
        <v>44998849102</v>
      </c>
      <c r="C1987" s="33" t="s">
        <v>43</v>
      </c>
      <c r="D1987" s="33">
        <v>4430265054</v>
      </c>
      <c r="E1987" s="33">
        <v>1372</v>
      </c>
      <c r="F1987" s="33">
        <v>1304</v>
      </c>
      <c r="G1987" s="33" t="s">
        <v>38</v>
      </c>
      <c r="H1987" s="33" t="s">
        <v>8538</v>
      </c>
      <c r="I1987" s="33" t="s">
        <v>39</v>
      </c>
      <c r="J1987" s="33" t="s">
        <v>40</v>
      </c>
      <c r="K1987" s="33" t="s">
        <v>41</v>
      </c>
    </row>
    <row r="1988" spans="1:12" s="33" customFormat="1" hidden="1" x14ac:dyDescent="0.3">
      <c r="A1988" s="39">
        <v>46091.462673611109</v>
      </c>
      <c r="B1988" s="33" t="s">
        <v>45</v>
      </c>
      <c r="C1988" s="33">
        <v>45998160883</v>
      </c>
      <c r="E1988" s="33">
        <v>1020</v>
      </c>
      <c r="F1988" s="33">
        <v>1016</v>
      </c>
      <c r="G1988" s="33" t="s">
        <v>38</v>
      </c>
      <c r="H1988" s="33" t="s">
        <v>8539</v>
      </c>
      <c r="I1988" s="33" t="s">
        <v>46</v>
      </c>
      <c r="J1988" s="33" t="s">
        <v>40</v>
      </c>
    </row>
    <row r="1989" spans="1:12" s="33" customFormat="1" hidden="1" x14ac:dyDescent="0.3">
      <c r="A1989" s="39">
        <v>46091.462650462963</v>
      </c>
      <c r="B1989" s="33">
        <v>4430459001</v>
      </c>
      <c r="C1989" s="33" t="s">
        <v>44</v>
      </c>
      <c r="D1989" s="33">
        <v>4430265054</v>
      </c>
      <c r="E1989" s="33">
        <v>121</v>
      </c>
      <c r="F1989" s="33">
        <v>80</v>
      </c>
      <c r="G1989" s="33" t="s">
        <v>38</v>
      </c>
      <c r="H1989" s="33" t="s">
        <v>8540</v>
      </c>
      <c r="I1989" s="33" t="s">
        <v>39</v>
      </c>
      <c r="J1989" s="33" t="s">
        <v>40</v>
      </c>
      <c r="K1989" s="33" t="s">
        <v>41</v>
      </c>
    </row>
    <row r="1990" spans="1:12" s="33" customFormat="1" hidden="1" x14ac:dyDescent="0.3">
      <c r="A1990" s="39">
        <v>46091.462453703702</v>
      </c>
      <c r="B1990" s="33" t="s">
        <v>45</v>
      </c>
      <c r="C1990" s="33">
        <v>45998160883</v>
      </c>
      <c r="E1990" s="33">
        <v>43</v>
      </c>
      <c r="F1990" s="33">
        <v>34</v>
      </c>
      <c r="G1990" s="33" t="s">
        <v>38</v>
      </c>
      <c r="H1990" s="33" t="s">
        <v>8541</v>
      </c>
      <c r="I1990" s="33" t="s">
        <v>46</v>
      </c>
      <c r="J1990" s="33" t="s">
        <v>40</v>
      </c>
    </row>
    <row r="1991" spans="1:12" s="33" customFormat="1" hidden="1" x14ac:dyDescent="0.3">
      <c r="A1991" s="39">
        <v>46091.461840277778</v>
      </c>
      <c r="B1991" s="33" t="s">
        <v>45</v>
      </c>
      <c r="C1991" s="33">
        <v>45998160883</v>
      </c>
      <c r="E1991" s="33">
        <v>67</v>
      </c>
      <c r="F1991" s="33">
        <v>56</v>
      </c>
      <c r="G1991" s="33" t="s">
        <v>38</v>
      </c>
      <c r="H1991" s="33" t="s">
        <v>8542</v>
      </c>
      <c r="I1991" s="33" t="s">
        <v>46</v>
      </c>
      <c r="J1991" s="33" t="s">
        <v>40</v>
      </c>
    </row>
    <row r="1992" spans="1:12" s="33" customFormat="1" hidden="1" x14ac:dyDescent="0.3">
      <c r="A1992" s="39">
        <v>46091.461550925924</v>
      </c>
      <c r="B1992" s="33" t="s">
        <v>45</v>
      </c>
      <c r="C1992" s="33">
        <v>45998160883</v>
      </c>
      <c r="E1992" s="33">
        <v>47</v>
      </c>
      <c r="F1992" s="33">
        <v>37</v>
      </c>
      <c r="G1992" s="33" t="s">
        <v>38</v>
      </c>
      <c r="H1992" s="33" t="s">
        <v>8543</v>
      </c>
      <c r="I1992" s="33" t="s">
        <v>46</v>
      </c>
      <c r="J1992" s="33" t="s">
        <v>40</v>
      </c>
    </row>
    <row r="1993" spans="1:12" s="33" customFormat="1" hidden="1" x14ac:dyDescent="0.3">
      <c r="A1993" s="39">
        <v>46091.459016203706</v>
      </c>
      <c r="B1993" s="33">
        <v>4334226481</v>
      </c>
      <c r="C1993" s="33" t="s">
        <v>48</v>
      </c>
      <c r="D1993" s="33">
        <v>4430265054</v>
      </c>
      <c r="E1993" s="33">
        <v>874</v>
      </c>
      <c r="F1993" s="33">
        <v>873</v>
      </c>
      <c r="G1993" s="33" t="s">
        <v>38</v>
      </c>
      <c r="H1993" s="33" t="s">
        <v>8544</v>
      </c>
      <c r="I1993" s="33" t="s">
        <v>39</v>
      </c>
      <c r="J1993" s="33" t="s">
        <v>40</v>
      </c>
      <c r="K1993" s="33" t="s">
        <v>41</v>
      </c>
    </row>
    <row r="1994" spans="1:12" s="33" customFormat="1" hidden="1" x14ac:dyDescent="0.3">
      <c r="A1994" s="39">
        <v>46091.456909722219</v>
      </c>
      <c r="B1994" s="33">
        <v>62991155122</v>
      </c>
      <c r="C1994" s="33" t="s">
        <v>37</v>
      </c>
      <c r="D1994" s="33">
        <v>4430265054</v>
      </c>
      <c r="E1994" s="33">
        <v>343</v>
      </c>
      <c r="F1994" s="33">
        <v>260</v>
      </c>
      <c r="G1994" s="33" t="s">
        <v>38</v>
      </c>
      <c r="H1994" s="33" t="s">
        <v>8545</v>
      </c>
      <c r="I1994" s="33" t="s">
        <v>39</v>
      </c>
      <c r="J1994" s="33" t="s">
        <v>40</v>
      </c>
      <c r="K1994" s="33" t="s">
        <v>41</v>
      </c>
    </row>
    <row r="1995" spans="1:12" s="33" customFormat="1" hidden="1" x14ac:dyDescent="0.3">
      <c r="A1995" s="39">
        <v>46091.445856481485</v>
      </c>
      <c r="B1995" s="33">
        <v>1639391799</v>
      </c>
      <c r="C1995" s="33" t="s">
        <v>44</v>
      </c>
      <c r="D1995" s="33">
        <v>4430265054</v>
      </c>
      <c r="E1995" s="33">
        <v>709</v>
      </c>
      <c r="F1995" s="33">
        <v>681</v>
      </c>
      <c r="G1995" s="33" t="s">
        <v>38</v>
      </c>
      <c r="H1995" s="33" t="s">
        <v>8546</v>
      </c>
      <c r="I1995" s="33" t="s">
        <v>39</v>
      </c>
      <c r="J1995" s="33" t="s">
        <v>40</v>
      </c>
      <c r="K1995" s="33" t="s">
        <v>41</v>
      </c>
      <c r="L1995" s="33">
        <v>5</v>
      </c>
    </row>
    <row r="1996" spans="1:12" s="33" customFormat="1" hidden="1" x14ac:dyDescent="0.3">
      <c r="A1996" s="39">
        <v>46091.445081018515</v>
      </c>
      <c r="B1996" s="33">
        <v>16997190170</v>
      </c>
      <c r="C1996" s="33">
        <v>4430265054</v>
      </c>
      <c r="D1996" s="33">
        <v>4430265054</v>
      </c>
      <c r="E1996" s="33">
        <v>2</v>
      </c>
      <c r="F1996" s="33">
        <v>2</v>
      </c>
      <c r="G1996" s="33" t="s">
        <v>3449</v>
      </c>
      <c r="H1996" s="33" t="s">
        <v>8547</v>
      </c>
      <c r="I1996" s="33" t="s">
        <v>39</v>
      </c>
      <c r="J1996" s="33" t="s">
        <v>3451</v>
      </c>
    </row>
    <row r="1997" spans="1:12" s="33" customFormat="1" hidden="1" x14ac:dyDescent="0.3">
      <c r="A1997" s="39">
        <v>46091.444722222222</v>
      </c>
      <c r="B1997" s="33">
        <v>4130263118</v>
      </c>
      <c r="C1997" s="33" t="s">
        <v>37</v>
      </c>
      <c r="D1997" s="33">
        <v>4430265054</v>
      </c>
      <c r="E1997" s="33">
        <v>172</v>
      </c>
      <c r="F1997" s="33">
        <v>76</v>
      </c>
      <c r="G1997" s="33" t="s">
        <v>38</v>
      </c>
      <c r="H1997" s="33" t="s">
        <v>8548</v>
      </c>
      <c r="I1997" s="33" t="s">
        <v>39</v>
      </c>
      <c r="J1997" s="33" t="s">
        <v>40</v>
      </c>
      <c r="K1997" s="33" t="s">
        <v>41</v>
      </c>
    </row>
    <row r="1998" spans="1:12" s="33" customFormat="1" hidden="1" x14ac:dyDescent="0.3">
      <c r="A1998" s="39">
        <v>46091.439675925925</v>
      </c>
      <c r="B1998" s="33">
        <v>4430284942</v>
      </c>
      <c r="C1998" s="33" t="s">
        <v>44</v>
      </c>
      <c r="D1998" s="33">
        <v>4430265054</v>
      </c>
      <c r="E1998" s="33">
        <v>190</v>
      </c>
      <c r="F1998" s="33">
        <v>171</v>
      </c>
      <c r="G1998" s="33" t="s">
        <v>38</v>
      </c>
      <c r="H1998" s="33" t="s">
        <v>8549</v>
      </c>
      <c r="I1998" s="33" t="s">
        <v>39</v>
      </c>
      <c r="J1998" s="33" t="s">
        <v>40</v>
      </c>
      <c r="K1998" s="33" t="s">
        <v>41</v>
      </c>
    </row>
    <row r="1999" spans="1:12" s="33" customFormat="1" hidden="1" x14ac:dyDescent="0.3">
      <c r="A1999" s="39">
        <v>46091.434907407405</v>
      </c>
      <c r="B1999" s="33" t="s">
        <v>42</v>
      </c>
      <c r="C1999" s="33">
        <v>4430256607</v>
      </c>
      <c r="E1999" s="33">
        <v>250</v>
      </c>
      <c r="F1999" s="33">
        <v>237</v>
      </c>
      <c r="G1999" s="33" t="s">
        <v>38</v>
      </c>
      <c r="H1999" s="33" t="s">
        <v>8550</v>
      </c>
      <c r="I1999" s="33" t="s">
        <v>46</v>
      </c>
      <c r="J1999" s="33" t="s">
        <v>40</v>
      </c>
    </row>
    <row r="2000" spans="1:12" s="33" customFormat="1" hidden="1" x14ac:dyDescent="0.3">
      <c r="A2000" s="39">
        <v>46091.426550925928</v>
      </c>
      <c r="B2000" s="33">
        <v>4430284942</v>
      </c>
      <c r="C2000" s="33">
        <v>4430265054</v>
      </c>
      <c r="D2000" s="33">
        <v>4430265054</v>
      </c>
      <c r="E2000" s="33">
        <v>211</v>
      </c>
      <c r="F2000" s="33">
        <v>211</v>
      </c>
      <c r="G2000" s="33" t="s">
        <v>3449</v>
      </c>
      <c r="H2000" s="33" t="s">
        <v>8551</v>
      </c>
      <c r="I2000" s="33" t="s">
        <v>39</v>
      </c>
      <c r="J2000" s="33" t="s">
        <v>3451</v>
      </c>
      <c r="K2000" s="33" t="s">
        <v>41</v>
      </c>
    </row>
    <row r="2001" spans="1:12" s="33" customFormat="1" hidden="1" x14ac:dyDescent="0.3">
      <c r="A2001" s="39">
        <v>46091.42491898148</v>
      </c>
      <c r="B2001" s="33" t="s">
        <v>37</v>
      </c>
      <c r="C2001" s="33">
        <v>4435341422</v>
      </c>
      <c r="E2001" s="33">
        <v>1057</v>
      </c>
      <c r="F2001" s="33">
        <v>1027</v>
      </c>
      <c r="G2001" s="33" t="s">
        <v>38</v>
      </c>
      <c r="H2001" s="33" t="s">
        <v>8552</v>
      </c>
      <c r="I2001" s="33" t="s">
        <v>46</v>
      </c>
      <c r="J2001" s="33" t="s">
        <v>40</v>
      </c>
      <c r="L2001" s="33">
        <v>5</v>
      </c>
    </row>
    <row r="2002" spans="1:12" s="33" customFormat="1" hidden="1" x14ac:dyDescent="0.3">
      <c r="A2002" s="39">
        <v>46091.424166666664</v>
      </c>
      <c r="B2002" s="33">
        <v>44984241715</v>
      </c>
      <c r="C2002" s="33" t="s">
        <v>45</v>
      </c>
      <c r="D2002" s="33">
        <v>4430265054</v>
      </c>
      <c r="E2002" s="33">
        <v>390</v>
      </c>
      <c r="F2002" s="33">
        <v>231</v>
      </c>
      <c r="G2002" s="33" t="s">
        <v>38</v>
      </c>
      <c r="H2002" s="33" t="s">
        <v>8553</v>
      </c>
      <c r="I2002" s="33" t="s">
        <v>39</v>
      </c>
      <c r="J2002" s="33" t="s">
        <v>40</v>
      </c>
      <c r="K2002" s="33" t="s">
        <v>41</v>
      </c>
    </row>
    <row r="2003" spans="1:12" s="33" customFormat="1" hidden="1" x14ac:dyDescent="0.3">
      <c r="A2003" s="39">
        <v>46091.422951388886</v>
      </c>
      <c r="B2003" s="33" t="s">
        <v>48</v>
      </c>
      <c r="C2003" s="33">
        <v>81986261961</v>
      </c>
      <c r="E2003" s="33">
        <v>67</v>
      </c>
      <c r="F2003" s="33">
        <v>29</v>
      </c>
      <c r="G2003" s="33" t="s">
        <v>38</v>
      </c>
      <c r="H2003" s="33" t="s">
        <v>8554</v>
      </c>
      <c r="I2003" s="33" t="s">
        <v>46</v>
      </c>
      <c r="J2003" s="33" t="s">
        <v>40</v>
      </c>
    </row>
    <row r="2004" spans="1:12" s="33" customFormat="1" hidden="1" x14ac:dyDescent="0.3">
      <c r="A2004" s="39">
        <v>46091.41851851852</v>
      </c>
      <c r="B2004" s="33" t="s">
        <v>3627</v>
      </c>
      <c r="C2004" s="33">
        <v>47988262269</v>
      </c>
      <c r="E2004" s="33">
        <v>22</v>
      </c>
      <c r="F2004" s="33">
        <v>0</v>
      </c>
      <c r="G2004" s="33" t="s">
        <v>47</v>
      </c>
      <c r="H2004" s="33" t="s">
        <v>8555</v>
      </c>
      <c r="I2004" s="33" t="s">
        <v>46</v>
      </c>
      <c r="J2004" s="33" t="s">
        <v>3629</v>
      </c>
    </row>
    <row r="2005" spans="1:12" s="33" customFormat="1" hidden="1" x14ac:dyDescent="0.3">
      <c r="A2005" s="39">
        <v>46091.415682870371</v>
      </c>
      <c r="B2005" s="33">
        <v>62996869933</v>
      </c>
      <c r="C2005" s="33" t="s">
        <v>43</v>
      </c>
      <c r="D2005" s="33">
        <v>4430265054</v>
      </c>
      <c r="E2005" s="33">
        <v>277</v>
      </c>
      <c r="F2005" s="33">
        <v>207</v>
      </c>
      <c r="G2005" s="33" t="s">
        <v>38</v>
      </c>
      <c r="H2005" s="33" t="s">
        <v>8556</v>
      </c>
      <c r="I2005" s="33" t="s">
        <v>39</v>
      </c>
      <c r="J2005" s="33" t="s">
        <v>40</v>
      </c>
      <c r="K2005" s="33" t="s">
        <v>41</v>
      </c>
    </row>
    <row r="2006" spans="1:12" s="33" customFormat="1" hidden="1" x14ac:dyDescent="0.3">
      <c r="A2006" s="39">
        <v>46091.414513888885</v>
      </c>
      <c r="B2006" s="33">
        <v>44991388221</v>
      </c>
      <c r="C2006" s="33" t="s">
        <v>45</v>
      </c>
      <c r="D2006" s="33">
        <v>4430265054</v>
      </c>
      <c r="E2006" s="33">
        <v>437</v>
      </c>
      <c r="F2006" s="33">
        <v>394</v>
      </c>
      <c r="G2006" s="33" t="s">
        <v>38</v>
      </c>
      <c r="H2006" s="33" t="s">
        <v>8557</v>
      </c>
      <c r="I2006" s="33" t="s">
        <v>39</v>
      </c>
      <c r="J2006" s="33" t="s">
        <v>40</v>
      </c>
      <c r="K2006" s="33" t="s">
        <v>41</v>
      </c>
      <c r="L2006" s="33">
        <v>5</v>
      </c>
    </row>
    <row r="2007" spans="1:12" s="33" customFormat="1" hidden="1" x14ac:dyDescent="0.3">
      <c r="A2007" s="39">
        <v>46091.400555555556</v>
      </c>
      <c r="B2007" s="33">
        <v>44998143151</v>
      </c>
      <c r="C2007" s="33">
        <v>4430265054</v>
      </c>
      <c r="D2007" s="33">
        <v>4430265054</v>
      </c>
      <c r="E2007" s="33">
        <v>16</v>
      </c>
      <c r="F2007" s="33">
        <v>16</v>
      </c>
      <c r="G2007" s="33" t="s">
        <v>3449</v>
      </c>
      <c r="H2007" s="33" t="s">
        <v>8558</v>
      </c>
      <c r="I2007" s="33" t="s">
        <v>39</v>
      </c>
      <c r="J2007" s="33" t="s">
        <v>3451</v>
      </c>
    </row>
    <row r="2008" spans="1:12" s="33" customFormat="1" hidden="1" x14ac:dyDescent="0.3">
      <c r="A2008" s="39">
        <v>46091.40042824074</v>
      </c>
      <c r="B2008" s="33" t="s">
        <v>3627</v>
      </c>
      <c r="C2008" s="33">
        <v>95991482933</v>
      </c>
      <c r="E2008" s="33">
        <v>9</v>
      </c>
      <c r="F2008" s="33">
        <v>3</v>
      </c>
      <c r="G2008" s="33" t="s">
        <v>38</v>
      </c>
      <c r="H2008" s="33" t="s">
        <v>8559</v>
      </c>
      <c r="I2008" s="33" t="s">
        <v>46</v>
      </c>
      <c r="J2008" s="33" t="s">
        <v>3629</v>
      </c>
    </row>
    <row r="2009" spans="1:12" s="33" customFormat="1" hidden="1" x14ac:dyDescent="0.3">
      <c r="A2009" s="39">
        <v>46091.398993055554</v>
      </c>
      <c r="B2009" s="33">
        <v>67992613909</v>
      </c>
      <c r="C2009" s="33" t="s">
        <v>43</v>
      </c>
      <c r="D2009" s="33">
        <v>4430265054</v>
      </c>
      <c r="E2009" s="33">
        <v>546</v>
      </c>
      <c r="F2009" s="33">
        <v>473</v>
      </c>
      <c r="G2009" s="33" t="s">
        <v>38</v>
      </c>
      <c r="H2009" s="33" t="s">
        <v>8560</v>
      </c>
      <c r="I2009" s="33" t="s">
        <v>39</v>
      </c>
      <c r="J2009" s="33" t="s">
        <v>40</v>
      </c>
      <c r="K2009" s="33" t="s">
        <v>41</v>
      </c>
      <c r="L2009" s="33">
        <v>5</v>
      </c>
    </row>
    <row r="2010" spans="1:12" s="33" customFormat="1" hidden="1" x14ac:dyDescent="0.3">
      <c r="A2010" s="39">
        <v>46091.398784722223</v>
      </c>
      <c r="B2010" s="33" t="s">
        <v>3627</v>
      </c>
      <c r="C2010" s="33">
        <v>4733671554</v>
      </c>
      <c r="E2010" s="33">
        <v>46</v>
      </c>
      <c r="F2010" s="33">
        <v>33</v>
      </c>
      <c r="G2010" s="33" t="s">
        <v>38</v>
      </c>
      <c r="H2010" s="33" t="s">
        <v>8561</v>
      </c>
      <c r="I2010" s="33" t="s">
        <v>46</v>
      </c>
      <c r="J2010" s="33" t="s">
        <v>3629</v>
      </c>
    </row>
    <row r="2011" spans="1:12" s="33" customFormat="1" hidden="1" x14ac:dyDescent="0.3">
      <c r="A2011" s="39">
        <v>46091.397974537038</v>
      </c>
      <c r="B2011" s="33">
        <v>4432677399</v>
      </c>
      <c r="C2011" s="33" t="s">
        <v>42</v>
      </c>
      <c r="D2011" s="33">
        <v>4430265054</v>
      </c>
      <c r="E2011" s="33">
        <v>212</v>
      </c>
      <c r="F2011" s="33">
        <v>172</v>
      </c>
      <c r="G2011" s="33" t="s">
        <v>38</v>
      </c>
      <c r="H2011" s="33" t="s">
        <v>8562</v>
      </c>
      <c r="I2011" s="33" t="s">
        <v>39</v>
      </c>
      <c r="J2011" s="33" t="s">
        <v>40</v>
      </c>
      <c r="K2011" s="33" t="s">
        <v>41</v>
      </c>
    </row>
    <row r="2012" spans="1:12" s="33" customFormat="1" hidden="1" x14ac:dyDescent="0.3">
      <c r="A2012" s="39">
        <v>46091.39770833333</v>
      </c>
      <c r="B2012" s="33" t="s">
        <v>3627</v>
      </c>
      <c r="C2012" s="33">
        <v>81999663364</v>
      </c>
      <c r="E2012" s="33">
        <v>7</v>
      </c>
      <c r="F2012" s="33">
        <v>0</v>
      </c>
      <c r="G2012" s="33" t="s">
        <v>47</v>
      </c>
      <c r="H2012" s="33" t="s">
        <v>8563</v>
      </c>
      <c r="I2012" s="33" t="s">
        <v>46</v>
      </c>
      <c r="J2012" s="33" t="s">
        <v>3629</v>
      </c>
    </row>
    <row r="2013" spans="1:12" s="33" customFormat="1" hidden="1" x14ac:dyDescent="0.3">
      <c r="A2013" s="39">
        <v>46091.389918981484</v>
      </c>
      <c r="B2013" s="33">
        <v>44991566223</v>
      </c>
      <c r="C2013" s="33" t="s">
        <v>48</v>
      </c>
      <c r="D2013" s="33">
        <v>4430265054</v>
      </c>
      <c r="E2013" s="33">
        <v>578</v>
      </c>
      <c r="F2013" s="33">
        <v>578</v>
      </c>
      <c r="G2013" s="33" t="s">
        <v>38</v>
      </c>
      <c r="H2013" s="33" t="s">
        <v>8564</v>
      </c>
      <c r="I2013" s="33" t="s">
        <v>39</v>
      </c>
      <c r="J2013" s="33" t="s">
        <v>40</v>
      </c>
      <c r="K2013" s="33" t="s">
        <v>41</v>
      </c>
    </row>
    <row r="2014" spans="1:12" s="33" customFormat="1" hidden="1" x14ac:dyDescent="0.3">
      <c r="A2014" s="39">
        <v>46091.388622685183</v>
      </c>
      <c r="B2014" s="33">
        <v>44991566223</v>
      </c>
      <c r="C2014" s="33">
        <v>4430265054</v>
      </c>
      <c r="D2014" s="33">
        <v>4430265054</v>
      </c>
      <c r="E2014" s="33">
        <v>31</v>
      </c>
      <c r="F2014" s="33">
        <v>31</v>
      </c>
      <c r="G2014" s="33" t="s">
        <v>3449</v>
      </c>
      <c r="H2014" s="33" t="s">
        <v>8565</v>
      </c>
      <c r="I2014" s="33" t="s">
        <v>39</v>
      </c>
      <c r="J2014" s="33" t="s">
        <v>3451</v>
      </c>
      <c r="K2014" s="33" t="s">
        <v>41</v>
      </c>
    </row>
    <row r="2015" spans="1:12" s="33" customFormat="1" hidden="1" x14ac:dyDescent="0.3">
      <c r="A2015" s="39">
        <v>46091.388229166667</v>
      </c>
      <c r="B2015" s="33">
        <v>44991566223</v>
      </c>
      <c r="C2015" s="33">
        <v>4430265054</v>
      </c>
      <c r="D2015" s="33">
        <v>4430265054</v>
      </c>
      <c r="E2015" s="33">
        <v>29</v>
      </c>
      <c r="F2015" s="33">
        <v>29</v>
      </c>
      <c r="G2015" s="33" t="s">
        <v>3449</v>
      </c>
      <c r="H2015" s="33" t="s">
        <v>8566</v>
      </c>
      <c r="I2015" s="33" t="s">
        <v>39</v>
      </c>
      <c r="J2015" s="33" t="s">
        <v>3451</v>
      </c>
    </row>
    <row r="2016" spans="1:12" s="33" customFormat="1" hidden="1" x14ac:dyDescent="0.3">
      <c r="A2016" s="39">
        <v>46091.386493055557</v>
      </c>
      <c r="B2016" s="33">
        <v>4430450103</v>
      </c>
      <c r="C2016" s="33" t="s">
        <v>44</v>
      </c>
      <c r="D2016" s="33">
        <v>4430265054</v>
      </c>
      <c r="E2016" s="33">
        <v>432</v>
      </c>
      <c r="F2016" s="33">
        <v>363</v>
      </c>
      <c r="G2016" s="33" t="s">
        <v>38</v>
      </c>
      <c r="H2016" s="33" t="s">
        <v>8567</v>
      </c>
      <c r="I2016" s="33" t="s">
        <v>39</v>
      </c>
      <c r="J2016" s="33" t="s">
        <v>40</v>
      </c>
      <c r="K2016" s="33" t="s">
        <v>41</v>
      </c>
      <c r="L2016" s="33">
        <v>5</v>
      </c>
    </row>
    <row r="2017" spans="1:12" s="33" customFormat="1" hidden="1" x14ac:dyDescent="0.3">
      <c r="A2017" s="39">
        <v>46091.385752314818</v>
      </c>
      <c r="B2017" s="33" t="s">
        <v>45</v>
      </c>
      <c r="C2017" s="33">
        <v>4432520077</v>
      </c>
      <c r="E2017" s="33">
        <v>2367</v>
      </c>
      <c r="F2017" s="33">
        <v>2359</v>
      </c>
      <c r="G2017" s="33" t="s">
        <v>38</v>
      </c>
      <c r="H2017" s="33" t="s">
        <v>8568</v>
      </c>
      <c r="I2017" s="33" t="s">
        <v>46</v>
      </c>
      <c r="J2017" s="33" t="s">
        <v>40</v>
      </c>
      <c r="L2017" s="33">
        <v>5</v>
      </c>
    </row>
    <row r="2018" spans="1:12" s="33" customFormat="1" hidden="1" x14ac:dyDescent="0.3">
      <c r="A2018" s="39">
        <v>46091.383900462963</v>
      </c>
      <c r="B2018" s="33">
        <v>44999648932</v>
      </c>
      <c r="C2018" s="33" t="s">
        <v>3627</v>
      </c>
      <c r="D2018" s="33">
        <v>4430265054</v>
      </c>
      <c r="E2018" s="33">
        <v>226</v>
      </c>
      <c r="F2018" s="33">
        <v>201</v>
      </c>
      <c r="G2018" s="33" t="s">
        <v>38</v>
      </c>
      <c r="H2018" s="33" t="s">
        <v>8569</v>
      </c>
      <c r="I2018" s="33" t="s">
        <v>39</v>
      </c>
      <c r="J2018" s="33" t="s">
        <v>3629</v>
      </c>
      <c r="K2018" s="33" t="s">
        <v>50</v>
      </c>
    </row>
    <row r="2019" spans="1:12" s="33" customFormat="1" hidden="1" x14ac:dyDescent="0.3">
      <c r="A2019" s="39">
        <v>46091.379583333335</v>
      </c>
      <c r="B2019" s="33">
        <v>4435341422</v>
      </c>
      <c r="C2019" s="33" t="s">
        <v>37</v>
      </c>
      <c r="D2019" s="33">
        <v>4430265054</v>
      </c>
      <c r="E2019" s="33">
        <v>3600</v>
      </c>
      <c r="F2019" s="33">
        <v>3565</v>
      </c>
      <c r="G2019" s="33" t="s">
        <v>38</v>
      </c>
      <c r="H2019" s="33" t="s">
        <v>8570</v>
      </c>
      <c r="I2019" s="33" t="s">
        <v>39</v>
      </c>
      <c r="J2019" s="33" t="s">
        <v>40</v>
      </c>
      <c r="K2019" s="33" t="s">
        <v>41</v>
      </c>
    </row>
    <row r="2020" spans="1:12" s="33" customFormat="1" hidden="1" x14ac:dyDescent="0.3">
      <c r="A2020" s="39">
        <v>46091.37940972222</v>
      </c>
      <c r="B2020" s="33">
        <v>4432522019</v>
      </c>
      <c r="C2020" s="33" t="s">
        <v>43</v>
      </c>
      <c r="D2020" s="33">
        <v>4430265054</v>
      </c>
      <c r="E2020" s="33">
        <v>1326</v>
      </c>
      <c r="F2020" s="33">
        <v>1299</v>
      </c>
      <c r="G2020" s="33" t="s">
        <v>38</v>
      </c>
      <c r="H2020" s="33" t="s">
        <v>8571</v>
      </c>
      <c r="I2020" s="33" t="s">
        <v>39</v>
      </c>
      <c r="J2020" s="33" t="s">
        <v>40</v>
      </c>
      <c r="K2020" s="33" t="s">
        <v>41</v>
      </c>
    </row>
    <row r="2021" spans="1:12" s="33" customFormat="1" hidden="1" x14ac:dyDescent="0.3">
      <c r="A2021" s="39">
        <v>46091.376666666663</v>
      </c>
      <c r="B2021" s="33">
        <v>4436291629</v>
      </c>
      <c r="C2021" s="33" t="s">
        <v>44</v>
      </c>
      <c r="D2021" s="33">
        <v>4430265054</v>
      </c>
      <c r="E2021" s="33">
        <v>577</v>
      </c>
      <c r="F2021" s="33">
        <v>545</v>
      </c>
      <c r="G2021" s="33" t="s">
        <v>38</v>
      </c>
      <c r="H2021" s="33" t="s">
        <v>8572</v>
      </c>
      <c r="I2021" s="33" t="s">
        <v>39</v>
      </c>
      <c r="J2021" s="33" t="s">
        <v>40</v>
      </c>
      <c r="K2021" s="33" t="s">
        <v>41</v>
      </c>
    </row>
    <row r="2022" spans="1:12" s="33" customFormat="1" x14ac:dyDescent="0.3">
      <c r="A2022" s="39">
        <v>46091.37431712963</v>
      </c>
      <c r="B2022" s="33">
        <v>44997687156</v>
      </c>
      <c r="C2022" s="33" t="s">
        <v>42</v>
      </c>
      <c r="D2022" s="33">
        <v>4430265054</v>
      </c>
      <c r="E2022" s="33">
        <v>1208</v>
      </c>
      <c r="F2022" s="33">
        <v>1107</v>
      </c>
      <c r="G2022" s="33" t="s">
        <v>38</v>
      </c>
      <c r="H2022" s="33" t="s">
        <v>8573</v>
      </c>
      <c r="I2022" s="33" t="s">
        <v>39</v>
      </c>
      <c r="J2022" s="33" t="s">
        <v>40</v>
      </c>
      <c r="K2022" s="33" t="s">
        <v>41</v>
      </c>
      <c r="L2022" s="33">
        <v>5</v>
      </c>
    </row>
    <row r="2023" spans="1:12" s="33" customFormat="1" hidden="1" x14ac:dyDescent="0.3">
      <c r="A2023" s="39">
        <v>46091.374085648145</v>
      </c>
      <c r="B2023" s="33">
        <v>1438160351</v>
      </c>
      <c r="C2023" s="33">
        <v>4430265054</v>
      </c>
      <c r="D2023" s="33">
        <v>4430265054</v>
      </c>
      <c r="E2023" s="33">
        <v>9</v>
      </c>
      <c r="F2023" s="33">
        <v>8</v>
      </c>
      <c r="G2023" s="33" t="s">
        <v>3449</v>
      </c>
      <c r="H2023" s="33" t="s">
        <v>8574</v>
      </c>
      <c r="I2023" s="33" t="s">
        <v>39</v>
      </c>
      <c r="J2023" s="33" t="s">
        <v>3451</v>
      </c>
    </row>
    <row r="2024" spans="1:12" s="33" customFormat="1" hidden="1" x14ac:dyDescent="0.3">
      <c r="A2024" s="39">
        <v>46091.372361111113</v>
      </c>
      <c r="B2024" s="33" t="s">
        <v>3627</v>
      </c>
      <c r="C2024" s="33">
        <v>11976141234</v>
      </c>
      <c r="E2024" s="33">
        <v>3</v>
      </c>
      <c r="F2024" s="33">
        <v>0</v>
      </c>
      <c r="G2024" s="33" t="s">
        <v>47</v>
      </c>
      <c r="H2024" s="33" t="s">
        <v>8575</v>
      </c>
      <c r="I2024" s="33" t="s">
        <v>46</v>
      </c>
      <c r="J2024" s="33" t="s">
        <v>3629</v>
      </c>
    </row>
    <row r="2025" spans="1:12" s="33" customFormat="1" hidden="1" x14ac:dyDescent="0.3">
      <c r="A2025" s="39">
        <v>46091.37027777778</v>
      </c>
      <c r="B2025" s="33" t="s">
        <v>45</v>
      </c>
      <c r="C2025" s="33">
        <v>4330333542</v>
      </c>
      <c r="E2025" s="33">
        <v>562</v>
      </c>
      <c r="F2025" s="33">
        <v>556</v>
      </c>
      <c r="G2025" s="33" t="s">
        <v>38</v>
      </c>
      <c r="H2025" s="33" t="s">
        <v>8576</v>
      </c>
      <c r="I2025" s="33" t="s">
        <v>46</v>
      </c>
      <c r="J2025" s="33" t="s">
        <v>40</v>
      </c>
    </row>
    <row r="2026" spans="1:12" s="33" customFormat="1" hidden="1" x14ac:dyDescent="0.3">
      <c r="A2026" s="39">
        <v>46091.364131944443</v>
      </c>
      <c r="B2026" s="33">
        <v>4430282545</v>
      </c>
      <c r="C2026" s="33" t="s">
        <v>43</v>
      </c>
      <c r="D2026" s="33">
        <v>4430265054</v>
      </c>
      <c r="E2026" s="33">
        <v>622</v>
      </c>
      <c r="F2026" s="33">
        <v>604</v>
      </c>
      <c r="G2026" s="33" t="s">
        <v>38</v>
      </c>
      <c r="H2026" s="33" t="s">
        <v>8577</v>
      </c>
      <c r="I2026" s="33" t="s">
        <v>39</v>
      </c>
      <c r="J2026" s="33" t="s">
        <v>40</v>
      </c>
      <c r="K2026" s="33" t="s">
        <v>41</v>
      </c>
    </row>
    <row r="2027" spans="1:12" s="33" customFormat="1" hidden="1" x14ac:dyDescent="0.3">
      <c r="A2027" s="39">
        <v>46091.362222222226</v>
      </c>
      <c r="B2027" s="33">
        <v>44991388221</v>
      </c>
      <c r="C2027" s="33" t="s">
        <v>44</v>
      </c>
      <c r="D2027" s="33">
        <v>4430265054</v>
      </c>
      <c r="E2027" s="33">
        <v>435</v>
      </c>
      <c r="F2027" s="33">
        <v>307</v>
      </c>
      <c r="G2027" s="33" t="s">
        <v>38</v>
      </c>
      <c r="H2027" s="33" t="s">
        <v>8578</v>
      </c>
      <c r="I2027" s="33" t="s">
        <v>39</v>
      </c>
      <c r="J2027" s="33" t="s">
        <v>40</v>
      </c>
      <c r="K2027" s="33" t="s">
        <v>41</v>
      </c>
    </row>
    <row r="2028" spans="1:12" s="33" customFormat="1" hidden="1" x14ac:dyDescent="0.3">
      <c r="A2028" s="39">
        <v>46091.359571759262</v>
      </c>
      <c r="B2028" s="33">
        <v>67992169496</v>
      </c>
      <c r="C2028" s="33" t="s">
        <v>37</v>
      </c>
      <c r="D2028" s="33">
        <v>4430265054</v>
      </c>
      <c r="E2028" s="33">
        <v>957</v>
      </c>
      <c r="F2028" s="33">
        <v>925</v>
      </c>
      <c r="G2028" s="33" t="s">
        <v>38</v>
      </c>
      <c r="H2028" s="33" t="s">
        <v>8579</v>
      </c>
      <c r="I2028" s="33" t="s">
        <v>39</v>
      </c>
      <c r="J2028" s="33" t="s">
        <v>40</v>
      </c>
      <c r="K2028" s="33" t="s">
        <v>41</v>
      </c>
    </row>
    <row r="2029" spans="1:12" s="33" customFormat="1" hidden="1" x14ac:dyDescent="0.3">
      <c r="A2029" s="39">
        <v>46091.358252314814</v>
      </c>
      <c r="B2029" s="33">
        <v>4330333542</v>
      </c>
      <c r="C2029" s="33" t="s">
        <v>45</v>
      </c>
      <c r="D2029" s="33">
        <v>4430265054</v>
      </c>
      <c r="E2029" s="33">
        <v>1010</v>
      </c>
      <c r="F2029" s="33">
        <v>952</v>
      </c>
      <c r="G2029" s="33" t="s">
        <v>38</v>
      </c>
      <c r="H2029" s="33" t="s">
        <v>8580</v>
      </c>
      <c r="I2029" s="33" t="s">
        <v>39</v>
      </c>
      <c r="J2029" s="33" t="s">
        <v>40</v>
      </c>
      <c r="K2029" s="33" t="s">
        <v>41</v>
      </c>
    </row>
    <row r="2030" spans="1:12" s="33" customFormat="1" hidden="1" x14ac:dyDescent="0.3">
      <c r="A2030" s="39">
        <v>46091.353009259263</v>
      </c>
      <c r="B2030" s="33" t="s">
        <v>45</v>
      </c>
      <c r="C2030" s="33">
        <v>4432520077</v>
      </c>
      <c r="E2030" s="33">
        <v>153</v>
      </c>
      <c r="F2030" s="33">
        <v>139</v>
      </c>
      <c r="G2030" s="33" t="s">
        <v>38</v>
      </c>
      <c r="H2030" s="33" t="s">
        <v>8581</v>
      </c>
      <c r="I2030" s="33" t="s">
        <v>46</v>
      </c>
      <c r="J2030" s="33" t="s">
        <v>40</v>
      </c>
    </row>
    <row r="2031" spans="1:12" s="33" customFormat="1" hidden="1" x14ac:dyDescent="0.3">
      <c r="A2031" s="39">
        <v>46090.733043981483</v>
      </c>
      <c r="B2031" s="33">
        <v>44998717172</v>
      </c>
      <c r="C2031" s="33" t="s">
        <v>43</v>
      </c>
      <c r="D2031" s="33">
        <v>4430265054</v>
      </c>
      <c r="E2031" s="33">
        <v>266</v>
      </c>
      <c r="F2031" s="33">
        <v>231</v>
      </c>
      <c r="G2031" s="33" t="s">
        <v>38</v>
      </c>
      <c r="H2031" s="33" t="s">
        <v>8582</v>
      </c>
      <c r="I2031" s="33" t="s">
        <v>39</v>
      </c>
      <c r="J2031" s="33" t="s">
        <v>40</v>
      </c>
      <c r="K2031" s="33" t="s">
        <v>41</v>
      </c>
    </row>
    <row r="2032" spans="1:12" s="33" customFormat="1" hidden="1" x14ac:dyDescent="0.3">
      <c r="A2032" s="39">
        <v>46090.731956018521</v>
      </c>
      <c r="B2032" s="33">
        <v>45999211357</v>
      </c>
      <c r="C2032" s="33" t="s">
        <v>45</v>
      </c>
      <c r="D2032" s="33">
        <v>4431268225</v>
      </c>
      <c r="E2032" s="33">
        <v>552</v>
      </c>
      <c r="F2032" s="33">
        <v>522</v>
      </c>
      <c r="G2032" s="33" t="s">
        <v>38</v>
      </c>
      <c r="H2032" s="33" t="s">
        <v>8583</v>
      </c>
      <c r="I2032" s="33" t="s">
        <v>39</v>
      </c>
      <c r="J2032" s="33" t="s">
        <v>40</v>
      </c>
      <c r="K2032" s="33" t="s">
        <v>41</v>
      </c>
      <c r="L2032" s="33">
        <v>5</v>
      </c>
    </row>
    <row r="2033" spans="1:12" s="33" customFormat="1" hidden="1" x14ac:dyDescent="0.3">
      <c r="A2033" s="39">
        <v>46090.729247685187</v>
      </c>
      <c r="B2033" s="33">
        <v>44999646909</v>
      </c>
      <c r="C2033" s="33" t="s">
        <v>42</v>
      </c>
      <c r="D2033" s="33">
        <v>4430265054</v>
      </c>
      <c r="E2033" s="33">
        <v>778</v>
      </c>
      <c r="F2033" s="33">
        <v>721</v>
      </c>
      <c r="G2033" s="33" t="s">
        <v>38</v>
      </c>
      <c r="H2033" s="33" t="s">
        <v>8584</v>
      </c>
      <c r="I2033" s="33" t="s">
        <v>39</v>
      </c>
      <c r="J2033" s="33" t="s">
        <v>40</v>
      </c>
      <c r="K2033" s="33" t="s">
        <v>41</v>
      </c>
    </row>
    <row r="2034" spans="1:12" s="33" customFormat="1" hidden="1" x14ac:dyDescent="0.3">
      <c r="A2034" s="39">
        <v>46090.72515046296</v>
      </c>
      <c r="B2034" s="33">
        <v>4432520077</v>
      </c>
      <c r="C2034" s="33" t="s">
        <v>45</v>
      </c>
      <c r="D2034" s="33">
        <v>4430265054</v>
      </c>
      <c r="E2034" s="33">
        <v>327</v>
      </c>
      <c r="F2034" s="33">
        <v>294</v>
      </c>
      <c r="G2034" s="33" t="s">
        <v>38</v>
      </c>
      <c r="H2034" s="33" t="s">
        <v>8585</v>
      </c>
      <c r="I2034" s="33" t="s">
        <v>39</v>
      </c>
      <c r="J2034" s="33" t="s">
        <v>40</v>
      </c>
      <c r="K2034" s="33" t="s">
        <v>41</v>
      </c>
    </row>
    <row r="2035" spans="1:12" s="33" customFormat="1" hidden="1" x14ac:dyDescent="0.3">
      <c r="A2035" s="39">
        <v>46090.723414351851</v>
      </c>
      <c r="B2035" s="33">
        <v>4430191401</v>
      </c>
      <c r="C2035" s="33" t="s">
        <v>43</v>
      </c>
      <c r="D2035" s="33">
        <v>4430265054</v>
      </c>
      <c r="E2035" s="33">
        <v>843</v>
      </c>
      <c r="F2035" s="33">
        <v>700</v>
      </c>
      <c r="G2035" s="33" t="s">
        <v>38</v>
      </c>
      <c r="H2035" s="33" t="s">
        <v>8586</v>
      </c>
      <c r="I2035" s="33" t="s">
        <v>39</v>
      </c>
      <c r="J2035" s="33" t="s">
        <v>40</v>
      </c>
      <c r="K2035" s="33" t="s">
        <v>41</v>
      </c>
    </row>
    <row r="2036" spans="1:12" s="33" customFormat="1" hidden="1" x14ac:dyDescent="0.3">
      <c r="A2036" s="39">
        <v>46090.717453703706</v>
      </c>
      <c r="B2036" s="33">
        <v>4432520077</v>
      </c>
      <c r="C2036" s="33">
        <v>4430265054</v>
      </c>
      <c r="D2036" s="33">
        <v>4430265054</v>
      </c>
      <c r="E2036" s="33">
        <v>9</v>
      </c>
      <c r="F2036" s="33">
        <v>8</v>
      </c>
      <c r="G2036" s="33" t="s">
        <v>3449</v>
      </c>
      <c r="H2036" s="33" t="s">
        <v>8587</v>
      </c>
      <c r="I2036" s="33" t="s">
        <v>39</v>
      </c>
      <c r="J2036" s="33" t="s">
        <v>3451</v>
      </c>
    </row>
    <row r="2037" spans="1:12" s="33" customFormat="1" hidden="1" x14ac:dyDescent="0.3">
      <c r="A2037" s="39">
        <v>46090.715937499997</v>
      </c>
      <c r="B2037" s="33">
        <v>4436281154</v>
      </c>
      <c r="C2037" s="33" t="s">
        <v>42</v>
      </c>
      <c r="D2037" s="33">
        <v>4430265054</v>
      </c>
      <c r="E2037" s="33">
        <v>722</v>
      </c>
      <c r="F2037" s="33">
        <v>539</v>
      </c>
      <c r="G2037" s="33" t="s">
        <v>38</v>
      </c>
      <c r="H2037" s="33" t="s">
        <v>8588</v>
      </c>
      <c r="I2037" s="33" t="s">
        <v>39</v>
      </c>
      <c r="J2037" s="33" t="s">
        <v>40</v>
      </c>
      <c r="K2037" s="33" t="s">
        <v>41</v>
      </c>
    </row>
    <row r="2038" spans="1:12" s="33" customFormat="1" hidden="1" x14ac:dyDescent="0.3">
      <c r="A2038" s="39">
        <v>46090.713738425926</v>
      </c>
      <c r="B2038" s="33">
        <v>4430145172</v>
      </c>
      <c r="C2038" s="33" t="s">
        <v>43</v>
      </c>
      <c r="D2038" s="33">
        <v>4430265054</v>
      </c>
      <c r="E2038" s="33">
        <v>447</v>
      </c>
      <c r="F2038" s="33">
        <v>404</v>
      </c>
      <c r="G2038" s="33" t="s">
        <v>38</v>
      </c>
      <c r="H2038" s="33" t="s">
        <v>8589</v>
      </c>
      <c r="I2038" s="33" t="s">
        <v>39</v>
      </c>
      <c r="J2038" s="33" t="s">
        <v>40</v>
      </c>
      <c r="K2038" s="33" t="s">
        <v>41</v>
      </c>
    </row>
    <row r="2039" spans="1:12" s="33" customFormat="1" hidden="1" x14ac:dyDescent="0.3">
      <c r="A2039" s="39">
        <v>46090.712916666664</v>
      </c>
      <c r="B2039" s="33">
        <v>4130105264</v>
      </c>
      <c r="C2039" s="33" t="s">
        <v>45</v>
      </c>
      <c r="D2039" s="33">
        <v>4430265054</v>
      </c>
      <c r="E2039" s="33">
        <v>934</v>
      </c>
      <c r="F2039" s="33">
        <v>912</v>
      </c>
      <c r="G2039" s="33" t="s">
        <v>38</v>
      </c>
      <c r="H2039" s="33" t="s">
        <v>8590</v>
      </c>
      <c r="I2039" s="33" t="s">
        <v>39</v>
      </c>
      <c r="J2039" s="33" t="s">
        <v>40</v>
      </c>
      <c r="K2039" s="33" t="s">
        <v>41</v>
      </c>
      <c r="L2039" s="33">
        <v>3</v>
      </c>
    </row>
    <row r="2040" spans="1:12" s="33" customFormat="1" hidden="1" x14ac:dyDescent="0.3">
      <c r="A2040" s="39">
        <v>46090.695821759262</v>
      </c>
      <c r="B2040" s="33" t="s">
        <v>37</v>
      </c>
      <c r="C2040" s="33">
        <v>4434212150</v>
      </c>
      <c r="E2040" s="33">
        <v>7</v>
      </c>
      <c r="F2040" s="33">
        <v>0</v>
      </c>
      <c r="G2040" s="33" t="s">
        <v>47</v>
      </c>
      <c r="H2040" s="33" t="s">
        <v>8591</v>
      </c>
      <c r="I2040" s="33" t="s">
        <v>46</v>
      </c>
      <c r="J2040" s="33" t="s">
        <v>40</v>
      </c>
    </row>
    <row r="2041" spans="1:12" s="33" customFormat="1" hidden="1" x14ac:dyDescent="0.3">
      <c r="A2041" s="39">
        <v>46090.6953125</v>
      </c>
      <c r="B2041" s="33">
        <v>4430145172</v>
      </c>
      <c r="C2041" s="33" t="s">
        <v>37</v>
      </c>
      <c r="D2041" s="33">
        <v>4430265054</v>
      </c>
      <c r="E2041" s="33">
        <v>408</v>
      </c>
      <c r="F2041" s="33">
        <v>252</v>
      </c>
      <c r="G2041" s="33" t="s">
        <v>38</v>
      </c>
      <c r="H2041" s="33" t="s">
        <v>8592</v>
      </c>
      <c r="I2041" s="33" t="s">
        <v>39</v>
      </c>
      <c r="J2041" s="33" t="s">
        <v>40</v>
      </c>
      <c r="K2041" s="33" t="s">
        <v>41</v>
      </c>
    </row>
    <row r="2042" spans="1:12" s="33" customFormat="1" hidden="1" x14ac:dyDescent="0.3">
      <c r="A2042" s="39">
        <v>46090.691979166666</v>
      </c>
      <c r="B2042" s="33">
        <v>45999211357</v>
      </c>
      <c r="C2042" s="33">
        <v>4431268225</v>
      </c>
      <c r="D2042" s="33">
        <v>4431268225</v>
      </c>
      <c r="E2042" s="33">
        <v>67</v>
      </c>
      <c r="F2042" s="33">
        <v>66</v>
      </c>
      <c r="G2042" s="33" t="s">
        <v>3449</v>
      </c>
      <c r="H2042" s="33" t="s">
        <v>8593</v>
      </c>
      <c r="I2042" s="33" t="s">
        <v>39</v>
      </c>
      <c r="J2042" s="33" t="s">
        <v>3451</v>
      </c>
      <c r="K2042" s="33" t="s">
        <v>41</v>
      </c>
    </row>
    <row r="2043" spans="1:12" s="33" customFormat="1" hidden="1" x14ac:dyDescent="0.3">
      <c r="A2043" s="39">
        <v>46090.690266203703</v>
      </c>
      <c r="B2043" s="33">
        <v>43999317663</v>
      </c>
      <c r="C2043" s="33" t="s">
        <v>42</v>
      </c>
      <c r="D2043" s="33">
        <v>4430265054</v>
      </c>
      <c r="E2043" s="33">
        <v>857</v>
      </c>
      <c r="F2043" s="33">
        <v>731</v>
      </c>
      <c r="G2043" s="33" t="s">
        <v>38</v>
      </c>
      <c r="H2043" s="33" t="s">
        <v>8594</v>
      </c>
      <c r="I2043" s="33" t="s">
        <v>39</v>
      </c>
      <c r="J2043" s="33" t="s">
        <v>40</v>
      </c>
      <c r="K2043" s="33" t="s">
        <v>41</v>
      </c>
    </row>
    <row r="2044" spans="1:12" s="33" customFormat="1" hidden="1" x14ac:dyDescent="0.3">
      <c r="A2044" s="39">
        <v>46090.68546296296</v>
      </c>
      <c r="B2044" s="33" t="s">
        <v>3627</v>
      </c>
      <c r="C2044" s="33">
        <v>65999554934</v>
      </c>
      <c r="E2044" s="33">
        <v>13</v>
      </c>
      <c r="F2044" s="33">
        <v>2</v>
      </c>
      <c r="G2044" s="33" t="s">
        <v>38</v>
      </c>
      <c r="H2044" s="33" t="s">
        <v>8595</v>
      </c>
      <c r="I2044" s="33" t="s">
        <v>46</v>
      </c>
      <c r="J2044" s="33" t="s">
        <v>3629</v>
      </c>
    </row>
    <row r="2045" spans="1:12" s="33" customFormat="1" hidden="1" x14ac:dyDescent="0.3">
      <c r="A2045" s="39">
        <v>46090.685439814813</v>
      </c>
      <c r="B2045" s="33">
        <v>44991388221</v>
      </c>
      <c r="C2045" s="33" t="s">
        <v>37</v>
      </c>
      <c r="D2045" s="33">
        <v>4430265054</v>
      </c>
      <c r="E2045" s="33">
        <v>549</v>
      </c>
      <c r="F2045" s="33">
        <v>337</v>
      </c>
      <c r="G2045" s="33" t="s">
        <v>38</v>
      </c>
      <c r="H2045" s="33" t="s">
        <v>8596</v>
      </c>
      <c r="I2045" s="33" t="s">
        <v>39</v>
      </c>
      <c r="J2045" s="33" t="s">
        <v>40</v>
      </c>
      <c r="K2045" s="33" t="s">
        <v>41</v>
      </c>
      <c r="L2045" s="33">
        <v>5</v>
      </c>
    </row>
    <row r="2046" spans="1:12" s="33" customFormat="1" hidden="1" x14ac:dyDescent="0.3">
      <c r="A2046" s="39">
        <v>46090.678159722222</v>
      </c>
      <c r="B2046" s="33">
        <v>43984810043</v>
      </c>
      <c r="C2046" s="33" t="s">
        <v>44</v>
      </c>
      <c r="D2046" s="33">
        <v>4430265054</v>
      </c>
      <c r="E2046" s="33">
        <v>814</v>
      </c>
      <c r="F2046" s="33">
        <v>669</v>
      </c>
      <c r="G2046" s="33" t="s">
        <v>38</v>
      </c>
      <c r="H2046" s="33" t="s">
        <v>8597</v>
      </c>
      <c r="I2046" s="33" t="s">
        <v>39</v>
      </c>
      <c r="J2046" s="33" t="s">
        <v>40</v>
      </c>
      <c r="K2046" s="33" t="s">
        <v>41</v>
      </c>
    </row>
    <row r="2047" spans="1:12" s="33" customFormat="1" hidden="1" x14ac:dyDescent="0.3">
      <c r="A2047" s="39">
        <v>46090.676851851851</v>
      </c>
      <c r="B2047" s="33" t="s">
        <v>37</v>
      </c>
      <c r="C2047" s="33">
        <v>4334234629</v>
      </c>
      <c r="E2047" s="33">
        <v>725</v>
      </c>
      <c r="F2047" s="33">
        <v>714</v>
      </c>
      <c r="G2047" s="33" t="s">
        <v>38</v>
      </c>
      <c r="H2047" s="33" t="s">
        <v>8598</v>
      </c>
      <c r="I2047" s="33" t="s">
        <v>46</v>
      </c>
      <c r="J2047" s="33" t="s">
        <v>40</v>
      </c>
      <c r="L2047" s="33">
        <v>4</v>
      </c>
    </row>
    <row r="2048" spans="1:12" s="33" customFormat="1" hidden="1" x14ac:dyDescent="0.3">
      <c r="A2048" s="39">
        <v>46090.676203703704</v>
      </c>
      <c r="B2048" s="33">
        <v>93991064249</v>
      </c>
      <c r="C2048" s="33" t="s">
        <v>5173</v>
      </c>
      <c r="D2048" s="33">
        <v>4430265054</v>
      </c>
      <c r="E2048" s="33">
        <v>608</v>
      </c>
      <c r="F2048" s="33">
        <v>583</v>
      </c>
      <c r="G2048" s="33" t="s">
        <v>38</v>
      </c>
      <c r="H2048" s="33" t="s">
        <v>8599</v>
      </c>
      <c r="I2048" s="33" t="s">
        <v>39</v>
      </c>
      <c r="J2048" s="33" t="s">
        <v>3629</v>
      </c>
      <c r="K2048" s="33" t="s">
        <v>50</v>
      </c>
    </row>
    <row r="2049" spans="1:12" s="33" customFormat="1" hidden="1" x14ac:dyDescent="0.3">
      <c r="A2049" s="39">
        <v>46090.675138888888</v>
      </c>
      <c r="B2049" s="33">
        <v>4130263118</v>
      </c>
      <c r="C2049" s="33" t="s">
        <v>48</v>
      </c>
      <c r="D2049" s="33">
        <v>4430265054</v>
      </c>
      <c r="E2049" s="33">
        <v>1038</v>
      </c>
      <c r="F2049" s="33">
        <v>1037</v>
      </c>
      <c r="G2049" s="33" t="s">
        <v>38</v>
      </c>
      <c r="H2049" s="33" t="s">
        <v>8600</v>
      </c>
      <c r="I2049" s="33" t="s">
        <v>39</v>
      </c>
      <c r="J2049" s="33" t="s">
        <v>40</v>
      </c>
      <c r="K2049" s="33" t="s">
        <v>41</v>
      </c>
    </row>
    <row r="2050" spans="1:12" s="33" customFormat="1" hidden="1" x14ac:dyDescent="0.3">
      <c r="A2050" s="39">
        <v>46090.673842592594</v>
      </c>
      <c r="B2050" s="33">
        <v>93991064249</v>
      </c>
      <c r="C2050" s="33">
        <v>4430265054</v>
      </c>
      <c r="D2050" s="33">
        <v>4430265054</v>
      </c>
      <c r="E2050" s="33">
        <v>130</v>
      </c>
      <c r="F2050" s="33">
        <v>129</v>
      </c>
      <c r="G2050" s="33" t="s">
        <v>3449</v>
      </c>
      <c r="H2050" s="33" t="s">
        <v>8601</v>
      </c>
      <c r="I2050" s="33" t="s">
        <v>39</v>
      </c>
      <c r="J2050" s="33" t="s">
        <v>3451</v>
      </c>
      <c r="K2050" s="33" t="s">
        <v>41</v>
      </c>
    </row>
    <row r="2051" spans="1:12" s="33" customFormat="1" x14ac:dyDescent="0.3">
      <c r="A2051" s="39">
        <v>46090.669918981483</v>
      </c>
      <c r="B2051" s="33">
        <v>4130775695</v>
      </c>
      <c r="C2051" s="33" t="s">
        <v>42</v>
      </c>
      <c r="D2051" s="33">
        <v>4430265054</v>
      </c>
      <c r="E2051" s="33">
        <v>922</v>
      </c>
      <c r="F2051" s="33">
        <v>869</v>
      </c>
      <c r="G2051" s="33" t="s">
        <v>38</v>
      </c>
      <c r="H2051" s="33" t="s">
        <v>8602</v>
      </c>
      <c r="I2051" s="33" t="s">
        <v>39</v>
      </c>
      <c r="J2051" s="33" t="s">
        <v>40</v>
      </c>
      <c r="K2051" s="33" t="s">
        <v>41</v>
      </c>
      <c r="L2051" s="33">
        <v>5</v>
      </c>
    </row>
    <row r="2052" spans="1:12" s="33" customFormat="1" hidden="1" x14ac:dyDescent="0.3">
      <c r="A2052" s="39">
        <v>46090.665208333332</v>
      </c>
      <c r="B2052" s="33" t="s">
        <v>48</v>
      </c>
      <c r="C2052" s="33">
        <v>41999880568</v>
      </c>
      <c r="E2052" s="33">
        <v>9</v>
      </c>
      <c r="F2052" s="33">
        <v>0</v>
      </c>
      <c r="G2052" s="33" t="s">
        <v>47</v>
      </c>
      <c r="H2052" s="33" t="s">
        <v>8603</v>
      </c>
      <c r="I2052" s="33" t="s">
        <v>46</v>
      </c>
      <c r="J2052" s="33" t="s">
        <v>40</v>
      </c>
    </row>
    <row r="2053" spans="1:12" s="33" customFormat="1" hidden="1" x14ac:dyDescent="0.3">
      <c r="A2053" s="39">
        <v>46090.66479166667</v>
      </c>
      <c r="B2053" s="33">
        <v>44999497001</v>
      </c>
      <c r="C2053" s="33" t="s">
        <v>44</v>
      </c>
      <c r="D2053" s="33">
        <v>4430265054</v>
      </c>
      <c r="E2053" s="33">
        <v>500</v>
      </c>
      <c r="F2053" s="33">
        <v>400</v>
      </c>
      <c r="G2053" s="33" t="s">
        <v>38</v>
      </c>
      <c r="H2053" s="33" t="s">
        <v>8604</v>
      </c>
      <c r="I2053" s="33" t="s">
        <v>39</v>
      </c>
      <c r="J2053" s="33" t="s">
        <v>40</v>
      </c>
      <c r="K2053" s="33" t="s">
        <v>41</v>
      </c>
    </row>
    <row r="2054" spans="1:12" s="33" customFormat="1" hidden="1" x14ac:dyDescent="0.3">
      <c r="A2054" s="39">
        <v>46090.662245370368</v>
      </c>
      <c r="B2054" s="33">
        <v>43984040334</v>
      </c>
      <c r="C2054" s="33" t="s">
        <v>45</v>
      </c>
      <c r="D2054" s="33">
        <v>4430265054</v>
      </c>
      <c r="E2054" s="33">
        <v>965</v>
      </c>
      <c r="F2054" s="33">
        <v>913</v>
      </c>
      <c r="G2054" s="33" t="s">
        <v>38</v>
      </c>
      <c r="H2054" s="33" t="s">
        <v>8605</v>
      </c>
      <c r="I2054" s="33" t="s">
        <v>39</v>
      </c>
      <c r="J2054" s="33" t="s">
        <v>40</v>
      </c>
      <c r="K2054" s="33" t="s">
        <v>41</v>
      </c>
    </row>
    <row r="2055" spans="1:12" s="33" customFormat="1" hidden="1" x14ac:dyDescent="0.3">
      <c r="A2055" s="39">
        <v>46090.660995370374</v>
      </c>
      <c r="B2055" s="33" t="s">
        <v>48</v>
      </c>
      <c r="C2055" s="33">
        <v>81986261961</v>
      </c>
      <c r="E2055" s="33">
        <v>58</v>
      </c>
      <c r="F2055" s="33">
        <v>47</v>
      </c>
      <c r="G2055" s="33" t="s">
        <v>38</v>
      </c>
      <c r="H2055" s="33" t="s">
        <v>8606</v>
      </c>
      <c r="I2055" s="33" t="s">
        <v>46</v>
      </c>
      <c r="J2055" s="33" t="s">
        <v>40</v>
      </c>
    </row>
    <row r="2056" spans="1:12" s="33" customFormat="1" hidden="1" x14ac:dyDescent="0.3">
      <c r="A2056" s="39">
        <v>46090.660266203704</v>
      </c>
      <c r="B2056" s="33" t="s">
        <v>48</v>
      </c>
      <c r="C2056" s="33">
        <v>81988293889</v>
      </c>
      <c r="E2056" s="33">
        <v>64</v>
      </c>
      <c r="F2056" s="33">
        <v>26</v>
      </c>
      <c r="G2056" s="33" t="s">
        <v>38</v>
      </c>
      <c r="H2056" s="33" t="s">
        <v>8607</v>
      </c>
      <c r="I2056" s="33" t="s">
        <v>46</v>
      </c>
      <c r="J2056" s="33" t="s">
        <v>40</v>
      </c>
    </row>
    <row r="2057" spans="1:12" s="33" customFormat="1" hidden="1" x14ac:dyDescent="0.3">
      <c r="A2057" s="39">
        <v>46090.659803240742</v>
      </c>
      <c r="B2057" s="33" t="s">
        <v>3627</v>
      </c>
      <c r="C2057" s="33">
        <v>85992354971</v>
      </c>
      <c r="E2057" s="33">
        <v>36</v>
      </c>
      <c r="F2057" s="33">
        <v>0</v>
      </c>
      <c r="G2057" s="33" t="s">
        <v>47</v>
      </c>
      <c r="H2057" s="33" t="s">
        <v>8608</v>
      </c>
      <c r="I2057" s="33" t="s">
        <v>46</v>
      </c>
      <c r="J2057" s="33" t="s">
        <v>3629</v>
      </c>
    </row>
    <row r="2058" spans="1:12" s="33" customFormat="1" hidden="1" x14ac:dyDescent="0.3">
      <c r="A2058" s="39">
        <v>46090.653194444443</v>
      </c>
      <c r="B2058" s="33">
        <v>4436281154</v>
      </c>
      <c r="C2058" s="33" t="s">
        <v>43</v>
      </c>
      <c r="D2058" s="33">
        <v>4430265054</v>
      </c>
      <c r="E2058" s="33">
        <v>244</v>
      </c>
      <c r="F2058" s="33">
        <v>107</v>
      </c>
      <c r="G2058" s="33" t="s">
        <v>38</v>
      </c>
      <c r="H2058" s="33" t="s">
        <v>8609</v>
      </c>
      <c r="I2058" s="33" t="s">
        <v>39</v>
      </c>
      <c r="J2058" s="33" t="s">
        <v>40</v>
      </c>
      <c r="K2058" s="33" t="s">
        <v>41</v>
      </c>
    </row>
    <row r="2059" spans="1:12" s="33" customFormat="1" hidden="1" x14ac:dyDescent="0.3">
      <c r="A2059" s="39">
        <v>46090.652673611112</v>
      </c>
      <c r="B2059" s="33">
        <v>4436281154</v>
      </c>
      <c r="C2059" s="33" t="s">
        <v>5173</v>
      </c>
      <c r="D2059" s="33">
        <v>4430265054</v>
      </c>
      <c r="E2059" s="33">
        <v>42</v>
      </c>
      <c r="F2059" s="33">
        <v>17</v>
      </c>
      <c r="G2059" s="33" t="s">
        <v>38</v>
      </c>
      <c r="H2059" s="33" t="s">
        <v>8610</v>
      </c>
      <c r="I2059" s="33" t="s">
        <v>39</v>
      </c>
      <c r="J2059" s="33" t="s">
        <v>3629</v>
      </c>
      <c r="K2059" s="33" t="s">
        <v>50</v>
      </c>
    </row>
    <row r="2060" spans="1:12" s="33" customFormat="1" hidden="1" x14ac:dyDescent="0.3">
      <c r="A2060" s="39">
        <v>46090.651354166665</v>
      </c>
      <c r="B2060" s="33">
        <v>4334234629</v>
      </c>
      <c r="C2060" s="33" t="s">
        <v>37</v>
      </c>
      <c r="D2060" s="33">
        <v>4430265054</v>
      </c>
      <c r="E2060" s="33">
        <v>1442</v>
      </c>
      <c r="F2060" s="33">
        <v>1407</v>
      </c>
      <c r="G2060" s="33" t="s">
        <v>38</v>
      </c>
      <c r="H2060" s="33" t="s">
        <v>8611</v>
      </c>
      <c r="I2060" s="33" t="s">
        <v>39</v>
      </c>
      <c r="J2060" s="33" t="s">
        <v>40</v>
      </c>
      <c r="K2060" s="33" t="s">
        <v>41</v>
      </c>
    </row>
    <row r="2061" spans="1:12" s="33" customFormat="1" x14ac:dyDescent="0.3">
      <c r="A2061" s="39">
        <v>46090.651087962964</v>
      </c>
      <c r="B2061" s="33">
        <v>4432520627</v>
      </c>
      <c r="C2061" s="33" t="s">
        <v>42</v>
      </c>
      <c r="D2061" s="33">
        <v>4430265054</v>
      </c>
      <c r="E2061" s="33">
        <v>563</v>
      </c>
      <c r="F2061" s="33">
        <v>519</v>
      </c>
      <c r="G2061" s="33" t="s">
        <v>38</v>
      </c>
      <c r="H2061" s="33" t="s">
        <v>8612</v>
      </c>
      <c r="I2061" s="33" t="s">
        <v>39</v>
      </c>
      <c r="J2061" s="33" t="s">
        <v>40</v>
      </c>
      <c r="K2061" s="33" t="s">
        <v>41</v>
      </c>
      <c r="L2061" s="33">
        <v>5</v>
      </c>
    </row>
    <row r="2062" spans="1:12" s="33" customFormat="1" hidden="1" x14ac:dyDescent="0.3">
      <c r="A2062" s="39">
        <v>46090.646412037036</v>
      </c>
      <c r="B2062" s="33">
        <v>4430141133</v>
      </c>
      <c r="C2062" s="33" t="s">
        <v>45</v>
      </c>
      <c r="D2062" s="33">
        <v>4430265054</v>
      </c>
      <c r="E2062" s="33">
        <v>1001</v>
      </c>
      <c r="F2062" s="33">
        <v>944</v>
      </c>
      <c r="G2062" s="33" t="s">
        <v>38</v>
      </c>
      <c r="H2062" s="33" t="s">
        <v>8613</v>
      </c>
      <c r="I2062" s="33" t="s">
        <v>39</v>
      </c>
      <c r="J2062" s="33" t="s">
        <v>40</v>
      </c>
      <c r="K2062" s="33" t="s">
        <v>41</v>
      </c>
      <c r="L2062" s="33">
        <v>5</v>
      </c>
    </row>
    <row r="2063" spans="1:12" s="33" customFormat="1" hidden="1" x14ac:dyDescent="0.3">
      <c r="A2063" s="39">
        <v>46090.644675925927</v>
      </c>
      <c r="B2063" s="33" t="s">
        <v>44</v>
      </c>
      <c r="C2063" s="33">
        <v>4334226481</v>
      </c>
      <c r="E2063" s="33">
        <v>1110</v>
      </c>
      <c r="F2063" s="33">
        <v>1099</v>
      </c>
      <c r="G2063" s="33" t="s">
        <v>38</v>
      </c>
      <c r="H2063" s="33" t="s">
        <v>8614</v>
      </c>
      <c r="I2063" s="33" t="s">
        <v>46</v>
      </c>
      <c r="J2063" s="33" t="s">
        <v>40</v>
      </c>
    </row>
    <row r="2064" spans="1:12" s="33" customFormat="1" hidden="1" x14ac:dyDescent="0.3">
      <c r="A2064" s="39">
        <v>46090.641180555554</v>
      </c>
      <c r="B2064" s="33" t="s">
        <v>5173</v>
      </c>
      <c r="C2064" s="33">
        <v>99984210232</v>
      </c>
      <c r="E2064" s="33">
        <v>44</v>
      </c>
      <c r="F2064" s="33">
        <v>20</v>
      </c>
      <c r="G2064" s="33" t="s">
        <v>38</v>
      </c>
      <c r="H2064" s="33" t="s">
        <v>8615</v>
      </c>
      <c r="I2064" s="33" t="s">
        <v>46</v>
      </c>
      <c r="J2064" s="33" t="s">
        <v>3629</v>
      </c>
    </row>
    <row r="2065" spans="1:12" s="33" customFormat="1" hidden="1" x14ac:dyDescent="0.3">
      <c r="A2065" s="39">
        <v>46090.639537037037</v>
      </c>
      <c r="B2065" s="33">
        <v>44937562600</v>
      </c>
      <c r="C2065" s="33" t="s">
        <v>45</v>
      </c>
      <c r="D2065" s="33">
        <v>4430265054</v>
      </c>
      <c r="E2065" s="33">
        <v>359</v>
      </c>
      <c r="F2065" s="33">
        <v>172</v>
      </c>
      <c r="G2065" s="33" t="s">
        <v>38</v>
      </c>
      <c r="H2065" s="33" t="s">
        <v>8616</v>
      </c>
      <c r="I2065" s="33" t="s">
        <v>39</v>
      </c>
      <c r="J2065" s="33" t="s">
        <v>40</v>
      </c>
      <c r="K2065" s="33" t="s">
        <v>41</v>
      </c>
    </row>
    <row r="2066" spans="1:12" s="33" customFormat="1" hidden="1" x14ac:dyDescent="0.3">
      <c r="A2066" s="39">
        <v>46090.637511574074</v>
      </c>
      <c r="B2066" s="33">
        <v>11934552189</v>
      </c>
      <c r="C2066" s="33" t="s">
        <v>45</v>
      </c>
      <c r="D2066" s="33">
        <v>4430265054</v>
      </c>
      <c r="E2066" s="33">
        <v>168</v>
      </c>
      <c r="F2066" s="33">
        <v>128</v>
      </c>
      <c r="G2066" s="33" t="s">
        <v>38</v>
      </c>
      <c r="H2066" s="33" t="s">
        <v>8617</v>
      </c>
      <c r="I2066" s="33" t="s">
        <v>39</v>
      </c>
      <c r="J2066" s="33" t="s">
        <v>40</v>
      </c>
      <c r="K2066" s="33" t="s">
        <v>41</v>
      </c>
      <c r="L2066" s="33">
        <v>5</v>
      </c>
    </row>
    <row r="2067" spans="1:12" s="33" customFormat="1" hidden="1" x14ac:dyDescent="0.3">
      <c r="A2067" s="39">
        <v>46090.633784722224</v>
      </c>
      <c r="B2067" s="33">
        <v>67992169496</v>
      </c>
      <c r="C2067" s="33" t="s">
        <v>37</v>
      </c>
      <c r="D2067" s="33">
        <v>4430265054</v>
      </c>
      <c r="E2067" s="33">
        <v>209</v>
      </c>
      <c r="F2067" s="33">
        <v>179</v>
      </c>
      <c r="G2067" s="33" t="s">
        <v>38</v>
      </c>
      <c r="H2067" s="33" t="s">
        <v>8618</v>
      </c>
      <c r="I2067" s="33" t="s">
        <v>39</v>
      </c>
      <c r="J2067" s="33" t="s">
        <v>40</v>
      </c>
      <c r="K2067" s="33" t="s">
        <v>41</v>
      </c>
    </row>
    <row r="2068" spans="1:12" s="33" customFormat="1" hidden="1" x14ac:dyDescent="0.3">
      <c r="A2068" s="39">
        <v>46090.632824074077</v>
      </c>
      <c r="B2068" s="33" t="s">
        <v>51</v>
      </c>
      <c r="C2068" s="33" t="s">
        <v>5173</v>
      </c>
      <c r="E2068" s="33">
        <v>2</v>
      </c>
      <c r="F2068" s="33">
        <v>0</v>
      </c>
      <c r="G2068" s="33" t="s">
        <v>47</v>
      </c>
      <c r="H2068" s="33" t="s">
        <v>8619</v>
      </c>
      <c r="I2068" s="33" t="s">
        <v>52</v>
      </c>
      <c r="J2068" s="33" t="s">
        <v>3629</v>
      </c>
    </row>
    <row r="2069" spans="1:12" s="33" customFormat="1" hidden="1" x14ac:dyDescent="0.3">
      <c r="A2069" s="39">
        <v>46090.625636574077</v>
      </c>
      <c r="B2069" s="33" t="s">
        <v>5173</v>
      </c>
      <c r="C2069" s="33" t="s">
        <v>3627</v>
      </c>
      <c r="E2069" s="33">
        <v>601</v>
      </c>
      <c r="F2069" s="33">
        <v>595</v>
      </c>
      <c r="G2069" s="33" t="s">
        <v>38</v>
      </c>
      <c r="H2069" s="33" t="s">
        <v>8620</v>
      </c>
      <c r="I2069" s="33" t="s">
        <v>52</v>
      </c>
      <c r="J2069" s="33" t="s">
        <v>3629</v>
      </c>
    </row>
    <row r="2070" spans="1:12" s="33" customFormat="1" hidden="1" x14ac:dyDescent="0.3">
      <c r="A2070" s="39">
        <v>46090.625555555554</v>
      </c>
      <c r="B2070" s="33" t="s">
        <v>51</v>
      </c>
      <c r="C2070" s="33" t="s">
        <v>5173</v>
      </c>
      <c r="E2070" s="33">
        <v>1</v>
      </c>
      <c r="F2070" s="33">
        <v>0</v>
      </c>
      <c r="G2070" s="33" t="s">
        <v>47</v>
      </c>
      <c r="H2070" s="33" t="s">
        <v>8621</v>
      </c>
      <c r="I2070" s="33" t="s">
        <v>52</v>
      </c>
      <c r="J2070" s="33" t="s">
        <v>3629</v>
      </c>
    </row>
    <row r="2071" spans="1:12" s="33" customFormat="1" hidden="1" x14ac:dyDescent="0.3">
      <c r="A2071" s="39">
        <v>46090.625243055554</v>
      </c>
      <c r="B2071" s="33" t="s">
        <v>51</v>
      </c>
      <c r="C2071" s="33" t="s">
        <v>5173</v>
      </c>
      <c r="E2071" s="33">
        <v>3</v>
      </c>
      <c r="F2071" s="33">
        <v>0</v>
      </c>
      <c r="G2071" s="33" t="s">
        <v>47</v>
      </c>
      <c r="H2071" s="33" t="s">
        <v>8622</v>
      </c>
      <c r="I2071" s="33" t="s">
        <v>52</v>
      </c>
      <c r="J2071" s="33" t="s">
        <v>3629</v>
      </c>
    </row>
    <row r="2072" spans="1:12" s="33" customFormat="1" hidden="1" x14ac:dyDescent="0.3">
      <c r="A2072" s="39">
        <v>46090.624328703707</v>
      </c>
      <c r="B2072" s="33" t="s">
        <v>51</v>
      </c>
      <c r="C2072" s="33" t="s">
        <v>5173</v>
      </c>
      <c r="E2072" s="33">
        <v>3</v>
      </c>
      <c r="F2072" s="33">
        <v>0</v>
      </c>
      <c r="G2072" s="33" t="s">
        <v>47</v>
      </c>
      <c r="H2072" s="33" t="s">
        <v>8623</v>
      </c>
      <c r="I2072" s="33" t="s">
        <v>52</v>
      </c>
      <c r="J2072" s="33" t="s">
        <v>3629</v>
      </c>
    </row>
    <row r="2073" spans="1:12" s="33" customFormat="1" hidden="1" x14ac:dyDescent="0.3">
      <c r="A2073" s="39">
        <v>46090.624166666668</v>
      </c>
      <c r="B2073" s="33">
        <v>4334226481</v>
      </c>
      <c r="C2073" s="33" t="s">
        <v>44</v>
      </c>
      <c r="D2073" s="33">
        <v>4430265054</v>
      </c>
      <c r="E2073" s="33">
        <v>648</v>
      </c>
      <c r="F2073" s="33">
        <v>449</v>
      </c>
      <c r="G2073" s="33" t="s">
        <v>38</v>
      </c>
      <c r="H2073" s="33" t="s">
        <v>8624</v>
      </c>
      <c r="I2073" s="33" t="s">
        <v>39</v>
      </c>
      <c r="J2073" s="33" t="s">
        <v>40</v>
      </c>
      <c r="K2073" s="33" t="s">
        <v>41</v>
      </c>
    </row>
    <row r="2074" spans="1:12" s="33" customFormat="1" hidden="1" x14ac:dyDescent="0.3">
      <c r="A2074" s="39">
        <v>46090.623495370368</v>
      </c>
      <c r="B2074" s="33" t="s">
        <v>51</v>
      </c>
      <c r="C2074" s="33" t="s">
        <v>5173</v>
      </c>
      <c r="E2074" s="33">
        <v>3</v>
      </c>
      <c r="F2074" s="33">
        <v>0</v>
      </c>
      <c r="G2074" s="33" t="s">
        <v>47</v>
      </c>
      <c r="H2074" s="33" t="s">
        <v>8625</v>
      </c>
      <c r="I2074" s="33" t="s">
        <v>52</v>
      </c>
      <c r="J2074" s="33" t="s">
        <v>3629</v>
      </c>
    </row>
    <row r="2075" spans="1:12" s="33" customFormat="1" hidden="1" x14ac:dyDescent="0.3">
      <c r="A2075" s="39">
        <v>46090.622465277775</v>
      </c>
      <c r="B2075" s="33">
        <v>2222100098</v>
      </c>
      <c r="C2075" s="33" t="s">
        <v>37</v>
      </c>
      <c r="D2075" s="33">
        <v>4430265054</v>
      </c>
      <c r="E2075" s="33">
        <v>1014</v>
      </c>
      <c r="F2075" s="33">
        <v>952</v>
      </c>
      <c r="G2075" s="33" t="s">
        <v>38</v>
      </c>
      <c r="H2075" s="33" t="s">
        <v>8626</v>
      </c>
      <c r="I2075" s="33" t="s">
        <v>39</v>
      </c>
      <c r="J2075" s="33" t="s">
        <v>40</v>
      </c>
      <c r="K2075" s="33" t="s">
        <v>41</v>
      </c>
    </row>
    <row r="2076" spans="1:12" s="33" customFormat="1" hidden="1" x14ac:dyDescent="0.3">
      <c r="A2076" s="39">
        <v>46090.619768518518</v>
      </c>
      <c r="B2076" s="33">
        <v>44991566223</v>
      </c>
      <c r="C2076" s="33" t="s">
        <v>48</v>
      </c>
      <c r="D2076" s="33">
        <v>4430265054</v>
      </c>
      <c r="E2076" s="33">
        <v>492</v>
      </c>
      <c r="F2076" s="33">
        <v>491</v>
      </c>
      <c r="G2076" s="33" t="s">
        <v>38</v>
      </c>
      <c r="H2076" s="33" t="s">
        <v>8627</v>
      </c>
      <c r="I2076" s="33" t="s">
        <v>39</v>
      </c>
      <c r="J2076" s="33" t="s">
        <v>40</v>
      </c>
      <c r="K2076" s="33" t="s">
        <v>41</v>
      </c>
    </row>
    <row r="2077" spans="1:12" s="33" customFormat="1" hidden="1" x14ac:dyDescent="0.3">
      <c r="A2077" s="39">
        <v>46090.615243055552</v>
      </c>
      <c r="B2077" s="33">
        <v>17992219707</v>
      </c>
      <c r="C2077" s="33" t="s">
        <v>44</v>
      </c>
      <c r="D2077" s="33">
        <v>4430265054</v>
      </c>
      <c r="E2077" s="33">
        <v>523</v>
      </c>
      <c r="F2077" s="33">
        <v>364</v>
      </c>
      <c r="G2077" s="33" t="s">
        <v>38</v>
      </c>
      <c r="H2077" s="33" t="s">
        <v>8628</v>
      </c>
      <c r="I2077" s="33" t="s">
        <v>39</v>
      </c>
      <c r="J2077" s="33" t="s">
        <v>40</v>
      </c>
      <c r="K2077" s="33" t="s">
        <v>41</v>
      </c>
    </row>
    <row r="2078" spans="1:12" s="33" customFormat="1" hidden="1" x14ac:dyDescent="0.3">
      <c r="A2078" s="39">
        <v>46090.614652777775</v>
      </c>
      <c r="B2078" s="33">
        <v>44991566223</v>
      </c>
      <c r="C2078" s="33">
        <v>4430265054</v>
      </c>
      <c r="D2078" s="33">
        <v>4430265054</v>
      </c>
      <c r="E2078" s="33">
        <v>28</v>
      </c>
      <c r="F2078" s="33">
        <v>28</v>
      </c>
      <c r="G2078" s="33" t="s">
        <v>3449</v>
      </c>
      <c r="H2078" s="33" t="s">
        <v>8629</v>
      </c>
      <c r="I2078" s="33" t="s">
        <v>39</v>
      </c>
      <c r="J2078" s="33" t="s">
        <v>3451</v>
      </c>
    </row>
    <row r="2079" spans="1:12" s="33" customFormat="1" hidden="1" x14ac:dyDescent="0.3">
      <c r="A2079" s="39">
        <v>46090.614444444444</v>
      </c>
      <c r="B2079" s="33">
        <v>4436281154</v>
      </c>
      <c r="C2079" s="33" t="s">
        <v>37</v>
      </c>
      <c r="D2079" s="33">
        <v>4430265054</v>
      </c>
      <c r="E2079" s="33">
        <v>249</v>
      </c>
      <c r="F2079" s="33">
        <v>78</v>
      </c>
      <c r="G2079" s="33" t="s">
        <v>38</v>
      </c>
      <c r="H2079" s="33" t="s">
        <v>8630</v>
      </c>
      <c r="I2079" s="33" t="s">
        <v>39</v>
      </c>
      <c r="J2079" s="33" t="s">
        <v>40</v>
      </c>
      <c r="K2079" s="33" t="s">
        <v>41</v>
      </c>
    </row>
    <row r="2080" spans="1:12" s="33" customFormat="1" hidden="1" x14ac:dyDescent="0.3">
      <c r="A2080" s="39">
        <v>46090.611886574072</v>
      </c>
      <c r="B2080" s="33">
        <v>12997611769</v>
      </c>
      <c r="C2080" s="33" t="s">
        <v>45</v>
      </c>
      <c r="D2080" s="33">
        <v>4430265054</v>
      </c>
      <c r="E2080" s="33">
        <v>1610</v>
      </c>
      <c r="F2080" s="33">
        <v>1531</v>
      </c>
      <c r="G2080" s="33" t="s">
        <v>38</v>
      </c>
      <c r="H2080" s="33" t="s">
        <v>8631</v>
      </c>
      <c r="I2080" s="33" t="s">
        <v>39</v>
      </c>
      <c r="J2080" s="33" t="s">
        <v>40</v>
      </c>
      <c r="K2080" s="33" t="s">
        <v>41</v>
      </c>
      <c r="L2080" s="33">
        <v>5</v>
      </c>
    </row>
    <row r="2081" spans="1:12" s="33" customFormat="1" hidden="1" x14ac:dyDescent="0.3">
      <c r="A2081" s="39">
        <v>46090.601539351854</v>
      </c>
      <c r="B2081" s="33" t="s">
        <v>43</v>
      </c>
      <c r="C2081" s="33">
        <v>44998717172</v>
      </c>
      <c r="E2081" s="33">
        <v>224</v>
      </c>
      <c r="F2081" s="33">
        <v>217</v>
      </c>
      <c r="G2081" s="33" t="s">
        <v>38</v>
      </c>
      <c r="H2081" s="33" t="s">
        <v>8632</v>
      </c>
      <c r="I2081" s="33" t="s">
        <v>46</v>
      </c>
      <c r="J2081" s="33" t="s">
        <v>40</v>
      </c>
    </row>
    <row r="2082" spans="1:12" s="33" customFormat="1" hidden="1" x14ac:dyDescent="0.3">
      <c r="A2082" s="39">
        <v>46090.60056712963</v>
      </c>
      <c r="B2082" s="33">
        <v>4440092826</v>
      </c>
      <c r="C2082" s="33" t="s">
        <v>45</v>
      </c>
      <c r="D2082" s="33">
        <v>4430265054</v>
      </c>
      <c r="E2082" s="33">
        <v>275</v>
      </c>
      <c r="F2082" s="33">
        <v>185</v>
      </c>
      <c r="G2082" s="33" t="s">
        <v>38</v>
      </c>
      <c r="H2082" s="33" t="s">
        <v>8633</v>
      </c>
      <c r="I2082" s="33" t="s">
        <v>39</v>
      </c>
      <c r="J2082" s="33" t="s">
        <v>40</v>
      </c>
      <c r="K2082" s="33" t="s">
        <v>41</v>
      </c>
    </row>
    <row r="2083" spans="1:12" s="33" customFormat="1" x14ac:dyDescent="0.3">
      <c r="A2083" s="39">
        <v>46090.595868055556</v>
      </c>
      <c r="B2083" s="33">
        <v>44991174709</v>
      </c>
      <c r="C2083" s="33" t="s">
        <v>42</v>
      </c>
      <c r="D2083" s="33">
        <v>4430265054</v>
      </c>
      <c r="E2083" s="33">
        <v>386</v>
      </c>
      <c r="F2083" s="33">
        <v>330</v>
      </c>
      <c r="G2083" s="33" t="s">
        <v>38</v>
      </c>
      <c r="H2083" s="33" t="s">
        <v>8634</v>
      </c>
      <c r="I2083" s="33" t="s">
        <v>39</v>
      </c>
      <c r="J2083" s="33" t="s">
        <v>40</v>
      </c>
      <c r="K2083" s="33" t="s">
        <v>41</v>
      </c>
      <c r="L2083" s="33">
        <v>5</v>
      </c>
    </row>
    <row r="2084" spans="1:12" s="33" customFormat="1" hidden="1" x14ac:dyDescent="0.3">
      <c r="A2084" s="39">
        <v>46090.593923611108</v>
      </c>
      <c r="B2084" s="33">
        <v>4430282545</v>
      </c>
      <c r="C2084" s="33" t="s">
        <v>45</v>
      </c>
      <c r="D2084" s="33">
        <v>4430265054</v>
      </c>
      <c r="E2084" s="33">
        <v>431</v>
      </c>
      <c r="F2084" s="33">
        <v>328</v>
      </c>
      <c r="G2084" s="33" t="s">
        <v>38</v>
      </c>
      <c r="H2084" s="33" t="s">
        <v>8635</v>
      </c>
      <c r="I2084" s="33" t="s">
        <v>39</v>
      </c>
      <c r="J2084" s="33" t="s">
        <v>40</v>
      </c>
      <c r="K2084" s="33" t="s">
        <v>41</v>
      </c>
    </row>
    <row r="2085" spans="1:12" s="33" customFormat="1" hidden="1" x14ac:dyDescent="0.3">
      <c r="A2085" s="39">
        <v>46090.593611111108</v>
      </c>
      <c r="B2085" s="33">
        <v>44997650834</v>
      </c>
      <c r="C2085" s="33" t="s">
        <v>43</v>
      </c>
      <c r="D2085" s="33">
        <v>4430265054</v>
      </c>
      <c r="E2085" s="33">
        <v>578</v>
      </c>
      <c r="F2085" s="33">
        <v>488</v>
      </c>
      <c r="G2085" s="33" t="s">
        <v>38</v>
      </c>
      <c r="H2085" s="33" t="s">
        <v>8636</v>
      </c>
      <c r="I2085" s="33" t="s">
        <v>39</v>
      </c>
      <c r="J2085" s="33" t="s">
        <v>40</v>
      </c>
      <c r="K2085" s="33" t="s">
        <v>41</v>
      </c>
      <c r="L2085" s="33">
        <v>5</v>
      </c>
    </row>
    <row r="2086" spans="1:12" s="33" customFormat="1" hidden="1" x14ac:dyDescent="0.3">
      <c r="A2086" s="39">
        <v>46090.593298611115</v>
      </c>
      <c r="B2086" s="33">
        <v>4430318514</v>
      </c>
      <c r="C2086" s="33" t="s">
        <v>37</v>
      </c>
      <c r="D2086" s="33">
        <v>4430265054</v>
      </c>
      <c r="E2086" s="33">
        <v>306</v>
      </c>
      <c r="F2086" s="33">
        <v>280</v>
      </c>
      <c r="G2086" s="33" t="s">
        <v>38</v>
      </c>
      <c r="H2086" s="33" t="s">
        <v>8637</v>
      </c>
      <c r="I2086" s="33" t="s">
        <v>39</v>
      </c>
      <c r="J2086" s="33" t="s">
        <v>40</v>
      </c>
      <c r="K2086" s="33" t="s">
        <v>41</v>
      </c>
    </row>
    <row r="2087" spans="1:12" s="33" customFormat="1" hidden="1" x14ac:dyDescent="0.3">
      <c r="A2087" s="39">
        <v>46090.588680555556</v>
      </c>
      <c r="B2087" s="33">
        <v>4330333558</v>
      </c>
      <c r="C2087" s="33" t="s">
        <v>45</v>
      </c>
      <c r="D2087" s="33">
        <v>4430265054</v>
      </c>
      <c r="E2087" s="33">
        <v>480</v>
      </c>
      <c r="F2087" s="33">
        <v>439</v>
      </c>
      <c r="G2087" s="33" t="s">
        <v>38</v>
      </c>
      <c r="H2087" s="33" t="s">
        <v>8638</v>
      </c>
      <c r="I2087" s="33" t="s">
        <v>39</v>
      </c>
      <c r="J2087" s="33" t="s">
        <v>40</v>
      </c>
      <c r="K2087" s="33" t="s">
        <v>41</v>
      </c>
      <c r="L2087" s="33">
        <v>5</v>
      </c>
    </row>
    <row r="2088" spans="1:12" s="33" customFormat="1" hidden="1" x14ac:dyDescent="0.3">
      <c r="A2088" s="39">
        <v>46090.588287037041</v>
      </c>
      <c r="B2088" s="33" t="s">
        <v>42</v>
      </c>
      <c r="C2088" s="33">
        <v>44991388221</v>
      </c>
      <c r="E2088" s="33">
        <v>100</v>
      </c>
      <c r="F2088" s="33">
        <v>81</v>
      </c>
      <c r="G2088" s="33" t="s">
        <v>38</v>
      </c>
      <c r="H2088" s="33" t="s">
        <v>8639</v>
      </c>
      <c r="I2088" s="33" t="s">
        <v>46</v>
      </c>
      <c r="J2088" s="33" t="s">
        <v>40</v>
      </c>
    </row>
    <row r="2089" spans="1:12" s="33" customFormat="1" hidden="1" x14ac:dyDescent="0.3">
      <c r="A2089" s="39">
        <v>46090.588043981479</v>
      </c>
      <c r="B2089" s="33" t="s">
        <v>43</v>
      </c>
      <c r="C2089" s="33">
        <v>4436281154</v>
      </c>
      <c r="E2089" s="33">
        <v>2</v>
      </c>
      <c r="F2089" s="33">
        <v>0</v>
      </c>
      <c r="G2089" s="33" t="s">
        <v>47</v>
      </c>
      <c r="H2089" s="33" t="s">
        <v>8640</v>
      </c>
      <c r="I2089" s="33" t="s">
        <v>46</v>
      </c>
      <c r="J2089" s="33" t="s">
        <v>40</v>
      </c>
    </row>
    <row r="2090" spans="1:12" s="33" customFormat="1" hidden="1" x14ac:dyDescent="0.3">
      <c r="A2090" s="39">
        <v>46090.588009259256</v>
      </c>
      <c r="B2090" s="33" t="s">
        <v>43</v>
      </c>
      <c r="C2090" s="33">
        <v>4436281154</v>
      </c>
      <c r="E2090" s="33">
        <v>2</v>
      </c>
      <c r="F2090" s="33">
        <v>0</v>
      </c>
      <c r="G2090" s="33" t="s">
        <v>47</v>
      </c>
      <c r="H2090" s="33" t="s">
        <v>8641</v>
      </c>
      <c r="I2090" s="33" t="s">
        <v>46</v>
      </c>
      <c r="J2090" s="33" t="s">
        <v>40</v>
      </c>
    </row>
    <row r="2091" spans="1:12" s="33" customFormat="1" hidden="1" x14ac:dyDescent="0.3">
      <c r="A2091" s="39">
        <v>46090.587048611109</v>
      </c>
      <c r="B2091" s="33" t="s">
        <v>43</v>
      </c>
      <c r="C2091" s="33">
        <v>42998221810</v>
      </c>
      <c r="E2091" s="33">
        <v>49</v>
      </c>
      <c r="F2091" s="33">
        <v>32</v>
      </c>
      <c r="G2091" s="33" t="s">
        <v>38</v>
      </c>
      <c r="H2091" s="33" t="s">
        <v>8642</v>
      </c>
      <c r="I2091" s="33" t="s">
        <v>46</v>
      </c>
      <c r="J2091" s="33" t="s">
        <v>40</v>
      </c>
    </row>
    <row r="2092" spans="1:12" s="33" customFormat="1" hidden="1" x14ac:dyDescent="0.3">
      <c r="A2092" s="39">
        <v>46090.579375000001</v>
      </c>
      <c r="B2092" s="33">
        <v>44997650834</v>
      </c>
      <c r="C2092" s="33" t="s">
        <v>45</v>
      </c>
      <c r="D2092" s="33">
        <v>4430265054</v>
      </c>
      <c r="E2092" s="33">
        <v>83</v>
      </c>
      <c r="F2092" s="33">
        <v>33</v>
      </c>
      <c r="G2092" s="33" t="s">
        <v>38</v>
      </c>
      <c r="H2092" s="33" t="s">
        <v>8643</v>
      </c>
      <c r="I2092" s="33" t="s">
        <v>39</v>
      </c>
      <c r="J2092" s="33" t="s">
        <v>40</v>
      </c>
      <c r="K2092" s="33" t="s">
        <v>41</v>
      </c>
    </row>
    <row r="2093" spans="1:12" s="33" customFormat="1" hidden="1" x14ac:dyDescent="0.3">
      <c r="A2093" s="39">
        <v>46090.573472222219</v>
      </c>
      <c r="B2093" s="33">
        <v>12997611769</v>
      </c>
      <c r="C2093" s="33">
        <v>4430265054</v>
      </c>
      <c r="D2093" s="33">
        <v>4430265054</v>
      </c>
      <c r="E2093" s="33">
        <v>45</v>
      </c>
      <c r="F2093" s="33">
        <v>44</v>
      </c>
      <c r="G2093" s="33" t="s">
        <v>3449</v>
      </c>
      <c r="H2093" s="33" t="s">
        <v>8644</v>
      </c>
      <c r="I2093" s="33" t="s">
        <v>39</v>
      </c>
      <c r="J2093" s="33" t="s">
        <v>3451</v>
      </c>
      <c r="K2093" s="33" t="s">
        <v>41</v>
      </c>
    </row>
    <row r="2094" spans="1:12" s="33" customFormat="1" hidden="1" x14ac:dyDescent="0.3">
      <c r="A2094" s="39">
        <v>46090.573078703703</v>
      </c>
      <c r="B2094" s="33" t="s">
        <v>45</v>
      </c>
      <c r="C2094" s="33">
        <v>62994086124</v>
      </c>
      <c r="E2094" s="33">
        <v>70</v>
      </c>
      <c r="F2094" s="33">
        <v>54</v>
      </c>
      <c r="G2094" s="33" t="s">
        <v>38</v>
      </c>
      <c r="H2094" s="33" t="s">
        <v>8645</v>
      </c>
      <c r="I2094" s="33" t="s">
        <v>46</v>
      </c>
      <c r="J2094" s="33" t="s">
        <v>40</v>
      </c>
    </row>
    <row r="2095" spans="1:12" s="33" customFormat="1" x14ac:dyDescent="0.3">
      <c r="A2095" s="39">
        <v>46090.572557870371</v>
      </c>
      <c r="B2095" s="33">
        <v>44997177141</v>
      </c>
      <c r="C2095" s="33" t="s">
        <v>42</v>
      </c>
      <c r="D2095" s="33">
        <v>4430265054</v>
      </c>
      <c r="E2095" s="33">
        <v>549</v>
      </c>
      <c r="F2095" s="33">
        <v>514</v>
      </c>
      <c r="G2095" s="33" t="s">
        <v>38</v>
      </c>
      <c r="H2095" s="33" t="s">
        <v>8646</v>
      </c>
      <c r="I2095" s="33" t="s">
        <v>39</v>
      </c>
      <c r="J2095" s="33" t="s">
        <v>40</v>
      </c>
      <c r="K2095" s="33" t="s">
        <v>41</v>
      </c>
      <c r="L2095" s="33">
        <v>5</v>
      </c>
    </row>
    <row r="2096" spans="1:12" s="33" customFormat="1" hidden="1" x14ac:dyDescent="0.3">
      <c r="A2096" s="39">
        <v>46090.567499999997</v>
      </c>
      <c r="B2096" s="33">
        <v>11953265422</v>
      </c>
      <c r="C2096" s="33" t="s">
        <v>42</v>
      </c>
      <c r="D2096" s="33">
        <v>4430265054</v>
      </c>
      <c r="E2096" s="33">
        <v>240</v>
      </c>
      <c r="F2096" s="33">
        <v>216</v>
      </c>
      <c r="G2096" s="33" t="s">
        <v>38</v>
      </c>
      <c r="H2096" s="33" t="s">
        <v>8647</v>
      </c>
      <c r="I2096" s="33" t="s">
        <v>39</v>
      </c>
      <c r="J2096" s="33" t="s">
        <v>40</v>
      </c>
      <c r="K2096" s="33" t="s">
        <v>41</v>
      </c>
    </row>
    <row r="2097" spans="1:11" s="33" customFormat="1" hidden="1" x14ac:dyDescent="0.3">
      <c r="A2097" s="39">
        <v>46090.564050925925</v>
      </c>
      <c r="B2097" s="33">
        <v>44988255390</v>
      </c>
      <c r="C2097" s="33" t="s">
        <v>45</v>
      </c>
      <c r="D2097" s="33">
        <v>4430265054</v>
      </c>
      <c r="E2097" s="33">
        <v>771</v>
      </c>
      <c r="F2097" s="33">
        <v>719</v>
      </c>
      <c r="G2097" s="33" t="s">
        <v>38</v>
      </c>
      <c r="H2097" s="33" t="s">
        <v>8648</v>
      </c>
      <c r="I2097" s="33" t="s">
        <v>39</v>
      </c>
      <c r="J2097" s="33" t="s">
        <v>40</v>
      </c>
      <c r="K2097" s="33" t="s">
        <v>41</v>
      </c>
    </row>
    <row r="2098" spans="1:11" s="33" customFormat="1" hidden="1" x14ac:dyDescent="0.3">
      <c r="A2098" s="39">
        <v>46090.560347222221</v>
      </c>
      <c r="B2098" s="33">
        <v>44997177141</v>
      </c>
      <c r="C2098" s="33">
        <v>4430265054</v>
      </c>
      <c r="D2098" s="33">
        <v>4430265054</v>
      </c>
      <c r="E2098" s="33">
        <v>12</v>
      </c>
      <c r="F2098" s="33">
        <v>11</v>
      </c>
      <c r="G2098" s="33" t="s">
        <v>3449</v>
      </c>
      <c r="H2098" s="33" t="s">
        <v>8649</v>
      </c>
      <c r="I2098" s="33" t="s">
        <v>39</v>
      </c>
      <c r="J2098" s="33" t="s">
        <v>3451</v>
      </c>
    </row>
    <row r="2099" spans="1:11" s="33" customFormat="1" hidden="1" x14ac:dyDescent="0.3">
      <c r="A2099" s="39">
        <v>46090.557326388887</v>
      </c>
      <c r="B2099" s="33">
        <v>44991566223</v>
      </c>
      <c r="C2099" s="33">
        <v>4430265054</v>
      </c>
      <c r="D2099" s="33">
        <v>4430265054</v>
      </c>
      <c r="E2099" s="33">
        <v>16</v>
      </c>
      <c r="F2099" s="33">
        <v>15</v>
      </c>
      <c r="G2099" s="33" t="s">
        <v>3449</v>
      </c>
      <c r="H2099" s="33" t="s">
        <v>8650</v>
      </c>
      <c r="I2099" s="33" t="s">
        <v>39</v>
      </c>
      <c r="J2099" s="33" t="s">
        <v>3451</v>
      </c>
    </row>
    <row r="2100" spans="1:11" s="33" customFormat="1" hidden="1" x14ac:dyDescent="0.3">
      <c r="A2100" s="39">
        <v>46090.55201388889</v>
      </c>
      <c r="B2100" s="33">
        <v>1128787060</v>
      </c>
      <c r="C2100" s="33">
        <v>4430265054</v>
      </c>
      <c r="D2100" s="33">
        <v>4430265054</v>
      </c>
      <c r="E2100" s="33">
        <v>25</v>
      </c>
      <c r="F2100" s="33">
        <v>24</v>
      </c>
      <c r="G2100" s="33" t="s">
        <v>3449</v>
      </c>
      <c r="H2100" s="33" t="s">
        <v>8651</v>
      </c>
      <c r="I2100" s="33" t="s">
        <v>39</v>
      </c>
      <c r="J2100" s="33" t="s">
        <v>3451</v>
      </c>
    </row>
    <row r="2101" spans="1:11" s="33" customFormat="1" hidden="1" x14ac:dyDescent="0.3">
      <c r="A2101" s="39">
        <v>46090.495694444442</v>
      </c>
      <c r="B2101" s="33">
        <v>44999646909</v>
      </c>
      <c r="C2101" s="33" t="s">
        <v>37</v>
      </c>
      <c r="D2101" s="33">
        <v>4430265054</v>
      </c>
      <c r="E2101" s="33">
        <v>471</v>
      </c>
      <c r="F2101" s="33">
        <v>399</v>
      </c>
      <c r="G2101" s="33" t="s">
        <v>38</v>
      </c>
      <c r="H2101" s="33" t="s">
        <v>8652</v>
      </c>
      <c r="I2101" s="33" t="s">
        <v>39</v>
      </c>
      <c r="J2101" s="33" t="s">
        <v>40</v>
      </c>
      <c r="K2101" s="33" t="s">
        <v>41</v>
      </c>
    </row>
    <row r="2102" spans="1:11" s="33" customFormat="1" hidden="1" x14ac:dyDescent="0.3">
      <c r="A2102" s="39">
        <v>46090.493564814817</v>
      </c>
      <c r="B2102" s="33" t="s">
        <v>3627</v>
      </c>
      <c r="C2102" s="33">
        <v>92994503136</v>
      </c>
      <c r="E2102" s="33">
        <v>14</v>
      </c>
      <c r="F2102" s="33">
        <v>10</v>
      </c>
      <c r="G2102" s="33" t="s">
        <v>38</v>
      </c>
      <c r="H2102" s="33" t="s">
        <v>8653</v>
      </c>
      <c r="I2102" s="33" t="s">
        <v>46</v>
      </c>
      <c r="J2102" s="33" t="s">
        <v>3629</v>
      </c>
    </row>
    <row r="2103" spans="1:11" s="33" customFormat="1" hidden="1" x14ac:dyDescent="0.3">
      <c r="A2103" s="39">
        <v>46090.492592592593</v>
      </c>
      <c r="B2103" s="33" t="s">
        <v>3627</v>
      </c>
      <c r="C2103" s="33">
        <v>11950632051</v>
      </c>
      <c r="E2103" s="33">
        <v>14</v>
      </c>
      <c r="F2103" s="33">
        <v>0</v>
      </c>
      <c r="G2103" s="33" t="s">
        <v>47</v>
      </c>
      <c r="H2103" s="33" t="s">
        <v>8654</v>
      </c>
      <c r="I2103" s="33" t="s">
        <v>46</v>
      </c>
      <c r="J2103" s="33" t="s">
        <v>3629</v>
      </c>
    </row>
    <row r="2104" spans="1:11" s="33" customFormat="1" hidden="1" x14ac:dyDescent="0.3">
      <c r="A2104" s="39">
        <v>46090.490891203706</v>
      </c>
      <c r="B2104" s="33" t="s">
        <v>3627</v>
      </c>
      <c r="C2104" s="33">
        <v>63984911852</v>
      </c>
      <c r="E2104" s="33">
        <v>39</v>
      </c>
      <c r="F2104" s="33">
        <v>31</v>
      </c>
      <c r="G2104" s="33" t="s">
        <v>38</v>
      </c>
      <c r="H2104" s="33" t="s">
        <v>8655</v>
      </c>
      <c r="I2104" s="33" t="s">
        <v>46</v>
      </c>
      <c r="J2104" s="33" t="s">
        <v>3629</v>
      </c>
    </row>
    <row r="2105" spans="1:11" s="33" customFormat="1" hidden="1" x14ac:dyDescent="0.3">
      <c r="A2105" s="39">
        <v>46090.490393518521</v>
      </c>
      <c r="B2105" s="33" t="s">
        <v>45</v>
      </c>
      <c r="C2105" s="33">
        <v>62994086124</v>
      </c>
      <c r="E2105" s="33">
        <v>870</v>
      </c>
      <c r="F2105" s="33">
        <v>847</v>
      </c>
      <c r="G2105" s="33" t="s">
        <v>38</v>
      </c>
      <c r="H2105" s="33" t="s">
        <v>8656</v>
      </c>
      <c r="I2105" s="33" t="s">
        <v>46</v>
      </c>
      <c r="J2105" s="33" t="s">
        <v>40</v>
      </c>
    </row>
    <row r="2106" spans="1:11" s="33" customFormat="1" hidden="1" x14ac:dyDescent="0.3">
      <c r="A2106" s="39">
        <v>46090.488402777781</v>
      </c>
      <c r="B2106" s="33" t="s">
        <v>3627</v>
      </c>
      <c r="C2106" s="33">
        <v>83988025701</v>
      </c>
      <c r="E2106" s="33">
        <v>22</v>
      </c>
      <c r="F2106" s="33">
        <v>0</v>
      </c>
      <c r="G2106" s="33" t="s">
        <v>47</v>
      </c>
      <c r="H2106" s="33" t="s">
        <v>8657</v>
      </c>
      <c r="I2106" s="33" t="s">
        <v>46</v>
      </c>
      <c r="J2106" s="33" t="s">
        <v>3629</v>
      </c>
    </row>
    <row r="2107" spans="1:11" s="33" customFormat="1" hidden="1" x14ac:dyDescent="0.3">
      <c r="A2107" s="39">
        <v>46090.478958333333</v>
      </c>
      <c r="B2107" s="33">
        <v>62994086124</v>
      </c>
      <c r="C2107" s="33" t="s">
        <v>45</v>
      </c>
      <c r="D2107" s="33">
        <v>4430265054</v>
      </c>
      <c r="E2107" s="33">
        <v>708</v>
      </c>
      <c r="F2107" s="33">
        <v>689</v>
      </c>
      <c r="G2107" s="33" t="s">
        <v>38</v>
      </c>
      <c r="H2107" s="33" t="s">
        <v>8658</v>
      </c>
      <c r="I2107" s="33" t="s">
        <v>39</v>
      </c>
      <c r="J2107" s="33" t="s">
        <v>40</v>
      </c>
      <c r="K2107" s="33" t="s">
        <v>41</v>
      </c>
    </row>
    <row r="2108" spans="1:11" s="33" customFormat="1" hidden="1" x14ac:dyDescent="0.3">
      <c r="A2108" s="39">
        <v>46090.472314814811</v>
      </c>
      <c r="B2108" s="33" t="s">
        <v>45</v>
      </c>
      <c r="C2108" s="33">
        <v>44999710746</v>
      </c>
      <c r="E2108" s="33">
        <v>95</v>
      </c>
      <c r="F2108" s="33">
        <v>82</v>
      </c>
      <c r="G2108" s="33" t="s">
        <v>38</v>
      </c>
      <c r="H2108" s="33" t="s">
        <v>8659</v>
      </c>
      <c r="I2108" s="33" t="s">
        <v>46</v>
      </c>
      <c r="J2108" s="33" t="s">
        <v>40</v>
      </c>
    </row>
    <row r="2109" spans="1:11" s="33" customFormat="1" hidden="1" x14ac:dyDescent="0.3">
      <c r="A2109" s="39">
        <v>46090.472268518519</v>
      </c>
      <c r="B2109" s="33" t="s">
        <v>45</v>
      </c>
      <c r="C2109" s="33">
        <v>44999710746</v>
      </c>
      <c r="E2109" s="33">
        <v>0</v>
      </c>
      <c r="F2109" s="33">
        <v>0</v>
      </c>
      <c r="G2109" s="33" t="s">
        <v>47</v>
      </c>
      <c r="H2109" s="33" t="s">
        <v>8660</v>
      </c>
      <c r="I2109" s="33" t="s">
        <v>46</v>
      </c>
      <c r="J2109" s="33" t="s">
        <v>40</v>
      </c>
    </row>
    <row r="2110" spans="1:11" s="33" customFormat="1" hidden="1" x14ac:dyDescent="0.3">
      <c r="A2110" s="39">
        <v>46090.4690625</v>
      </c>
      <c r="B2110" s="33" t="s">
        <v>37</v>
      </c>
      <c r="C2110" s="33">
        <v>4436249360</v>
      </c>
      <c r="E2110" s="33">
        <v>134</v>
      </c>
      <c r="F2110" s="33">
        <v>118</v>
      </c>
      <c r="G2110" s="33" t="s">
        <v>38</v>
      </c>
      <c r="H2110" s="33" t="s">
        <v>8661</v>
      </c>
      <c r="I2110" s="33" t="s">
        <v>46</v>
      </c>
      <c r="J2110" s="33" t="s">
        <v>40</v>
      </c>
    </row>
    <row r="2111" spans="1:11" s="33" customFormat="1" hidden="1" x14ac:dyDescent="0.3">
      <c r="A2111" s="39">
        <v>46090.468935185185</v>
      </c>
      <c r="B2111" s="33">
        <v>45999334612</v>
      </c>
      <c r="C2111" s="33" t="s">
        <v>42</v>
      </c>
      <c r="D2111" s="33">
        <v>4430265054</v>
      </c>
      <c r="E2111" s="33">
        <v>208</v>
      </c>
      <c r="F2111" s="33">
        <v>157</v>
      </c>
      <c r="G2111" s="33" t="s">
        <v>38</v>
      </c>
      <c r="H2111" s="33" t="s">
        <v>8662</v>
      </c>
      <c r="I2111" s="33" t="s">
        <v>39</v>
      </c>
      <c r="J2111" s="33" t="s">
        <v>40</v>
      </c>
      <c r="K2111" s="33" t="s">
        <v>41</v>
      </c>
    </row>
    <row r="2112" spans="1:11" s="33" customFormat="1" hidden="1" x14ac:dyDescent="0.3">
      <c r="A2112" s="39">
        <v>46090.464953703704</v>
      </c>
      <c r="B2112" s="33">
        <v>44988255390</v>
      </c>
      <c r="C2112" s="33" t="s">
        <v>45</v>
      </c>
      <c r="D2112" s="33">
        <v>4430265054</v>
      </c>
      <c r="E2112" s="33">
        <v>492</v>
      </c>
      <c r="F2112" s="33">
        <v>432</v>
      </c>
      <c r="G2112" s="33" t="s">
        <v>38</v>
      </c>
      <c r="H2112" s="33" t="s">
        <v>8663</v>
      </c>
      <c r="I2112" s="33" t="s">
        <v>39</v>
      </c>
      <c r="J2112" s="33" t="s">
        <v>40</v>
      </c>
      <c r="K2112" s="33" t="s">
        <v>41</v>
      </c>
    </row>
    <row r="2113" spans="1:12" s="33" customFormat="1" hidden="1" x14ac:dyDescent="0.3">
      <c r="A2113" s="39">
        <v>46090.464837962965</v>
      </c>
      <c r="B2113" s="33" t="s">
        <v>3627</v>
      </c>
      <c r="C2113" s="33">
        <v>22998879389</v>
      </c>
      <c r="E2113" s="33">
        <v>38</v>
      </c>
      <c r="F2113" s="33">
        <v>1</v>
      </c>
      <c r="G2113" s="33" t="s">
        <v>38</v>
      </c>
      <c r="H2113" s="33" t="s">
        <v>8664</v>
      </c>
      <c r="I2113" s="33" t="s">
        <v>46</v>
      </c>
      <c r="J2113" s="33" t="s">
        <v>3629</v>
      </c>
    </row>
    <row r="2114" spans="1:12" s="33" customFormat="1" hidden="1" x14ac:dyDescent="0.3">
      <c r="A2114" s="39">
        <v>46090.462893518517</v>
      </c>
      <c r="B2114" s="33">
        <v>44997400641</v>
      </c>
      <c r="C2114" s="33" t="s">
        <v>45</v>
      </c>
      <c r="D2114" s="33">
        <v>4430265054</v>
      </c>
      <c r="E2114" s="33">
        <v>102</v>
      </c>
      <c r="F2114" s="33">
        <v>68</v>
      </c>
      <c r="G2114" s="33" t="s">
        <v>38</v>
      </c>
      <c r="H2114" s="33" t="s">
        <v>8665</v>
      </c>
      <c r="I2114" s="33" t="s">
        <v>39</v>
      </c>
      <c r="J2114" s="33" t="s">
        <v>40</v>
      </c>
      <c r="K2114" s="33" t="s">
        <v>41</v>
      </c>
    </row>
    <row r="2115" spans="1:12" s="33" customFormat="1" hidden="1" x14ac:dyDescent="0.3">
      <c r="A2115" s="39">
        <v>46090.458368055559</v>
      </c>
      <c r="B2115" s="33">
        <v>81986261961</v>
      </c>
      <c r="C2115" s="33" t="s">
        <v>43</v>
      </c>
      <c r="D2115" s="33">
        <v>4430265054</v>
      </c>
      <c r="E2115" s="33">
        <v>1034</v>
      </c>
      <c r="F2115" s="33">
        <v>1011</v>
      </c>
      <c r="G2115" s="33" t="s">
        <v>38</v>
      </c>
      <c r="H2115" s="33" t="s">
        <v>8666</v>
      </c>
      <c r="I2115" s="33" t="s">
        <v>39</v>
      </c>
      <c r="J2115" s="33" t="s">
        <v>40</v>
      </c>
      <c r="K2115" s="33" t="s">
        <v>41</v>
      </c>
    </row>
    <row r="2116" spans="1:12" s="33" customFormat="1" x14ac:dyDescent="0.3">
      <c r="A2116" s="39">
        <v>46090.456747685188</v>
      </c>
      <c r="B2116" s="33">
        <v>44991388221</v>
      </c>
      <c r="C2116" s="33" t="s">
        <v>42</v>
      </c>
      <c r="D2116" s="33">
        <v>4430265054</v>
      </c>
      <c r="E2116" s="33">
        <v>696</v>
      </c>
      <c r="F2116" s="33">
        <v>655</v>
      </c>
      <c r="G2116" s="33" t="s">
        <v>38</v>
      </c>
      <c r="H2116" s="33" t="s">
        <v>8667</v>
      </c>
      <c r="I2116" s="33" t="s">
        <v>39</v>
      </c>
      <c r="J2116" s="33" t="s">
        <v>40</v>
      </c>
      <c r="K2116" s="33" t="s">
        <v>41</v>
      </c>
      <c r="L2116" s="33">
        <v>5</v>
      </c>
    </row>
    <row r="2117" spans="1:12" s="33" customFormat="1" hidden="1" x14ac:dyDescent="0.3">
      <c r="A2117" s="39">
        <v>46090.456493055557</v>
      </c>
      <c r="B2117" s="33">
        <v>4330333542</v>
      </c>
      <c r="C2117" s="33" t="s">
        <v>43</v>
      </c>
      <c r="D2117" s="33">
        <v>4430265054</v>
      </c>
      <c r="E2117" s="33">
        <v>79</v>
      </c>
      <c r="F2117" s="33">
        <v>56</v>
      </c>
      <c r="G2117" s="33" t="s">
        <v>38</v>
      </c>
      <c r="H2117" s="33" t="s">
        <v>8668</v>
      </c>
      <c r="I2117" s="33" t="s">
        <v>39</v>
      </c>
      <c r="J2117" s="33" t="s">
        <v>40</v>
      </c>
      <c r="K2117" s="33" t="s">
        <v>41</v>
      </c>
    </row>
    <row r="2118" spans="1:12" s="33" customFormat="1" hidden="1" x14ac:dyDescent="0.3">
      <c r="A2118" s="39">
        <v>46090.455497685187</v>
      </c>
      <c r="B2118" s="33">
        <v>4430450103</v>
      </c>
      <c r="C2118" s="33" t="s">
        <v>48</v>
      </c>
      <c r="D2118" s="33">
        <v>4430265054</v>
      </c>
      <c r="E2118" s="33">
        <v>613</v>
      </c>
      <c r="F2118" s="33">
        <v>556</v>
      </c>
      <c r="G2118" s="33" t="s">
        <v>38</v>
      </c>
      <c r="H2118" s="33" t="s">
        <v>8669</v>
      </c>
      <c r="I2118" s="33" t="s">
        <v>39</v>
      </c>
      <c r="J2118" s="33" t="s">
        <v>40</v>
      </c>
      <c r="K2118" s="33" t="s">
        <v>41</v>
      </c>
      <c r="L2118" s="33">
        <v>5</v>
      </c>
    </row>
    <row r="2119" spans="1:12" s="33" customFormat="1" hidden="1" x14ac:dyDescent="0.3">
      <c r="A2119" s="39">
        <v>46090.45548611111</v>
      </c>
      <c r="B2119" s="33">
        <v>4334232912</v>
      </c>
      <c r="C2119" s="33" t="s">
        <v>44</v>
      </c>
      <c r="D2119" s="33">
        <v>4430265054</v>
      </c>
      <c r="E2119" s="33">
        <v>725</v>
      </c>
      <c r="F2119" s="33">
        <v>673</v>
      </c>
      <c r="G2119" s="33" t="s">
        <v>38</v>
      </c>
      <c r="H2119" s="33" t="s">
        <v>8670</v>
      </c>
      <c r="I2119" s="33" t="s">
        <v>39</v>
      </c>
      <c r="J2119" s="33" t="s">
        <v>40</v>
      </c>
      <c r="K2119" s="33" t="s">
        <v>41</v>
      </c>
    </row>
    <row r="2120" spans="1:12" s="33" customFormat="1" hidden="1" x14ac:dyDescent="0.3">
      <c r="A2120" s="39">
        <v>46090.455300925925</v>
      </c>
      <c r="B2120" s="33">
        <v>4334234629</v>
      </c>
      <c r="C2120" s="33">
        <v>4430265054</v>
      </c>
      <c r="D2120" s="33">
        <v>4430265054</v>
      </c>
      <c r="E2120" s="33">
        <v>9</v>
      </c>
      <c r="F2120" s="33">
        <v>8</v>
      </c>
      <c r="G2120" s="33" t="s">
        <v>3449</v>
      </c>
      <c r="H2120" s="33" t="s">
        <v>8671</v>
      </c>
      <c r="I2120" s="33" t="s">
        <v>39</v>
      </c>
      <c r="J2120" s="33" t="s">
        <v>3451</v>
      </c>
      <c r="K2120" s="33" t="s">
        <v>41</v>
      </c>
    </row>
    <row r="2121" spans="1:12" s="33" customFormat="1" hidden="1" x14ac:dyDescent="0.3">
      <c r="A2121" s="39">
        <v>46090.450439814813</v>
      </c>
      <c r="B2121" s="33">
        <v>93991495484</v>
      </c>
      <c r="C2121" s="33" t="s">
        <v>37</v>
      </c>
      <c r="D2121" s="33">
        <v>4430265054</v>
      </c>
      <c r="E2121" s="33">
        <v>1130</v>
      </c>
      <c r="F2121" s="33">
        <v>989</v>
      </c>
      <c r="G2121" s="33" t="s">
        <v>38</v>
      </c>
      <c r="H2121" s="33" t="s">
        <v>8672</v>
      </c>
      <c r="I2121" s="33" t="s">
        <v>39</v>
      </c>
      <c r="J2121" s="33" t="s">
        <v>40</v>
      </c>
      <c r="K2121" s="33" t="s">
        <v>41</v>
      </c>
      <c r="L2121" s="33">
        <v>5</v>
      </c>
    </row>
    <row r="2122" spans="1:12" s="33" customFormat="1" hidden="1" x14ac:dyDescent="0.3">
      <c r="A2122" s="39">
        <v>46090.445</v>
      </c>
      <c r="B2122" s="33">
        <v>44999497001</v>
      </c>
      <c r="C2122" s="33" t="s">
        <v>44</v>
      </c>
      <c r="D2122" s="33">
        <v>4430265054</v>
      </c>
      <c r="E2122" s="33">
        <v>236</v>
      </c>
      <c r="F2122" s="33">
        <v>199</v>
      </c>
      <c r="G2122" s="33" t="s">
        <v>38</v>
      </c>
      <c r="H2122" s="33" t="s">
        <v>8673</v>
      </c>
      <c r="I2122" s="33" t="s">
        <v>39</v>
      </c>
      <c r="J2122" s="33" t="s">
        <v>40</v>
      </c>
      <c r="K2122" s="33" t="s">
        <v>41</v>
      </c>
    </row>
    <row r="2123" spans="1:12" s="33" customFormat="1" hidden="1" x14ac:dyDescent="0.3">
      <c r="A2123" s="39">
        <v>46090.444733796299</v>
      </c>
      <c r="B2123" s="33" t="s">
        <v>37</v>
      </c>
      <c r="C2123" s="33">
        <v>4436249360</v>
      </c>
      <c r="E2123" s="33">
        <v>232</v>
      </c>
      <c r="F2123" s="33">
        <v>223</v>
      </c>
      <c r="G2123" s="33" t="s">
        <v>38</v>
      </c>
      <c r="H2123" s="33" t="s">
        <v>8674</v>
      </c>
      <c r="I2123" s="33" t="s">
        <v>46</v>
      </c>
      <c r="J2123" s="33" t="s">
        <v>40</v>
      </c>
    </row>
    <row r="2124" spans="1:12" s="33" customFormat="1" hidden="1" x14ac:dyDescent="0.3">
      <c r="A2124" s="39">
        <v>46090.444363425922</v>
      </c>
      <c r="B2124" s="33" t="s">
        <v>37</v>
      </c>
      <c r="C2124" s="33">
        <v>11953265422</v>
      </c>
      <c r="E2124" s="33">
        <v>59</v>
      </c>
      <c r="F2124" s="33">
        <v>53</v>
      </c>
      <c r="G2124" s="33" t="s">
        <v>38</v>
      </c>
      <c r="H2124" s="33" t="s">
        <v>8675</v>
      </c>
      <c r="I2124" s="33" t="s">
        <v>46</v>
      </c>
      <c r="J2124" s="33" t="s">
        <v>40</v>
      </c>
    </row>
    <row r="2125" spans="1:12" s="33" customFormat="1" hidden="1" x14ac:dyDescent="0.3">
      <c r="A2125" s="39">
        <v>46090.443437499998</v>
      </c>
      <c r="B2125" s="33">
        <v>73982188717</v>
      </c>
      <c r="C2125" s="33" t="s">
        <v>42</v>
      </c>
      <c r="D2125" s="33">
        <v>4430265054</v>
      </c>
      <c r="E2125" s="33">
        <v>255</v>
      </c>
      <c r="F2125" s="33">
        <v>198</v>
      </c>
      <c r="G2125" s="33" t="s">
        <v>38</v>
      </c>
      <c r="H2125" s="33" t="s">
        <v>8676</v>
      </c>
      <c r="I2125" s="33" t="s">
        <v>39</v>
      </c>
      <c r="J2125" s="33" t="s">
        <v>40</v>
      </c>
      <c r="K2125" s="33" t="s">
        <v>41</v>
      </c>
    </row>
    <row r="2126" spans="1:12" s="33" customFormat="1" hidden="1" x14ac:dyDescent="0.3">
      <c r="A2126" s="39">
        <v>46090.441377314812</v>
      </c>
      <c r="B2126" s="33">
        <v>93991495484</v>
      </c>
      <c r="C2126" s="33" t="s">
        <v>44</v>
      </c>
      <c r="D2126" s="33">
        <v>4430265054</v>
      </c>
      <c r="E2126" s="33">
        <v>308</v>
      </c>
      <c r="F2126" s="33">
        <v>193</v>
      </c>
      <c r="G2126" s="33" t="s">
        <v>38</v>
      </c>
      <c r="H2126" s="33" t="s">
        <v>8677</v>
      </c>
      <c r="I2126" s="33" t="s">
        <v>39</v>
      </c>
      <c r="J2126" s="33" t="s">
        <v>40</v>
      </c>
      <c r="K2126" s="33" t="s">
        <v>41</v>
      </c>
    </row>
    <row r="2127" spans="1:12" s="33" customFormat="1" hidden="1" x14ac:dyDescent="0.3">
      <c r="A2127" s="39">
        <v>46090.436990740738</v>
      </c>
      <c r="B2127" s="33">
        <v>42998221810</v>
      </c>
      <c r="C2127" s="33" t="s">
        <v>43</v>
      </c>
      <c r="D2127" s="33">
        <v>4430265054</v>
      </c>
      <c r="E2127" s="33">
        <v>770</v>
      </c>
      <c r="F2127" s="33">
        <v>652</v>
      </c>
      <c r="G2127" s="33" t="s">
        <v>38</v>
      </c>
      <c r="H2127" s="33" t="s">
        <v>8678</v>
      </c>
      <c r="I2127" s="33" t="s">
        <v>39</v>
      </c>
      <c r="J2127" s="33" t="s">
        <v>40</v>
      </c>
      <c r="K2127" s="33" t="s">
        <v>41</v>
      </c>
    </row>
    <row r="2128" spans="1:12" s="33" customFormat="1" hidden="1" x14ac:dyDescent="0.3">
      <c r="A2128" s="39">
        <v>46090.430810185186</v>
      </c>
      <c r="B2128" s="33">
        <v>4432321232</v>
      </c>
      <c r="C2128" s="33" t="s">
        <v>43</v>
      </c>
      <c r="D2128" s="33">
        <v>4430265054</v>
      </c>
      <c r="E2128" s="33">
        <v>500</v>
      </c>
      <c r="F2128" s="33">
        <v>440</v>
      </c>
      <c r="G2128" s="33" t="s">
        <v>38</v>
      </c>
      <c r="H2128" s="33" t="s">
        <v>8679</v>
      </c>
      <c r="I2128" s="33" t="s">
        <v>39</v>
      </c>
      <c r="J2128" s="33" t="s">
        <v>40</v>
      </c>
      <c r="K2128" s="33" t="s">
        <v>41</v>
      </c>
    </row>
    <row r="2129" spans="1:12" s="33" customFormat="1" hidden="1" x14ac:dyDescent="0.3">
      <c r="A2129" s="39">
        <v>46090.426261574074</v>
      </c>
      <c r="B2129" s="33">
        <v>11953265422</v>
      </c>
      <c r="C2129" s="33" t="s">
        <v>37</v>
      </c>
      <c r="D2129" s="33">
        <v>4430265054</v>
      </c>
      <c r="E2129" s="33">
        <v>1589</v>
      </c>
      <c r="F2129" s="33">
        <v>1521</v>
      </c>
      <c r="G2129" s="33" t="s">
        <v>38</v>
      </c>
      <c r="H2129" s="33" t="s">
        <v>8680</v>
      </c>
      <c r="I2129" s="33" t="s">
        <v>39</v>
      </c>
      <c r="J2129" s="33" t="s">
        <v>40</v>
      </c>
      <c r="K2129" s="33" t="s">
        <v>41</v>
      </c>
    </row>
    <row r="2130" spans="1:12" s="33" customFormat="1" hidden="1" x14ac:dyDescent="0.3">
      <c r="A2130" s="39">
        <v>46090.422361111108</v>
      </c>
      <c r="B2130" s="33">
        <v>41988796768</v>
      </c>
      <c r="C2130" s="33" t="s">
        <v>48</v>
      </c>
      <c r="D2130" s="33">
        <v>4430265054</v>
      </c>
      <c r="E2130" s="33">
        <v>351</v>
      </c>
      <c r="F2130" s="33">
        <v>350</v>
      </c>
      <c r="G2130" s="33" t="s">
        <v>38</v>
      </c>
      <c r="H2130" s="33" t="s">
        <v>8681</v>
      </c>
      <c r="I2130" s="33" t="s">
        <v>39</v>
      </c>
      <c r="J2130" s="33" t="s">
        <v>40</v>
      </c>
      <c r="K2130" s="33" t="s">
        <v>41</v>
      </c>
      <c r="L2130" s="33">
        <v>5</v>
      </c>
    </row>
    <row r="2131" spans="1:12" s="33" customFormat="1" hidden="1" x14ac:dyDescent="0.3">
      <c r="A2131" s="39">
        <v>46090.421412037038</v>
      </c>
      <c r="B2131" s="33">
        <v>41996631918</v>
      </c>
      <c r="C2131" s="33" t="s">
        <v>44</v>
      </c>
      <c r="D2131" s="33">
        <v>4430265054</v>
      </c>
      <c r="E2131" s="33">
        <v>590</v>
      </c>
      <c r="F2131" s="33">
        <v>486</v>
      </c>
      <c r="G2131" s="33" t="s">
        <v>38</v>
      </c>
      <c r="H2131" s="33" t="s">
        <v>8682</v>
      </c>
      <c r="I2131" s="33" t="s">
        <v>39</v>
      </c>
      <c r="J2131" s="33" t="s">
        <v>40</v>
      </c>
      <c r="K2131" s="33" t="s">
        <v>41</v>
      </c>
      <c r="L2131" s="33">
        <v>5</v>
      </c>
    </row>
    <row r="2132" spans="1:12" s="33" customFormat="1" hidden="1" x14ac:dyDescent="0.3">
      <c r="A2132" s="39">
        <v>46090.419409722221</v>
      </c>
      <c r="B2132" s="33">
        <v>4432677399</v>
      </c>
      <c r="C2132" s="33">
        <v>4430265054</v>
      </c>
      <c r="D2132" s="33">
        <v>4430265054</v>
      </c>
      <c r="E2132" s="33">
        <v>29</v>
      </c>
      <c r="F2132" s="33">
        <v>29</v>
      </c>
      <c r="G2132" s="33" t="s">
        <v>3449</v>
      </c>
      <c r="H2132" s="33" t="s">
        <v>8683</v>
      </c>
      <c r="I2132" s="33" t="s">
        <v>39</v>
      </c>
      <c r="J2132" s="33" t="s">
        <v>3451</v>
      </c>
    </row>
    <row r="2133" spans="1:12" s="33" customFormat="1" hidden="1" x14ac:dyDescent="0.3">
      <c r="A2133" s="39">
        <v>46090.417615740742</v>
      </c>
      <c r="B2133" s="33">
        <v>4432321428</v>
      </c>
      <c r="C2133" s="33" t="s">
        <v>43</v>
      </c>
      <c r="D2133" s="33">
        <v>4430265054</v>
      </c>
      <c r="E2133" s="33">
        <v>578</v>
      </c>
      <c r="F2133" s="33">
        <v>490</v>
      </c>
      <c r="G2133" s="33" t="s">
        <v>38</v>
      </c>
      <c r="H2133" s="33" t="s">
        <v>8684</v>
      </c>
      <c r="I2133" s="33" t="s">
        <v>39</v>
      </c>
      <c r="J2133" s="33" t="s">
        <v>40</v>
      </c>
      <c r="K2133" s="33" t="s">
        <v>41</v>
      </c>
    </row>
    <row r="2134" spans="1:12" s="33" customFormat="1" hidden="1" x14ac:dyDescent="0.3">
      <c r="A2134" s="39">
        <v>46090.403506944444</v>
      </c>
      <c r="B2134" s="33">
        <v>45999211357</v>
      </c>
      <c r="C2134" s="33" t="s">
        <v>43</v>
      </c>
      <c r="D2134" s="33">
        <v>4431268225</v>
      </c>
      <c r="E2134" s="33">
        <v>213</v>
      </c>
      <c r="F2134" s="33">
        <v>169</v>
      </c>
      <c r="G2134" s="33" t="s">
        <v>38</v>
      </c>
      <c r="H2134" s="33" t="s">
        <v>8685</v>
      </c>
      <c r="I2134" s="33" t="s">
        <v>39</v>
      </c>
      <c r="J2134" s="33" t="s">
        <v>40</v>
      </c>
      <c r="K2134" s="33" t="s">
        <v>41</v>
      </c>
    </row>
    <row r="2135" spans="1:12" s="33" customFormat="1" hidden="1" x14ac:dyDescent="0.3">
      <c r="A2135" s="39">
        <v>46090.397962962961</v>
      </c>
      <c r="B2135" s="33">
        <v>4432677399</v>
      </c>
      <c r="C2135" s="33" t="s">
        <v>37</v>
      </c>
      <c r="D2135" s="33">
        <v>4430265054</v>
      </c>
      <c r="E2135" s="33">
        <v>524</v>
      </c>
      <c r="F2135" s="33">
        <v>423</v>
      </c>
      <c r="G2135" s="33" t="s">
        <v>38</v>
      </c>
      <c r="H2135" s="33" t="s">
        <v>8686</v>
      </c>
      <c r="I2135" s="33" t="s">
        <v>39</v>
      </c>
      <c r="J2135" s="33" t="s">
        <v>40</v>
      </c>
      <c r="K2135" s="33" t="s">
        <v>41</v>
      </c>
    </row>
    <row r="2136" spans="1:12" s="33" customFormat="1" hidden="1" x14ac:dyDescent="0.3">
      <c r="A2136" s="39">
        <v>46090.396921296298</v>
      </c>
      <c r="B2136" s="33" t="s">
        <v>44</v>
      </c>
      <c r="C2136" s="33">
        <v>4330333542</v>
      </c>
      <c r="E2136" s="33">
        <v>11</v>
      </c>
      <c r="F2136" s="33">
        <v>0</v>
      </c>
      <c r="G2136" s="33" t="s">
        <v>47</v>
      </c>
      <c r="H2136" s="33" t="s">
        <v>8687</v>
      </c>
      <c r="I2136" s="33" t="s">
        <v>46</v>
      </c>
      <c r="J2136" s="33" t="s">
        <v>40</v>
      </c>
    </row>
    <row r="2137" spans="1:12" s="33" customFormat="1" hidden="1" x14ac:dyDescent="0.3">
      <c r="A2137" s="39">
        <v>46090.395775462966</v>
      </c>
      <c r="B2137" s="33">
        <v>4330332823</v>
      </c>
      <c r="C2137" s="33" t="s">
        <v>44</v>
      </c>
      <c r="D2137" s="33">
        <v>4430265054</v>
      </c>
      <c r="E2137" s="33">
        <v>223</v>
      </c>
      <c r="F2137" s="33">
        <v>165</v>
      </c>
      <c r="G2137" s="33" t="s">
        <v>38</v>
      </c>
      <c r="H2137" s="33" t="s">
        <v>8688</v>
      </c>
      <c r="I2137" s="33" t="s">
        <v>39</v>
      </c>
      <c r="J2137" s="33" t="s">
        <v>40</v>
      </c>
      <c r="K2137" s="33" t="s">
        <v>41</v>
      </c>
    </row>
    <row r="2138" spans="1:12" s="33" customFormat="1" hidden="1" x14ac:dyDescent="0.3">
      <c r="A2138" s="39">
        <v>46090.395474537036</v>
      </c>
      <c r="B2138" s="33">
        <v>4432256983</v>
      </c>
      <c r="C2138" s="33" t="s">
        <v>43</v>
      </c>
      <c r="D2138" s="33">
        <v>4430265054</v>
      </c>
      <c r="E2138" s="33">
        <v>457</v>
      </c>
      <c r="F2138" s="33">
        <v>429</v>
      </c>
      <c r="G2138" s="33" t="s">
        <v>38</v>
      </c>
      <c r="H2138" s="33" t="s">
        <v>8689</v>
      </c>
      <c r="I2138" s="33" t="s">
        <v>39</v>
      </c>
      <c r="J2138" s="33" t="s">
        <v>40</v>
      </c>
      <c r="K2138" s="33" t="s">
        <v>41</v>
      </c>
    </row>
    <row r="2139" spans="1:12" s="33" customFormat="1" hidden="1" x14ac:dyDescent="0.3">
      <c r="A2139" s="39">
        <v>46090.392256944448</v>
      </c>
      <c r="B2139" s="33" t="s">
        <v>42</v>
      </c>
      <c r="C2139" s="33">
        <v>44998266194</v>
      </c>
      <c r="E2139" s="33">
        <v>2085</v>
      </c>
      <c r="F2139" s="33">
        <v>2078</v>
      </c>
      <c r="G2139" s="33" t="s">
        <v>38</v>
      </c>
      <c r="H2139" s="33" t="s">
        <v>8690</v>
      </c>
      <c r="I2139" s="33" t="s">
        <v>46</v>
      </c>
      <c r="J2139" s="33" t="s">
        <v>40</v>
      </c>
    </row>
    <row r="2140" spans="1:12" s="33" customFormat="1" hidden="1" x14ac:dyDescent="0.3">
      <c r="A2140" s="39">
        <v>46090.379583333335</v>
      </c>
      <c r="B2140" s="33" t="s">
        <v>45</v>
      </c>
      <c r="C2140" s="33">
        <v>44999710746</v>
      </c>
      <c r="E2140" s="33">
        <v>65</v>
      </c>
      <c r="F2140" s="33">
        <v>29</v>
      </c>
      <c r="G2140" s="33" t="s">
        <v>38</v>
      </c>
      <c r="H2140" s="33" t="s">
        <v>8691</v>
      </c>
      <c r="I2140" s="33" t="s">
        <v>46</v>
      </c>
      <c r="J2140" s="33" t="s">
        <v>40</v>
      </c>
    </row>
    <row r="2141" spans="1:12" s="33" customFormat="1" hidden="1" x14ac:dyDescent="0.3">
      <c r="A2141" s="39">
        <v>46090.379537037035</v>
      </c>
      <c r="B2141" s="33" t="s">
        <v>3627</v>
      </c>
      <c r="C2141" s="33">
        <v>67996546066</v>
      </c>
      <c r="E2141" s="33">
        <v>18</v>
      </c>
      <c r="F2141" s="33">
        <v>14</v>
      </c>
      <c r="G2141" s="33" t="s">
        <v>38</v>
      </c>
      <c r="H2141" s="33" t="s">
        <v>8692</v>
      </c>
      <c r="I2141" s="33" t="s">
        <v>46</v>
      </c>
      <c r="J2141" s="33" t="s">
        <v>3629</v>
      </c>
    </row>
    <row r="2142" spans="1:12" s="33" customFormat="1" hidden="1" x14ac:dyDescent="0.3">
      <c r="A2142" s="39">
        <v>46090.376157407409</v>
      </c>
      <c r="B2142" s="33">
        <v>4330333542</v>
      </c>
      <c r="C2142" s="33" t="s">
        <v>44</v>
      </c>
      <c r="D2142" s="33">
        <v>4430265054</v>
      </c>
      <c r="E2142" s="33">
        <v>667</v>
      </c>
      <c r="F2142" s="33">
        <v>629</v>
      </c>
      <c r="G2142" s="33" t="s">
        <v>38</v>
      </c>
      <c r="H2142" s="33" t="s">
        <v>8693</v>
      </c>
      <c r="I2142" s="33" t="s">
        <v>39</v>
      </c>
      <c r="J2142" s="33" t="s">
        <v>40</v>
      </c>
      <c r="K2142" s="33" t="s">
        <v>41</v>
      </c>
    </row>
    <row r="2143" spans="1:12" s="33" customFormat="1" hidden="1" x14ac:dyDescent="0.3">
      <c r="A2143" s="39">
        <v>46090.373368055552</v>
      </c>
      <c r="B2143" s="33">
        <v>12981700386</v>
      </c>
      <c r="C2143" s="33" t="s">
        <v>37</v>
      </c>
      <c r="D2143" s="33">
        <v>4430265054</v>
      </c>
      <c r="E2143" s="33">
        <v>1368</v>
      </c>
      <c r="F2143" s="33">
        <v>1349</v>
      </c>
      <c r="G2143" s="33" t="s">
        <v>38</v>
      </c>
      <c r="H2143" s="33" t="s">
        <v>8694</v>
      </c>
      <c r="I2143" s="33" t="s">
        <v>39</v>
      </c>
      <c r="J2143" s="33" t="s">
        <v>40</v>
      </c>
      <c r="K2143" s="33" t="s">
        <v>41</v>
      </c>
      <c r="L2143" s="33">
        <v>5</v>
      </c>
    </row>
    <row r="2144" spans="1:12" s="33" customFormat="1" hidden="1" x14ac:dyDescent="0.3">
      <c r="A2144" s="39">
        <v>46090.37263888889</v>
      </c>
      <c r="B2144" s="33">
        <v>44998266194</v>
      </c>
      <c r="C2144" s="33" t="s">
        <v>42</v>
      </c>
      <c r="D2144" s="33">
        <v>4430265054</v>
      </c>
      <c r="E2144" s="33">
        <v>676</v>
      </c>
      <c r="F2144" s="33">
        <v>643</v>
      </c>
      <c r="G2144" s="33" t="s">
        <v>38</v>
      </c>
      <c r="H2144" s="33" t="s">
        <v>8695</v>
      </c>
      <c r="I2144" s="33" t="s">
        <v>39</v>
      </c>
      <c r="J2144" s="33" t="s">
        <v>40</v>
      </c>
      <c r="K2144" s="33" t="s">
        <v>41</v>
      </c>
    </row>
    <row r="2145" spans="1:12" s="33" customFormat="1" hidden="1" x14ac:dyDescent="0.3">
      <c r="A2145" s="39">
        <v>46090.368784722225</v>
      </c>
      <c r="B2145" s="33">
        <v>44988255390</v>
      </c>
      <c r="C2145" s="33" t="s">
        <v>45</v>
      </c>
      <c r="D2145" s="33">
        <v>4430265054</v>
      </c>
      <c r="E2145" s="33">
        <v>769</v>
      </c>
      <c r="F2145" s="33">
        <v>690</v>
      </c>
      <c r="G2145" s="33" t="s">
        <v>38</v>
      </c>
      <c r="H2145" s="33" t="s">
        <v>8696</v>
      </c>
      <c r="I2145" s="33" t="s">
        <v>39</v>
      </c>
      <c r="J2145" s="33" t="s">
        <v>40</v>
      </c>
      <c r="K2145" s="33" t="s">
        <v>41</v>
      </c>
    </row>
    <row r="2146" spans="1:12" s="33" customFormat="1" hidden="1" x14ac:dyDescent="0.3">
      <c r="A2146" s="39">
        <v>46090.367673611108</v>
      </c>
      <c r="B2146" s="33">
        <v>1438160351</v>
      </c>
      <c r="C2146" s="33">
        <v>4430265054</v>
      </c>
      <c r="D2146" s="33">
        <v>4430265054</v>
      </c>
      <c r="E2146" s="33">
        <v>9</v>
      </c>
      <c r="F2146" s="33">
        <v>8</v>
      </c>
      <c r="G2146" s="33" t="s">
        <v>3449</v>
      </c>
      <c r="H2146" s="33" t="s">
        <v>8697</v>
      </c>
      <c r="I2146" s="33" t="s">
        <v>39</v>
      </c>
      <c r="J2146" s="33" t="s">
        <v>3451</v>
      </c>
    </row>
    <row r="2147" spans="1:12" s="33" customFormat="1" hidden="1" x14ac:dyDescent="0.3">
      <c r="A2147" s="39">
        <v>46090.356226851851</v>
      </c>
      <c r="B2147" s="33">
        <v>44991284259</v>
      </c>
      <c r="C2147" s="33" t="s">
        <v>44</v>
      </c>
      <c r="D2147" s="33">
        <v>4430265054</v>
      </c>
      <c r="E2147" s="33">
        <v>584</v>
      </c>
      <c r="F2147" s="33">
        <v>510</v>
      </c>
      <c r="G2147" s="33" t="s">
        <v>38</v>
      </c>
      <c r="H2147" s="33" t="s">
        <v>8698</v>
      </c>
      <c r="I2147" s="33" t="s">
        <v>39</v>
      </c>
      <c r="J2147" s="33" t="s">
        <v>40</v>
      </c>
      <c r="K2147" s="33" t="s">
        <v>41</v>
      </c>
    </row>
    <row r="2148" spans="1:12" s="33" customFormat="1" hidden="1" x14ac:dyDescent="0.3">
      <c r="A2148" s="39">
        <v>46090.353900462964</v>
      </c>
      <c r="B2148" s="33" t="s">
        <v>45</v>
      </c>
      <c r="C2148" s="33">
        <v>4130263118</v>
      </c>
      <c r="E2148" s="33">
        <v>975</v>
      </c>
      <c r="F2148" s="33">
        <v>970</v>
      </c>
      <c r="G2148" s="33" t="s">
        <v>38</v>
      </c>
      <c r="H2148" s="33" t="s">
        <v>8699</v>
      </c>
      <c r="I2148" s="33" t="s">
        <v>46</v>
      </c>
      <c r="J2148" s="33" t="s">
        <v>40</v>
      </c>
    </row>
    <row r="2149" spans="1:12" s="33" customFormat="1" hidden="1" x14ac:dyDescent="0.3">
      <c r="A2149" s="39">
        <v>46090.352870370371</v>
      </c>
      <c r="B2149" s="33" t="s">
        <v>37</v>
      </c>
      <c r="C2149" s="33">
        <v>67992169496</v>
      </c>
      <c r="E2149" s="33">
        <v>103</v>
      </c>
      <c r="F2149" s="33">
        <v>92</v>
      </c>
      <c r="G2149" s="33" t="s">
        <v>38</v>
      </c>
      <c r="H2149" s="33" t="s">
        <v>8700</v>
      </c>
      <c r="I2149" s="33" t="s">
        <v>46</v>
      </c>
      <c r="J2149" s="33" t="s">
        <v>40</v>
      </c>
    </row>
    <row r="2150" spans="1:12" s="33" customFormat="1" hidden="1" x14ac:dyDescent="0.3">
      <c r="A2150" s="39">
        <v>46090.351851851854</v>
      </c>
      <c r="B2150" s="33" t="s">
        <v>37</v>
      </c>
      <c r="C2150" s="33">
        <v>6734610844</v>
      </c>
      <c r="E2150" s="33">
        <v>8</v>
      </c>
      <c r="F2150" s="33">
        <v>0</v>
      </c>
      <c r="G2150" s="33" t="s">
        <v>47</v>
      </c>
      <c r="H2150" s="33" t="s">
        <v>8701</v>
      </c>
      <c r="I2150" s="33" t="s">
        <v>46</v>
      </c>
      <c r="J2150" s="33" t="s">
        <v>40</v>
      </c>
    </row>
    <row r="2151" spans="1:12" s="33" customFormat="1" hidden="1" x14ac:dyDescent="0.3">
      <c r="A2151" s="39">
        <v>46090.34</v>
      </c>
      <c r="B2151" s="33">
        <v>44991284259</v>
      </c>
      <c r="C2151" s="33">
        <v>4430265054</v>
      </c>
      <c r="D2151" s="33">
        <v>4430265054</v>
      </c>
      <c r="E2151" s="33">
        <v>15</v>
      </c>
      <c r="F2151" s="33">
        <v>15</v>
      </c>
      <c r="G2151" s="33" t="s">
        <v>3449</v>
      </c>
      <c r="H2151" s="33" t="s">
        <v>8702</v>
      </c>
      <c r="I2151" s="33" t="s">
        <v>39</v>
      </c>
      <c r="J2151" s="33" t="s">
        <v>3451</v>
      </c>
    </row>
    <row r="2152" spans="1:12" s="33" customFormat="1" hidden="1" x14ac:dyDescent="0.3">
      <c r="A2152" s="39">
        <v>46090.337812500002</v>
      </c>
      <c r="B2152" s="33">
        <v>73982188717</v>
      </c>
      <c r="C2152" s="33">
        <v>4430265054</v>
      </c>
      <c r="D2152" s="33">
        <v>4430265054</v>
      </c>
      <c r="E2152" s="33">
        <v>13</v>
      </c>
      <c r="F2152" s="33">
        <v>13</v>
      </c>
      <c r="G2152" s="33" t="s">
        <v>3449</v>
      </c>
      <c r="H2152" s="33" t="s">
        <v>8703</v>
      </c>
      <c r="I2152" s="33" t="s">
        <v>39</v>
      </c>
      <c r="J2152" s="33" t="s">
        <v>3451</v>
      </c>
    </row>
    <row r="2153" spans="1:12" s="33" customFormat="1" hidden="1" x14ac:dyDescent="0.3">
      <c r="A2153" s="39">
        <v>46087.746701388889</v>
      </c>
      <c r="B2153" s="33">
        <v>43999965552</v>
      </c>
      <c r="C2153" s="33" t="s">
        <v>48</v>
      </c>
      <c r="D2153" s="33">
        <v>4430265054</v>
      </c>
      <c r="E2153" s="33">
        <v>157</v>
      </c>
      <c r="F2153" s="33">
        <v>131</v>
      </c>
      <c r="G2153" s="33" t="s">
        <v>38</v>
      </c>
      <c r="H2153" s="33" t="s">
        <v>8704</v>
      </c>
      <c r="I2153" s="33" t="s">
        <v>39</v>
      </c>
      <c r="J2153" s="33" t="s">
        <v>40</v>
      </c>
      <c r="K2153" s="33" t="s">
        <v>41</v>
      </c>
    </row>
    <row r="2154" spans="1:12" s="33" customFormat="1" hidden="1" x14ac:dyDescent="0.3">
      <c r="A2154" s="39">
        <v>46087.73846064815</v>
      </c>
      <c r="B2154" s="33" t="s">
        <v>3627</v>
      </c>
      <c r="C2154" s="33">
        <v>47996197257</v>
      </c>
      <c r="E2154" s="33">
        <v>8</v>
      </c>
      <c r="F2154" s="33">
        <v>0</v>
      </c>
      <c r="G2154" s="33" t="s">
        <v>47</v>
      </c>
      <c r="H2154" s="33" t="s">
        <v>8705</v>
      </c>
      <c r="I2154" s="33" t="s">
        <v>46</v>
      </c>
      <c r="J2154" s="33" t="s">
        <v>3629</v>
      </c>
    </row>
    <row r="2155" spans="1:12" s="33" customFormat="1" hidden="1" x14ac:dyDescent="0.3">
      <c r="A2155" s="39">
        <v>46087.735231481478</v>
      </c>
      <c r="B2155" s="33" t="s">
        <v>3627</v>
      </c>
      <c r="C2155" s="33">
        <v>94992279277</v>
      </c>
      <c r="E2155" s="33">
        <v>39</v>
      </c>
      <c r="F2155" s="33">
        <v>1</v>
      </c>
      <c r="G2155" s="33" t="s">
        <v>38</v>
      </c>
      <c r="H2155" s="33" t="s">
        <v>8706</v>
      </c>
      <c r="I2155" s="33" t="s">
        <v>46</v>
      </c>
      <c r="J2155" s="33" t="s">
        <v>3629</v>
      </c>
    </row>
    <row r="2156" spans="1:12" s="33" customFormat="1" hidden="1" x14ac:dyDescent="0.3">
      <c r="A2156" s="39">
        <v>46087.729212962964</v>
      </c>
      <c r="B2156" s="33">
        <v>4430346845</v>
      </c>
      <c r="C2156" s="33" t="s">
        <v>45</v>
      </c>
      <c r="D2156" s="33">
        <v>4430265054</v>
      </c>
      <c r="E2156" s="33">
        <v>956</v>
      </c>
      <c r="F2156" s="33">
        <v>912</v>
      </c>
      <c r="G2156" s="33" t="s">
        <v>38</v>
      </c>
      <c r="H2156" s="33" t="s">
        <v>8707</v>
      </c>
      <c r="I2156" s="33" t="s">
        <v>39</v>
      </c>
      <c r="J2156" s="33" t="s">
        <v>40</v>
      </c>
      <c r="K2156" s="33" t="s">
        <v>41</v>
      </c>
    </row>
    <row r="2157" spans="1:12" s="33" customFormat="1" hidden="1" x14ac:dyDescent="0.3">
      <c r="A2157" s="39">
        <v>46087.708969907406</v>
      </c>
      <c r="B2157" s="33" t="s">
        <v>48</v>
      </c>
      <c r="C2157" s="33">
        <v>43999965552</v>
      </c>
      <c r="E2157" s="33">
        <v>1899</v>
      </c>
      <c r="F2157" s="33">
        <v>1893</v>
      </c>
      <c r="G2157" s="33" t="s">
        <v>38</v>
      </c>
      <c r="H2157" s="33" t="s">
        <v>8708</v>
      </c>
      <c r="I2157" s="33" t="s">
        <v>46</v>
      </c>
      <c r="J2157" s="33" t="s">
        <v>40</v>
      </c>
      <c r="L2157" s="33">
        <v>5</v>
      </c>
    </row>
    <row r="2158" spans="1:12" s="33" customFormat="1" hidden="1" x14ac:dyDescent="0.3">
      <c r="A2158" s="39">
        <v>46087.700856481482</v>
      </c>
      <c r="B2158" s="33">
        <v>43999317663</v>
      </c>
      <c r="C2158" s="33" t="s">
        <v>37</v>
      </c>
      <c r="D2158" s="33">
        <v>4430265054</v>
      </c>
      <c r="E2158" s="33">
        <v>193</v>
      </c>
      <c r="F2158" s="33">
        <v>165</v>
      </c>
      <c r="G2158" s="33" t="s">
        <v>38</v>
      </c>
      <c r="H2158" s="33" t="s">
        <v>8709</v>
      </c>
      <c r="I2158" s="33" t="s">
        <v>39</v>
      </c>
      <c r="J2158" s="33" t="s">
        <v>40</v>
      </c>
      <c r="K2158" s="33" t="s">
        <v>41</v>
      </c>
      <c r="L2158" s="33">
        <v>5</v>
      </c>
    </row>
    <row r="2159" spans="1:12" s="33" customFormat="1" hidden="1" x14ac:dyDescent="0.3">
      <c r="A2159" s="39">
        <v>46087.696782407409</v>
      </c>
      <c r="B2159" s="33">
        <v>4430289386</v>
      </c>
      <c r="C2159" s="33" t="s">
        <v>42</v>
      </c>
      <c r="D2159" s="33">
        <v>4430265054</v>
      </c>
      <c r="E2159" s="33">
        <v>372</v>
      </c>
      <c r="F2159" s="33">
        <v>348</v>
      </c>
      <c r="G2159" s="33" t="s">
        <v>38</v>
      </c>
      <c r="H2159" s="33" t="s">
        <v>8710</v>
      </c>
      <c r="I2159" s="33" t="s">
        <v>39</v>
      </c>
      <c r="J2159" s="33" t="s">
        <v>40</v>
      </c>
      <c r="K2159" s="33" t="s">
        <v>41</v>
      </c>
    </row>
    <row r="2160" spans="1:12" s="33" customFormat="1" hidden="1" x14ac:dyDescent="0.3">
      <c r="A2160" s="39">
        <v>46087.677754629629</v>
      </c>
      <c r="B2160" s="33" t="s">
        <v>44</v>
      </c>
      <c r="C2160" s="33">
        <v>4334226481</v>
      </c>
      <c r="E2160" s="33">
        <v>67</v>
      </c>
      <c r="F2160" s="33">
        <v>56</v>
      </c>
      <c r="G2160" s="33" t="s">
        <v>38</v>
      </c>
      <c r="H2160" s="33" t="s">
        <v>8711</v>
      </c>
      <c r="I2160" s="33" t="s">
        <v>46</v>
      </c>
      <c r="J2160" s="33" t="s">
        <v>40</v>
      </c>
    </row>
    <row r="2161" spans="1:12" s="33" customFormat="1" hidden="1" x14ac:dyDescent="0.3">
      <c r="A2161" s="39">
        <v>46087.66196759259</v>
      </c>
      <c r="B2161" s="33" t="s">
        <v>45</v>
      </c>
      <c r="C2161" s="33">
        <v>4430162376</v>
      </c>
      <c r="E2161" s="33">
        <v>246</v>
      </c>
      <c r="F2161" s="33">
        <v>230</v>
      </c>
      <c r="G2161" s="33" t="s">
        <v>38</v>
      </c>
      <c r="H2161" s="33" t="s">
        <v>8712</v>
      </c>
      <c r="I2161" s="33" t="s">
        <v>46</v>
      </c>
      <c r="J2161" s="33" t="s">
        <v>40</v>
      </c>
    </row>
    <row r="2162" spans="1:12" s="33" customFormat="1" hidden="1" x14ac:dyDescent="0.3">
      <c r="A2162" s="39">
        <v>46087.657523148147</v>
      </c>
      <c r="B2162" s="33">
        <v>4430284942</v>
      </c>
      <c r="C2162" s="33">
        <v>4430265054</v>
      </c>
      <c r="D2162" s="33">
        <v>4430265054</v>
      </c>
      <c r="E2162" s="33">
        <v>111</v>
      </c>
      <c r="F2162" s="33">
        <v>110</v>
      </c>
      <c r="G2162" s="33" t="s">
        <v>3449</v>
      </c>
      <c r="H2162" s="33" t="s">
        <v>8713</v>
      </c>
      <c r="I2162" s="33" t="s">
        <v>39</v>
      </c>
      <c r="J2162" s="33" t="s">
        <v>3451</v>
      </c>
      <c r="K2162" s="33" t="s">
        <v>41</v>
      </c>
    </row>
    <row r="2163" spans="1:12" s="33" customFormat="1" hidden="1" x14ac:dyDescent="0.3">
      <c r="A2163" s="39">
        <v>46087.646944444445</v>
      </c>
      <c r="B2163" s="33" t="s">
        <v>45</v>
      </c>
      <c r="C2163" s="33">
        <v>4130296118</v>
      </c>
      <c r="E2163" s="33">
        <v>74</v>
      </c>
      <c r="F2163" s="33">
        <v>69</v>
      </c>
      <c r="G2163" s="33" t="s">
        <v>38</v>
      </c>
      <c r="H2163" s="33" t="s">
        <v>8714</v>
      </c>
      <c r="I2163" s="33" t="s">
        <v>46</v>
      </c>
      <c r="J2163" s="33" t="s">
        <v>40</v>
      </c>
    </row>
    <row r="2164" spans="1:12" s="33" customFormat="1" hidden="1" x14ac:dyDescent="0.3">
      <c r="A2164" s="39">
        <v>46087.646226851852</v>
      </c>
      <c r="B2164" s="33">
        <v>4432520077</v>
      </c>
      <c r="C2164" s="33" t="s">
        <v>42</v>
      </c>
      <c r="D2164" s="33">
        <v>4430265054</v>
      </c>
      <c r="E2164" s="33">
        <v>750</v>
      </c>
      <c r="F2164" s="33">
        <v>718</v>
      </c>
      <c r="G2164" s="33" t="s">
        <v>38</v>
      </c>
      <c r="H2164" s="33" t="s">
        <v>8715</v>
      </c>
      <c r="I2164" s="33" t="s">
        <v>39</v>
      </c>
      <c r="J2164" s="33" t="s">
        <v>40</v>
      </c>
      <c r="K2164" s="33" t="s">
        <v>41</v>
      </c>
    </row>
    <row r="2165" spans="1:12" s="33" customFormat="1" hidden="1" x14ac:dyDescent="0.3">
      <c r="A2165" s="39">
        <v>46087.640694444446</v>
      </c>
      <c r="B2165" s="33" t="s">
        <v>45</v>
      </c>
      <c r="C2165" s="33">
        <v>43999965552</v>
      </c>
      <c r="E2165" s="33">
        <v>484</v>
      </c>
      <c r="F2165" s="33">
        <v>476</v>
      </c>
      <c r="G2165" s="33" t="s">
        <v>38</v>
      </c>
      <c r="H2165" s="33" t="s">
        <v>8716</v>
      </c>
      <c r="I2165" s="33" t="s">
        <v>46</v>
      </c>
      <c r="J2165" s="33" t="s">
        <v>40</v>
      </c>
    </row>
    <row r="2166" spans="1:12" s="33" customFormat="1" hidden="1" x14ac:dyDescent="0.3">
      <c r="A2166" s="39">
        <v>46087.639456018522</v>
      </c>
      <c r="B2166" s="33">
        <v>91984985454</v>
      </c>
      <c r="C2166" s="33" t="s">
        <v>44</v>
      </c>
      <c r="D2166" s="33">
        <v>4430265054</v>
      </c>
      <c r="E2166" s="33">
        <v>560</v>
      </c>
      <c r="F2166" s="33">
        <v>370</v>
      </c>
      <c r="G2166" s="33" t="s">
        <v>38</v>
      </c>
      <c r="H2166" s="33" t="s">
        <v>8717</v>
      </c>
      <c r="I2166" s="33" t="s">
        <v>39</v>
      </c>
      <c r="J2166" s="33" t="s">
        <v>40</v>
      </c>
      <c r="K2166" s="33" t="s">
        <v>41</v>
      </c>
    </row>
    <row r="2167" spans="1:12" s="33" customFormat="1" hidden="1" x14ac:dyDescent="0.3">
      <c r="A2167" s="39">
        <v>46087.632511574076</v>
      </c>
      <c r="B2167" s="33">
        <v>44991388221</v>
      </c>
      <c r="C2167" s="33">
        <v>4431268225</v>
      </c>
      <c r="D2167" s="33">
        <v>4431268225</v>
      </c>
      <c r="E2167" s="33">
        <v>3</v>
      </c>
      <c r="F2167" s="33">
        <v>2</v>
      </c>
      <c r="G2167" s="33" t="s">
        <v>3449</v>
      </c>
      <c r="H2167" s="33" t="s">
        <v>8718</v>
      </c>
      <c r="I2167" s="33" t="s">
        <v>39</v>
      </c>
      <c r="J2167" s="33" t="s">
        <v>3451</v>
      </c>
    </row>
    <row r="2168" spans="1:12" s="33" customFormat="1" hidden="1" x14ac:dyDescent="0.3">
      <c r="A2168" s="39">
        <v>46087.630023148151</v>
      </c>
      <c r="B2168" s="33">
        <v>62991155122</v>
      </c>
      <c r="C2168" s="33" t="s">
        <v>45</v>
      </c>
      <c r="D2168" s="33">
        <v>4430265054</v>
      </c>
      <c r="E2168" s="33">
        <v>408</v>
      </c>
      <c r="F2168" s="33">
        <v>357</v>
      </c>
      <c r="G2168" s="33" t="s">
        <v>38</v>
      </c>
      <c r="H2168" s="33" t="s">
        <v>8719</v>
      </c>
      <c r="I2168" s="33" t="s">
        <v>39</v>
      </c>
      <c r="J2168" s="33" t="s">
        <v>40</v>
      </c>
      <c r="K2168" s="33" t="s">
        <v>41</v>
      </c>
      <c r="L2168" s="33">
        <v>5</v>
      </c>
    </row>
    <row r="2169" spans="1:12" s="33" customFormat="1" hidden="1" x14ac:dyDescent="0.3">
      <c r="A2169" s="39">
        <v>46087.627245370371</v>
      </c>
      <c r="B2169" s="33" t="s">
        <v>44</v>
      </c>
      <c r="C2169" s="33">
        <v>4333270775</v>
      </c>
      <c r="E2169" s="33">
        <v>30</v>
      </c>
      <c r="F2169" s="33">
        <v>0</v>
      </c>
      <c r="G2169" s="33" t="s">
        <v>47</v>
      </c>
      <c r="H2169" s="33" t="s">
        <v>8720</v>
      </c>
      <c r="I2169" s="33" t="s">
        <v>46</v>
      </c>
      <c r="J2169" s="33" t="s">
        <v>40</v>
      </c>
    </row>
    <row r="2170" spans="1:12" s="33" customFormat="1" hidden="1" x14ac:dyDescent="0.3">
      <c r="A2170" s="39">
        <v>46087.626817129632</v>
      </c>
      <c r="B2170" s="33" t="s">
        <v>44</v>
      </c>
      <c r="C2170" s="33">
        <v>4333270775</v>
      </c>
      <c r="E2170" s="33">
        <v>34</v>
      </c>
      <c r="F2170" s="33">
        <v>0</v>
      </c>
      <c r="G2170" s="33" t="s">
        <v>47</v>
      </c>
      <c r="H2170" s="33" t="s">
        <v>8721</v>
      </c>
      <c r="I2170" s="33" t="s">
        <v>46</v>
      </c>
      <c r="J2170" s="33" t="s">
        <v>40</v>
      </c>
    </row>
    <row r="2171" spans="1:12" s="33" customFormat="1" hidden="1" x14ac:dyDescent="0.3">
      <c r="A2171" s="39">
        <v>46087.626388888886</v>
      </c>
      <c r="B2171" s="33" t="s">
        <v>44</v>
      </c>
      <c r="C2171" s="33">
        <v>43999555292</v>
      </c>
      <c r="E2171" s="33">
        <v>13</v>
      </c>
      <c r="F2171" s="33">
        <v>0</v>
      </c>
      <c r="G2171" s="33" t="s">
        <v>47</v>
      </c>
      <c r="H2171" s="33" t="s">
        <v>8722</v>
      </c>
      <c r="I2171" s="33" t="s">
        <v>46</v>
      </c>
      <c r="J2171" s="33" t="s">
        <v>40</v>
      </c>
    </row>
    <row r="2172" spans="1:12" s="33" customFormat="1" hidden="1" x14ac:dyDescent="0.3">
      <c r="A2172" s="39">
        <v>46087.624861111108</v>
      </c>
      <c r="B2172" s="33" t="s">
        <v>37</v>
      </c>
      <c r="C2172" s="33">
        <v>44991388221</v>
      </c>
      <c r="E2172" s="33">
        <v>593</v>
      </c>
      <c r="F2172" s="33">
        <v>588</v>
      </c>
      <c r="G2172" s="33" t="s">
        <v>38</v>
      </c>
      <c r="H2172" s="33" t="s">
        <v>8723</v>
      </c>
      <c r="I2172" s="33" t="s">
        <v>46</v>
      </c>
      <c r="J2172" s="33" t="s">
        <v>40</v>
      </c>
      <c r="L2172" s="33">
        <v>5</v>
      </c>
    </row>
    <row r="2173" spans="1:12" s="33" customFormat="1" hidden="1" x14ac:dyDescent="0.3">
      <c r="A2173" s="39">
        <v>46087.615335648145</v>
      </c>
      <c r="B2173" s="33" t="s">
        <v>37</v>
      </c>
      <c r="C2173" s="33">
        <v>44991388221</v>
      </c>
      <c r="E2173" s="33">
        <v>806</v>
      </c>
      <c r="F2173" s="33">
        <v>800</v>
      </c>
      <c r="G2173" s="33" t="s">
        <v>38</v>
      </c>
      <c r="H2173" s="33" t="s">
        <v>8724</v>
      </c>
      <c r="I2173" s="33" t="s">
        <v>46</v>
      </c>
      <c r="J2173" s="33" t="s">
        <v>40</v>
      </c>
    </row>
    <row r="2174" spans="1:12" s="33" customFormat="1" x14ac:dyDescent="0.3">
      <c r="A2174" s="39">
        <v>46087.614236111112</v>
      </c>
      <c r="B2174" s="33">
        <v>6234347959</v>
      </c>
      <c r="C2174" s="33" t="s">
        <v>42</v>
      </c>
      <c r="D2174" s="33">
        <v>4430265054</v>
      </c>
      <c r="E2174" s="33">
        <v>367</v>
      </c>
      <c r="F2174" s="33">
        <v>293</v>
      </c>
      <c r="G2174" s="33" t="s">
        <v>38</v>
      </c>
      <c r="H2174" s="33" t="s">
        <v>8725</v>
      </c>
      <c r="I2174" s="33" t="s">
        <v>39</v>
      </c>
      <c r="J2174" s="33" t="s">
        <v>40</v>
      </c>
      <c r="K2174" s="33" t="s">
        <v>41</v>
      </c>
      <c r="L2174" s="33">
        <v>5</v>
      </c>
    </row>
    <row r="2175" spans="1:12" s="33" customFormat="1" hidden="1" x14ac:dyDescent="0.3">
      <c r="A2175" s="39">
        <v>46087.613877314812</v>
      </c>
      <c r="B2175" s="33" t="s">
        <v>44</v>
      </c>
      <c r="C2175" s="33">
        <v>43999555292</v>
      </c>
      <c r="E2175" s="33">
        <v>11</v>
      </c>
      <c r="F2175" s="33">
        <v>0</v>
      </c>
      <c r="G2175" s="33" t="s">
        <v>47</v>
      </c>
      <c r="H2175" s="33" t="s">
        <v>8726</v>
      </c>
      <c r="I2175" s="33" t="s">
        <v>46</v>
      </c>
      <c r="J2175" s="33" t="s">
        <v>40</v>
      </c>
    </row>
    <row r="2176" spans="1:12" s="33" customFormat="1" hidden="1" x14ac:dyDescent="0.3">
      <c r="A2176" s="39">
        <v>46087.61010416667</v>
      </c>
      <c r="B2176" s="33">
        <v>44991388221</v>
      </c>
      <c r="C2176" s="33" t="s">
        <v>37</v>
      </c>
      <c r="D2176" s="33">
        <v>4431268225</v>
      </c>
      <c r="E2176" s="33">
        <v>445</v>
      </c>
      <c r="F2176" s="33">
        <v>283</v>
      </c>
      <c r="G2176" s="33" t="s">
        <v>38</v>
      </c>
      <c r="H2176" s="33" t="s">
        <v>8727</v>
      </c>
      <c r="I2176" s="33" t="s">
        <v>39</v>
      </c>
      <c r="J2176" s="33" t="s">
        <v>40</v>
      </c>
      <c r="K2176" s="33" t="s">
        <v>41</v>
      </c>
    </row>
    <row r="2177" spans="1:12" s="33" customFormat="1" hidden="1" x14ac:dyDescent="0.3">
      <c r="A2177" s="39">
        <v>46087.603888888887</v>
      </c>
      <c r="B2177" s="33">
        <v>43999965552</v>
      </c>
      <c r="C2177" s="33" t="s">
        <v>45</v>
      </c>
      <c r="D2177" s="33">
        <v>4430265054</v>
      </c>
      <c r="E2177" s="33">
        <v>977</v>
      </c>
      <c r="F2177" s="33">
        <v>902</v>
      </c>
      <c r="G2177" s="33" t="s">
        <v>38</v>
      </c>
      <c r="H2177" s="33" t="s">
        <v>8728</v>
      </c>
      <c r="I2177" s="33" t="s">
        <v>39</v>
      </c>
      <c r="J2177" s="33" t="s">
        <v>40</v>
      </c>
      <c r="K2177" s="33" t="s">
        <v>41</v>
      </c>
    </row>
    <row r="2178" spans="1:12" s="33" customFormat="1" hidden="1" x14ac:dyDescent="0.3">
      <c r="A2178" s="39">
        <v>46087.60125</v>
      </c>
      <c r="B2178" s="33" t="s">
        <v>44</v>
      </c>
      <c r="C2178" s="33">
        <v>4432269849</v>
      </c>
      <c r="E2178" s="33">
        <v>850</v>
      </c>
      <c r="F2178" s="33">
        <v>840</v>
      </c>
      <c r="G2178" s="33" t="s">
        <v>38</v>
      </c>
      <c r="H2178" s="33" t="s">
        <v>8729</v>
      </c>
      <c r="I2178" s="33" t="s">
        <v>46</v>
      </c>
      <c r="J2178" s="33" t="s">
        <v>40</v>
      </c>
    </row>
    <row r="2179" spans="1:12" s="33" customFormat="1" hidden="1" x14ac:dyDescent="0.3">
      <c r="A2179" s="39">
        <v>46087.60119212963</v>
      </c>
      <c r="B2179" s="33" t="s">
        <v>44</v>
      </c>
      <c r="C2179" s="33">
        <v>4432269849</v>
      </c>
      <c r="E2179" s="33">
        <v>4</v>
      </c>
      <c r="F2179" s="33">
        <v>0</v>
      </c>
      <c r="G2179" s="33" t="s">
        <v>47</v>
      </c>
      <c r="H2179" s="33" t="s">
        <v>8730</v>
      </c>
      <c r="I2179" s="33" t="s">
        <v>46</v>
      </c>
      <c r="J2179" s="33" t="s">
        <v>40</v>
      </c>
    </row>
    <row r="2180" spans="1:12" s="33" customFormat="1" hidden="1" x14ac:dyDescent="0.3">
      <c r="A2180" s="39">
        <v>46087.60052083333</v>
      </c>
      <c r="B2180" s="33" t="s">
        <v>44</v>
      </c>
      <c r="C2180" s="33">
        <v>43999555292</v>
      </c>
      <c r="E2180" s="33">
        <v>14</v>
      </c>
      <c r="F2180" s="33">
        <v>0</v>
      </c>
      <c r="G2180" s="33" t="s">
        <v>47</v>
      </c>
      <c r="H2180" s="33" t="s">
        <v>8731</v>
      </c>
      <c r="I2180" s="33" t="s">
        <v>46</v>
      </c>
      <c r="J2180" s="33" t="s">
        <v>40</v>
      </c>
    </row>
    <row r="2181" spans="1:12" s="33" customFormat="1" hidden="1" x14ac:dyDescent="0.3">
      <c r="A2181" s="39">
        <v>46087.600254629629</v>
      </c>
      <c r="B2181" s="33">
        <v>4432525112</v>
      </c>
      <c r="C2181" s="33" t="s">
        <v>42</v>
      </c>
      <c r="D2181" s="33">
        <v>4430265054</v>
      </c>
      <c r="E2181" s="33">
        <v>1089</v>
      </c>
      <c r="F2181" s="33">
        <v>993</v>
      </c>
      <c r="G2181" s="33" t="s">
        <v>38</v>
      </c>
      <c r="H2181" s="33" t="s">
        <v>8732</v>
      </c>
      <c r="I2181" s="33" t="s">
        <v>39</v>
      </c>
      <c r="J2181" s="33" t="s">
        <v>40</v>
      </c>
      <c r="K2181" s="33" t="s">
        <v>41</v>
      </c>
    </row>
    <row r="2182" spans="1:12" s="33" customFormat="1" hidden="1" x14ac:dyDescent="0.3">
      <c r="A2182" s="39">
        <v>46087.599351851852</v>
      </c>
      <c r="B2182" s="33" t="s">
        <v>44</v>
      </c>
      <c r="C2182" s="33">
        <v>43999555292</v>
      </c>
      <c r="E2182" s="33">
        <v>35</v>
      </c>
      <c r="F2182" s="33">
        <v>0</v>
      </c>
      <c r="G2182" s="33" t="s">
        <v>47</v>
      </c>
      <c r="H2182" s="33" t="s">
        <v>8733</v>
      </c>
      <c r="I2182" s="33" t="s">
        <v>46</v>
      </c>
      <c r="J2182" s="33" t="s">
        <v>40</v>
      </c>
    </row>
    <row r="2183" spans="1:12" s="33" customFormat="1" hidden="1" x14ac:dyDescent="0.3">
      <c r="A2183" s="39">
        <v>46087.59884259259</v>
      </c>
      <c r="B2183" s="33" t="s">
        <v>3627</v>
      </c>
      <c r="C2183" s="33">
        <v>16991306780</v>
      </c>
      <c r="E2183" s="33">
        <v>23</v>
      </c>
      <c r="F2183" s="33">
        <v>0</v>
      </c>
      <c r="G2183" s="33" t="s">
        <v>47</v>
      </c>
      <c r="H2183" s="33" t="s">
        <v>8734</v>
      </c>
      <c r="I2183" s="33" t="s">
        <v>46</v>
      </c>
      <c r="J2183" s="33" t="s">
        <v>3629</v>
      </c>
    </row>
    <row r="2184" spans="1:12" s="33" customFormat="1" hidden="1" x14ac:dyDescent="0.3">
      <c r="A2184" s="39">
        <v>46087.587175925924</v>
      </c>
      <c r="B2184" s="33">
        <v>4432325260</v>
      </c>
      <c r="C2184" s="33" t="s">
        <v>45</v>
      </c>
      <c r="D2184" s="33">
        <v>4430265054</v>
      </c>
      <c r="E2184" s="33">
        <v>218</v>
      </c>
      <c r="F2184" s="33">
        <v>160</v>
      </c>
      <c r="G2184" s="33" t="s">
        <v>38</v>
      </c>
      <c r="H2184" s="33" t="s">
        <v>8735</v>
      </c>
      <c r="I2184" s="33" t="s">
        <v>39</v>
      </c>
      <c r="J2184" s="33" t="s">
        <v>40</v>
      </c>
      <c r="K2184" s="33" t="s">
        <v>41</v>
      </c>
      <c r="L2184" s="33">
        <v>5</v>
      </c>
    </row>
    <row r="2185" spans="1:12" s="33" customFormat="1" hidden="1" x14ac:dyDescent="0.3">
      <c r="A2185" s="39">
        <v>46087.587071759262</v>
      </c>
      <c r="B2185" s="33" t="s">
        <v>42</v>
      </c>
      <c r="C2185" s="33">
        <v>41999865917</v>
      </c>
      <c r="E2185" s="33">
        <v>940</v>
      </c>
      <c r="F2185" s="33">
        <v>938</v>
      </c>
      <c r="G2185" s="33" t="s">
        <v>38</v>
      </c>
      <c r="H2185" s="33" t="s">
        <v>8736</v>
      </c>
      <c r="I2185" s="33" t="s">
        <v>46</v>
      </c>
      <c r="J2185" s="33" t="s">
        <v>40</v>
      </c>
    </row>
    <row r="2186" spans="1:12" s="33" customFormat="1" hidden="1" x14ac:dyDescent="0.3">
      <c r="A2186" s="39">
        <v>46087.586701388886</v>
      </c>
      <c r="B2186" s="33" t="s">
        <v>43</v>
      </c>
      <c r="C2186" s="33">
        <v>4436281154</v>
      </c>
      <c r="E2186" s="33">
        <v>3</v>
      </c>
      <c r="F2186" s="33">
        <v>0</v>
      </c>
      <c r="G2186" s="33" t="s">
        <v>47</v>
      </c>
      <c r="H2186" s="33" t="s">
        <v>8737</v>
      </c>
      <c r="I2186" s="33" t="s">
        <v>46</v>
      </c>
      <c r="J2186" s="33" t="s">
        <v>40</v>
      </c>
    </row>
    <row r="2187" spans="1:12" s="33" customFormat="1" hidden="1" x14ac:dyDescent="0.3">
      <c r="A2187" s="39">
        <v>46087.58666666667</v>
      </c>
      <c r="B2187" s="33" t="s">
        <v>43</v>
      </c>
      <c r="C2187" s="33">
        <v>4436281154</v>
      </c>
      <c r="E2187" s="33">
        <v>2</v>
      </c>
      <c r="F2187" s="33">
        <v>0</v>
      </c>
      <c r="G2187" s="33" t="s">
        <v>47</v>
      </c>
      <c r="H2187" s="33" t="s">
        <v>8738</v>
      </c>
      <c r="I2187" s="33" t="s">
        <v>46</v>
      </c>
      <c r="J2187" s="33" t="s">
        <v>40</v>
      </c>
    </row>
    <row r="2188" spans="1:12" s="33" customFormat="1" hidden="1" x14ac:dyDescent="0.3">
      <c r="A2188" s="39">
        <v>46087.586365740739</v>
      </c>
      <c r="B2188" s="33" t="s">
        <v>43</v>
      </c>
      <c r="C2188" s="33">
        <v>4436281154</v>
      </c>
      <c r="E2188" s="33">
        <v>2</v>
      </c>
      <c r="F2188" s="33">
        <v>0</v>
      </c>
      <c r="G2188" s="33" t="s">
        <v>47</v>
      </c>
      <c r="H2188" s="33" t="s">
        <v>8739</v>
      </c>
      <c r="I2188" s="33" t="s">
        <v>46</v>
      </c>
      <c r="J2188" s="33" t="s">
        <v>40</v>
      </c>
    </row>
    <row r="2189" spans="1:12" s="33" customFormat="1" hidden="1" x14ac:dyDescent="0.3">
      <c r="A2189" s="39">
        <v>46087.586284722223</v>
      </c>
      <c r="B2189" s="33" t="s">
        <v>43</v>
      </c>
      <c r="C2189" s="33">
        <v>4436281154</v>
      </c>
      <c r="E2189" s="33">
        <v>2</v>
      </c>
      <c r="F2189" s="33">
        <v>0</v>
      </c>
      <c r="G2189" s="33" t="s">
        <v>47</v>
      </c>
      <c r="H2189" s="33" t="s">
        <v>8740</v>
      </c>
      <c r="I2189" s="33" t="s">
        <v>46</v>
      </c>
      <c r="J2189" s="33" t="s">
        <v>40</v>
      </c>
    </row>
    <row r="2190" spans="1:12" s="33" customFormat="1" hidden="1" x14ac:dyDescent="0.3">
      <c r="A2190" s="39">
        <v>46087.5862037037</v>
      </c>
      <c r="B2190" s="33" t="s">
        <v>43</v>
      </c>
      <c r="C2190" s="33">
        <v>4436281154</v>
      </c>
      <c r="E2190" s="33">
        <v>3</v>
      </c>
      <c r="F2190" s="33">
        <v>0</v>
      </c>
      <c r="G2190" s="33" t="s">
        <v>47</v>
      </c>
      <c r="H2190" s="33" t="s">
        <v>8741</v>
      </c>
      <c r="I2190" s="33" t="s">
        <v>46</v>
      </c>
      <c r="J2190" s="33" t="s">
        <v>40</v>
      </c>
    </row>
    <row r="2191" spans="1:12" s="33" customFormat="1" hidden="1" x14ac:dyDescent="0.3">
      <c r="A2191" s="39">
        <v>46087.584976851853</v>
      </c>
      <c r="B2191" s="33" t="s">
        <v>42</v>
      </c>
      <c r="C2191" s="33">
        <v>41999865917</v>
      </c>
      <c r="E2191" s="33">
        <v>39</v>
      </c>
      <c r="F2191" s="33">
        <v>36</v>
      </c>
      <c r="G2191" s="33" t="s">
        <v>38</v>
      </c>
      <c r="H2191" s="33" t="s">
        <v>8742</v>
      </c>
      <c r="I2191" s="33" t="s">
        <v>46</v>
      </c>
      <c r="J2191" s="33" t="s">
        <v>40</v>
      </c>
    </row>
    <row r="2192" spans="1:12" s="33" customFormat="1" hidden="1" x14ac:dyDescent="0.3">
      <c r="A2192" s="39">
        <v>46087.579328703701</v>
      </c>
      <c r="B2192" s="33">
        <v>44999251360</v>
      </c>
      <c r="C2192" s="33" t="s">
        <v>48</v>
      </c>
      <c r="D2192" s="33">
        <v>4430265054</v>
      </c>
      <c r="E2192" s="33">
        <v>325</v>
      </c>
      <c r="F2192" s="33">
        <v>274</v>
      </c>
      <c r="G2192" s="33" t="s">
        <v>38</v>
      </c>
      <c r="H2192" s="33" t="s">
        <v>8743</v>
      </c>
      <c r="I2192" s="33" t="s">
        <v>39</v>
      </c>
      <c r="J2192" s="33" t="s">
        <v>40</v>
      </c>
      <c r="K2192" s="33" t="s">
        <v>41</v>
      </c>
    </row>
    <row r="2193" spans="1:13" hidden="1" x14ac:dyDescent="0.3">
      <c r="A2193" s="39">
        <v>46087.578611111108</v>
      </c>
      <c r="B2193" s="33" t="s">
        <v>43</v>
      </c>
      <c r="C2193" s="33">
        <v>4436281154</v>
      </c>
      <c r="E2193" s="33">
        <v>2</v>
      </c>
      <c r="F2193" s="33">
        <v>0</v>
      </c>
      <c r="G2193" s="33" t="s">
        <v>47</v>
      </c>
      <c r="H2193" s="33" t="s">
        <v>8744</v>
      </c>
      <c r="I2193" s="33" t="s">
        <v>46</v>
      </c>
      <c r="J2193" s="33" t="s">
        <v>40</v>
      </c>
      <c r="M2193" s="33"/>
    </row>
    <row r="2194" spans="1:13" hidden="1" x14ac:dyDescent="0.3">
      <c r="A2194" s="39">
        <v>46087.578368055554</v>
      </c>
      <c r="B2194" s="33">
        <v>4432522019</v>
      </c>
      <c r="C2194" s="33" t="s">
        <v>37</v>
      </c>
      <c r="D2194" s="33">
        <v>4430265054</v>
      </c>
      <c r="E2194" s="33">
        <v>650</v>
      </c>
      <c r="F2194" s="33">
        <v>568</v>
      </c>
      <c r="G2194" s="33" t="s">
        <v>38</v>
      </c>
      <c r="H2194" s="33" t="s">
        <v>8745</v>
      </c>
      <c r="I2194" s="33" t="s">
        <v>39</v>
      </c>
      <c r="J2194" s="33" t="s">
        <v>40</v>
      </c>
      <c r="K2194" s="33" t="s">
        <v>41</v>
      </c>
      <c r="M2194" s="33"/>
    </row>
    <row r="2195" spans="1:13" hidden="1" x14ac:dyDescent="0.3">
      <c r="A2195" s="39">
        <v>46087.578194444446</v>
      </c>
      <c r="B2195" s="33">
        <v>4440092826</v>
      </c>
      <c r="C2195" s="33" t="s">
        <v>43</v>
      </c>
      <c r="D2195" s="33">
        <v>4430265054</v>
      </c>
      <c r="E2195" s="33">
        <v>651</v>
      </c>
      <c r="F2195" s="33">
        <v>609</v>
      </c>
      <c r="G2195" s="33" t="s">
        <v>38</v>
      </c>
      <c r="H2195" s="33" t="s">
        <v>8746</v>
      </c>
      <c r="I2195" s="33" t="s">
        <v>39</v>
      </c>
      <c r="J2195" s="33" t="s">
        <v>40</v>
      </c>
      <c r="K2195" s="33" t="s">
        <v>41</v>
      </c>
      <c r="L2195" s="33">
        <v>5</v>
      </c>
      <c r="M2195" s="33"/>
    </row>
    <row r="2196" spans="1:13" hidden="1" x14ac:dyDescent="0.3">
      <c r="A2196" s="39">
        <v>46087.577499999999</v>
      </c>
      <c r="B2196" s="33">
        <v>44997561804</v>
      </c>
      <c r="C2196" s="33" t="s">
        <v>44</v>
      </c>
      <c r="D2196" s="33">
        <v>4430265054</v>
      </c>
      <c r="E2196" s="33">
        <v>1422</v>
      </c>
      <c r="F2196" s="33">
        <v>1328</v>
      </c>
      <c r="G2196" s="33" t="s">
        <v>38</v>
      </c>
      <c r="H2196" s="33" t="s">
        <v>8747</v>
      </c>
      <c r="I2196" s="33" t="s">
        <v>39</v>
      </c>
      <c r="J2196" s="33" t="s">
        <v>40</v>
      </c>
      <c r="K2196" s="33" t="s">
        <v>41</v>
      </c>
      <c r="M2196" s="33"/>
    </row>
    <row r="2197" spans="1:13" hidden="1" x14ac:dyDescent="0.3">
      <c r="A2197" s="39">
        <v>46087.575104166666</v>
      </c>
      <c r="B2197" s="33">
        <v>4130760170</v>
      </c>
      <c r="C2197" s="33" t="s">
        <v>42</v>
      </c>
      <c r="D2197" s="33">
        <v>4430265054</v>
      </c>
      <c r="E2197" s="33">
        <v>521</v>
      </c>
      <c r="F2197" s="33">
        <v>495</v>
      </c>
      <c r="G2197" s="33" t="s">
        <v>38</v>
      </c>
      <c r="H2197" s="33" t="s">
        <v>8748</v>
      </c>
      <c r="I2197" s="33" t="s">
        <v>39</v>
      </c>
      <c r="J2197" s="33" t="s">
        <v>40</v>
      </c>
      <c r="K2197" s="33" t="s">
        <v>41</v>
      </c>
      <c r="M2197" s="33"/>
    </row>
    <row r="2198" spans="1:13" hidden="1" x14ac:dyDescent="0.3">
      <c r="A2198" s="39">
        <v>46087.573611111111</v>
      </c>
      <c r="B2198" s="33">
        <v>44991388221</v>
      </c>
      <c r="C2198" s="33" t="s">
        <v>45</v>
      </c>
      <c r="D2198" s="33">
        <v>4431268225</v>
      </c>
      <c r="E2198" s="33">
        <v>807</v>
      </c>
      <c r="F2198" s="33">
        <v>720</v>
      </c>
      <c r="G2198" s="33" t="s">
        <v>38</v>
      </c>
      <c r="H2198" s="33" t="s">
        <v>8749</v>
      </c>
      <c r="I2198" s="33" t="s">
        <v>39</v>
      </c>
      <c r="J2198" s="33" t="s">
        <v>40</v>
      </c>
      <c r="K2198" s="33" t="s">
        <v>41</v>
      </c>
      <c r="L2198" s="37">
        <v>4</v>
      </c>
      <c r="M2198" s="36" t="s">
        <v>9488</v>
      </c>
    </row>
    <row r="2199" spans="1:13" hidden="1" x14ac:dyDescent="0.3">
      <c r="A2199" s="39">
        <v>46087.563449074078</v>
      </c>
      <c r="B2199" s="33">
        <v>44991388221</v>
      </c>
      <c r="C2199" s="33" t="s">
        <v>45</v>
      </c>
      <c r="D2199" s="33">
        <v>4431268225</v>
      </c>
      <c r="E2199" s="33">
        <v>594</v>
      </c>
      <c r="F2199" s="33">
        <v>535</v>
      </c>
      <c r="G2199" s="33" t="s">
        <v>38</v>
      </c>
      <c r="H2199" s="33" t="s">
        <v>8750</v>
      </c>
      <c r="I2199" s="33" t="s">
        <v>39</v>
      </c>
      <c r="J2199" s="33" t="s">
        <v>40</v>
      </c>
      <c r="K2199" s="33" t="s">
        <v>41</v>
      </c>
      <c r="L2199" s="37">
        <v>4</v>
      </c>
      <c r="M2199" s="36" t="s">
        <v>9488</v>
      </c>
    </row>
    <row r="2200" spans="1:13" x14ac:dyDescent="0.3">
      <c r="A2200" s="39">
        <v>46087.491550925923</v>
      </c>
      <c r="B2200" s="33">
        <v>41996631918</v>
      </c>
      <c r="C2200" s="33" t="s">
        <v>42</v>
      </c>
      <c r="D2200" s="33">
        <v>4430265054</v>
      </c>
      <c r="E2200" s="33">
        <v>686</v>
      </c>
      <c r="F2200" s="33">
        <v>488</v>
      </c>
      <c r="G2200" s="33" t="s">
        <v>38</v>
      </c>
      <c r="H2200" s="33" t="s">
        <v>8751</v>
      </c>
      <c r="I2200" s="33" t="s">
        <v>39</v>
      </c>
      <c r="J2200" s="33" t="s">
        <v>40</v>
      </c>
      <c r="K2200" s="33" t="s">
        <v>41</v>
      </c>
      <c r="L2200" s="33">
        <v>5</v>
      </c>
      <c r="M2200" s="33"/>
    </row>
    <row r="2201" spans="1:13" hidden="1" x14ac:dyDescent="0.3">
      <c r="A2201" s="39">
        <v>46087.49114583333</v>
      </c>
      <c r="B2201" s="33">
        <v>43999555292</v>
      </c>
      <c r="C2201" s="33" t="s">
        <v>44</v>
      </c>
      <c r="D2201" s="33">
        <v>4430265054</v>
      </c>
      <c r="E2201" s="33">
        <v>662</v>
      </c>
      <c r="F2201" s="33">
        <v>551</v>
      </c>
      <c r="G2201" s="33" t="s">
        <v>38</v>
      </c>
      <c r="H2201" s="33" t="s">
        <v>8752</v>
      </c>
      <c r="I2201" s="33" t="s">
        <v>39</v>
      </c>
      <c r="J2201" s="33" t="s">
        <v>40</v>
      </c>
      <c r="K2201" s="33" t="s">
        <v>41</v>
      </c>
      <c r="M2201" s="33"/>
    </row>
    <row r="2202" spans="1:13" hidden="1" x14ac:dyDescent="0.3">
      <c r="A2202" s="39">
        <v>46087.4843287037</v>
      </c>
      <c r="B2202" s="33" t="s">
        <v>3627</v>
      </c>
      <c r="C2202" s="33">
        <v>61998239267</v>
      </c>
      <c r="E2202" s="33">
        <v>10</v>
      </c>
      <c r="F2202" s="33">
        <v>0</v>
      </c>
      <c r="G2202" s="33" t="s">
        <v>47</v>
      </c>
      <c r="H2202" s="33" t="s">
        <v>8753</v>
      </c>
      <c r="I2202" s="33" t="s">
        <v>46</v>
      </c>
      <c r="J2202" s="33" t="s">
        <v>3629</v>
      </c>
      <c r="M2202" s="33"/>
    </row>
    <row r="2203" spans="1:13" hidden="1" x14ac:dyDescent="0.3">
      <c r="A2203" s="39">
        <v>46087.484201388892</v>
      </c>
      <c r="B2203" s="33">
        <v>4130775695</v>
      </c>
      <c r="C2203" s="33" t="s">
        <v>37</v>
      </c>
      <c r="D2203" s="33">
        <v>4430265054</v>
      </c>
      <c r="E2203" s="33">
        <v>395</v>
      </c>
      <c r="F2203" s="33">
        <v>327</v>
      </c>
      <c r="G2203" s="33" t="s">
        <v>38</v>
      </c>
      <c r="H2203" s="33" t="s">
        <v>8754</v>
      </c>
      <c r="I2203" s="33" t="s">
        <v>39</v>
      </c>
      <c r="J2203" s="33" t="s">
        <v>40</v>
      </c>
      <c r="K2203" s="33" t="s">
        <v>41</v>
      </c>
      <c r="L2203" s="33">
        <v>5</v>
      </c>
      <c r="M2203" s="33"/>
    </row>
    <row r="2204" spans="1:13" hidden="1" x14ac:dyDescent="0.3">
      <c r="A2204" s="39">
        <v>46087.483541666668</v>
      </c>
      <c r="B2204" s="33">
        <v>67992169496</v>
      </c>
      <c r="C2204" s="33" t="s">
        <v>37</v>
      </c>
      <c r="D2204" s="33">
        <v>4430265054</v>
      </c>
      <c r="E2204" s="33">
        <v>98</v>
      </c>
      <c r="F2204" s="33">
        <v>80</v>
      </c>
      <c r="G2204" s="33" t="s">
        <v>38</v>
      </c>
      <c r="H2204" s="33" t="s">
        <v>8755</v>
      </c>
      <c r="I2204" s="33" t="s">
        <v>39</v>
      </c>
      <c r="J2204" s="33" t="s">
        <v>40</v>
      </c>
      <c r="K2204" s="33" t="s">
        <v>41</v>
      </c>
      <c r="M2204" s="33"/>
    </row>
    <row r="2205" spans="1:13" hidden="1" x14ac:dyDescent="0.3">
      <c r="A2205" s="39">
        <v>46087.481666666667</v>
      </c>
      <c r="B2205" s="33" t="s">
        <v>45</v>
      </c>
      <c r="C2205" s="33">
        <v>4434229271</v>
      </c>
      <c r="E2205" s="33">
        <v>1323</v>
      </c>
      <c r="F2205" s="33">
        <v>1316</v>
      </c>
      <c r="G2205" s="33" t="s">
        <v>38</v>
      </c>
      <c r="H2205" s="33" t="s">
        <v>8756</v>
      </c>
      <c r="I2205" s="33" t="s">
        <v>46</v>
      </c>
      <c r="J2205" s="33" t="s">
        <v>40</v>
      </c>
      <c r="M2205" s="33"/>
    </row>
    <row r="2206" spans="1:13" hidden="1" x14ac:dyDescent="0.3">
      <c r="A2206" s="39">
        <v>46087.481574074074</v>
      </c>
      <c r="B2206" s="33" t="s">
        <v>45</v>
      </c>
      <c r="C2206" s="33">
        <v>4434229271</v>
      </c>
      <c r="E2206" s="33">
        <v>3</v>
      </c>
      <c r="F2206" s="33">
        <v>0</v>
      </c>
      <c r="G2206" s="33" t="s">
        <v>47</v>
      </c>
      <c r="H2206" s="33" t="s">
        <v>8757</v>
      </c>
      <c r="I2206" s="33" t="s">
        <v>46</v>
      </c>
      <c r="J2206" s="33" t="s">
        <v>40</v>
      </c>
      <c r="M2206" s="33"/>
    </row>
    <row r="2207" spans="1:13" hidden="1" x14ac:dyDescent="0.3">
      <c r="A2207" s="39">
        <v>46087.478576388887</v>
      </c>
      <c r="B2207" s="33">
        <v>91981481202</v>
      </c>
      <c r="C2207" s="33" t="s">
        <v>42</v>
      </c>
      <c r="D2207" s="33">
        <v>4430265054</v>
      </c>
      <c r="E2207" s="33">
        <v>161</v>
      </c>
      <c r="F2207" s="33">
        <v>140</v>
      </c>
      <c r="G2207" s="33" t="s">
        <v>38</v>
      </c>
      <c r="H2207" s="33" t="s">
        <v>8758</v>
      </c>
      <c r="I2207" s="33" t="s">
        <v>39</v>
      </c>
      <c r="J2207" s="33" t="s">
        <v>40</v>
      </c>
      <c r="K2207" s="33" t="s">
        <v>41</v>
      </c>
      <c r="M2207" s="33"/>
    </row>
    <row r="2208" spans="1:13" hidden="1" x14ac:dyDescent="0.3">
      <c r="A2208" s="39">
        <v>46087.476539351854</v>
      </c>
      <c r="B2208" s="33">
        <v>4130760170</v>
      </c>
      <c r="C2208" s="33" t="s">
        <v>45</v>
      </c>
      <c r="D2208" s="33">
        <v>4430265054</v>
      </c>
      <c r="E2208" s="33">
        <v>276</v>
      </c>
      <c r="F2208" s="33">
        <v>156</v>
      </c>
      <c r="G2208" s="33" t="s">
        <v>38</v>
      </c>
      <c r="H2208" s="33" t="s">
        <v>8759</v>
      </c>
      <c r="I2208" s="33" t="s">
        <v>39</v>
      </c>
      <c r="J2208" s="33" t="s">
        <v>40</v>
      </c>
      <c r="K2208" s="33" t="s">
        <v>41</v>
      </c>
      <c r="M2208" s="33"/>
    </row>
    <row r="2209" spans="1:11" s="33" customFormat="1" hidden="1" x14ac:dyDescent="0.3">
      <c r="A2209" s="39">
        <v>46087.475243055553</v>
      </c>
      <c r="B2209" s="33">
        <v>91985176746</v>
      </c>
      <c r="C2209" s="33" t="s">
        <v>43</v>
      </c>
      <c r="D2209" s="33">
        <v>4430265054</v>
      </c>
      <c r="E2209" s="33">
        <v>566</v>
      </c>
      <c r="F2209" s="33">
        <v>502</v>
      </c>
      <c r="G2209" s="33" t="s">
        <v>38</v>
      </c>
      <c r="H2209" s="33" t="s">
        <v>8760</v>
      </c>
      <c r="I2209" s="33" t="s">
        <v>39</v>
      </c>
      <c r="J2209" s="33" t="s">
        <v>40</v>
      </c>
      <c r="K2209" s="33" t="s">
        <v>41</v>
      </c>
    </row>
    <row r="2210" spans="1:11" s="33" customFormat="1" hidden="1" x14ac:dyDescent="0.3">
      <c r="A2210" s="39">
        <v>46087.473124999997</v>
      </c>
      <c r="B2210" s="33">
        <v>43996822503</v>
      </c>
      <c r="C2210" s="33" t="s">
        <v>44</v>
      </c>
      <c r="D2210" s="33">
        <v>4430265054</v>
      </c>
      <c r="E2210" s="33">
        <v>265</v>
      </c>
      <c r="F2210" s="33">
        <v>115</v>
      </c>
      <c r="G2210" s="33" t="s">
        <v>38</v>
      </c>
      <c r="H2210" s="33" t="s">
        <v>8761</v>
      </c>
      <c r="I2210" s="33" t="s">
        <v>39</v>
      </c>
      <c r="J2210" s="33" t="s">
        <v>40</v>
      </c>
      <c r="K2210" s="33" t="s">
        <v>41</v>
      </c>
    </row>
    <row r="2211" spans="1:11" s="33" customFormat="1" hidden="1" x14ac:dyDescent="0.3">
      <c r="A2211" s="39">
        <v>46087.473067129627</v>
      </c>
      <c r="B2211" s="33" t="s">
        <v>3627</v>
      </c>
      <c r="C2211" s="33">
        <v>51981183417</v>
      </c>
      <c r="E2211" s="33">
        <v>18</v>
      </c>
      <c r="F2211" s="33">
        <v>6</v>
      </c>
      <c r="G2211" s="33" t="s">
        <v>38</v>
      </c>
      <c r="H2211" s="33" t="s">
        <v>8762</v>
      </c>
      <c r="I2211" s="33" t="s">
        <v>46</v>
      </c>
      <c r="J2211" s="33" t="s">
        <v>3629</v>
      </c>
    </row>
    <row r="2212" spans="1:11" s="33" customFormat="1" hidden="1" x14ac:dyDescent="0.3">
      <c r="A2212" s="39">
        <v>46087.469884259262</v>
      </c>
      <c r="B2212" s="33" t="s">
        <v>37</v>
      </c>
      <c r="C2212" s="33">
        <v>67992169496</v>
      </c>
      <c r="E2212" s="33">
        <v>630</v>
      </c>
      <c r="F2212" s="33">
        <v>618</v>
      </c>
      <c r="G2212" s="33" t="s">
        <v>38</v>
      </c>
      <c r="H2212" s="33" t="s">
        <v>8763</v>
      </c>
      <c r="I2212" s="33" t="s">
        <v>46</v>
      </c>
      <c r="J2212" s="33" t="s">
        <v>40</v>
      </c>
    </row>
    <row r="2213" spans="1:11" s="33" customFormat="1" hidden="1" x14ac:dyDescent="0.3">
      <c r="A2213" s="39">
        <v>46087.468356481484</v>
      </c>
      <c r="B2213" s="33">
        <v>4334232912</v>
      </c>
      <c r="C2213" s="33" t="s">
        <v>42</v>
      </c>
      <c r="D2213" s="33">
        <v>4430265054</v>
      </c>
      <c r="E2213" s="33">
        <v>695</v>
      </c>
      <c r="F2213" s="33">
        <v>560</v>
      </c>
      <c r="G2213" s="33" t="s">
        <v>38</v>
      </c>
      <c r="H2213" s="33" t="s">
        <v>8764</v>
      </c>
      <c r="I2213" s="33" t="s">
        <v>39</v>
      </c>
      <c r="J2213" s="33" t="s">
        <v>40</v>
      </c>
      <c r="K2213" s="33" t="s">
        <v>41</v>
      </c>
    </row>
    <row r="2214" spans="1:11" s="33" customFormat="1" hidden="1" x14ac:dyDescent="0.3">
      <c r="A2214" s="39">
        <v>46087.467789351853</v>
      </c>
      <c r="B2214" s="33">
        <v>4334234629</v>
      </c>
      <c r="C2214" s="33">
        <v>4430265054</v>
      </c>
      <c r="D2214" s="33">
        <v>4430265054</v>
      </c>
      <c r="E2214" s="33">
        <v>12</v>
      </c>
      <c r="F2214" s="33">
        <v>12</v>
      </c>
      <c r="G2214" s="33" t="s">
        <v>3449</v>
      </c>
      <c r="H2214" s="33" t="s">
        <v>8765</v>
      </c>
      <c r="I2214" s="33" t="s">
        <v>39</v>
      </c>
      <c r="J2214" s="33" t="s">
        <v>3451</v>
      </c>
    </row>
    <row r="2215" spans="1:11" s="33" customFormat="1" hidden="1" x14ac:dyDescent="0.3">
      <c r="A2215" s="39">
        <v>46087.462094907409</v>
      </c>
      <c r="B2215" s="33" t="s">
        <v>5173</v>
      </c>
      <c r="C2215" s="33">
        <v>11961695958</v>
      </c>
      <c r="E2215" s="33">
        <v>673</v>
      </c>
      <c r="F2215" s="33">
        <v>662</v>
      </c>
      <c r="G2215" s="33" t="s">
        <v>38</v>
      </c>
      <c r="H2215" s="33" t="s">
        <v>8766</v>
      </c>
      <c r="I2215" s="33" t="s">
        <v>46</v>
      </c>
      <c r="J2215" s="33" t="s">
        <v>3629</v>
      </c>
    </row>
    <row r="2216" spans="1:11" s="33" customFormat="1" hidden="1" x14ac:dyDescent="0.3">
      <c r="A2216" s="39">
        <v>46087.461782407408</v>
      </c>
      <c r="B2216" s="33" t="s">
        <v>48</v>
      </c>
      <c r="C2216" s="33">
        <v>4532541802</v>
      </c>
      <c r="E2216" s="33">
        <v>484</v>
      </c>
      <c r="F2216" s="33">
        <v>484</v>
      </c>
      <c r="G2216" s="33" t="s">
        <v>38</v>
      </c>
      <c r="H2216" s="33" t="s">
        <v>8767</v>
      </c>
      <c r="I2216" s="33" t="s">
        <v>46</v>
      </c>
      <c r="J2216" s="33" t="s">
        <v>40</v>
      </c>
    </row>
    <row r="2217" spans="1:11" s="33" customFormat="1" hidden="1" x14ac:dyDescent="0.3">
      <c r="A2217" s="39">
        <v>46087.461747685185</v>
      </c>
      <c r="B2217" s="33" t="s">
        <v>5173</v>
      </c>
      <c r="C2217" s="33">
        <v>1161695958</v>
      </c>
      <c r="E2217" s="33">
        <v>6</v>
      </c>
      <c r="F2217" s="33">
        <v>0</v>
      </c>
      <c r="G2217" s="33" t="s">
        <v>47</v>
      </c>
      <c r="H2217" s="33" t="s">
        <v>8768</v>
      </c>
      <c r="I2217" s="33" t="s">
        <v>46</v>
      </c>
      <c r="J2217" s="33" t="s">
        <v>3629</v>
      </c>
    </row>
    <row r="2218" spans="1:11" s="33" customFormat="1" hidden="1" x14ac:dyDescent="0.3">
      <c r="A2218" s="39">
        <v>46087.45957175926</v>
      </c>
      <c r="B2218" s="33">
        <v>4334226481</v>
      </c>
      <c r="C2218" s="33" t="s">
        <v>43</v>
      </c>
      <c r="D2218" s="33">
        <v>4430265054</v>
      </c>
      <c r="E2218" s="33">
        <v>281</v>
      </c>
      <c r="F2218" s="33">
        <v>226</v>
      </c>
      <c r="G2218" s="33" t="s">
        <v>38</v>
      </c>
      <c r="H2218" s="33" t="s">
        <v>8769</v>
      </c>
      <c r="I2218" s="33" t="s">
        <v>39</v>
      </c>
      <c r="J2218" s="33" t="s">
        <v>40</v>
      </c>
      <c r="K2218" s="33" t="s">
        <v>41</v>
      </c>
    </row>
    <row r="2219" spans="1:11" s="33" customFormat="1" hidden="1" x14ac:dyDescent="0.3">
      <c r="A2219" s="39">
        <v>46087.456342592595</v>
      </c>
      <c r="B2219" s="33">
        <v>4432269849</v>
      </c>
      <c r="C2219" s="33" t="s">
        <v>44</v>
      </c>
      <c r="D2219" s="33">
        <v>4430265054</v>
      </c>
      <c r="E2219" s="33">
        <v>652</v>
      </c>
      <c r="F2219" s="33">
        <v>615</v>
      </c>
      <c r="G2219" s="33" t="s">
        <v>38</v>
      </c>
      <c r="H2219" s="33" t="s">
        <v>8770</v>
      </c>
      <c r="I2219" s="33" t="s">
        <v>39</v>
      </c>
      <c r="J2219" s="33" t="s">
        <v>40</v>
      </c>
      <c r="K2219" s="33" t="s">
        <v>41</v>
      </c>
    </row>
    <row r="2220" spans="1:11" s="33" customFormat="1" hidden="1" x14ac:dyDescent="0.3">
      <c r="A2220" s="39">
        <v>46087.454583333332</v>
      </c>
      <c r="B2220" s="33">
        <v>4334232912</v>
      </c>
      <c r="C2220" s="33" t="s">
        <v>43</v>
      </c>
      <c r="D2220" s="33">
        <v>4430265054</v>
      </c>
      <c r="E2220" s="33">
        <v>146</v>
      </c>
      <c r="F2220" s="33">
        <v>71</v>
      </c>
      <c r="G2220" s="33" t="s">
        <v>38</v>
      </c>
      <c r="H2220" s="33" t="s">
        <v>8771</v>
      </c>
      <c r="I2220" s="33" t="s">
        <v>39</v>
      </c>
      <c r="J2220" s="33" t="s">
        <v>40</v>
      </c>
      <c r="K2220" s="33" t="s">
        <v>41</v>
      </c>
    </row>
    <row r="2221" spans="1:11" s="33" customFormat="1" hidden="1" x14ac:dyDescent="0.3">
      <c r="A2221" s="39">
        <v>46087.453483796293</v>
      </c>
      <c r="B2221" s="33" t="s">
        <v>48</v>
      </c>
      <c r="C2221" s="33">
        <v>44988303530</v>
      </c>
      <c r="E2221" s="33">
        <v>376</v>
      </c>
      <c r="F2221" s="33">
        <v>364</v>
      </c>
      <c r="G2221" s="33" t="s">
        <v>38</v>
      </c>
      <c r="H2221" s="33" t="s">
        <v>8772</v>
      </c>
      <c r="I2221" s="33" t="s">
        <v>46</v>
      </c>
      <c r="J2221" s="33" t="s">
        <v>40</v>
      </c>
    </row>
    <row r="2222" spans="1:11" s="33" customFormat="1" hidden="1" x14ac:dyDescent="0.3">
      <c r="A2222" s="39">
        <v>46087.4534375</v>
      </c>
      <c r="B2222" s="33" t="s">
        <v>48</v>
      </c>
      <c r="C2222" s="33">
        <v>44988303530</v>
      </c>
      <c r="E2222" s="33">
        <v>2</v>
      </c>
      <c r="F2222" s="33">
        <v>0</v>
      </c>
      <c r="G2222" s="33" t="s">
        <v>47</v>
      </c>
      <c r="H2222" s="33" t="s">
        <v>8773</v>
      </c>
      <c r="I2222" s="33" t="s">
        <v>46</v>
      </c>
      <c r="J2222" s="33" t="s">
        <v>40</v>
      </c>
    </row>
    <row r="2223" spans="1:11" s="33" customFormat="1" hidden="1" x14ac:dyDescent="0.3">
      <c r="A2223" s="39">
        <v>46087.445034722223</v>
      </c>
      <c r="B2223" s="33">
        <v>81996150625</v>
      </c>
      <c r="C2223" s="33" t="s">
        <v>45</v>
      </c>
      <c r="D2223" s="33">
        <v>4430265054</v>
      </c>
      <c r="E2223" s="33">
        <v>393</v>
      </c>
      <c r="F2223" s="33">
        <v>342</v>
      </c>
      <c r="G2223" s="33" t="s">
        <v>38</v>
      </c>
      <c r="H2223" s="33" t="s">
        <v>8774</v>
      </c>
      <c r="I2223" s="33" t="s">
        <v>39</v>
      </c>
      <c r="J2223" s="33" t="s">
        <v>40</v>
      </c>
      <c r="K2223" s="33" t="s">
        <v>41</v>
      </c>
    </row>
    <row r="2224" spans="1:11" s="33" customFormat="1" hidden="1" x14ac:dyDescent="0.3">
      <c r="A2224" s="39">
        <v>46087.443807870368</v>
      </c>
      <c r="B2224" s="33">
        <v>4330332823</v>
      </c>
      <c r="C2224" s="33" t="s">
        <v>44</v>
      </c>
      <c r="D2224" s="33">
        <v>4430265054</v>
      </c>
      <c r="E2224" s="33">
        <v>427</v>
      </c>
      <c r="F2224" s="33">
        <v>351</v>
      </c>
      <c r="G2224" s="33" t="s">
        <v>38</v>
      </c>
      <c r="H2224" s="33" t="s">
        <v>8775</v>
      </c>
      <c r="I2224" s="33" t="s">
        <v>39</v>
      </c>
      <c r="J2224" s="33" t="s">
        <v>40</v>
      </c>
      <c r="K2224" s="33" t="s">
        <v>41</v>
      </c>
    </row>
    <row r="2225" spans="1:12" s="33" customFormat="1" hidden="1" x14ac:dyDescent="0.3">
      <c r="A2225" s="39">
        <v>46087.443067129629</v>
      </c>
      <c r="B2225" s="33">
        <v>44991388221</v>
      </c>
      <c r="C2225" s="33" t="s">
        <v>48</v>
      </c>
      <c r="D2225" s="33">
        <v>4431268225</v>
      </c>
      <c r="E2225" s="33">
        <v>161</v>
      </c>
      <c r="F2225" s="33">
        <v>134</v>
      </c>
      <c r="G2225" s="33" t="s">
        <v>38</v>
      </c>
      <c r="H2225" s="33" t="s">
        <v>8776</v>
      </c>
      <c r="I2225" s="33" t="s">
        <v>39</v>
      </c>
      <c r="J2225" s="33" t="s">
        <v>40</v>
      </c>
      <c r="K2225" s="33" t="s">
        <v>41</v>
      </c>
      <c r="L2225" s="33">
        <v>5</v>
      </c>
    </row>
    <row r="2226" spans="1:12" s="33" customFormat="1" hidden="1" x14ac:dyDescent="0.3">
      <c r="A2226" s="39">
        <v>46087.442175925928</v>
      </c>
      <c r="B2226" s="33">
        <v>11987107273</v>
      </c>
      <c r="C2226" s="33" t="s">
        <v>51</v>
      </c>
      <c r="D2226" s="33">
        <v>4430265054</v>
      </c>
      <c r="E2226" s="33">
        <v>279</v>
      </c>
      <c r="F2226" s="33">
        <v>245</v>
      </c>
      <c r="G2226" s="33" t="s">
        <v>38</v>
      </c>
      <c r="H2226" s="33" t="s">
        <v>8777</v>
      </c>
      <c r="I2226" s="33" t="s">
        <v>39</v>
      </c>
      <c r="J2226" s="33" t="s">
        <v>3629</v>
      </c>
      <c r="K2226" s="33" t="s">
        <v>41</v>
      </c>
    </row>
    <row r="2227" spans="1:12" s="33" customFormat="1" hidden="1" x14ac:dyDescent="0.3">
      <c r="A2227" s="39">
        <v>46087.441747685189</v>
      </c>
      <c r="B2227" s="33">
        <v>11987107273</v>
      </c>
      <c r="C2227" s="33">
        <v>4430265054</v>
      </c>
      <c r="D2227" s="33">
        <v>4430265054</v>
      </c>
      <c r="E2227" s="33">
        <v>13</v>
      </c>
      <c r="F2227" s="33">
        <v>12</v>
      </c>
      <c r="G2227" s="33" t="s">
        <v>3449</v>
      </c>
      <c r="H2227" s="33" t="s">
        <v>8778</v>
      </c>
      <c r="I2227" s="33" t="s">
        <v>39</v>
      </c>
      <c r="J2227" s="33" t="s">
        <v>3451</v>
      </c>
    </row>
    <row r="2228" spans="1:12" s="33" customFormat="1" hidden="1" x14ac:dyDescent="0.3">
      <c r="A2228" s="39">
        <v>46087.440763888888</v>
      </c>
      <c r="B2228" s="33" t="s">
        <v>43</v>
      </c>
      <c r="C2228" s="33">
        <v>44999090169</v>
      </c>
      <c r="E2228" s="33">
        <v>1213</v>
      </c>
      <c r="F2228" s="33">
        <v>1182</v>
      </c>
      <c r="G2228" s="33" t="s">
        <v>38</v>
      </c>
      <c r="H2228" s="33" t="s">
        <v>8779</v>
      </c>
      <c r="I2228" s="33" t="s">
        <v>46</v>
      </c>
      <c r="J2228" s="33" t="s">
        <v>40</v>
      </c>
      <c r="L2228" s="33">
        <v>5</v>
      </c>
    </row>
    <row r="2229" spans="1:12" s="33" customFormat="1" hidden="1" x14ac:dyDescent="0.3">
      <c r="A2229" s="39">
        <v>46087.439849537041</v>
      </c>
      <c r="B2229" s="33">
        <v>4334234629</v>
      </c>
      <c r="C2229" s="33" t="s">
        <v>44</v>
      </c>
      <c r="D2229" s="33">
        <v>4430265054</v>
      </c>
      <c r="E2229" s="33">
        <v>356</v>
      </c>
      <c r="F2229" s="33">
        <v>300</v>
      </c>
      <c r="G2229" s="33" t="s">
        <v>38</v>
      </c>
      <c r="H2229" s="33" t="s">
        <v>8780</v>
      </c>
      <c r="I2229" s="33" t="s">
        <v>39</v>
      </c>
      <c r="J2229" s="33" t="s">
        <v>40</v>
      </c>
      <c r="K2229" s="33" t="s">
        <v>41</v>
      </c>
    </row>
    <row r="2230" spans="1:12" s="33" customFormat="1" hidden="1" x14ac:dyDescent="0.3">
      <c r="A2230" s="39">
        <v>46087.439699074072</v>
      </c>
      <c r="B2230" s="33">
        <v>11987107273</v>
      </c>
      <c r="C2230" s="33" t="s">
        <v>45</v>
      </c>
      <c r="D2230" s="33">
        <v>4430265054</v>
      </c>
      <c r="E2230" s="33">
        <v>172</v>
      </c>
      <c r="F2230" s="33">
        <v>93</v>
      </c>
      <c r="G2230" s="33" t="s">
        <v>38</v>
      </c>
      <c r="H2230" s="33" t="s">
        <v>8781</v>
      </c>
      <c r="I2230" s="33" t="s">
        <v>39</v>
      </c>
      <c r="J2230" s="33" t="s">
        <v>40</v>
      </c>
      <c r="K2230" s="33" t="s">
        <v>41</v>
      </c>
    </row>
    <row r="2231" spans="1:12" s="33" customFormat="1" hidden="1" x14ac:dyDescent="0.3">
      <c r="A2231" s="39">
        <v>46087.439479166664</v>
      </c>
      <c r="B2231" s="33" t="s">
        <v>43</v>
      </c>
      <c r="C2231" s="33">
        <v>44999090169</v>
      </c>
      <c r="E2231" s="33">
        <v>37</v>
      </c>
      <c r="F2231" s="33">
        <v>0</v>
      </c>
      <c r="G2231" s="33" t="s">
        <v>47</v>
      </c>
      <c r="H2231" s="33" t="s">
        <v>8782</v>
      </c>
      <c r="I2231" s="33" t="s">
        <v>46</v>
      </c>
      <c r="J2231" s="33" t="s">
        <v>40</v>
      </c>
    </row>
    <row r="2232" spans="1:12" s="33" customFormat="1" hidden="1" x14ac:dyDescent="0.3">
      <c r="A2232" s="39">
        <v>46087.438333333332</v>
      </c>
      <c r="B2232" s="33" t="s">
        <v>43</v>
      </c>
      <c r="C2232" s="33">
        <v>44999090169</v>
      </c>
      <c r="E2232" s="33">
        <v>36</v>
      </c>
      <c r="F2232" s="33">
        <v>0</v>
      </c>
      <c r="G2232" s="33" t="s">
        <v>47</v>
      </c>
      <c r="H2232" s="33" t="s">
        <v>8783</v>
      </c>
      <c r="I2232" s="33" t="s">
        <v>46</v>
      </c>
      <c r="J2232" s="33" t="s">
        <v>40</v>
      </c>
    </row>
    <row r="2233" spans="1:12" s="33" customFormat="1" hidden="1" x14ac:dyDescent="0.3">
      <c r="A2233" s="39">
        <v>46087.437951388885</v>
      </c>
      <c r="B2233" s="33">
        <v>44999090169</v>
      </c>
      <c r="C2233" s="33">
        <v>4430265054</v>
      </c>
      <c r="D2233" s="33">
        <v>4430265054</v>
      </c>
      <c r="E2233" s="33">
        <v>10</v>
      </c>
      <c r="F2233" s="33">
        <v>9</v>
      </c>
      <c r="G2233" s="33" t="s">
        <v>3449</v>
      </c>
      <c r="H2233" s="33" t="s">
        <v>8784</v>
      </c>
      <c r="I2233" s="33" t="s">
        <v>39</v>
      </c>
      <c r="J2233" s="33" t="s">
        <v>3451</v>
      </c>
    </row>
    <row r="2234" spans="1:12" s="33" customFormat="1" hidden="1" x14ac:dyDescent="0.3">
      <c r="A2234" s="39">
        <v>46087.437777777777</v>
      </c>
      <c r="B2234" s="33" t="s">
        <v>43</v>
      </c>
      <c r="C2234" s="33">
        <v>44999090169</v>
      </c>
      <c r="E2234" s="33">
        <v>17</v>
      </c>
      <c r="F2234" s="33">
        <v>0</v>
      </c>
      <c r="G2234" s="33" t="s">
        <v>47</v>
      </c>
      <c r="H2234" s="33" t="s">
        <v>8785</v>
      </c>
      <c r="I2234" s="33" t="s">
        <v>46</v>
      </c>
      <c r="J2234" s="33" t="s">
        <v>40</v>
      </c>
    </row>
    <row r="2235" spans="1:12" s="33" customFormat="1" hidden="1" x14ac:dyDescent="0.3">
      <c r="A2235" s="39">
        <v>46087.437673611108</v>
      </c>
      <c r="B2235" s="33" t="s">
        <v>43</v>
      </c>
      <c r="C2235" s="33">
        <v>44999090169</v>
      </c>
      <c r="E2235" s="33">
        <v>6</v>
      </c>
      <c r="F2235" s="33">
        <v>0</v>
      </c>
      <c r="G2235" s="33" t="s">
        <v>47</v>
      </c>
      <c r="H2235" s="33" t="s">
        <v>8786</v>
      </c>
      <c r="I2235" s="33" t="s">
        <v>46</v>
      </c>
      <c r="J2235" s="33" t="s">
        <v>40</v>
      </c>
    </row>
    <row r="2236" spans="1:12" s="33" customFormat="1" hidden="1" x14ac:dyDescent="0.3">
      <c r="A2236" s="39">
        <v>46087.436597222222</v>
      </c>
      <c r="B2236" s="33">
        <v>4331724400</v>
      </c>
      <c r="C2236" s="33" t="s">
        <v>45</v>
      </c>
      <c r="D2236" s="33">
        <v>4430265054</v>
      </c>
      <c r="E2236" s="33">
        <v>79</v>
      </c>
      <c r="F2236" s="33">
        <v>44</v>
      </c>
      <c r="G2236" s="33" t="s">
        <v>38</v>
      </c>
      <c r="H2236" s="33" t="s">
        <v>8787</v>
      </c>
      <c r="I2236" s="33" t="s">
        <v>39</v>
      </c>
      <c r="J2236" s="33" t="s">
        <v>40</v>
      </c>
      <c r="K2236" s="33" t="s">
        <v>41</v>
      </c>
    </row>
    <row r="2237" spans="1:12" s="33" customFormat="1" hidden="1" x14ac:dyDescent="0.3">
      <c r="A2237" s="39">
        <v>46087.435289351852</v>
      </c>
      <c r="B2237" s="33">
        <v>44999090169</v>
      </c>
      <c r="C2237" s="33" t="s">
        <v>43</v>
      </c>
      <c r="D2237" s="33">
        <v>4430265054</v>
      </c>
      <c r="E2237" s="33">
        <v>230</v>
      </c>
      <c r="F2237" s="33">
        <v>207</v>
      </c>
      <c r="G2237" s="33" t="s">
        <v>38</v>
      </c>
      <c r="H2237" s="33" t="s">
        <v>8788</v>
      </c>
      <c r="I2237" s="33" t="s">
        <v>39</v>
      </c>
      <c r="J2237" s="33" t="s">
        <v>40</v>
      </c>
      <c r="K2237" s="33" t="s">
        <v>41</v>
      </c>
    </row>
    <row r="2238" spans="1:12" s="33" customFormat="1" hidden="1" x14ac:dyDescent="0.3">
      <c r="A2238" s="39">
        <v>46087.434988425928</v>
      </c>
      <c r="B2238" s="33">
        <v>6234347959</v>
      </c>
      <c r="C2238" s="33" t="s">
        <v>48</v>
      </c>
      <c r="D2238" s="33">
        <v>4430265054</v>
      </c>
      <c r="E2238" s="33">
        <v>117</v>
      </c>
      <c r="F2238" s="33">
        <v>116</v>
      </c>
      <c r="G2238" s="33" t="s">
        <v>38</v>
      </c>
      <c r="H2238" s="33" t="s">
        <v>8789</v>
      </c>
      <c r="I2238" s="33" t="s">
        <v>39</v>
      </c>
      <c r="J2238" s="33" t="s">
        <v>40</v>
      </c>
      <c r="K2238" s="33" t="s">
        <v>41</v>
      </c>
    </row>
    <row r="2239" spans="1:12" s="33" customFormat="1" hidden="1" x14ac:dyDescent="0.3">
      <c r="A2239" s="39">
        <v>46087.434930555559</v>
      </c>
      <c r="B2239" s="33">
        <v>4331724400</v>
      </c>
      <c r="C2239" s="33">
        <v>4430265054</v>
      </c>
      <c r="D2239" s="33">
        <v>4430265054</v>
      </c>
      <c r="E2239" s="33">
        <v>25</v>
      </c>
      <c r="F2239" s="33">
        <v>24</v>
      </c>
      <c r="G2239" s="33" t="s">
        <v>3449</v>
      </c>
      <c r="H2239" s="33" t="s">
        <v>8790</v>
      </c>
      <c r="I2239" s="33" t="s">
        <v>39</v>
      </c>
      <c r="J2239" s="33" t="s">
        <v>3451</v>
      </c>
    </row>
    <row r="2240" spans="1:12" s="33" customFormat="1" hidden="1" x14ac:dyDescent="0.3">
      <c r="A2240" s="39">
        <v>46087.433321759258</v>
      </c>
      <c r="B2240" s="33">
        <v>67992169496</v>
      </c>
      <c r="C2240" s="33" t="s">
        <v>43</v>
      </c>
      <c r="D2240" s="33">
        <v>4430265054</v>
      </c>
      <c r="E2240" s="33">
        <v>151</v>
      </c>
      <c r="F2240" s="33">
        <v>99</v>
      </c>
      <c r="G2240" s="33" t="s">
        <v>38</v>
      </c>
      <c r="H2240" s="33" t="s">
        <v>8791</v>
      </c>
      <c r="I2240" s="33" t="s">
        <v>39</v>
      </c>
      <c r="J2240" s="33" t="s">
        <v>40</v>
      </c>
      <c r="K2240" s="33" t="s">
        <v>41</v>
      </c>
    </row>
    <row r="2241" spans="1:12" s="33" customFormat="1" hidden="1" x14ac:dyDescent="0.3">
      <c r="A2241" s="39">
        <v>46087.432581018518</v>
      </c>
      <c r="B2241" s="33">
        <v>62994086124</v>
      </c>
      <c r="C2241" s="33" t="s">
        <v>48</v>
      </c>
      <c r="D2241" s="33">
        <v>4430265054</v>
      </c>
      <c r="E2241" s="33">
        <v>144</v>
      </c>
      <c r="F2241" s="33">
        <v>49</v>
      </c>
      <c r="G2241" s="33" t="s">
        <v>38</v>
      </c>
      <c r="H2241" s="33" t="s">
        <v>8792</v>
      </c>
      <c r="I2241" s="33" t="s">
        <v>39</v>
      </c>
      <c r="J2241" s="33" t="s">
        <v>40</v>
      </c>
      <c r="K2241" s="33" t="s">
        <v>41</v>
      </c>
    </row>
    <row r="2242" spans="1:12" s="33" customFormat="1" hidden="1" x14ac:dyDescent="0.3">
      <c r="A2242" s="39">
        <v>46087.431921296295</v>
      </c>
      <c r="B2242" s="33" t="s">
        <v>43</v>
      </c>
      <c r="C2242" s="33">
        <v>4532541802</v>
      </c>
      <c r="E2242" s="33">
        <v>172</v>
      </c>
      <c r="F2242" s="33">
        <v>171</v>
      </c>
      <c r="G2242" s="33" t="s">
        <v>38</v>
      </c>
      <c r="H2242" s="33" t="s">
        <v>8793</v>
      </c>
      <c r="I2242" s="33" t="s">
        <v>46</v>
      </c>
      <c r="J2242" s="33" t="s">
        <v>40</v>
      </c>
    </row>
    <row r="2243" spans="1:12" s="33" customFormat="1" x14ac:dyDescent="0.3">
      <c r="A2243" s="39">
        <v>46087.431562500002</v>
      </c>
      <c r="B2243" s="33">
        <v>4334226481</v>
      </c>
      <c r="C2243" s="33" t="s">
        <v>42</v>
      </c>
      <c r="D2243" s="33">
        <v>4430265054</v>
      </c>
      <c r="E2243" s="33">
        <v>1298</v>
      </c>
      <c r="F2243" s="33">
        <v>1240</v>
      </c>
      <c r="G2243" s="33" t="s">
        <v>38</v>
      </c>
      <c r="H2243" s="33" t="s">
        <v>8794</v>
      </c>
      <c r="I2243" s="33" t="s">
        <v>39</v>
      </c>
      <c r="J2243" s="33" t="s">
        <v>40</v>
      </c>
      <c r="K2243" s="33" t="s">
        <v>41</v>
      </c>
      <c r="L2243" s="33">
        <v>5</v>
      </c>
    </row>
    <row r="2244" spans="1:12" s="33" customFormat="1" hidden="1" x14ac:dyDescent="0.3">
      <c r="A2244" s="39">
        <v>46087.42564814815</v>
      </c>
      <c r="B2244" s="33">
        <v>44988303530</v>
      </c>
      <c r="C2244" s="33" t="s">
        <v>37</v>
      </c>
      <c r="D2244" s="33">
        <v>4430265054</v>
      </c>
      <c r="E2244" s="33">
        <v>1755</v>
      </c>
      <c r="F2244" s="33">
        <v>1520</v>
      </c>
      <c r="G2244" s="33" t="s">
        <v>38</v>
      </c>
      <c r="H2244" s="33" t="s">
        <v>8795</v>
      </c>
      <c r="I2244" s="33" t="s">
        <v>39</v>
      </c>
      <c r="J2244" s="33" t="s">
        <v>40</v>
      </c>
      <c r="K2244" s="33" t="s">
        <v>41</v>
      </c>
    </row>
    <row r="2245" spans="1:12" s="33" customFormat="1" hidden="1" x14ac:dyDescent="0.3">
      <c r="A2245" s="39">
        <v>46087.424189814818</v>
      </c>
      <c r="B2245" s="33" t="s">
        <v>44</v>
      </c>
      <c r="C2245" s="33">
        <v>44998562645</v>
      </c>
      <c r="E2245" s="33">
        <v>1281</v>
      </c>
      <c r="F2245" s="33">
        <v>1278</v>
      </c>
      <c r="G2245" s="33" t="s">
        <v>38</v>
      </c>
      <c r="H2245" s="33" t="s">
        <v>8796</v>
      </c>
      <c r="I2245" s="33" t="s">
        <v>46</v>
      </c>
      <c r="J2245" s="33" t="s">
        <v>40</v>
      </c>
      <c r="L2245" s="33">
        <v>5</v>
      </c>
    </row>
    <row r="2246" spans="1:12" s="33" customFormat="1" hidden="1" x14ac:dyDescent="0.3">
      <c r="A2246" s="39">
        <v>46087.419814814813</v>
      </c>
      <c r="B2246" s="33" t="s">
        <v>42</v>
      </c>
      <c r="C2246" s="33">
        <v>47991636470</v>
      </c>
      <c r="E2246" s="33">
        <v>135</v>
      </c>
      <c r="F2246" s="33">
        <v>117</v>
      </c>
      <c r="G2246" s="33" t="s">
        <v>38</v>
      </c>
      <c r="H2246" s="33" t="s">
        <v>8797</v>
      </c>
      <c r="I2246" s="33" t="s">
        <v>46</v>
      </c>
      <c r="J2246" s="33" t="s">
        <v>40</v>
      </c>
    </row>
    <row r="2247" spans="1:12" s="33" customFormat="1" hidden="1" x14ac:dyDescent="0.3">
      <c r="A2247" s="39">
        <v>46087.419305555559</v>
      </c>
      <c r="B2247" s="33" t="s">
        <v>42</v>
      </c>
      <c r="C2247" s="33">
        <v>47991636470</v>
      </c>
      <c r="E2247" s="33">
        <v>23</v>
      </c>
      <c r="F2247" s="33">
        <v>0</v>
      </c>
      <c r="G2247" s="33" t="s">
        <v>47</v>
      </c>
      <c r="H2247" s="33" t="s">
        <v>8798</v>
      </c>
      <c r="I2247" s="33" t="s">
        <v>46</v>
      </c>
      <c r="J2247" s="33" t="s">
        <v>40</v>
      </c>
    </row>
    <row r="2248" spans="1:12" s="33" customFormat="1" hidden="1" x14ac:dyDescent="0.3">
      <c r="A2248" s="39">
        <v>46087.418993055559</v>
      </c>
      <c r="B2248" s="33" t="s">
        <v>42</v>
      </c>
      <c r="C2248" s="33">
        <v>47991636470</v>
      </c>
      <c r="E2248" s="33">
        <v>19</v>
      </c>
      <c r="F2248" s="33">
        <v>0</v>
      </c>
      <c r="G2248" s="33" t="s">
        <v>47</v>
      </c>
      <c r="H2248" s="33" t="s">
        <v>8799</v>
      </c>
      <c r="I2248" s="33" t="s">
        <v>46</v>
      </c>
      <c r="J2248" s="33" t="s">
        <v>40</v>
      </c>
    </row>
    <row r="2249" spans="1:12" s="33" customFormat="1" hidden="1" x14ac:dyDescent="0.3">
      <c r="A2249" s="39">
        <v>46087.416979166665</v>
      </c>
      <c r="B2249" s="33">
        <v>4532541802</v>
      </c>
      <c r="C2249" s="33" t="s">
        <v>43</v>
      </c>
      <c r="D2249" s="33">
        <v>4430265054</v>
      </c>
      <c r="E2249" s="33">
        <v>835</v>
      </c>
      <c r="F2249" s="33">
        <v>809</v>
      </c>
      <c r="G2249" s="33" t="s">
        <v>38</v>
      </c>
      <c r="H2249" s="33" t="s">
        <v>8800</v>
      </c>
      <c r="I2249" s="33" t="s">
        <v>39</v>
      </c>
      <c r="J2249" s="33" t="s">
        <v>40</v>
      </c>
      <c r="K2249" s="33" t="s">
        <v>41</v>
      </c>
    </row>
    <row r="2250" spans="1:12" s="33" customFormat="1" hidden="1" x14ac:dyDescent="0.3">
      <c r="A2250" s="39">
        <v>46087.41684027778</v>
      </c>
      <c r="B2250" s="33" t="s">
        <v>45</v>
      </c>
      <c r="C2250" s="33">
        <v>4130263118</v>
      </c>
      <c r="E2250" s="33">
        <v>1685</v>
      </c>
      <c r="F2250" s="33">
        <v>1677</v>
      </c>
      <c r="G2250" s="33" t="s">
        <v>38</v>
      </c>
      <c r="H2250" s="33" t="s">
        <v>8801</v>
      </c>
      <c r="I2250" s="33" t="s">
        <v>46</v>
      </c>
      <c r="J2250" s="33" t="s">
        <v>40</v>
      </c>
    </row>
    <row r="2251" spans="1:12" s="33" customFormat="1" hidden="1" x14ac:dyDescent="0.3">
      <c r="A2251" s="39">
        <v>46087.410300925927</v>
      </c>
      <c r="B2251" s="33">
        <v>44988303530</v>
      </c>
      <c r="C2251" s="33" t="s">
        <v>44</v>
      </c>
      <c r="D2251" s="33">
        <v>4430265054</v>
      </c>
      <c r="E2251" s="33">
        <v>662</v>
      </c>
      <c r="F2251" s="33">
        <v>550</v>
      </c>
      <c r="G2251" s="33" t="s">
        <v>38</v>
      </c>
      <c r="H2251" s="33" t="s">
        <v>8802</v>
      </c>
      <c r="I2251" s="33" t="s">
        <v>39</v>
      </c>
      <c r="J2251" s="33" t="s">
        <v>40</v>
      </c>
      <c r="K2251" s="33" t="s">
        <v>41</v>
      </c>
    </row>
    <row r="2252" spans="1:12" s="33" customFormat="1" hidden="1" x14ac:dyDescent="0.3">
      <c r="A2252" s="39">
        <v>46087.407395833332</v>
      </c>
      <c r="B2252" s="33">
        <v>1143744993</v>
      </c>
      <c r="C2252" s="33" t="s">
        <v>45</v>
      </c>
      <c r="D2252" s="33">
        <v>4431268225</v>
      </c>
      <c r="E2252" s="33">
        <v>528</v>
      </c>
      <c r="F2252" s="33">
        <v>413</v>
      </c>
      <c r="G2252" s="33" t="s">
        <v>38</v>
      </c>
      <c r="H2252" s="33" t="s">
        <v>8803</v>
      </c>
      <c r="I2252" s="33" t="s">
        <v>39</v>
      </c>
      <c r="J2252" s="33" t="s">
        <v>40</v>
      </c>
      <c r="K2252" s="33" t="s">
        <v>41</v>
      </c>
    </row>
    <row r="2253" spans="1:12" s="33" customFormat="1" hidden="1" x14ac:dyDescent="0.3">
      <c r="A2253" s="39">
        <v>46087.40179398148</v>
      </c>
      <c r="B2253" s="33" t="s">
        <v>43</v>
      </c>
      <c r="C2253" s="33">
        <v>44991116911</v>
      </c>
      <c r="E2253" s="33">
        <v>418</v>
      </c>
      <c r="F2253" s="33">
        <v>405</v>
      </c>
      <c r="G2253" s="33" t="s">
        <v>38</v>
      </c>
      <c r="H2253" s="33" t="s">
        <v>8804</v>
      </c>
      <c r="I2253" s="33" t="s">
        <v>46</v>
      </c>
      <c r="J2253" s="33" t="s">
        <v>40</v>
      </c>
      <c r="L2253" s="33">
        <v>5</v>
      </c>
    </row>
    <row r="2254" spans="1:12" s="33" customFormat="1" hidden="1" x14ac:dyDescent="0.3">
      <c r="A2254" s="39">
        <v>46087.401585648149</v>
      </c>
      <c r="B2254" s="33">
        <v>44999090169</v>
      </c>
      <c r="C2254" s="33" t="s">
        <v>37</v>
      </c>
      <c r="D2254" s="33">
        <v>4430265054</v>
      </c>
      <c r="E2254" s="33">
        <v>1263</v>
      </c>
      <c r="F2254" s="33">
        <v>1210</v>
      </c>
      <c r="G2254" s="33" t="s">
        <v>38</v>
      </c>
      <c r="H2254" s="33" t="s">
        <v>8805</v>
      </c>
      <c r="I2254" s="33" t="s">
        <v>39</v>
      </c>
      <c r="J2254" s="33" t="s">
        <v>40</v>
      </c>
      <c r="K2254" s="33" t="s">
        <v>41</v>
      </c>
      <c r="L2254" s="33">
        <v>5</v>
      </c>
    </row>
    <row r="2255" spans="1:12" s="33" customFormat="1" hidden="1" x14ac:dyDescent="0.3">
      <c r="A2255" s="39">
        <v>46087.397199074076</v>
      </c>
      <c r="B2255" s="33">
        <v>4532541802</v>
      </c>
      <c r="C2255" s="33" t="s">
        <v>45</v>
      </c>
      <c r="D2255" s="33">
        <v>4430265054</v>
      </c>
      <c r="E2255" s="33">
        <v>312</v>
      </c>
      <c r="F2255" s="33">
        <v>292</v>
      </c>
      <c r="G2255" s="33" t="s">
        <v>38</v>
      </c>
      <c r="H2255" s="33" t="s">
        <v>8806</v>
      </c>
      <c r="I2255" s="33" t="s">
        <v>39</v>
      </c>
      <c r="J2255" s="33" t="s">
        <v>40</v>
      </c>
      <c r="K2255" s="33" t="s">
        <v>41</v>
      </c>
    </row>
    <row r="2256" spans="1:12" s="33" customFormat="1" hidden="1" x14ac:dyDescent="0.3">
      <c r="A2256" s="39">
        <v>46087.386412037034</v>
      </c>
      <c r="B2256" s="33">
        <v>4432677399</v>
      </c>
      <c r="C2256" s="33" t="s">
        <v>42</v>
      </c>
      <c r="D2256" s="33">
        <v>4430265054</v>
      </c>
      <c r="E2256" s="33">
        <v>991</v>
      </c>
      <c r="F2256" s="33">
        <v>856</v>
      </c>
      <c r="G2256" s="33" t="s">
        <v>38</v>
      </c>
      <c r="H2256" s="33" t="s">
        <v>8807</v>
      </c>
      <c r="I2256" s="33" t="s">
        <v>39</v>
      </c>
      <c r="J2256" s="33" t="s">
        <v>40</v>
      </c>
      <c r="K2256" s="33" t="s">
        <v>41</v>
      </c>
    </row>
    <row r="2257" spans="1:12" s="33" customFormat="1" hidden="1" x14ac:dyDescent="0.3">
      <c r="A2257" s="39">
        <v>46087.384687500002</v>
      </c>
      <c r="B2257" s="33">
        <v>4520312689</v>
      </c>
      <c r="C2257" s="33" t="s">
        <v>37</v>
      </c>
      <c r="D2257" s="33">
        <v>4430265054</v>
      </c>
      <c r="E2257" s="33">
        <v>371</v>
      </c>
      <c r="F2257" s="33">
        <v>365</v>
      </c>
      <c r="G2257" s="33" t="s">
        <v>38</v>
      </c>
      <c r="H2257" s="33" t="s">
        <v>8808</v>
      </c>
      <c r="I2257" s="33" t="s">
        <v>39</v>
      </c>
      <c r="J2257" s="33" t="s">
        <v>40</v>
      </c>
      <c r="K2257" s="33" t="s">
        <v>41</v>
      </c>
      <c r="L2257" s="33">
        <v>5</v>
      </c>
    </row>
    <row r="2258" spans="1:12" s="33" customFormat="1" hidden="1" x14ac:dyDescent="0.3">
      <c r="A2258" s="39">
        <v>46087.382534722223</v>
      </c>
      <c r="B2258" s="33" t="s">
        <v>44</v>
      </c>
      <c r="C2258" s="33">
        <v>44991314300</v>
      </c>
      <c r="E2258" s="33">
        <v>36</v>
      </c>
      <c r="F2258" s="33">
        <v>15</v>
      </c>
      <c r="G2258" s="33" t="s">
        <v>38</v>
      </c>
      <c r="H2258" s="33" t="s">
        <v>8809</v>
      </c>
      <c r="I2258" s="33" t="s">
        <v>46</v>
      </c>
      <c r="J2258" s="33" t="s">
        <v>40</v>
      </c>
    </row>
    <row r="2259" spans="1:12" s="33" customFormat="1" hidden="1" x14ac:dyDescent="0.3">
      <c r="A2259" s="39">
        <v>46087.378587962965</v>
      </c>
      <c r="B2259" s="33">
        <v>4330332823</v>
      </c>
      <c r="C2259" s="33" t="s">
        <v>37</v>
      </c>
      <c r="D2259" s="33">
        <v>4430265054</v>
      </c>
      <c r="E2259" s="33">
        <v>259</v>
      </c>
      <c r="F2259" s="33">
        <v>220</v>
      </c>
      <c r="G2259" s="33" t="s">
        <v>38</v>
      </c>
      <c r="H2259" s="33" t="s">
        <v>8810</v>
      </c>
      <c r="I2259" s="33" t="s">
        <v>39</v>
      </c>
      <c r="J2259" s="33" t="s">
        <v>40</v>
      </c>
      <c r="K2259" s="33" t="s">
        <v>41</v>
      </c>
    </row>
    <row r="2260" spans="1:12" s="33" customFormat="1" hidden="1" x14ac:dyDescent="0.3">
      <c r="A2260" s="39">
        <v>46087.378263888888</v>
      </c>
      <c r="B2260" s="33">
        <v>41992013248</v>
      </c>
      <c r="C2260" s="33" t="s">
        <v>43</v>
      </c>
      <c r="D2260" s="33">
        <v>4430265054</v>
      </c>
      <c r="E2260" s="33">
        <v>1119</v>
      </c>
      <c r="F2260" s="33">
        <v>1078</v>
      </c>
      <c r="G2260" s="33" t="s">
        <v>38</v>
      </c>
      <c r="H2260" s="33" t="s">
        <v>8811</v>
      </c>
      <c r="I2260" s="33" t="s">
        <v>39</v>
      </c>
      <c r="J2260" s="33" t="s">
        <v>40</v>
      </c>
      <c r="K2260" s="33" t="s">
        <v>41</v>
      </c>
    </row>
    <row r="2261" spans="1:12" s="33" customFormat="1" hidden="1" x14ac:dyDescent="0.3">
      <c r="A2261" s="39">
        <v>46087.376319444447</v>
      </c>
      <c r="B2261" s="33">
        <v>4334234629</v>
      </c>
      <c r="C2261" s="33" t="s">
        <v>48</v>
      </c>
      <c r="D2261" s="33">
        <v>4430265054</v>
      </c>
      <c r="E2261" s="33">
        <v>688</v>
      </c>
      <c r="F2261" s="33">
        <v>669</v>
      </c>
      <c r="G2261" s="33" t="s">
        <v>38</v>
      </c>
      <c r="H2261" s="33" t="s">
        <v>8812</v>
      </c>
      <c r="I2261" s="33" t="s">
        <v>39</v>
      </c>
      <c r="J2261" s="33" t="s">
        <v>40</v>
      </c>
      <c r="K2261" s="33" t="s">
        <v>41</v>
      </c>
    </row>
    <row r="2262" spans="1:12" s="33" customFormat="1" hidden="1" x14ac:dyDescent="0.3">
      <c r="A2262" s="39">
        <v>46087.376006944447</v>
      </c>
      <c r="B2262" s="33" t="s">
        <v>43</v>
      </c>
      <c r="C2262" s="33">
        <v>41992013248</v>
      </c>
      <c r="E2262" s="33">
        <v>32</v>
      </c>
      <c r="F2262" s="33">
        <v>0</v>
      </c>
      <c r="G2262" s="33" t="s">
        <v>47</v>
      </c>
      <c r="H2262" s="33" t="s">
        <v>8813</v>
      </c>
      <c r="I2262" s="33" t="s">
        <v>46</v>
      </c>
      <c r="J2262" s="33" t="s">
        <v>40</v>
      </c>
    </row>
    <row r="2263" spans="1:12" s="33" customFormat="1" hidden="1" x14ac:dyDescent="0.3">
      <c r="A2263" s="39">
        <v>46087.374224537038</v>
      </c>
      <c r="B2263" s="33">
        <v>4330333542</v>
      </c>
      <c r="C2263" s="33">
        <v>4430265054</v>
      </c>
      <c r="D2263" s="33">
        <v>4430265054</v>
      </c>
      <c r="E2263" s="33">
        <v>204</v>
      </c>
      <c r="F2263" s="33">
        <v>203</v>
      </c>
      <c r="G2263" s="33" t="s">
        <v>3449</v>
      </c>
      <c r="H2263" s="33" t="s">
        <v>8814</v>
      </c>
      <c r="I2263" s="33" t="s">
        <v>39</v>
      </c>
      <c r="J2263" s="33" t="s">
        <v>3451</v>
      </c>
      <c r="K2263" s="33" t="s">
        <v>41</v>
      </c>
    </row>
    <row r="2264" spans="1:12" s="33" customFormat="1" hidden="1" x14ac:dyDescent="0.3">
      <c r="A2264" s="39">
        <v>46087.371168981481</v>
      </c>
      <c r="B2264" s="33">
        <v>4432672194</v>
      </c>
      <c r="C2264" s="33" t="s">
        <v>45</v>
      </c>
      <c r="D2264" s="33">
        <v>4430265054</v>
      </c>
      <c r="E2264" s="33">
        <v>1014</v>
      </c>
      <c r="F2264" s="33">
        <v>992</v>
      </c>
      <c r="G2264" s="33" t="s">
        <v>38</v>
      </c>
      <c r="H2264" s="33" t="s">
        <v>8815</v>
      </c>
      <c r="I2264" s="33" t="s">
        <v>39</v>
      </c>
      <c r="J2264" s="33" t="s">
        <v>40</v>
      </c>
      <c r="K2264" s="33" t="s">
        <v>41</v>
      </c>
      <c r="L2264" s="33">
        <v>5</v>
      </c>
    </row>
    <row r="2265" spans="1:12" s="33" customFormat="1" hidden="1" x14ac:dyDescent="0.3">
      <c r="A2265" s="39">
        <v>46087.369004629632</v>
      </c>
      <c r="B2265" s="33">
        <v>44991388221</v>
      </c>
      <c r="C2265" s="33" t="s">
        <v>44</v>
      </c>
      <c r="D2265" s="33">
        <v>4431268225</v>
      </c>
      <c r="E2265" s="33">
        <v>389</v>
      </c>
      <c r="F2265" s="33">
        <v>370</v>
      </c>
      <c r="G2265" s="33" t="s">
        <v>38</v>
      </c>
      <c r="H2265" s="33" t="s">
        <v>8816</v>
      </c>
      <c r="I2265" s="33" t="s">
        <v>39</v>
      </c>
      <c r="J2265" s="33" t="s">
        <v>40</v>
      </c>
      <c r="K2265" s="33" t="s">
        <v>41</v>
      </c>
    </row>
    <row r="2266" spans="1:12" s="33" customFormat="1" hidden="1" x14ac:dyDescent="0.3">
      <c r="A2266" s="39">
        <v>46087.368530092594</v>
      </c>
      <c r="B2266" s="33">
        <v>62994086124</v>
      </c>
      <c r="C2266" s="33" t="s">
        <v>43</v>
      </c>
      <c r="D2266" s="33">
        <v>4430265054</v>
      </c>
      <c r="E2266" s="33">
        <v>439</v>
      </c>
      <c r="F2266" s="33">
        <v>391</v>
      </c>
      <c r="G2266" s="33" t="s">
        <v>38</v>
      </c>
      <c r="H2266" s="33" t="s">
        <v>8817</v>
      </c>
      <c r="I2266" s="33" t="s">
        <v>39</v>
      </c>
      <c r="J2266" s="33" t="s">
        <v>40</v>
      </c>
      <c r="K2266" s="33" t="s">
        <v>41</v>
      </c>
    </row>
    <row r="2267" spans="1:12" s="33" customFormat="1" hidden="1" x14ac:dyDescent="0.3">
      <c r="A2267" s="39">
        <v>46087.366597222222</v>
      </c>
      <c r="B2267" s="33" t="s">
        <v>43</v>
      </c>
      <c r="C2267" s="33">
        <v>4440092801</v>
      </c>
      <c r="E2267" s="33">
        <v>70</v>
      </c>
      <c r="F2267" s="33">
        <v>69</v>
      </c>
      <c r="G2267" s="33" t="s">
        <v>38</v>
      </c>
      <c r="H2267" s="33" t="s">
        <v>8818</v>
      </c>
      <c r="I2267" s="33" t="s">
        <v>46</v>
      </c>
      <c r="J2267" s="33" t="s">
        <v>40</v>
      </c>
    </row>
    <row r="2268" spans="1:12" s="33" customFormat="1" hidden="1" x14ac:dyDescent="0.3">
      <c r="A2268" s="39">
        <v>46087.364363425928</v>
      </c>
      <c r="B2268" s="33">
        <v>4435228300</v>
      </c>
      <c r="C2268" s="33" t="s">
        <v>45</v>
      </c>
      <c r="D2268" s="33">
        <v>4430265054</v>
      </c>
      <c r="E2268" s="33">
        <v>295</v>
      </c>
      <c r="F2268" s="33">
        <v>219</v>
      </c>
      <c r="G2268" s="33" t="s">
        <v>38</v>
      </c>
      <c r="H2268" s="33" t="s">
        <v>8819</v>
      </c>
      <c r="I2268" s="33" t="s">
        <v>39</v>
      </c>
      <c r="J2268" s="33" t="s">
        <v>40</v>
      </c>
      <c r="K2268" s="33" t="s">
        <v>41</v>
      </c>
    </row>
    <row r="2269" spans="1:12" s="33" customFormat="1" hidden="1" x14ac:dyDescent="0.3">
      <c r="A2269" s="39">
        <v>46087.362916666665</v>
      </c>
      <c r="B2269" s="33" t="s">
        <v>43</v>
      </c>
      <c r="C2269" s="33">
        <v>91985176746</v>
      </c>
      <c r="E2269" s="33">
        <v>35</v>
      </c>
      <c r="F2269" s="33">
        <v>31</v>
      </c>
      <c r="G2269" s="33" t="s">
        <v>38</v>
      </c>
      <c r="H2269" s="33" t="s">
        <v>8820</v>
      </c>
      <c r="I2269" s="33" t="s">
        <v>46</v>
      </c>
      <c r="J2269" s="33" t="s">
        <v>40</v>
      </c>
    </row>
    <row r="2270" spans="1:12" s="33" customFormat="1" hidden="1" x14ac:dyDescent="0.3">
      <c r="A2270" s="39">
        <v>46087.361701388887</v>
      </c>
      <c r="B2270" s="33" t="s">
        <v>43</v>
      </c>
      <c r="C2270" s="33">
        <v>41992013248</v>
      </c>
      <c r="E2270" s="33">
        <v>35</v>
      </c>
      <c r="F2270" s="33">
        <v>0</v>
      </c>
      <c r="G2270" s="33" t="s">
        <v>47</v>
      </c>
      <c r="H2270" s="33" t="s">
        <v>8821</v>
      </c>
      <c r="I2270" s="33" t="s">
        <v>46</v>
      </c>
      <c r="J2270" s="33" t="s">
        <v>40</v>
      </c>
    </row>
    <row r="2271" spans="1:12" s="33" customFormat="1" hidden="1" x14ac:dyDescent="0.3">
      <c r="A2271" s="39">
        <v>46087.361076388886</v>
      </c>
      <c r="B2271" s="33" t="s">
        <v>44</v>
      </c>
      <c r="C2271" s="33">
        <v>44988067937</v>
      </c>
      <c r="E2271" s="33">
        <v>356</v>
      </c>
      <c r="F2271" s="33">
        <v>341</v>
      </c>
      <c r="G2271" s="33" t="s">
        <v>38</v>
      </c>
      <c r="H2271" s="33" t="s">
        <v>8822</v>
      </c>
      <c r="I2271" s="33" t="s">
        <v>46</v>
      </c>
      <c r="J2271" s="33" t="s">
        <v>40</v>
      </c>
    </row>
    <row r="2272" spans="1:12" s="33" customFormat="1" hidden="1" x14ac:dyDescent="0.3">
      <c r="A2272" s="39">
        <v>46087.360335648147</v>
      </c>
      <c r="B2272" s="33" t="s">
        <v>44</v>
      </c>
      <c r="C2272" s="33">
        <v>4438201594</v>
      </c>
      <c r="E2272" s="33">
        <v>1</v>
      </c>
      <c r="F2272" s="33">
        <v>0</v>
      </c>
      <c r="G2272" s="33" t="s">
        <v>47</v>
      </c>
      <c r="H2272" s="33" t="s">
        <v>8823</v>
      </c>
      <c r="I2272" s="33" t="s">
        <v>46</v>
      </c>
      <c r="J2272" s="33" t="s">
        <v>40</v>
      </c>
    </row>
    <row r="2273" spans="1:12" s="33" customFormat="1" hidden="1" x14ac:dyDescent="0.3">
      <c r="A2273" s="39">
        <v>46087.360277777778</v>
      </c>
      <c r="B2273" s="33" t="s">
        <v>44</v>
      </c>
      <c r="C2273" s="33">
        <v>4438201594</v>
      </c>
      <c r="E2273" s="33">
        <v>2</v>
      </c>
      <c r="F2273" s="33">
        <v>0</v>
      </c>
      <c r="G2273" s="33" t="s">
        <v>47</v>
      </c>
      <c r="H2273" s="33" t="s">
        <v>8824</v>
      </c>
      <c r="I2273" s="33" t="s">
        <v>46</v>
      </c>
      <c r="J2273" s="33" t="s">
        <v>40</v>
      </c>
    </row>
    <row r="2274" spans="1:12" s="33" customFormat="1" hidden="1" x14ac:dyDescent="0.3">
      <c r="A2274" s="39">
        <v>46087.360185185185</v>
      </c>
      <c r="B2274" s="33" t="s">
        <v>44</v>
      </c>
      <c r="C2274" s="33">
        <v>4438201594</v>
      </c>
      <c r="E2274" s="33">
        <v>3</v>
      </c>
      <c r="F2274" s="33">
        <v>0</v>
      </c>
      <c r="G2274" s="33" t="s">
        <v>47</v>
      </c>
      <c r="H2274" s="33" t="s">
        <v>8825</v>
      </c>
      <c r="I2274" s="33" t="s">
        <v>46</v>
      </c>
      <c r="J2274" s="33" t="s">
        <v>40</v>
      </c>
    </row>
    <row r="2275" spans="1:12" s="33" customFormat="1" hidden="1" x14ac:dyDescent="0.3">
      <c r="A2275" s="39">
        <v>46087.360115740739</v>
      </c>
      <c r="B2275" s="33" t="s">
        <v>44</v>
      </c>
      <c r="C2275" s="33">
        <v>4438201594</v>
      </c>
      <c r="E2275" s="33">
        <v>3</v>
      </c>
      <c r="F2275" s="33">
        <v>0</v>
      </c>
      <c r="G2275" s="33" t="s">
        <v>47</v>
      </c>
      <c r="H2275" s="33" t="s">
        <v>8826</v>
      </c>
      <c r="I2275" s="33" t="s">
        <v>46</v>
      </c>
      <c r="J2275" s="33" t="s">
        <v>40</v>
      </c>
    </row>
    <row r="2276" spans="1:12" s="33" customFormat="1" hidden="1" x14ac:dyDescent="0.3">
      <c r="A2276" s="39">
        <v>46087.360081018516</v>
      </c>
      <c r="B2276" s="33" t="s">
        <v>44</v>
      </c>
      <c r="C2276" s="33">
        <v>4438201594</v>
      </c>
      <c r="E2276" s="33">
        <v>2</v>
      </c>
      <c r="F2276" s="33">
        <v>0</v>
      </c>
      <c r="G2276" s="33" t="s">
        <v>47</v>
      </c>
      <c r="H2276" s="33" t="s">
        <v>8827</v>
      </c>
      <c r="I2276" s="33" t="s">
        <v>46</v>
      </c>
      <c r="J2276" s="33" t="s">
        <v>40</v>
      </c>
    </row>
    <row r="2277" spans="1:12" s="33" customFormat="1" hidden="1" x14ac:dyDescent="0.3">
      <c r="A2277" s="39">
        <v>46087.360011574077</v>
      </c>
      <c r="B2277" s="33" t="s">
        <v>44</v>
      </c>
      <c r="C2277" s="33">
        <v>4438201594</v>
      </c>
      <c r="E2277" s="33">
        <v>6</v>
      </c>
      <c r="F2277" s="33">
        <v>0</v>
      </c>
      <c r="G2277" s="33" t="s">
        <v>47</v>
      </c>
      <c r="H2277" s="33" t="s">
        <v>8828</v>
      </c>
      <c r="I2277" s="33" t="s">
        <v>46</v>
      </c>
      <c r="J2277" s="33" t="s">
        <v>40</v>
      </c>
    </row>
    <row r="2278" spans="1:12" s="33" customFormat="1" hidden="1" x14ac:dyDescent="0.3">
      <c r="A2278" s="39">
        <v>46087.359768518516</v>
      </c>
      <c r="B2278" s="33">
        <v>99984754234</v>
      </c>
      <c r="C2278" s="33" t="s">
        <v>37</v>
      </c>
      <c r="D2278" s="33">
        <v>4430265054</v>
      </c>
      <c r="E2278" s="33">
        <v>1325</v>
      </c>
      <c r="F2278" s="33">
        <v>1182</v>
      </c>
      <c r="G2278" s="33" t="s">
        <v>38</v>
      </c>
      <c r="H2278" s="33" t="s">
        <v>8829</v>
      </c>
      <c r="I2278" s="33" t="s">
        <v>39</v>
      </c>
      <c r="J2278" s="33" t="s">
        <v>40</v>
      </c>
      <c r="K2278" s="33" t="s">
        <v>41</v>
      </c>
      <c r="L2278" s="33">
        <v>5</v>
      </c>
    </row>
    <row r="2279" spans="1:12" s="33" customFormat="1" hidden="1" x14ac:dyDescent="0.3">
      <c r="A2279" s="39">
        <v>46087.3596875</v>
      </c>
      <c r="B2279" s="33" t="s">
        <v>44</v>
      </c>
      <c r="C2279" s="33">
        <v>44991314300</v>
      </c>
      <c r="E2279" s="33">
        <v>34</v>
      </c>
      <c r="F2279" s="33">
        <v>25</v>
      </c>
      <c r="G2279" s="33" t="s">
        <v>38</v>
      </c>
      <c r="H2279" s="33" t="s">
        <v>8830</v>
      </c>
      <c r="I2279" s="33" t="s">
        <v>46</v>
      </c>
      <c r="J2279" s="33" t="s">
        <v>40</v>
      </c>
    </row>
    <row r="2280" spans="1:12" s="33" customFormat="1" hidden="1" x14ac:dyDescent="0.3">
      <c r="A2280" s="39">
        <v>46087.35833333333</v>
      </c>
      <c r="B2280" s="33" t="s">
        <v>45</v>
      </c>
      <c r="C2280" s="33">
        <v>99985068235</v>
      </c>
      <c r="E2280" s="33">
        <v>422</v>
      </c>
      <c r="F2280" s="33">
        <v>411</v>
      </c>
      <c r="G2280" s="33" t="s">
        <v>38</v>
      </c>
      <c r="H2280" s="33" t="s">
        <v>8831</v>
      </c>
      <c r="I2280" s="33" t="s">
        <v>46</v>
      </c>
      <c r="J2280" s="33" t="s">
        <v>40</v>
      </c>
    </row>
    <row r="2281" spans="1:12" s="33" customFormat="1" hidden="1" x14ac:dyDescent="0.3">
      <c r="A2281" s="39">
        <v>46087.356932870367</v>
      </c>
      <c r="B2281" s="33" t="s">
        <v>43</v>
      </c>
      <c r="C2281" s="33">
        <v>44991388221</v>
      </c>
      <c r="E2281" s="33">
        <v>319</v>
      </c>
      <c r="F2281" s="33">
        <v>308</v>
      </c>
      <c r="G2281" s="33" t="s">
        <v>38</v>
      </c>
      <c r="H2281" s="33" t="s">
        <v>8832</v>
      </c>
      <c r="I2281" s="33" t="s">
        <v>46</v>
      </c>
      <c r="J2281" s="33" t="s">
        <v>40</v>
      </c>
      <c r="L2281" s="33">
        <v>5</v>
      </c>
    </row>
    <row r="2282" spans="1:12" s="33" customFormat="1" hidden="1" x14ac:dyDescent="0.3">
      <c r="A2282" s="39">
        <v>46087.356180555558</v>
      </c>
      <c r="B2282" s="33" t="s">
        <v>44</v>
      </c>
      <c r="C2282" s="33">
        <v>44988067937</v>
      </c>
      <c r="E2282" s="33">
        <v>107</v>
      </c>
      <c r="F2282" s="33">
        <v>87</v>
      </c>
      <c r="G2282" s="33" t="s">
        <v>38</v>
      </c>
      <c r="H2282" s="33" t="s">
        <v>8833</v>
      </c>
      <c r="I2282" s="33" t="s">
        <v>46</v>
      </c>
      <c r="J2282" s="33" t="s">
        <v>40</v>
      </c>
    </row>
    <row r="2283" spans="1:12" s="33" customFormat="1" hidden="1" x14ac:dyDescent="0.3">
      <c r="A2283" s="39">
        <v>46087.356122685182</v>
      </c>
      <c r="B2283" s="33" t="s">
        <v>44</v>
      </c>
      <c r="C2283" s="33">
        <v>44988067937</v>
      </c>
      <c r="E2283" s="33">
        <v>5</v>
      </c>
      <c r="F2283" s="33">
        <v>0</v>
      </c>
      <c r="G2283" s="33" t="s">
        <v>47</v>
      </c>
      <c r="H2283" s="33" t="s">
        <v>8834</v>
      </c>
      <c r="I2283" s="33" t="s">
        <v>46</v>
      </c>
      <c r="J2283" s="33" t="s">
        <v>40</v>
      </c>
    </row>
    <row r="2284" spans="1:12" s="33" customFormat="1" hidden="1" x14ac:dyDescent="0.3">
      <c r="A2284" s="39">
        <v>46087.355810185189</v>
      </c>
      <c r="B2284" s="33">
        <v>99985068235</v>
      </c>
      <c r="C2284" s="33" t="s">
        <v>45</v>
      </c>
      <c r="D2284" s="33">
        <v>4430265054</v>
      </c>
      <c r="E2284" s="33">
        <v>191</v>
      </c>
      <c r="F2284" s="33">
        <v>133</v>
      </c>
      <c r="G2284" s="33" t="s">
        <v>38</v>
      </c>
      <c r="H2284" s="33" t="s">
        <v>8835</v>
      </c>
      <c r="I2284" s="33" t="s">
        <v>39</v>
      </c>
      <c r="J2284" s="33" t="s">
        <v>40</v>
      </c>
      <c r="K2284" s="33" t="s">
        <v>41</v>
      </c>
    </row>
    <row r="2285" spans="1:12" s="33" customFormat="1" hidden="1" x14ac:dyDescent="0.3">
      <c r="A2285" s="39">
        <v>46087.355775462966</v>
      </c>
      <c r="B2285" s="33" t="s">
        <v>44</v>
      </c>
      <c r="C2285" s="33">
        <v>44988067937</v>
      </c>
      <c r="E2285" s="33">
        <v>9</v>
      </c>
      <c r="F2285" s="33">
        <v>0</v>
      </c>
      <c r="G2285" s="33" t="s">
        <v>47</v>
      </c>
      <c r="H2285" s="33" t="s">
        <v>8836</v>
      </c>
      <c r="I2285" s="33" t="s">
        <v>46</v>
      </c>
      <c r="J2285" s="33" t="s">
        <v>40</v>
      </c>
    </row>
    <row r="2286" spans="1:12" s="33" customFormat="1" hidden="1" x14ac:dyDescent="0.3">
      <c r="A2286" s="39">
        <v>46087.354074074072</v>
      </c>
      <c r="B2286" s="33" t="s">
        <v>44</v>
      </c>
      <c r="C2286" s="33">
        <v>44991314300</v>
      </c>
      <c r="E2286" s="33">
        <v>6</v>
      </c>
      <c r="F2286" s="33">
        <v>0</v>
      </c>
      <c r="G2286" s="33" t="s">
        <v>47</v>
      </c>
      <c r="H2286" s="33" t="s">
        <v>8837</v>
      </c>
      <c r="I2286" s="33" t="s">
        <v>46</v>
      </c>
      <c r="J2286" s="33" t="s">
        <v>40</v>
      </c>
    </row>
    <row r="2287" spans="1:12" s="33" customFormat="1" hidden="1" x14ac:dyDescent="0.3">
      <c r="A2287" s="39">
        <v>46087.353946759256</v>
      </c>
      <c r="B2287" s="33" t="s">
        <v>44</v>
      </c>
      <c r="C2287" s="33">
        <v>44991314300</v>
      </c>
      <c r="E2287" s="33">
        <v>8</v>
      </c>
      <c r="F2287" s="33">
        <v>0</v>
      </c>
      <c r="G2287" s="33" t="s">
        <v>47</v>
      </c>
      <c r="H2287" s="33" t="s">
        <v>8838</v>
      </c>
      <c r="I2287" s="33" t="s">
        <v>46</v>
      </c>
      <c r="J2287" s="33" t="s">
        <v>40</v>
      </c>
    </row>
    <row r="2288" spans="1:12" s="33" customFormat="1" hidden="1" x14ac:dyDescent="0.3">
      <c r="A2288" s="39">
        <v>46087.353819444441</v>
      </c>
      <c r="B2288" s="33" t="s">
        <v>44</v>
      </c>
      <c r="C2288" s="33">
        <v>44991314300</v>
      </c>
      <c r="E2288" s="33">
        <v>0</v>
      </c>
      <c r="F2288" s="33">
        <v>0</v>
      </c>
      <c r="G2288" s="33" t="s">
        <v>47</v>
      </c>
      <c r="H2288" s="33" t="s">
        <v>8839</v>
      </c>
      <c r="I2288" s="33" t="s">
        <v>46</v>
      </c>
      <c r="J2288" s="33" t="s">
        <v>40</v>
      </c>
    </row>
    <row r="2289" spans="1:12" s="33" customFormat="1" hidden="1" x14ac:dyDescent="0.3">
      <c r="A2289" s="39">
        <v>46087.352696759262</v>
      </c>
      <c r="B2289" s="33" t="s">
        <v>43</v>
      </c>
      <c r="C2289" s="33">
        <v>4440092826</v>
      </c>
      <c r="E2289" s="33">
        <v>223</v>
      </c>
      <c r="F2289" s="33">
        <v>222</v>
      </c>
      <c r="G2289" s="33" t="s">
        <v>38</v>
      </c>
      <c r="H2289" s="33" t="s">
        <v>8840</v>
      </c>
      <c r="I2289" s="33" t="s">
        <v>46</v>
      </c>
      <c r="J2289" s="33" t="s">
        <v>40</v>
      </c>
    </row>
    <row r="2290" spans="1:12" s="33" customFormat="1" hidden="1" x14ac:dyDescent="0.3">
      <c r="A2290" s="39">
        <v>46087.352650462963</v>
      </c>
      <c r="B2290" s="33" t="s">
        <v>43</v>
      </c>
      <c r="C2290" s="33">
        <v>4440092826</v>
      </c>
      <c r="E2290" s="33">
        <v>3</v>
      </c>
      <c r="F2290" s="33">
        <v>0</v>
      </c>
      <c r="G2290" s="33" t="s">
        <v>47</v>
      </c>
      <c r="H2290" s="33" t="s">
        <v>8841</v>
      </c>
      <c r="I2290" s="33" t="s">
        <v>46</v>
      </c>
      <c r="J2290" s="33" t="s">
        <v>40</v>
      </c>
    </row>
    <row r="2291" spans="1:12" s="33" customFormat="1" hidden="1" x14ac:dyDescent="0.3">
      <c r="A2291" s="39">
        <v>46087.352442129632</v>
      </c>
      <c r="B2291" s="33">
        <v>99984754234</v>
      </c>
      <c r="C2291" s="33">
        <v>4430265054</v>
      </c>
      <c r="D2291" s="33">
        <v>4430265054</v>
      </c>
      <c r="E2291" s="33">
        <v>29</v>
      </c>
      <c r="F2291" s="33">
        <v>28</v>
      </c>
      <c r="G2291" s="33" t="s">
        <v>3449</v>
      </c>
      <c r="H2291" s="33" t="s">
        <v>8842</v>
      </c>
      <c r="I2291" s="33" t="s">
        <v>39</v>
      </c>
      <c r="J2291" s="33" t="s">
        <v>3451</v>
      </c>
    </row>
    <row r="2292" spans="1:12" s="33" customFormat="1" hidden="1" x14ac:dyDescent="0.3">
      <c r="A2292" s="39">
        <v>46087.348749999997</v>
      </c>
      <c r="B2292" s="33">
        <v>1438160351</v>
      </c>
      <c r="C2292" s="33">
        <v>4430265054</v>
      </c>
      <c r="D2292" s="33">
        <v>4430265054</v>
      </c>
      <c r="E2292" s="33">
        <v>8</v>
      </c>
      <c r="F2292" s="33">
        <v>8</v>
      </c>
      <c r="G2292" s="33" t="s">
        <v>3449</v>
      </c>
      <c r="H2292" s="33" t="s">
        <v>8843</v>
      </c>
      <c r="I2292" s="33" t="s">
        <v>39</v>
      </c>
      <c r="J2292" s="33" t="s">
        <v>3451</v>
      </c>
    </row>
    <row r="2293" spans="1:12" s="33" customFormat="1" hidden="1" x14ac:dyDescent="0.3">
      <c r="A2293" s="39">
        <v>46087.345081018517</v>
      </c>
      <c r="B2293" s="33" t="s">
        <v>43</v>
      </c>
      <c r="C2293" s="33">
        <v>4440092826</v>
      </c>
      <c r="E2293" s="33">
        <v>153</v>
      </c>
      <c r="F2293" s="33">
        <v>152</v>
      </c>
      <c r="G2293" s="33" t="s">
        <v>38</v>
      </c>
      <c r="H2293" s="33" t="s">
        <v>8844</v>
      </c>
      <c r="I2293" s="33" t="s">
        <v>46</v>
      </c>
      <c r="J2293" s="33" t="s">
        <v>40</v>
      </c>
    </row>
    <row r="2294" spans="1:12" s="33" customFormat="1" hidden="1" x14ac:dyDescent="0.3">
      <c r="A2294" s="39">
        <v>46087.345011574071</v>
      </c>
      <c r="B2294" s="33" t="s">
        <v>43</v>
      </c>
      <c r="C2294" s="33">
        <v>4440092826</v>
      </c>
      <c r="E2294" s="33">
        <v>5</v>
      </c>
      <c r="F2294" s="33">
        <v>0</v>
      </c>
      <c r="G2294" s="33" t="s">
        <v>47</v>
      </c>
      <c r="H2294" s="33" t="s">
        <v>8845</v>
      </c>
      <c r="I2294" s="33" t="s">
        <v>46</v>
      </c>
      <c r="J2294" s="33" t="s">
        <v>40</v>
      </c>
    </row>
    <row r="2295" spans="1:12" s="33" customFormat="1" hidden="1" x14ac:dyDescent="0.3">
      <c r="A2295" s="39">
        <v>46087.343912037039</v>
      </c>
      <c r="B2295" s="33" t="s">
        <v>43</v>
      </c>
      <c r="C2295" s="33">
        <v>41992013248</v>
      </c>
      <c r="E2295" s="33">
        <v>35</v>
      </c>
      <c r="F2295" s="33">
        <v>0</v>
      </c>
      <c r="G2295" s="33" t="s">
        <v>47</v>
      </c>
      <c r="H2295" s="33" t="s">
        <v>8846</v>
      </c>
      <c r="I2295" s="33" t="s">
        <v>46</v>
      </c>
      <c r="J2295" s="33" t="s">
        <v>40</v>
      </c>
    </row>
    <row r="2296" spans="1:12" s="33" customFormat="1" hidden="1" x14ac:dyDescent="0.3">
      <c r="A2296" s="39">
        <v>46086.742592592593</v>
      </c>
      <c r="B2296" s="33" t="s">
        <v>44</v>
      </c>
      <c r="C2296" s="33">
        <v>44991314300</v>
      </c>
      <c r="E2296" s="33">
        <v>8</v>
      </c>
      <c r="F2296" s="33">
        <v>0</v>
      </c>
      <c r="G2296" s="33" t="s">
        <v>47</v>
      </c>
      <c r="H2296" s="33" t="s">
        <v>8847</v>
      </c>
      <c r="I2296" s="33" t="s">
        <v>46</v>
      </c>
      <c r="J2296" s="33" t="s">
        <v>40</v>
      </c>
    </row>
    <row r="2297" spans="1:12" s="33" customFormat="1" hidden="1" x14ac:dyDescent="0.3">
      <c r="A2297" s="39">
        <v>46086.742442129631</v>
      </c>
      <c r="B2297" s="33" t="s">
        <v>44</v>
      </c>
      <c r="C2297" s="33">
        <v>44991314300</v>
      </c>
      <c r="E2297" s="33">
        <v>36</v>
      </c>
      <c r="F2297" s="33">
        <v>28</v>
      </c>
      <c r="G2297" s="33" t="s">
        <v>38</v>
      </c>
      <c r="H2297" s="33" t="s">
        <v>8848</v>
      </c>
      <c r="I2297" s="33" t="s">
        <v>46</v>
      </c>
      <c r="J2297" s="33" t="s">
        <v>40</v>
      </c>
    </row>
    <row r="2298" spans="1:12" s="33" customFormat="1" hidden="1" x14ac:dyDescent="0.3">
      <c r="A2298" s="39">
        <v>46086.74119212963</v>
      </c>
      <c r="B2298" s="33">
        <v>41992013248</v>
      </c>
      <c r="C2298" s="33" t="s">
        <v>43</v>
      </c>
      <c r="D2298" s="33">
        <v>4430265054</v>
      </c>
      <c r="E2298" s="33">
        <v>699</v>
      </c>
      <c r="F2298" s="33">
        <v>596</v>
      </c>
      <c r="G2298" s="33" t="s">
        <v>38</v>
      </c>
      <c r="H2298" s="33" t="s">
        <v>8849</v>
      </c>
      <c r="I2298" s="33" t="s">
        <v>39</v>
      </c>
      <c r="J2298" s="33" t="s">
        <v>40</v>
      </c>
      <c r="K2298" s="33" t="s">
        <v>41</v>
      </c>
    </row>
    <row r="2299" spans="1:12" s="33" customFormat="1" hidden="1" x14ac:dyDescent="0.3">
      <c r="A2299" s="39">
        <v>46086.73232638889</v>
      </c>
      <c r="B2299" s="33">
        <v>4440092826</v>
      </c>
      <c r="C2299" s="33" t="s">
        <v>43</v>
      </c>
      <c r="D2299" s="33">
        <v>4430265054</v>
      </c>
      <c r="E2299" s="33">
        <v>333</v>
      </c>
      <c r="F2299" s="33">
        <v>306</v>
      </c>
      <c r="G2299" s="33" t="s">
        <v>38</v>
      </c>
      <c r="H2299" s="33" t="s">
        <v>8850</v>
      </c>
      <c r="I2299" s="33" t="s">
        <v>39</v>
      </c>
      <c r="J2299" s="33" t="s">
        <v>40</v>
      </c>
      <c r="K2299" s="33" t="s">
        <v>41</v>
      </c>
      <c r="L2299" s="33">
        <v>5</v>
      </c>
    </row>
    <row r="2300" spans="1:12" s="33" customFormat="1" hidden="1" x14ac:dyDescent="0.3">
      <c r="A2300" s="39">
        <v>46086.730543981481</v>
      </c>
      <c r="B2300" s="33">
        <v>44991484476</v>
      </c>
      <c r="C2300" s="33" t="s">
        <v>42</v>
      </c>
      <c r="D2300" s="33">
        <v>4430265054</v>
      </c>
      <c r="E2300" s="33">
        <v>432</v>
      </c>
      <c r="F2300" s="33">
        <v>346</v>
      </c>
      <c r="G2300" s="33" t="s">
        <v>38</v>
      </c>
      <c r="H2300" s="33" t="s">
        <v>8851</v>
      </c>
      <c r="I2300" s="33" t="s">
        <v>39</v>
      </c>
      <c r="J2300" s="33" t="s">
        <v>40</v>
      </c>
      <c r="K2300" s="33" t="s">
        <v>41</v>
      </c>
    </row>
    <row r="2301" spans="1:12" s="33" customFormat="1" hidden="1" x14ac:dyDescent="0.3">
      <c r="A2301" s="39">
        <v>46086.729618055557</v>
      </c>
      <c r="B2301" s="33">
        <v>44997343311</v>
      </c>
      <c r="C2301" s="33" t="s">
        <v>45</v>
      </c>
      <c r="D2301" s="33">
        <v>4430265054</v>
      </c>
      <c r="E2301" s="33">
        <v>616</v>
      </c>
      <c r="F2301" s="33">
        <v>558</v>
      </c>
      <c r="G2301" s="33" t="s">
        <v>38</v>
      </c>
      <c r="H2301" s="33" t="s">
        <v>8852</v>
      </c>
      <c r="I2301" s="33" t="s">
        <v>39</v>
      </c>
      <c r="J2301" s="33" t="s">
        <v>40</v>
      </c>
      <c r="K2301" s="33" t="s">
        <v>41</v>
      </c>
      <c r="L2301" s="33">
        <v>5</v>
      </c>
    </row>
    <row r="2302" spans="1:12" s="33" customFormat="1" hidden="1" x14ac:dyDescent="0.3">
      <c r="A2302" s="39">
        <v>46086.723240740743</v>
      </c>
      <c r="B2302" s="33" t="s">
        <v>3627</v>
      </c>
      <c r="C2302" s="33">
        <v>43998660580</v>
      </c>
      <c r="E2302" s="33">
        <v>21</v>
      </c>
      <c r="F2302" s="33">
        <v>2</v>
      </c>
      <c r="G2302" s="33" t="s">
        <v>38</v>
      </c>
      <c r="H2302" s="33" t="s">
        <v>8853</v>
      </c>
      <c r="I2302" s="33" t="s">
        <v>46</v>
      </c>
      <c r="J2302" s="33" t="s">
        <v>3629</v>
      </c>
    </row>
    <row r="2303" spans="1:12" s="33" customFormat="1" hidden="1" x14ac:dyDescent="0.3">
      <c r="A2303" s="39">
        <v>46086.722592592596</v>
      </c>
      <c r="B2303" s="33">
        <v>44991314300</v>
      </c>
      <c r="C2303" s="33" t="s">
        <v>44</v>
      </c>
      <c r="D2303" s="33">
        <v>4430265054</v>
      </c>
      <c r="E2303" s="33">
        <v>734</v>
      </c>
      <c r="F2303" s="33">
        <v>618</v>
      </c>
      <c r="G2303" s="33" t="s">
        <v>38</v>
      </c>
      <c r="H2303" s="33" t="s">
        <v>8854</v>
      </c>
      <c r="I2303" s="33" t="s">
        <v>39</v>
      </c>
      <c r="J2303" s="33" t="s">
        <v>40</v>
      </c>
      <c r="K2303" s="33" t="s">
        <v>41</v>
      </c>
    </row>
    <row r="2304" spans="1:12" s="33" customFormat="1" hidden="1" x14ac:dyDescent="0.3">
      <c r="A2304" s="39">
        <v>46086.72184027778</v>
      </c>
      <c r="B2304" s="33">
        <v>4432256983</v>
      </c>
      <c r="C2304" s="33" t="s">
        <v>45</v>
      </c>
      <c r="D2304" s="33">
        <v>4430265054</v>
      </c>
      <c r="E2304" s="33">
        <v>396</v>
      </c>
      <c r="F2304" s="33">
        <v>370</v>
      </c>
      <c r="G2304" s="33" t="s">
        <v>38</v>
      </c>
      <c r="H2304" s="33" t="s">
        <v>8855</v>
      </c>
      <c r="I2304" s="33" t="s">
        <v>39</v>
      </c>
      <c r="J2304" s="33" t="s">
        <v>40</v>
      </c>
      <c r="K2304" s="33" t="s">
        <v>41</v>
      </c>
      <c r="L2304" s="33">
        <v>5</v>
      </c>
    </row>
    <row r="2305" spans="1:12" s="33" customFormat="1" hidden="1" x14ac:dyDescent="0.3">
      <c r="A2305" s="39">
        <v>46086.715949074074</v>
      </c>
      <c r="B2305" s="33" t="s">
        <v>45</v>
      </c>
      <c r="C2305" s="33">
        <v>47991636470</v>
      </c>
      <c r="E2305" s="33">
        <v>367</v>
      </c>
      <c r="F2305" s="33">
        <v>352</v>
      </c>
      <c r="G2305" s="33" t="s">
        <v>38</v>
      </c>
      <c r="H2305" s="33" t="s">
        <v>8856</v>
      </c>
      <c r="I2305" s="33" t="s">
        <v>46</v>
      </c>
      <c r="J2305" s="33" t="s">
        <v>40</v>
      </c>
    </row>
    <row r="2306" spans="1:12" s="33" customFormat="1" hidden="1" x14ac:dyDescent="0.3">
      <c r="A2306" s="39">
        <v>46086.715486111112</v>
      </c>
      <c r="B2306" s="33" t="s">
        <v>3627</v>
      </c>
      <c r="C2306" s="33">
        <v>51992342809</v>
      </c>
      <c r="E2306" s="33">
        <v>27</v>
      </c>
      <c r="F2306" s="33">
        <v>0</v>
      </c>
      <c r="G2306" s="33" t="s">
        <v>47</v>
      </c>
      <c r="H2306" s="33" t="s">
        <v>8857</v>
      </c>
      <c r="I2306" s="33" t="s">
        <v>46</v>
      </c>
      <c r="J2306" s="33" t="s">
        <v>3629</v>
      </c>
    </row>
    <row r="2307" spans="1:12" s="33" customFormat="1" hidden="1" x14ac:dyDescent="0.3">
      <c r="A2307" s="39">
        <v>46086.713020833333</v>
      </c>
      <c r="B2307" s="33">
        <v>91985176746</v>
      </c>
      <c r="C2307" s="33" t="s">
        <v>45</v>
      </c>
      <c r="D2307" s="33">
        <v>4430265054</v>
      </c>
      <c r="E2307" s="33">
        <v>179</v>
      </c>
      <c r="F2307" s="33">
        <v>146</v>
      </c>
      <c r="G2307" s="33" t="s">
        <v>38</v>
      </c>
      <c r="H2307" s="33" t="s">
        <v>8858</v>
      </c>
      <c r="I2307" s="33" t="s">
        <v>39</v>
      </c>
      <c r="J2307" s="33" t="s">
        <v>40</v>
      </c>
      <c r="K2307" s="33" t="s">
        <v>41</v>
      </c>
      <c r="L2307" s="33">
        <v>5</v>
      </c>
    </row>
    <row r="2308" spans="1:12" s="33" customFormat="1" hidden="1" x14ac:dyDescent="0.3">
      <c r="A2308" s="39">
        <v>46086.708819444444</v>
      </c>
      <c r="B2308" s="33">
        <v>4432268889</v>
      </c>
      <c r="C2308" s="33" t="s">
        <v>48</v>
      </c>
      <c r="D2308" s="33">
        <v>4430265054</v>
      </c>
      <c r="E2308" s="33">
        <v>497</v>
      </c>
      <c r="F2308" s="33">
        <v>497</v>
      </c>
      <c r="G2308" s="33" t="s">
        <v>38</v>
      </c>
      <c r="H2308" s="33" t="s">
        <v>8859</v>
      </c>
      <c r="I2308" s="33" t="s">
        <v>39</v>
      </c>
      <c r="J2308" s="33" t="s">
        <v>40</v>
      </c>
      <c r="K2308" s="33" t="s">
        <v>41</v>
      </c>
    </row>
    <row r="2309" spans="1:12" s="33" customFormat="1" hidden="1" x14ac:dyDescent="0.3">
      <c r="A2309" s="39">
        <v>46086.708680555559</v>
      </c>
      <c r="B2309" s="33">
        <v>4430318514</v>
      </c>
      <c r="C2309" s="33" t="s">
        <v>42</v>
      </c>
      <c r="D2309" s="33">
        <v>4430265054</v>
      </c>
      <c r="E2309" s="33">
        <v>1505</v>
      </c>
      <c r="F2309" s="33">
        <v>1466</v>
      </c>
      <c r="G2309" s="33" t="s">
        <v>38</v>
      </c>
      <c r="H2309" s="33" t="s">
        <v>8860</v>
      </c>
      <c r="I2309" s="33" t="s">
        <v>39</v>
      </c>
      <c r="J2309" s="33" t="s">
        <v>40</v>
      </c>
      <c r="K2309" s="33" t="s">
        <v>41</v>
      </c>
    </row>
    <row r="2310" spans="1:12" s="33" customFormat="1" hidden="1" x14ac:dyDescent="0.3">
      <c r="A2310" s="39">
        <v>46086.704259259262</v>
      </c>
      <c r="B2310" s="33">
        <v>44988255390</v>
      </c>
      <c r="C2310" s="33" t="s">
        <v>37</v>
      </c>
      <c r="D2310" s="33">
        <v>4430265054</v>
      </c>
      <c r="E2310" s="33">
        <v>988</v>
      </c>
      <c r="F2310" s="33">
        <v>916</v>
      </c>
      <c r="G2310" s="33" t="s">
        <v>38</v>
      </c>
      <c r="H2310" s="33" t="s">
        <v>8861</v>
      </c>
      <c r="I2310" s="33" t="s">
        <v>39</v>
      </c>
      <c r="J2310" s="33" t="s">
        <v>40</v>
      </c>
      <c r="K2310" s="33" t="s">
        <v>41</v>
      </c>
    </row>
    <row r="2311" spans="1:12" s="33" customFormat="1" hidden="1" x14ac:dyDescent="0.3">
      <c r="A2311" s="39">
        <v>46086.704016203701</v>
      </c>
      <c r="B2311" s="33">
        <v>1143744993</v>
      </c>
      <c r="C2311" s="33" t="s">
        <v>43</v>
      </c>
      <c r="D2311" s="33">
        <v>4431268225</v>
      </c>
      <c r="E2311" s="33">
        <v>913</v>
      </c>
      <c r="F2311" s="33">
        <v>871</v>
      </c>
      <c r="G2311" s="33" t="s">
        <v>38</v>
      </c>
      <c r="H2311" s="33" t="s">
        <v>8862</v>
      </c>
      <c r="I2311" s="33" t="s">
        <v>39</v>
      </c>
      <c r="J2311" s="33" t="s">
        <v>40</v>
      </c>
      <c r="K2311" s="33" t="s">
        <v>41</v>
      </c>
      <c r="L2311" s="33">
        <v>5</v>
      </c>
    </row>
    <row r="2312" spans="1:12" s="33" customFormat="1" hidden="1" x14ac:dyDescent="0.3">
      <c r="A2312" s="39">
        <v>46086.703888888886</v>
      </c>
      <c r="B2312" s="33" t="s">
        <v>42</v>
      </c>
      <c r="C2312" s="33">
        <v>44999611131</v>
      </c>
      <c r="E2312" s="33">
        <v>339</v>
      </c>
      <c r="F2312" s="33">
        <v>327</v>
      </c>
      <c r="G2312" s="33" t="s">
        <v>38</v>
      </c>
      <c r="H2312" s="33" t="s">
        <v>8863</v>
      </c>
      <c r="I2312" s="33" t="s">
        <v>46</v>
      </c>
      <c r="J2312" s="33" t="s">
        <v>40</v>
      </c>
    </row>
    <row r="2313" spans="1:12" s="33" customFormat="1" hidden="1" x14ac:dyDescent="0.3">
      <c r="A2313" s="39">
        <v>46086.703657407408</v>
      </c>
      <c r="B2313" s="33" t="s">
        <v>42</v>
      </c>
      <c r="C2313" s="33">
        <v>4430454546</v>
      </c>
      <c r="E2313" s="33">
        <v>3</v>
      </c>
      <c r="F2313" s="33">
        <v>0</v>
      </c>
      <c r="G2313" s="33" t="s">
        <v>47</v>
      </c>
      <c r="H2313" s="33" t="s">
        <v>8864</v>
      </c>
      <c r="I2313" s="33" t="s">
        <v>46</v>
      </c>
      <c r="J2313" s="33" t="s">
        <v>40</v>
      </c>
    </row>
    <row r="2314" spans="1:12" s="33" customFormat="1" hidden="1" x14ac:dyDescent="0.3">
      <c r="A2314" s="39">
        <v>46086.703622685185</v>
      </c>
      <c r="B2314" s="33" t="s">
        <v>42</v>
      </c>
      <c r="C2314" s="33">
        <v>4430454546</v>
      </c>
      <c r="E2314" s="33">
        <v>2</v>
      </c>
      <c r="F2314" s="33">
        <v>0</v>
      </c>
      <c r="G2314" s="33" t="s">
        <v>47</v>
      </c>
      <c r="H2314" s="33" t="s">
        <v>8865</v>
      </c>
      <c r="I2314" s="33" t="s">
        <v>46</v>
      </c>
      <c r="J2314" s="33" t="s">
        <v>40</v>
      </c>
    </row>
    <row r="2315" spans="1:12" s="33" customFormat="1" hidden="1" x14ac:dyDescent="0.3">
      <c r="A2315" s="39">
        <v>46086.703587962962</v>
      </c>
      <c r="B2315" s="33" t="s">
        <v>42</v>
      </c>
      <c r="C2315" s="33">
        <v>4430454546</v>
      </c>
      <c r="E2315" s="33">
        <v>1</v>
      </c>
      <c r="F2315" s="33">
        <v>0</v>
      </c>
      <c r="G2315" s="33" t="s">
        <v>47</v>
      </c>
      <c r="H2315" s="33" t="s">
        <v>8866</v>
      </c>
      <c r="I2315" s="33" t="s">
        <v>46</v>
      </c>
      <c r="J2315" s="33" t="s">
        <v>40</v>
      </c>
    </row>
    <row r="2316" spans="1:12" s="33" customFormat="1" hidden="1" x14ac:dyDescent="0.3">
      <c r="A2316" s="39">
        <v>46086.703541666669</v>
      </c>
      <c r="B2316" s="33" t="s">
        <v>42</v>
      </c>
      <c r="C2316" s="33">
        <v>4430454546</v>
      </c>
      <c r="E2316" s="33">
        <v>2</v>
      </c>
      <c r="F2316" s="33">
        <v>0</v>
      </c>
      <c r="G2316" s="33" t="s">
        <v>47</v>
      </c>
      <c r="H2316" s="33" t="s">
        <v>8867</v>
      </c>
      <c r="I2316" s="33" t="s">
        <v>46</v>
      </c>
      <c r="J2316" s="33" t="s">
        <v>40</v>
      </c>
    </row>
    <row r="2317" spans="1:12" s="33" customFormat="1" hidden="1" x14ac:dyDescent="0.3">
      <c r="A2317" s="39">
        <v>46086.703506944446</v>
      </c>
      <c r="B2317" s="33" t="s">
        <v>42</v>
      </c>
      <c r="C2317" s="33">
        <v>4430454546</v>
      </c>
      <c r="E2317" s="33">
        <v>2</v>
      </c>
      <c r="F2317" s="33">
        <v>0</v>
      </c>
      <c r="G2317" s="33" t="s">
        <v>47</v>
      </c>
      <c r="H2317" s="33" t="s">
        <v>8868</v>
      </c>
      <c r="I2317" s="33" t="s">
        <v>46</v>
      </c>
      <c r="J2317" s="33" t="s">
        <v>40</v>
      </c>
    </row>
    <row r="2318" spans="1:12" s="33" customFormat="1" hidden="1" x14ac:dyDescent="0.3">
      <c r="A2318" s="39">
        <v>46086.703402777777</v>
      </c>
      <c r="B2318" s="33" t="s">
        <v>42</v>
      </c>
      <c r="C2318" s="33">
        <v>4430454546</v>
      </c>
      <c r="E2318" s="33">
        <v>6</v>
      </c>
      <c r="F2318" s="33">
        <v>0</v>
      </c>
      <c r="G2318" s="33" t="s">
        <v>47</v>
      </c>
      <c r="H2318" s="33" t="s">
        <v>8869</v>
      </c>
      <c r="I2318" s="33" t="s">
        <v>46</v>
      </c>
      <c r="J2318" s="33" t="s">
        <v>40</v>
      </c>
    </row>
    <row r="2319" spans="1:12" s="33" customFormat="1" hidden="1" x14ac:dyDescent="0.3">
      <c r="A2319" s="39">
        <v>46086.700729166667</v>
      </c>
      <c r="B2319" s="33">
        <v>44988255390</v>
      </c>
      <c r="C2319" s="33" t="s">
        <v>48</v>
      </c>
      <c r="D2319" s="33">
        <v>4430265054</v>
      </c>
      <c r="E2319" s="33">
        <v>131</v>
      </c>
      <c r="F2319" s="33">
        <v>25</v>
      </c>
      <c r="G2319" s="33" t="s">
        <v>38</v>
      </c>
      <c r="H2319" s="33" t="s">
        <v>8870</v>
      </c>
      <c r="I2319" s="33" t="s">
        <v>39</v>
      </c>
      <c r="J2319" s="33" t="s">
        <v>40</v>
      </c>
      <c r="K2319" s="33" t="s">
        <v>41</v>
      </c>
    </row>
    <row r="2320" spans="1:12" s="33" customFormat="1" hidden="1" x14ac:dyDescent="0.3">
      <c r="A2320" s="39">
        <v>46086.699432870373</v>
      </c>
      <c r="B2320" s="33" t="s">
        <v>3627</v>
      </c>
      <c r="C2320" s="33">
        <v>11968461688</v>
      </c>
      <c r="E2320" s="33">
        <v>26</v>
      </c>
      <c r="F2320" s="33">
        <v>0</v>
      </c>
      <c r="G2320" s="33" t="s">
        <v>47</v>
      </c>
      <c r="H2320" s="33" t="s">
        <v>8871</v>
      </c>
      <c r="I2320" s="33" t="s">
        <v>46</v>
      </c>
      <c r="J2320" s="33" t="s">
        <v>3629</v>
      </c>
    </row>
    <row r="2321" spans="1:12" s="33" customFormat="1" hidden="1" x14ac:dyDescent="0.3">
      <c r="A2321" s="39">
        <v>46086.698819444442</v>
      </c>
      <c r="B2321" s="33">
        <v>44991116911</v>
      </c>
      <c r="C2321" s="33" t="s">
        <v>43</v>
      </c>
      <c r="D2321" s="33">
        <v>4430265054</v>
      </c>
      <c r="E2321" s="33">
        <v>422</v>
      </c>
      <c r="F2321" s="33">
        <v>156</v>
      </c>
      <c r="G2321" s="33" t="s">
        <v>38</v>
      </c>
      <c r="H2321" s="33" t="s">
        <v>8872</v>
      </c>
      <c r="I2321" s="33" t="s">
        <v>39</v>
      </c>
      <c r="J2321" s="33" t="s">
        <v>40</v>
      </c>
      <c r="K2321" s="33" t="s">
        <v>41</v>
      </c>
    </row>
    <row r="2322" spans="1:12" s="33" customFormat="1" hidden="1" x14ac:dyDescent="0.3">
      <c r="A2322" s="39">
        <v>46086.694780092592</v>
      </c>
      <c r="B2322" s="33" t="s">
        <v>3627</v>
      </c>
      <c r="C2322" s="33">
        <v>98991276322</v>
      </c>
      <c r="E2322" s="33">
        <v>12</v>
      </c>
      <c r="F2322" s="33">
        <v>1</v>
      </c>
      <c r="G2322" s="33" t="s">
        <v>38</v>
      </c>
      <c r="H2322" s="33" t="s">
        <v>8873</v>
      </c>
      <c r="I2322" s="33" t="s">
        <v>46</v>
      </c>
      <c r="J2322" s="33" t="s">
        <v>3629</v>
      </c>
    </row>
    <row r="2323" spans="1:12" s="33" customFormat="1" hidden="1" x14ac:dyDescent="0.3">
      <c r="A2323" s="39">
        <v>46086.691157407404</v>
      </c>
      <c r="B2323" s="33">
        <v>4334226481</v>
      </c>
      <c r="C2323" s="33" t="s">
        <v>44</v>
      </c>
      <c r="D2323" s="33">
        <v>4430265054</v>
      </c>
      <c r="E2323" s="33">
        <v>640</v>
      </c>
      <c r="F2323" s="33">
        <v>596</v>
      </c>
      <c r="G2323" s="33" t="s">
        <v>38</v>
      </c>
      <c r="H2323" s="33" t="s">
        <v>8874</v>
      </c>
      <c r="I2323" s="33" t="s">
        <v>39</v>
      </c>
      <c r="J2323" s="33" t="s">
        <v>40</v>
      </c>
      <c r="K2323" s="33" t="s">
        <v>41</v>
      </c>
    </row>
    <row r="2324" spans="1:12" s="33" customFormat="1" hidden="1" x14ac:dyDescent="0.3">
      <c r="A2324" s="39">
        <v>46086.686030092591</v>
      </c>
      <c r="B2324" s="33">
        <v>91985176746</v>
      </c>
      <c r="C2324" s="33" t="s">
        <v>43</v>
      </c>
      <c r="D2324" s="33">
        <v>4430265054</v>
      </c>
      <c r="E2324" s="33">
        <v>651</v>
      </c>
      <c r="F2324" s="33">
        <v>602</v>
      </c>
      <c r="G2324" s="33" t="s">
        <v>38</v>
      </c>
      <c r="H2324" s="33" t="s">
        <v>8875</v>
      </c>
      <c r="I2324" s="33" t="s">
        <v>39</v>
      </c>
      <c r="J2324" s="33" t="s">
        <v>40</v>
      </c>
      <c r="K2324" s="33" t="s">
        <v>41</v>
      </c>
    </row>
    <row r="2325" spans="1:12" s="33" customFormat="1" hidden="1" x14ac:dyDescent="0.3">
      <c r="A2325" s="39">
        <v>46086.677453703705</v>
      </c>
      <c r="B2325" s="33">
        <v>44997123083</v>
      </c>
      <c r="C2325" s="33" t="s">
        <v>37</v>
      </c>
      <c r="D2325" s="33">
        <v>4430265054</v>
      </c>
      <c r="E2325" s="33">
        <v>1804</v>
      </c>
      <c r="F2325" s="33">
        <v>1767</v>
      </c>
      <c r="G2325" s="33" t="s">
        <v>38</v>
      </c>
      <c r="H2325" s="33" t="s">
        <v>8876</v>
      </c>
      <c r="I2325" s="33" t="s">
        <v>39</v>
      </c>
      <c r="J2325" s="33" t="s">
        <v>40</v>
      </c>
      <c r="K2325" s="33" t="s">
        <v>41</v>
      </c>
      <c r="L2325" s="33">
        <v>5</v>
      </c>
    </row>
    <row r="2326" spans="1:12" s="33" customFormat="1" hidden="1" x14ac:dyDescent="0.3">
      <c r="A2326" s="39">
        <v>46086.677164351851</v>
      </c>
      <c r="B2326" s="33">
        <v>44997123083</v>
      </c>
      <c r="C2326" s="33">
        <v>4430265054</v>
      </c>
      <c r="D2326" s="33">
        <v>4430265054</v>
      </c>
      <c r="E2326" s="33">
        <v>15</v>
      </c>
      <c r="F2326" s="33">
        <v>15</v>
      </c>
      <c r="G2326" s="33" t="s">
        <v>3449</v>
      </c>
      <c r="H2326" s="33" t="s">
        <v>8877</v>
      </c>
      <c r="I2326" s="33" t="s">
        <v>39</v>
      </c>
      <c r="J2326" s="33" t="s">
        <v>3451</v>
      </c>
      <c r="K2326" s="33" t="s">
        <v>41</v>
      </c>
    </row>
    <row r="2327" spans="1:12" s="33" customFormat="1" hidden="1" x14ac:dyDescent="0.3">
      <c r="A2327" s="39">
        <v>46086.676006944443</v>
      </c>
      <c r="B2327" s="33" t="s">
        <v>42</v>
      </c>
      <c r="C2327" s="33">
        <v>4432747826</v>
      </c>
      <c r="E2327" s="33">
        <v>202</v>
      </c>
      <c r="F2327" s="33">
        <v>192</v>
      </c>
      <c r="G2327" s="33" t="s">
        <v>38</v>
      </c>
      <c r="H2327" s="33" t="s">
        <v>8878</v>
      </c>
      <c r="I2327" s="33" t="s">
        <v>46</v>
      </c>
      <c r="J2327" s="33" t="s">
        <v>40</v>
      </c>
    </row>
    <row r="2328" spans="1:12" s="33" customFormat="1" hidden="1" x14ac:dyDescent="0.3">
      <c r="A2328" s="39">
        <v>46086.675844907404</v>
      </c>
      <c r="B2328" s="33">
        <v>44997616098</v>
      </c>
      <c r="C2328" s="33" t="s">
        <v>44</v>
      </c>
      <c r="D2328" s="33">
        <v>4430265054</v>
      </c>
      <c r="E2328" s="33">
        <v>279</v>
      </c>
      <c r="F2328" s="33">
        <v>187</v>
      </c>
      <c r="G2328" s="33" t="s">
        <v>38</v>
      </c>
      <c r="H2328" s="33" t="s">
        <v>8879</v>
      </c>
      <c r="I2328" s="33" t="s">
        <v>39</v>
      </c>
      <c r="J2328" s="33" t="s">
        <v>40</v>
      </c>
      <c r="K2328" s="33" t="s">
        <v>41</v>
      </c>
      <c r="L2328" s="33">
        <v>5</v>
      </c>
    </row>
    <row r="2329" spans="1:12" s="33" customFormat="1" hidden="1" x14ac:dyDescent="0.3">
      <c r="A2329" s="39">
        <v>46086.674340277779</v>
      </c>
      <c r="B2329" s="33">
        <v>44997561804</v>
      </c>
      <c r="C2329" s="33" t="s">
        <v>43</v>
      </c>
      <c r="D2329" s="33">
        <v>4430265054</v>
      </c>
      <c r="E2329" s="33">
        <v>540</v>
      </c>
      <c r="F2329" s="33">
        <v>501</v>
      </c>
      <c r="G2329" s="33" t="s">
        <v>38</v>
      </c>
      <c r="H2329" s="33" t="s">
        <v>8880</v>
      </c>
      <c r="I2329" s="33" t="s">
        <v>39</v>
      </c>
      <c r="J2329" s="33" t="s">
        <v>40</v>
      </c>
      <c r="K2329" s="33" t="s">
        <v>41</v>
      </c>
    </row>
    <row r="2330" spans="1:12" s="33" customFormat="1" hidden="1" x14ac:dyDescent="0.3">
      <c r="A2330" s="39">
        <v>46086.672048611108</v>
      </c>
      <c r="B2330" s="33" t="s">
        <v>3627</v>
      </c>
      <c r="C2330" s="33">
        <v>54996069044</v>
      </c>
      <c r="E2330" s="33">
        <v>15</v>
      </c>
      <c r="F2330" s="33">
        <v>0</v>
      </c>
      <c r="G2330" s="33" t="s">
        <v>47</v>
      </c>
      <c r="H2330" s="33" t="s">
        <v>8881</v>
      </c>
      <c r="I2330" s="33" t="s">
        <v>46</v>
      </c>
      <c r="J2330" s="33" t="s">
        <v>3629</v>
      </c>
    </row>
    <row r="2331" spans="1:12" s="33" customFormat="1" hidden="1" x14ac:dyDescent="0.3">
      <c r="A2331" s="39">
        <v>46086.6719212963</v>
      </c>
      <c r="B2331" s="33">
        <v>44997123083</v>
      </c>
      <c r="C2331" s="33" t="s">
        <v>42</v>
      </c>
      <c r="D2331" s="33">
        <v>4430265054</v>
      </c>
      <c r="E2331" s="33">
        <v>248</v>
      </c>
      <c r="F2331" s="33">
        <v>130</v>
      </c>
      <c r="G2331" s="33" t="s">
        <v>38</v>
      </c>
      <c r="H2331" s="33" t="s">
        <v>8882</v>
      </c>
      <c r="I2331" s="33" t="s">
        <v>39</v>
      </c>
      <c r="J2331" s="33" t="s">
        <v>40</v>
      </c>
      <c r="K2331" s="33" t="s">
        <v>41</v>
      </c>
    </row>
    <row r="2332" spans="1:12" s="33" customFormat="1" hidden="1" x14ac:dyDescent="0.3">
      <c r="A2332" s="39">
        <v>46086.671307870369</v>
      </c>
      <c r="B2332" s="33">
        <v>47991636470</v>
      </c>
      <c r="C2332" s="33" t="s">
        <v>45</v>
      </c>
      <c r="D2332" s="33">
        <v>4430265054</v>
      </c>
      <c r="E2332" s="33">
        <v>1039</v>
      </c>
      <c r="F2332" s="33">
        <v>959</v>
      </c>
      <c r="G2332" s="33" t="s">
        <v>38</v>
      </c>
      <c r="H2332" s="33" t="s">
        <v>8883</v>
      </c>
      <c r="I2332" s="33" t="s">
        <v>39</v>
      </c>
      <c r="J2332" s="33" t="s">
        <v>40</v>
      </c>
      <c r="K2332" s="33" t="s">
        <v>41</v>
      </c>
    </row>
    <row r="2333" spans="1:12" s="33" customFormat="1" hidden="1" x14ac:dyDescent="0.3">
      <c r="A2333" s="39">
        <v>46086.670671296299</v>
      </c>
      <c r="B2333" s="33" t="s">
        <v>3627</v>
      </c>
      <c r="C2333" s="33">
        <v>16997125700</v>
      </c>
      <c r="E2333" s="33">
        <v>15</v>
      </c>
      <c r="F2333" s="33">
        <v>0</v>
      </c>
      <c r="G2333" s="33" t="s">
        <v>47</v>
      </c>
      <c r="H2333" s="33" t="s">
        <v>8884</v>
      </c>
      <c r="I2333" s="33" t="s">
        <v>46</v>
      </c>
      <c r="J2333" s="33" t="s">
        <v>3629</v>
      </c>
    </row>
    <row r="2334" spans="1:12" s="33" customFormat="1" hidden="1" x14ac:dyDescent="0.3">
      <c r="A2334" s="39">
        <v>46086.669305555559</v>
      </c>
      <c r="B2334" s="33" t="s">
        <v>44</v>
      </c>
      <c r="C2334" s="33">
        <v>44988067937</v>
      </c>
      <c r="E2334" s="33">
        <v>50</v>
      </c>
      <c r="F2334" s="33">
        <v>29</v>
      </c>
      <c r="G2334" s="33" t="s">
        <v>38</v>
      </c>
      <c r="H2334" s="33" t="s">
        <v>8885</v>
      </c>
      <c r="I2334" s="33" t="s">
        <v>46</v>
      </c>
      <c r="J2334" s="33" t="s">
        <v>40</v>
      </c>
    </row>
    <row r="2335" spans="1:12" s="33" customFormat="1" hidden="1" x14ac:dyDescent="0.3">
      <c r="A2335" s="39">
        <v>46086.669247685182</v>
      </c>
      <c r="B2335" s="33" t="s">
        <v>44</v>
      </c>
      <c r="C2335" s="33">
        <v>44988067937</v>
      </c>
      <c r="E2335" s="33">
        <v>5</v>
      </c>
      <c r="F2335" s="33">
        <v>0</v>
      </c>
      <c r="G2335" s="33" t="s">
        <v>47</v>
      </c>
      <c r="H2335" s="33" t="s">
        <v>8886</v>
      </c>
      <c r="I2335" s="33" t="s">
        <v>46</v>
      </c>
      <c r="J2335" s="33" t="s">
        <v>40</v>
      </c>
    </row>
    <row r="2336" spans="1:12" s="33" customFormat="1" hidden="1" x14ac:dyDescent="0.3">
      <c r="A2336" s="39">
        <v>46086.668437499997</v>
      </c>
      <c r="B2336" s="33">
        <v>4437711441</v>
      </c>
      <c r="C2336" s="33" t="s">
        <v>37</v>
      </c>
      <c r="D2336" s="33">
        <v>4430265054</v>
      </c>
      <c r="E2336" s="33">
        <v>499</v>
      </c>
      <c r="F2336" s="33">
        <v>394</v>
      </c>
      <c r="G2336" s="33" t="s">
        <v>38</v>
      </c>
      <c r="H2336" s="33" t="s">
        <v>8887</v>
      </c>
      <c r="I2336" s="33" t="s">
        <v>39</v>
      </c>
      <c r="J2336" s="33" t="s">
        <v>40</v>
      </c>
      <c r="K2336" s="33" t="s">
        <v>41</v>
      </c>
    </row>
    <row r="2337" spans="1:12" s="33" customFormat="1" hidden="1" x14ac:dyDescent="0.3">
      <c r="A2337" s="39">
        <v>46086.66783564815</v>
      </c>
      <c r="B2337" s="33" t="s">
        <v>3627</v>
      </c>
      <c r="C2337" s="33">
        <v>51996260767</v>
      </c>
      <c r="E2337" s="33">
        <v>17</v>
      </c>
      <c r="F2337" s="33">
        <v>0</v>
      </c>
      <c r="G2337" s="33" t="s">
        <v>47</v>
      </c>
      <c r="H2337" s="33" t="s">
        <v>8888</v>
      </c>
      <c r="I2337" s="33" t="s">
        <v>46</v>
      </c>
      <c r="J2337" s="33" t="s">
        <v>3629</v>
      </c>
    </row>
    <row r="2338" spans="1:12" s="33" customFormat="1" hidden="1" x14ac:dyDescent="0.3">
      <c r="A2338" s="39">
        <v>46086.666493055556</v>
      </c>
      <c r="B2338" s="33">
        <v>4432525112</v>
      </c>
      <c r="C2338" s="33" t="s">
        <v>45</v>
      </c>
      <c r="D2338" s="33">
        <v>4430265054</v>
      </c>
      <c r="E2338" s="33">
        <v>260</v>
      </c>
      <c r="F2338" s="33">
        <v>248</v>
      </c>
      <c r="G2338" s="33" t="s">
        <v>38</v>
      </c>
      <c r="H2338" s="33" t="s">
        <v>8889</v>
      </c>
      <c r="I2338" s="33" t="s">
        <v>39</v>
      </c>
      <c r="J2338" s="33" t="s">
        <v>40</v>
      </c>
      <c r="K2338" s="33" t="s">
        <v>41</v>
      </c>
      <c r="L2338" s="33">
        <v>5</v>
      </c>
    </row>
    <row r="2339" spans="1:12" s="33" customFormat="1" hidden="1" x14ac:dyDescent="0.3">
      <c r="A2339" s="39">
        <v>46086.665069444447</v>
      </c>
      <c r="B2339" s="33">
        <v>47991636470</v>
      </c>
      <c r="C2339" s="33" t="s">
        <v>45</v>
      </c>
      <c r="D2339" s="33">
        <v>4430265054</v>
      </c>
      <c r="E2339" s="33">
        <v>101</v>
      </c>
      <c r="F2339" s="33">
        <v>43</v>
      </c>
      <c r="G2339" s="33" t="s">
        <v>38</v>
      </c>
      <c r="H2339" s="33" t="s">
        <v>8890</v>
      </c>
      <c r="I2339" s="33" t="s">
        <v>39</v>
      </c>
      <c r="J2339" s="33" t="s">
        <v>40</v>
      </c>
      <c r="K2339" s="33" t="s">
        <v>41</v>
      </c>
    </row>
    <row r="2340" spans="1:12" s="33" customFormat="1" hidden="1" x14ac:dyDescent="0.3">
      <c r="A2340" s="39">
        <v>46086.664895833332</v>
      </c>
      <c r="B2340" s="33">
        <v>47999117779</v>
      </c>
      <c r="C2340" s="33">
        <v>4430265054</v>
      </c>
      <c r="D2340" s="33">
        <v>4430265054</v>
      </c>
      <c r="E2340" s="33">
        <v>61</v>
      </c>
      <c r="F2340" s="33">
        <v>61</v>
      </c>
      <c r="G2340" s="33" t="s">
        <v>3449</v>
      </c>
      <c r="H2340" s="33" t="s">
        <v>8891</v>
      </c>
      <c r="I2340" s="33" t="s">
        <v>39</v>
      </c>
      <c r="J2340" s="33" t="s">
        <v>3451</v>
      </c>
      <c r="K2340" s="33" t="s">
        <v>41</v>
      </c>
    </row>
    <row r="2341" spans="1:12" s="33" customFormat="1" hidden="1" x14ac:dyDescent="0.3">
      <c r="A2341" s="39">
        <v>46086.6562037037</v>
      </c>
      <c r="B2341" s="33" t="s">
        <v>42</v>
      </c>
      <c r="C2341" s="33">
        <v>4434248945</v>
      </c>
      <c r="E2341" s="33">
        <v>8</v>
      </c>
      <c r="F2341" s="33">
        <v>0</v>
      </c>
      <c r="G2341" s="33" t="s">
        <v>47</v>
      </c>
      <c r="H2341" s="33" t="s">
        <v>8892</v>
      </c>
      <c r="I2341" s="33" t="s">
        <v>46</v>
      </c>
      <c r="J2341" s="33" t="s">
        <v>40</v>
      </c>
    </row>
    <row r="2342" spans="1:12" s="33" customFormat="1" hidden="1" x14ac:dyDescent="0.3">
      <c r="A2342" s="39">
        <v>46086.654641203706</v>
      </c>
      <c r="B2342" s="33" t="s">
        <v>3627</v>
      </c>
      <c r="C2342" s="33">
        <v>11968398343</v>
      </c>
      <c r="E2342" s="33">
        <v>22</v>
      </c>
      <c r="F2342" s="33">
        <v>0</v>
      </c>
      <c r="G2342" s="33" t="s">
        <v>47</v>
      </c>
      <c r="H2342" s="33" t="s">
        <v>8893</v>
      </c>
      <c r="I2342" s="33" t="s">
        <v>46</v>
      </c>
      <c r="J2342" s="33" t="s">
        <v>3629</v>
      </c>
    </row>
    <row r="2343" spans="1:12" s="33" customFormat="1" hidden="1" x14ac:dyDescent="0.3">
      <c r="A2343" s="39">
        <v>46086.651944444442</v>
      </c>
      <c r="B2343" s="33" t="s">
        <v>3627</v>
      </c>
      <c r="C2343" s="33">
        <v>41991419706</v>
      </c>
      <c r="E2343" s="33">
        <v>5</v>
      </c>
      <c r="F2343" s="33">
        <v>0</v>
      </c>
      <c r="G2343" s="33" t="s">
        <v>38</v>
      </c>
      <c r="H2343" s="33" t="s">
        <v>8894</v>
      </c>
      <c r="I2343" s="33" t="s">
        <v>46</v>
      </c>
      <c r="J2343" s="33" t="s">
        <v>3629</v>
      </c>
    </row>
    <row r="2344" spans="1:12" s="33" customFormat="1" hidden="1" x14ac:dyDescent="0.3">
      <c r="A2344" s="39">
        <v>46086.651631944442</v>
      </c>
      <c r="B2344" s="33" t="s">
        <v>48</v>
      </c>
      <c r="C2344" s="33">
        <v>4430318515</v>
      </c>
      <c r="E2344" s="33">
        <v>725</v>
      </c>
      <c r="F2344" s="33">
        <v>716</v>
      </c>
      <c r="G2344" s="33" t="s">
        <v>38</v>
      </c>
      <c r="H2344" s="33" t="s">
        <v>8895</v>
      </c>
      <c r="I2344" s="33" t="s">
        <v>46</v>
      </c>
      <c r="J2344" s="33" t="s">
        <v>40</v>
      </c>
    </row>
    <row r="2345" spans="1:12" s="33" customFormat="1" hidden="1" x14ac:dyDescent="0.3">
      <c r="A2345" s="39">
        <v>46086.649143518516</v>
      </c>
      <c r="B2345" s="33" t="s">
        <v>3627</v>
      </c>
      <c r="C2345" s="33">
        <v>96991772930</v>
      </c>
      <c r="E2345" s="33">
        <v>28</v>
      </c>
      <c r="F2345" s="33">
        <v>0</v>
      </c>
      <c r="G2345" s="33" t="s">
        <v>47</v>
      </c>
      <c r="H2345" s="33" t="s">
        <v>8896</v>
      </c>
      <c r="I2345" s="33" t="s">
        <v>46</v>
      </c>
      <c r="J2345" s="33" t="s">
        <v>3629</v>
      </c>
    </row>
    <row r="2346" spans="1:12" s="33" customFormat="1" hidden="1" x14ac:dyDescent="0.3">
      <c r="A2346" s="39">
        <v>46086.647210648145</v>
      </c>
      <c r="B2346" s="33">
        <v>44999195785</v>
      </c>
      <c r="C2346" s="33" t="s">
        <v>42</v>
      </c>
      <c r="D2346" s="33">
        <v>4430265054</v>
      </c>
      <c r="E2346" s="33">
        <v>443</v>
      </c>
      <c r="F2346" s="33">
        <v>342</v>
      </c>
      <c r="G2346" s="33" t="s">
        <v>38</v>
      </c>
      <c r="H2346" s="33" t="s">
        <v>8897</v>
      </c>
      <c r="I2346" s="33" t="s">
        <v>39</v>
      </c>
      <c r="J2346" s="33" t="s">
        <v>40</v>
      </c>
      <c r="K2346" s="33" t="s">
        <v>41</v>
      </c>
    </row>
    <row r="2347" spans="1:12" s="33" customFormat="1" hidden="1" x14ac:dyDescent="0.3">
      <c r="A2347" s="39">
        <v>46086.642534722225</v>
      </c>
      <c r="B2347" s="33" t="s">
        <v>3873</v>
      </c>
      <c r="E2347" s="33">
        <v>782</v>
      </c>
      <c r="F2347" s="33">
        <v>775</v>
      </c>
      <c r="G2347" s="33" t="s">
        <v>38</v>
      </c>
      <c r="H2347" s="33" t="s">
        <v>8898</v>
      </c>
      <c r="I2347" s="33" t="s">
        <v>46</v>
      </c>
      <c r="J2347" s="33" t="s">
        <v>3451</v>
      </c>
    </row>
    <row r="2348" spans="1:12" s="33" customFormat="1" hidden="1" x14ac:dyDescent="0.3">
      <c r="A2348" s="39">
        <v>46086.641747685186</v>
      </c>
      <c r="B2348" s="33">
        <v>4334232912</v>
      </c>
      <c r="C2348" s="33" t="s">
        <v>37</v>
      </c>
      <c r="D2348" s="33">
        <v>4430265054</v>
      </c>
      <c r="E2348" s="33">
        <v>876</v>
      </c>
      <c r="F2348" s="33">
        <v>806</v>
      </c>
      <c r="G2348" s="33" t="s">
        <v>38</v>
      </c>
      <c r="H2348" s="33" t="s">
        <v>8899</v>
      </c>
      <c r="I2348" s="33" t="s">
        <v>39</v>
      </c>
      <c r="J2348" s="33" t="s">
        <v>40</v>
      </c>
      <c r="K2348" s="33" t="s">
        <v>41</v>
      </c>
      <c r="L2348" s="33">
        <v>5</v>
      </c>
    </row>
    <row r="2349" spans="1:12" s="33" customFormat="1" hidden="1" x14ac:dyDescent="0.3">
      <c r="A2349" s="39">
        <v>46086.634652777779</v>
      </c>
      <c r="B2349" s="33">
        <v>6234347959</v>
      </c>
      <c r="C2349" s="33" t="s">
        <v>43</v>
      </c>
      <c r="D2349" s="33">
        <v>4430265054</v>
      </c>
      <c r="E2349" s="33">
        <v>434</v>
      </c>
      <c r="F2349" s="33">
        <v>407</v>
      </c>
      <c r="G2349" s="33" t="s">
        <v>38</v>
      </c>
      <c r="H2349" s="33" t="s">
        <v>8900</v>
      </c>
      <c r="I2349" s="33" t="s">
        <v>39</v>
      </c>
      <c r="J2349" s="33" t="s">
        <v>40</v>
      </c>
      <c r="K2349" s="33" t="s">
        <v>41</v>
      </c>
    </row>
    <row r="2350" spans="1:12" s="33" customFormat="1" hidden="1" x14ac:dyDescent="0.3">
      <c r="A2350" s="39">
        <v>46086.634629629632</v>
      </c>
      <c r="B2350" s="33">
        <v>4532541802</v>
      </c>
      <c r="C2350" s="33" t="s">
        <v>48</v>
      </c>
      <c r="D2350" s="33">
        <v>4430265054</v>
      </c>
      <c r="E2350" s="33">
        <v>572</v>
      </c>
      <c r="F2350" s="33">
        <v>533</v>
      </c>
      <c r="G2350" s="33" t="s">
        <v>38</v>
      </c>
      <c r="H2350" s="33" t="s">
        <v>8901</v>
      </c>
      <c r="I2350" s="33" t="s">
        <v>39</v>
      </c>
      <c r="J2350" s="33" t="s">
        <v>40</v>
      </c>
      <c r="K2350" s="33" t="s">
        <v>41</v>
      </c>
      <c r="L2350" s="33">
        <v>5</v>
      </c>
    </row>
    <row r="2351" spans="1:12" s="33" customFormat="1" hidden="1" x14ac:dyDescent="0.3">
      <c r="A2351" s="39">
        <v>46086.63422453704</v>
      </c>
      <c r="B2351" s="33">
        <v>44991484476</v>
      </c>
      <c r="C2351" s="33" t="s">
        <v>44</v>
      </c>
      <c r="D2351" s="33">
        <v>4430265054</v>
      </c>
      <c r="E2351" s="33">
        <v>736</v>
      </c>
      <c r="F2351" s="33">
        <v>605</v>
      </c>
      <c r="G2351" s="33" t="s">
        <v>38</v>
      </c>
      <c r="H2351" s="33" t="s">
        <v>8902</v>
      </c>
      <c r="I2351" s="33" t="s">
        <v>39</v>
      </c>
      <c r="J2351" s="33" t="s">
        <v>40</v>
      </c>
      <c r="K2351" s="33" t="s">
        <v>41</v>
      </c>
    </row>
    <row r="2352" spans="1:12" s="33" customFormat="1" hidden="1" x14ac:dyDescent="0.3">
      <c r="A2352" s="39">
        <v>46086.633819444447</v>
      </c>
      <c r="B2352" s="33">
        <v>44991388221</v>
      </c>
      <c r="C2352" s="33" t="s">
        <v>45</v>
      </c>
      <c r="D2352" s="33">
        <v>4430265054</v>
      </c>
      <c r="E2352" s="33">
        <v>435</v>
      </c>
      <c r="F2352" s="33">
        <v>373</v>
      </c>
      <c r="G2352" s="33" t="s">
        <v>38</v>
      </c>
      <c r="H2352" s="33" t="s">
        <v>8903</v>
      </c>
      <c r="I2352" s="33" t="s">
        <v>39</v>
      </c>
      <c r="J2352" s="33" t="s">
        <v>40</v>
      </c>
      <c r="K2352" s="33" t="s">
        <v>41</v>
      </c>
    </row>
    <row r="2353" spans="1:12" s="33" customFormat="1" hidden="1" x14ac:dyDescent="0.3">
      <c r="A2353" s="39">
        <v>46086.630902777775</v>
      </c>
      <c r="B2353" s="33">
        <v>4430153305</v>
      </c>
      <c r="C2353" s="33" t="s">
        <v>43</v>
      </c>
      <c r="D2353" s="33">
        <v>4430265054</v>
      </c>
      <c r="E2353" s="33">
        <v>217</v>
      </c>
      <c r="F2353" s="33">
        <v>139</v>
      </c>
      <c r="G2353" s="33" t="s">
        <v>38</v>
      </c>
      <c r="H2353" s="33" t="s">
        <v>8904</v>
      </c>
      <c r="I2353" s="33" t="s">
        <v>39</v>
      </c>
      <c r="J2353" s="33" t="s">
        <v>40</v>
      </c>
      <c r="K2353" s="33" t="s">
        <v>41</v>
      </c>
    </row>
    <row r="2354" spans="1:12" s="33" customFormat="1" hidden="1" x14ac:dyDescent="0.3">
      <c r="A2354" s="39">
        <v>46086.629965277774</v>
      </c>
      <c r="B2354" s="33">
        <v>4437711441</v>
      </c>
      <c r="C2354" s="33" t="s">
        <v>37</v>
      </c>
      <c r="D2354" s="33">
        <v>4430265054</v>
      </c>
      <c r="E2354" s="33">
        <v>581</v>
      </c>
      <c r="F2354" s="33">
        <v>465</v>
      </c>
      <c r="G2354" s="33" t="s">
        <v>38</v>
      </c>
      <c r="H2354" s="33" t="s">
        <v>8905</v>
      </c>
      <c r="I2354" s="33" t="s">
        <v>39</v>
      </c>
      <c r="J2354" s="33" t="s">
        <v>40</v>
      </c>
      <c r="K2354" s="33" t="s">
        <v>41</v>
      </c>
    </row>
    <row r="2355" spans="1:12" s="33" customFormat="1" hidden="1" x14ac:dyDescent="0.3">
      <c r="A2355" s="39">
        <v>46086.628530092596</v>
      </c>
      <c r="B2355" s="33">
        <v>4430145899</v>
      </c>
      <c r="C2355" s="33">
        <v>4430265054</v>
      </c>
      <c r="D2355" s="33">
        <v>4430265054</v>
      </c>
      <c r="E2355" s="33">
        <v>120</v>
      </c>
      <c r="F2355" s="33">
        <v>119</v>
      </c>
      <c r="G2355" s="33" t="s">
        <v>3449</v>
      </c>
      <c r="H2355" s="33" t="s">
        <v>8906</v>
      </c>
      <c r="I2355" s="33" t="s">
        <v>39</v>
      </c>
      <c r="J2355" s="33" t="s">
        <v>3451</v>
      </c>
      <c r="K2355" s="33" t="s">
        <v>41</v>
      </c>
    </row>
    <row r="2356" spans="1:12" s="33" customFormat="1" hidden="1" x14ac:dyDescent="0.3">
      <c r="A2356" s="39">
        <v>46086.625381944446</v>
      </c>
      <c r="B2356" s="33">
        <v>44991484476</v>
      </c>
      <c r="C2356" s="33" t="s">
        <v>45</v>
      </c>
      <c r="D2356" s="33">
        <v>4430265054</v>
      </c>
      <c r="E2356" s="33">
        <v>200</v>
      </c>
      <c r="F2356" s="33">
        <v>78</v>
      </c>
      <c r="G2356" s="33" t="s">
        <v>38</v>
      </c>
      <c r="H2356" s="33" t="s">
        <v>8907</v>
      </c>
      <c r="I2356" s="33" t="s">
        <v>39</v>
      </c>
      <c r="J2356" s="33" t="s">
        <v>40</v>
      </c>
      <c r="K2356" s="33" t="s">
        <v>41</v>
      </c>
    </row>
    <row r="2357" spans="1:12" s="33" customFormat="1" hidden="1" x14ac:dyDescent="0.3">
      <c r="A2357" s="39">
        <v>46086.620115740741</v>
      </c>
      <c r="B2357" s="33">
        <v>4432637197</v>
      </c>
      <c r="C2357" s="33" t="s">
        <v>44</v>
      </c>
      <c r="D2357" s="33">
        <v>4430265054</v>
      </c>
      <c r="E2357" s="33">
        <v>268</v>
      </c>
      <c r="F2357" s="33">
        <v>71</v>
      </c>
      <c r="G2357" s="33" t="s">
        <v>38</v>
      </c>
      <c r="H2357" s="33" t="s">
        <v>8908</v>
      </c>
      <c r="I2357" s="33" t="s">
        <v>39</v>
      </c>
      <c r="J2357" s="33" t="s">
        <v>40</v>
      </c>
      <c r="K2357" s="33" t="s">
        <v>41</v>
      </c>
    </row>
    <row r="2358" spans="1:12" s="33" customFormat="1" hidden="1" x14ac:dyDescent="0.3">
      <c r="A2358" s="39">
        <v>46086.616539351853</v>
      </c>
      <c r="B2358" s="33" t="s">
        <v>37</v>
      </c>
      <c r="C2358" s="33">
        <v>4430318515</v>
      </c>
      <c r="E2358" s="33">
        <v>959</v>
      </c>
      <c r="F2358" s="33">
        <v>948</v>
      </c>
      <c r="G2358" s="33" t="s">
        <v>38</v>
      </c>
      <c r="H2358" s="33" t="s">
        <v>8909</v>
      </c>
      <c r="I2358" s="33" t="s">
        <v>46</v>
      </c>
      <c r="J2358" s="33" t="s">
        <v>40</v>
      </c>
    </row>
    <row r="2359" spans="1:12" s="33" customFormat="1" x14ac:dyDescent="0.3">
      <c r="A2359" s="39">
        <v>46086.616435185184</v>
      </c>
      <c r="B2359" s="33">
        <v>62992789056</v>
      </c>
      <c r="C2359" s="33" t="s">
        <v>42</v>
      </c>
      <c r="D2359" s="33">
        <v>4430265054</v>
      </c>
      <c r="E2359" s="33">
        <v>404</v>
      </c>
      <c r="F2359" s="33">
        <v>364</v>
      </c>
      <c r="G2359" s="33" t="s">
        <v>38</v>
      </c>
      <c r="H2359" s="33" t="s">
        <v>8910</v>
      </c>
      <c r="I2359" s="33" t="s">
        <v>39</v>
      </c>
      <c r="J2359" s="33" t="s">
        <v>40</v>
      </c>
      <c r="K2359" s="33" t="s">
        <v>41</v>
      </c>
      <c r="L2359" s="33">
        <v>5</v>
      </c>
    </row>
    <row r="2360" spans="1:12" s="33" customFormat="1" hidden="1" x14ac:dyDescent="0.3">
      <c r="A2360" s="39">
        <v>46086.616284722222</v>
      </c>
      <c r="B2360" s="33" t="s">
        <v>44</v>
      </c>
      <c r="C2360" s="33">
        <v>44988067937</v>
      </c>
      <c r="E2360" s="33">
        <v>447</v>
      </c>
      <c r="F2360" s="33">
        <v>431</v>
      </c>
      <c r="G2360" s="33" t="s">
        <v>38</v>
      </c>
      <c r="H2360" s="33" t="s">
        <v>8911</v>
      </c>
      <c r="I2360" s="33" t="s">
        <v>46</v>
      </c>
      <c r="J2360" s="33" t="s">
        <v>40</v>
      </c>
    </row>
    <row r="2361" spans="1:12" s="33" customFormat="1" hidden="1" x14ac:dyDescent="0.3">
      <c r="A2361" s="39">
        <v>46086.616076388891</v>
      </c>
      <c r="B2361" s="33" t="s">
        <v>44</v>
      </c>
      <c r="C2361" s="33">
        <v>44988067937</v>
      </c>
      <c r="E2361" s="33">
        <v>9</v>
      </c>
      <c r="F2361" s="33">
        <v>0</v>
      </c>
      <c r="G2361" s="33" t="s">
        <v>47</v>
      </c>
      <c r="H2361" s="33" t="s">
        <v>8912</v>
      </c>
      <c r="I2361" s="33" t="s">
        <v>46</v>
      </c>
      <c r="J2361" s="33" t="s">
        <v>40</v>
      </c>
    </row>
    <row r="2362" spans="1:12" s="33" customFormat="1" hidden="1" x14ac:dyDescent="0.3">
      <c r="A2362" s="39">
        <v>46086.611689814818</v>
      </c>
      <c r="B2362" s="33">
        <v>44999654761</v>
      </c>
      <c r="C2362" s="33" t="s">
        <v>48</v>
      </c>
      <c r="D2362" s="33">
        <v>4430265054</v>
      </c>
      <c r="E2362" s="33">
        <v>174</v>
      </c>
      <c r="F2362" s="33">
        <v>132</v>
      </c>
      <c r="G2362" s="33" t="s">
        <v>38</v>
      </c>
      <c r="H2362" s="33" t="s">
        <v>8913</v>
      </c>
      <c r="I2362" s="33" t="s">
        <v>39</v>
      </c>
      <c r="J2362" s="33" t="s">
        <v>40</v>
      </c>
      <c r="K2362" s="33" t="s">
        <v>41</v>
      </c>
    </row>
    <row r="2363" spans="1:12" s="33" customFormat="1" hidden="1" x14ac:dyDescent="0.3">
      <c r="A2363" s="39">
        <v>46086.611666666664</v>
      </c>
      <c r="B2363" s="33">
        <v>1732146970</v>
      </c>
      <c r="C2363" s="33" t="s">
        <v>43</v>
      </c>
      <c r="D2363" s="33">
        <v>4431268225</v>
      </c>
      <c r="E2363" s="33">
        <v>116</v>
      </c>
      <c r="F2363" s="33">
        <v>74</v>
      </c>
      <c r="G2363" s="33" t="s">
        <v>38</v>
      </c>
      <c r="H2363" s="33" t="s">
        <v>8914</v>
      </c>
      <c r="I2363" s="33" t="s">
        <v>39</v>
      </c>
      <c r="J2363" s="33" t="s">
        <v>40</v>
      </c>
      <c r="K2363" s="33" t="s">
        <v>41</v>
      </c>
    </row>
    <row r="2364" spans="1:12" s="33" customFormat="1" hidden="1" x14ac:dyDescent="0.3">
      <c r="A2364" s="39">
        <v>46086.609652777777</v>
      </c>
      <c r="B2364" s="33">
        <v>44988067937</v>
      </c>
      <c r="C2364" s="33" t="s">
        <v>44</v>
      </c>
      <c r="D2364" s="33">
        <v>4430265054</v>
      </c>
      <c r="E2364" s="33">
        <v>250</v>
      </c>
      <c r="F2364" s="33">
        <v>136</v>
      </c>
      <c r="G2364" s="33" t="s">
        <v>38</v>
      </c>
      <c r="H2364" s="33" t="s">
        <v>8915</v>
      </c>
      <c r="I2364" s="33" t="s">
        <v>39</v>
      </c>
      <c r="J2364" s="33" t="s">
        <v>40</v>
      </c>
      <c r="K2364" s="33" t="s">
        <v>41</v>
      </c>
    </row>
    <row r="2365" spans="1:12" s="33" customFormat="1" hidden="1" x14ac:dyDescent="0.3">
      <c r="A2365" s="39">
        <v>46086.607881944445</v>
      </c>
      <c r="B2365" s="33">
        <v>4130296118</v>
      </c>
      <c r="C2365" s="33" t="s">
        <v>45</v>
      </c>
      <c r="D2365" s="33">
        <v>4430265054</v>
      </c>
      <c r="E2365" s="33">
        <v>1366</v>
      </c>
      <c r="F2365" s="33">
        <v>1303</v>
      </c>
      <c r="G2365" s="33" t="s">
        <v>38</v>
      </c>
      <c r="H2365" s="33" t="s">
        <v>8916</v>
      </c>
      <c r="I2365" s="33" t="s">
        <v>39</v>
      </c>
      <c r="J2365" s="33" t="s">
        <v>40</v>
      </c>
      <c r="K2365" s="33" t="s">
        <v>41</v>
      </c>
    </row>
    <row r="2366" spans="1:12" s="33" customFormat="1" hidden="1" x14ac:dyDescent="0.3">
      <c r="A2366" s="39">
        <v>46086.603831018518</v>
      </c>
      <c r="B2366" s="33" t="s">
        <v>42</v>
      </c>
      <c r="C2366" s="33">
        <v>4432443131</v>
      </c>
      <c r="E2366" s="33">
        <v>414</v>
      </c>
      <c r="F2366" s="33">
        <v>403</v>
      </c>
      <c r="G2366" s="33" t="s">
        <v>38</v>
      </c>
      <c r="H2366" s="33" t="s">
        <v>8917</v>
      </c>
      <c r="I2366" s="33" t="s">
        <v>46</v>
      </c>
      <c r="J2366" s="33" t="s">
        <v>40</v>
      </c>
    </row>
    <row r="2367" spans="1:12" s="33" customFormat="1" hidden="1" x14ac:dyDescent="0.3">
      <c r="A2367" s="39">
        <v>46086.602870370371</v>
      </c>
      <c r="B2367" s="33" t="s">
        <v>42</v>
      </c>
      <c r="C2367" s="33">
        <v>4432443131</v>
      </c>
      <c r="E2367" s="33">
        <v>39</v>
      </c>
      <c r="F2367" s="33">
        <v>0</v>
      </c>
      <c r="G2367" s="33" t="s">
        <v>47</v>
      </c>
      <c r="H2367" s="33" t="s">
        <v>8918</v>
      </c>
      <c r="I2367" s="33" t="s">
        <v>46</v>
      </c>
      <c r="J2367" s="33" t="s">
        <v>40</v>
      </c>
    </row>
    <row r="2368" spans="1:12" s="33" customFormat="1" hidden="1" x14ac:dyDescent="0.3">
      <c r="A2368" s="39">
        <v>46086.602754629632</v>
      </c>
      <c r="B2368" s="33" t="s">
        <v>42</v>
      </c>
      <c r="C2368" s="33">
        <v>4432443131</v>
      </c>
      <c r="E2368" s="33">
        <v>4</v>
      </c>
      <c r="F2368" s="33">
        <v>0</v>
      </c>
      <c r="G2368" s="33" t="s">
        <v>47</v>
      </c>
      <c r="H2368" s="33" t="s">
        <v>8919</v>
      </c>
      <c r="I2368" s="33" t="s">
        <v>46</v>
      </c>
      <c r="J2368" s="33" t="s">
        <v>40</v>
      </c>
    </row>
    <row r="2369" spans="1:12" s="33" customFormat="1" hidden="1" x14ac:dyDescent="0.3">
      <c r="A2369" s="39">
        <v>46086.602129629631</v>
      </c>
      <c r="B2369" s="33">
        <v>44991484476</v>
      </c>
      <c r="C2369" s="33" t="s">
        <v>37</v>
      </c>
      <c r="D2369" s="33">
        <v>4430265054</v>
      </c>
      <c r="E2369" s="33">
        <v>788</v>
      </c>
      <c r="F2369" s="33">
        <v>691</v>
      </c>
      <c r="G2369" s="33" t="s">
        <v>38</v>
      </c>
      <c r="H2369" s="33" t="s">
        <v>8920</v>
      </c>
      <c r="I2369" s="33" t="s">
        <v>39</v>
      </c>
      <c r="J2369" s="33" t="s">
        <v>40</v>
      </c>
      <c r="K2369" s="33" t="s">
        <v>41</v>
      </c>
    </row>
    <row r="2370" spans="1:12" s="33" customFormat="1" hidden="1" x14ac:dyDescent="0.3">
      <c r="A2370" s="39">
        <v>46086.601944444446</v>
      </c>
      <c r="B2370" s="33">
        <v>4432524652</v>
      </c>
      <c r="C2370" s="33" t="s">
        <v>43</v>
      </c>
      <c r="D2370" s="33">
        <v>4430265054</v>
      </c>
      <c r="E2370" s="33">
        <v>389</v>
      </c>
      <c r="F2370" s="33">
        <v>285</v>
      </c>
      <c r="G2370" s="33" t="s">
        <v>38</v>
      </c>
      <c r="H2370" s="33" t="s">
        <v>8921</v>
      </c>
      <c r="I2370" s="33" t="s">
        <v>39</v>
      </c>
      <c r="J2370" s="33" t="s">
        <v>40</v>
      </c>
      <c r="K2370" s="33" t="s">
        <v>41</v>
      </c>
    </row>
    <row r="2371" spans="1:12" s="33" customFormat="1" hidden="1" x14ac:dyDescent="0.3">
      <c r="A2371" s="39">
        <v>46086.6016087963</v>
      </c>
      <c r="B2371" s="33">
        <v>4432525112</v>
      </c>
      <c r="C2371" s="33">
        <v>4430265054</v>
      </c>
      <c r="D2371" s="33">
        <v>4430265054</v>
      </c>
      <c r="E2371" s="33">
        <v>21</v>
      </c>
      <c r="F2371" s="33">
        <v>21</v>
      </c>
      <c r="G2371" s="33" t="s">
        <v>3449</v>
      </c>
      <c r="H2371" s="33" t="s">
        <v>8922</v>
      </c>
      <c r="I2371" s="33" t="s">
        <v>39</v>
      </c>
      <c r="J2371" s="33" t="s">
        <v>3451</v>
      </c>
      <c r="K2371" s="33" t="s">
        <v>50</v>
      </c>
    </row>
    <row r="2372" spans="1:12" s="33" customFormat="1" hidden="1" x14ac:dyDescent="0.3">
      <c r="A2372" s="39">
        <v>46086.599594907406</v>
      </c>
      <c r="B2372" s="33">
        <v>47999760576</v>
      </c>
      <c r="C2372" s="33" t="s">
        <v>44</v>
      </c>
      <c r="D2372" s="33">
        <v>4430265054</v>
      </c>
      <c r="E2372" s="33">
        <v>572</v>
      </c>
      <c r="F2372" s="33">
        <v>509</v>
      </c>
      <c r="G2372" s="33" t="s">
        <v>38</v>
      </c>
      <c r="H2372" s="33" t="s">
        <v>8923</v>
      </c>
      <c r="I2372" s="33" t="s">
        <v>39</v>
      </c>
      <c r="J2372" s="33" t="s">
        <v>40</v>
      </c>
      <c r="K2372" s="33" t="s">
        <v>41</v>
      </c>
      <c r="L2372" s="33">
        <v>5</v>
      </c>
    </row>
    <row r="2373" spans="1:12" s="33" customFormat="1" hidden="1" x14ac:dyDescent="0.3">
      <c r="A2373" s="39">
        <v>46086.595567129632</v>
      </c>
      <c r="B2373" s="33">
        <v>44984580001</v>
      </c>
      <c r="C2373" s="33" t="s">
        <v>37</v>
      </c>
      <c r="D2373" s="33">
        <v>4430265054</v>
      </c>
      <c r="E2373" s="33">
        <v>151</v>
      </c>
      <c r="F2373" s="33">
        <v>132</v>
      </c>
      <c r="G2373" s="33" t="s">
        <v>38</v>
      </c>
      <c r="H2373" s="33" t="s">
        <v>8924</v>
      </c>
      <c r="I2373" s="33" t="s">
        <v>39</v>
      </c>
      <c r="J2373" s="33" t="s">
        <v>40</v>
      </c>
      <c r="K2373" s="33" t="s">
        <v>41</v>
      </c>
      <c r="L2373" s="33">
        <v>5</v>
      </c>
    </row>
    <row r="2374" spans="1:12" s="33" customFormat="1" hidden="1" x14ac:dyDescent="0.3">
      <c r="A2374" s="39">
        <v>46086.595335648148</v>
      </c>
      <c r="B2374" s="33">
        <v>4432443131</v>
      </c>
      <c r="C2374" s="33" t="s">
        <v>42</v>
      </c>
      <c r="D2374" s="33">
        <v>4430265054</v>
      </c>
      <c r="E2374" s="33">
        <v>654</v>
      </c>
      <c r="F2374" s="33">
        <v>618</v>
      </c>
      <c r="G2374" s="33" t="s">
        <v>38</v>
      </c>
      <c r="H2374" s="33" t="s">
        <v>8925</v>
      </c>
      <c r="I2374" s="33" t="s">
        <v>39</v>
      </c>
      <c r="J2374" s="33" t="s">
        <v>40</v>
      </c>
      <c r="K2374" s="33" t="s">
        <v>41</v>
      </c>
    </row>
    <row r="2375" spans="1:12" s="33" customFormat="1" hidden="1" x14ac:dyDescent="0.3">
      <c r="A2375" s="39">
        <v>46086.595023148147</v>
      </c>
      <c r="B2375" s="33">
        <v>4430282545</v>
      </c>
      <c r="C2375" s="33" t="s">
        <v>45</v>
      </c>
      <c r="D2375" s="33">
        <v>4430265054</v>
      </c>
      <c r="E2375" s="33">
        <v>118</v>
      </c>
      <c r="F2375" s="33">
        <v>90</v>
      </c>
      <c r="G2375" s="33" t="s">
        <v>38</v>
      </c>
      <c r="H2375" s="33" t="s">
        <v>8926</v>
      </c>
      <c r="I2375" s="33" t="s">
        <v>39</v>
      </c>
      <c r="J2375" s="33" t="s">
        <v>40</v>
      </c>
      <c r="K2375" s="33" t="s">
        <v>41</v>
      </c>
    </row>
    <row r="2376" spans="1:12" s="33" customFormat="1" hidden="1" x14ac:dyDescent="0.3">
      <c r="A2376" s="39">
        <v>46086.592210648145</v>
      </c>
      <c r="B2376" s="33">
        <v>4430403880</v>
      </c>
      <c r="C2376" s="33" t="s">
        <v>44</v>
      </c>
      <c r="D2376" s="33">
        <v>4430265054</v>
      </c>
      <c r="E2376" s="33">
        <v>219</v>
      </c>
      <c r="F2376" s="33">
        <v>184</v>
      </c>
      <c r="G2376" s="33" t="s">
        <v>38</v>
      </c>
      <c r="H2376" s="33" t="s">
        <v>8927</v>
      </c>
      <c r="I2376" s="33" t="s">
        <v>39</v>
      </c>
      <c r="J2376" s="33" t="s">
        <v>40</v>
      </c>
      <c r="K2376" s="33" t="s">
        <v>41</v>
      </c>
    </row>
    <row r="2377" spans="1:12" s="33" customFormat="1" hidden="1" x14ac:dyDescent="0.3">
      <c r="A2377" s="39">
        <v>46086.589120370372</v>
      </c>
      <c r="B2377" s="33">
        <v>4437711441</v>
      </c>
      <c r="C2377" s="33" t="s">
        <v>42</v>
      </c>
      <c r="D2377" s="33">
        <v>4430265054</v>
      </c>
      <c r="E2377" s="33">
        <v>568</v>
      </c>
      <c r="F2377" s="33">
        <v>548</v>
      </c>
      <c r="G2377" s="33" t="s">
        <v>38</v>
      </c>
      <c r="H2377" s="33" t="s">
        <v>8928</v>
      </c>
      <c r="I2377" s="33" t="s">
        <v>39</v>
      </c>
      <c r="J2377" s="33" t="s">
        <v>40</v>
      </c>
      <c r="K2377" s="33" t="s">
        <v>41</v>
      </c>
    </row>
    <row r="2378" spans="1:12" s="33" customFormat="1" hidden="1" x14ac:dyDescent="0.3">
      <c r="A2378" s="39">
        <v>46086.588194444441</v>
      </c>
      <c r="B2378" s="33">
        <v>44937562600</v>
      </c>
      <c r="C2378" s="33" t="s">
        <v>48</v>
      </c>
      <c r="D2378" s="33">
        <v>4430265054</v>
      </c>
      <c r="E2378" s="33">
        <v>1858</v>
      </c>
      <c r="F2378" s="33">
        <v>1857</v>
      </c>
      <c r="G2378" s="33" t="s">
        <v>38</v>
      </c>
      <c r="H2378" s="33" t="s">
        <v>8929</v>
      </c>
      <c r="I2378" s="33" t="s">
        <v>39</v>
      </c>
      <c r="J2378" s="33" t="s">
        <v>40</v>
      </c>
      <c r="K2378" s="33" t="s">
        <v>41</v>
      </c>
    </row>
    <row r="2379" spans="1:12" s="33" customFormat="1" hidden="1" x14ac:dyDescent="0.3">
      <c r="A2379" s="39">
        <v>46086.580405092594</v>
      </c>
      <c r="B2379" s="33" t="s">
        <v>44</v>
      </c>
      <c r="C2379" s="33">
        <v>44999856904</v>
      </c>
      <c r="E2379" s="33">
        <v>17</v>
      </c>
      <c r="F2379" s="33">
        <v>9</v>
      </c>
      <c r="G2379" s="33" t="s">
        <v>38</v>
      </c>
      <c r="H2379" s="33" t="s">
        <v>8930</v>
      </c>
      <c r="I2379" s="33" t="s">
        <v>46</v>
      </c>
      <c r="J2379" s="33" t="s">
        <v>40</v>
      </c>
    </row>
    <row r="2380" spans="1:12" s="33" customFormat="1" hidden="1" x14ac:dyDescent="0.3">
      <c r="A2380" s="39">
        <v>46086.57885416667</v>
      </c>
      <c r="B2380" s="33">
        <v>4430145899</v>
      </c>
      <c r="C2380" s="33" t="s">
        <v>45</v>
      </c>
      <c r="D2380" s="33">
        <v>4430265054</v>
      </c>
      <c r="E2380" s="33">
        <v>633</v>
      </c>
      <c r="F2380" s="33">
        <v>603</v>
      </c>
      <c r="G2380" s="33" t="s">
        <v>38</v>
      </c>
      <c r="H2380" s="33" t="s">
        <v>8931</v>
      </c>
      <c r="I2380" s="33" t="s">
        <v>39</v>
      </c>
      <c r="J2380" s="33" t="s">
        <v>40</v>
      </c>
      <c r="K2380" s="33" t="s">
        <v>41</v>
      </c>
      <c r="L2380" s="33">
        <v>5</v>
      </c>
    </row>
    <row r="2381" spans="1:12" s="33" customFormat="1" hidden="1" x14ac:dyDescent="0.3">
      <c r="A2381" s="39">
        <v>46086.576504629629</v>
      </c>
      <c r="B2381" s="33" t="s">
        <v>44</v>
      </c>
      <c r="C2381" s="33">
        <v>44999856904</v>
      </c>
      <c r="E2381" s="33">
        <v>17</v>
      </c>
      <c r="F2381" s="33">
        <v>7</v>
      </c>
      <c r="G2381" s="33" t="s">
        <v>38</v>
      </c>
      <c r="H2381" s="33" t="s">
        <v>8932</v>
      </c>
      <c r="I2381" s="33" t="s">
        <v>46</v>
      </c>
      <c r="J2381" s="33" t="s">
        <v>40</v>
      </c>
    </row>
    <row r="2382" spans="1:12" s="33" customFormat="1" x14ac:dyDescent="0.3">
      <c r="A2382" s="39">
        <v>46086.57608796296</v>
      </c>
      <c r="B2382" s="33">
        <v>4430141092</v>
      </c>
      <c r="C2382" s="33" t="s">
        <v>42</v>
      </c>
      <c r="D2382" s="33">
        <v>4430265054</v>
      </c>
      <c r="E2382" s="33">
        <v>735</v>
      </c>
      <c r="F2382" s="33">
        <v>700</v>
      </c>
      <c r="G2382" s="33" t="s">
        <v>38</v>
      </c>
      <c r="H2382" s="33" t="s">
        <v>8933</v>
      </c>
      <c r="I2382" s="33" t="s">
        <v>39</v>
      </c>
      <c r="J2382" s="33" t="s">
        <v>40</v>
      </c>
      <c r="K2382" s="33" t="s">
        <v>41</v>
      </c>
      <c r="L2382" s="33">
        <v>5</v>
      </c>
    </row>
    <row r="2383" spans="1:12" s="33" customFormat="1" hidden="1" x14ac:dyDescent="0.3">
      <c r="A2383" s="39">
        <v>46086.575567129628</v>
      </c>
      <c r="B2383" s="33" t="s">
        <v>44</v>
      </c>
      <c r="C2383" s="33">
        <v>44998562645</v>
      </c>
      <c r="E2383" s="33">
        <v>35</v>
      </c>
      <c r="F2383" s="33">
        <v>0</v>
      </c>
      <c r="G2383" s="33" t="s">
        <v>47</v>
      </c>
      <c r="H2383" s="33" t="s">
        <v>8934</v>
      </c>
      <c r="I2383" s="33" t="s">
        <v>46</v>
      </c>
      <c r="J2383" s="33" t="s">
        <v>40</v>
      </c>
    </row>
    <row r="2384" spans="1:12" s="33" customFormat="1" hidden="1" x14ac:dyDescent="0.3">
      <c r="A2384" s="39">
        <v>46086.575023148151</v>
      </c>
      <c r="B2384" s="33" t="s">
        <v>44</v>
      </c>
      <c r="C2384" s="33">
        <v>44998562645</v>
      </c>
      <c r="E2384" s="33">
        <v>68</v>
      </c>
      <c r="F2384" s="33">
        <v>66</v>
      </c>
      <c r="G2384" s="33" t="s">
        <v>38</v>
      </c>
      <c r="H2384" s="33" t="s">
        <v>8935</v>
      </c>
      <c r="I2384" s="33" t="s">
        <v>46</v>
      </c>
      <c r="J2384" s="33" t="s">
        <v>40</v>
      </c>
    </row>
    <row r="2385" spans="1:12" s="33" customFormat="1" hidden="1" x14ac:dyDescent="0.3">
      <c r="A2385" s="39">
        <v>46086.574629629627</v>
      </c>
      <c r="B2385" s="33">
        <v>44988067937</v>
      </c>
      <c r="C2385" s="33" t="s">
        <v>45</v>
      </c>
      <c r="D2385" s="33">
        <v>4430265054</v>
      </c>
      <c r="E2385" s="33">
        <v>193</v>
      </c>
      <c r="F2385" s="33">
        <v>150</v>
      </c>
      <c r="G2385" s="33" t="s">
        <v>38</v>
      </c>
      <c r="H2385" s="33" t="s">
        <v>8936</v>
      </c>
      <c r="I2385" s="33" t="s">
        <v>39</v>
      </c>
      <c r="J2385" s="33" t="s">
        <v>40</v>
      </c>
      <c r="K2385" s="33" t="s">
        <v>41</v>
      </c>
    </row>
    <row r="2386" spans="1:12" s="33" customFormat="1" hidden="1" x14ac:dyDescent="0.3">
      <c r="A2386" s="39">
        <v>46086.573495370372</v>
      </c>
      <c r="B2386" s="33" t="s">
        <v>43</v>
      </c>
      <c r="C2386" s="33">
        <v>4430459032</v>
      </c>
      <c r="E2386" s="33">
        <v>344</v>
      </c>
      <c r="F2386" s="33">
        <v>343</v>
      </c>
      <c r="G2386" s="33" t="s">
        <v>38</v>
      </c>
      <c r="H2386" s="33" t="s">
        <v>8937</v>
      </c>
      <c r="I2386" s="33" t="s">
        <v>46</v>
      </c>
      <c r="J2386" s="33" t="s">
        <v>40</v>
      </c>
    </row>
    <row r="2387" spans="1:12" s="33" customFormat="1" hidden="1" x14ac:dyDescent="0.3">
      <c r="A2387" s="39">
        <v>46086.568252314813</v>
      </c>
      <c r="B2387" s="33">
        <v>44999844110</v>
      </c>
      <c r="C2387" s="33" t="s">
        <v>44</v>
      </c>
      <c r="D2387" s="33">
        <v>4430265054</v>
      </c>
      <c r="E2387" s="33">
        <v>146</v>
      </c>
      <c r="F2387" s="33">
        <v>52</v>
      </c>
      <c r="G2387" s="33" t="s">
        <v>38</v>
      </c>
      <c r="H2387" s="33" t="s">
        <v>8938</v>
      </c>
      <c r="I2387" s="33" t="s">
        <v>39</v>
      </c>
      <c r="J2387" s="33" t="s">
        <v>40</v>
      </c>
      <c r="K2387" s="33" t="s">
        <v>41</v>
      </c>
    </row>
    <row r="2388" spans="1:12" s="33" customFormat="1" hidden="1" x14ac:dyDescent="0.3">
      <c r="A2388" s="39">
        <v>46086.56559027778</v>
      </c>
      <c r="B2388" s="33">
        <v>43988030048</v>
      </c>
      <c r="C2388" s="33" t="s">
        <v>37</v>
      </c>
      <c r="D2388" s="33">
        <v>4430265054</v>
      </c>
      <c r="E2388" s="33">
        <v>1210</v>
      </c>
      <c r="F2388" s="33">
        <v>1109</v>
      </c>
      <c r="G2388" s="33" t="s">
        <v>38</v>
      </c>
      <c r="H2388" s="33" t="s">
        <v>8939</v>
      </c>
      <c r="I2388" s="33" t="s">
        <v>39</v>
      </c>
      <c r="J2388" s="33" t="s">
        <v>40</v>
      </c>
      <c r="K2388" s="33" t="s">
        <v>41</v>
      </c>
      <c r="L2388" s="33">
        <v>5</v>
      </c>
    </row>
    <row r="2389" spans="1:12" s="33" customFormat="1" hidden="1" x14ac:dyDescent="0.3">
      <c r="A2389" s="39">
        <v>46086.563506944447</v>
      </c>
      <c r="B2389" s="33">
        <v>44988067937</v>
      </c>
      <c r="C2389" s="33" t="s">
        <v>45</v>
      </c>
      <c r="D2389" s="33">
        <v>4430265054</v>
      </c>
      <c r="E2389" s="33">
        <v>630</v>
      </c>
      <c r="F2389" s="33">
        <v>566</v>
      </c>
      <c r="G2389" s="33" t="s">
        <v>38</v>
      </c>
      <c r="H2389" s="33" t="s">
        <v>8940</v>
      </c>
      <c r="I2389" s="33" t="s">
        <v>39</v>
      </c>
      <c r="J2389" s="33" t="s">
        <v>40</v>
      </c>
      <c r="K2389" s="33" t="s">
        <v>41</v>
      </c>
      <c r="L2389" s="33">
        <v>5</v>
      </c>
    </row>
    <row r="2390" spans="1:12" s="33" customFormat="1" hidden="1" x14ac:dyDescent="0.3">
      <c r="A2390" s="39">
        <v>46086.560763888891</v>
      </c>
      <c r="B2390" s="33">
        <v>43988030048</v>
      </c>
      <c r="C2390" s="33">
        <v>4430265054</v>
      </c>
      <c r="D2390" s="33">
        <v>4430265054</v>
      </c>
      <c r="E2390" s="33">
        <v>13</v>
      </c>
      <c r="F2390" s="33">
        <v>12</v>
      </c>
      <c r="G2390" s="33" t="s">
        <v>3449</v>
      </c>
      <c r="H2390" s="33" t="s">
        <v>8941</v>
      </c>
      <c r="I2390" s="33" t="s">
        <v>39</v>
      </c>
      <c r="J2390" s="33" t="s">
        <v>3451</v>
      </c>
    </row>
    <row r="2391" spans="1:12" s="33" customFormat="1" hidden="1" x14ac:dyDescent="0.3">
      <c r="A2391" s="39">
        <v>46086.502418981479</v>
      </c>
      <c r="B2391" s="33" t="s">
        <v>5173</v>
      </c>
      <c r="C2391" s="33">
        <v>12997911347</v>
      </c>
      <c r="E2391" s="33">
        <v>41</v>
      </c>
      <c r="F2391" s="33">
        <v>1</v>
      </c>
      <c r="G2391" s="33" t="s">
        <v>38</v>
      </c>
      <c r="H2391" s="33" t="s">
        <v>8942</v>
      </c>
      <c r="I2391" s="33" t="s">
        <v>46</v>
      </c>
      <c r="J2391" s="33" t="s">
        <v>3629</v>
      </c>
    </row>
    <row r="2392" spans="1:12" s="33" customFormat="1" hidden="1" x14ac:dyDescent="0.3">
      <c r="A2392" s="39">
        <v>46086.48510416667</v>
      </c>
      <c r="B2392" s="33">
        <v>1128897100</v>
      </c>
      <c r="C2392" s="33" t="s">
        <v>37</v>
      </c>
      <c r="D2392" s="33">
        <v>4430265054</v>
      </c>
      <c r="E2392" s="33">
        <v>153</v>
      </c>
      <c r="F2392" s="33">
        <v>117</v>
      </c>
      <c r="G2392" s="33" t="s">
        <v>38</v>
      </c>
      <c r="H2392" s="33" t="s">
        <v>8943</v>
      </c>
      <c r="I2392" s="33" t="s">
        <v>39</v>
      </c>
      <c r="J2392" s="33" t="s">
        <v>40</v>
      </c>
      <c r="K2392" s="33" t="s">
        <v>41</v>
      </c>
    </row>
    <row r="2393" spans="1:12" s="33" customFormat="1" hidden="1" x14ac:dyDescent="0.3">
      <c r="A2393" s="39">
        <v>46086.480046296296</v>
      </c>
      <c r="B2393" s="33">
        <v>4430141092</v>
      </c>
      <c r="C2393" s="33" t="s">
        <v>44</v>
      </c>
      <c r="D2393" s="33">
        <v>4430265054</v>
      </c>
      <c r="E2393" s="33">
        <v>285</v>
      </c>
      <c r="F2393" s="33">
        <v>212</v>
      </c>
      <c r="G2393" s="33" t="s">
        <v>38</v>
      </c>
      <c r="H2393" s="33" t="s">
        <v>8944</v>
      </c>
      <c r="I2393" s="33" t="s">
        <v>39</v>
      </c>
      <c r="J2393" s="33" t="s">
        <v>40</v>
      </c>
      <c r="K2393" s="33" t="s">
        <v>41</v>
      </c>
    </row>
    <row r="2394" spans="1:12" s="33" customFormat="1" hidden="1" x14ac:dyDescent="0.3">
      <c r="A2394" s="39">
        <v>46086.479930555557</v>
      </c>
      <c r="B2394" s="33" t="s">
        <v>48</v>
      </c>
      <c r="C2394" s="33">
        <v>4532541802</v>
      </c>
      <c r="E2394" s="33">
        <v>736</v>
      </c>
      <c r="F2394" s="33">
        <v>735</v>
      </c>
      <c r="G2394" s="33" t="s">
        <v>38</v>
      </c>
      <c r="H2394" s="33" t="s">
        <v>8945</v>
      </c>
      <c r="I2394" s="33" t="s">
        <v>46</v>
      </c>
      <c r="J2394" s="33" t="s">
        <v>40</v>
      </c>
    </row>
    <row r="2395" spans="1:12" s="33" customFormat="1" hidden="1" x14ac:dyDescent="0.3">
      <c r="A2395" s="39">
        <v>46086.47865740741</v>
      </c>
      <c r="B2395" s="33" t="s">
        <v>37</v>
      </c>
      <c r="C2395" s="33">
        <v>93991495484</v>
      </c>
      <c r="E2395" s="33">
        <v>263</v>
      </c>
      <c r="F2395" s="33">
        <v>254</v>
      </c>
      <c r="G2395" s="33" t="s">
        <v>38</v>
      </c>
      <c r="H2395" s="33" t="s">
        <v>8946</v>
      </c>
      <c r="I2395" s="33" t="s">
        <v>46</v>
      </c>
      <c r="J2395" s="33" t="s">
        <v>40</v>
      </c>
    </row>
    <row r="2396" spans="1:12" s="33" customFormat="1" hidden="1" x14ac:dyDescent="0.3">
      <c r="A2396" s="39">
        <v>46086.478043981479</v>
      </c>
      <c r="B2396" s="33" t="s">
        <v>37</v>
      </c>
      <c r="C2396" s="33">
        <v>93991495484</v>
      </c>
      <c r="E2396" s="33">
        <v>41</v>
      </c>
      <c r="F2396" s="33">
        <v>0</v>
      </c>
      <c r="G2396" s="33" t="s">
        <v>47</v>
      </c>
      <c r="H2396" s="33" t="s">
        <v>8947</v>
      </c>
      <c r="I2396" s="33" t="s">
        <v>46</v>
      </c>
      <c r="J2396" s="33" t="s">
        <v>40</v>
      </c>
    </row>
    <row r="2397" spans="1:12" s="33" customFormat="1" hidden="1" x14ac:dyDescent="0.3">
      <c r="A2397" s="39">
        <v>46086.477534722224</v>
      </c>
      <c r="B2397" s="33" t="s">
        <v>37</v>
      </c>
      <c r="C2397" s="33">
        <v>93991495484</v>
      </c>
      <c r="E2397" s="33">
        <v>40</v>
      </c>
      <c r="F2397" s="33">
        <v>0</v>
      </c>
      <c r="G2397" s="33" t="s">
        <v>47</v>
      </c>
      <c r="H2397" s="33" t="s">
        <v>8948</v>
      </c>
      <c r="I2397" s="33" t="s">
        <v>46</v>
      </c>
      <c r="J2397" s="33" t="s">
        <v>40</v>
      </c>
    </row>
    <row r="2398" spans="1:12" s="33" customFormat="1" hidden="1" x14ac:dyDescent="0.3">
      <c r="A2398" s="39">
        <v>46086.476087962961</v>
      </c>
      <c r="B2398" s="33">
        <v>6234347959</v>
      </c>
      <c r="C2398" s="33" t="s">
        <v>43</v>
      </c>
      <c r="D2398" s="33">
        <v>4430265054</v>
      </c>
      <c r="E2398" s="33">
        <v>466</v>
      </c>
      <c r="F2398" s="33">
        <v>390</v>
      </c>
      <c r="G2398" s="33" t="s">
        <v>38</v>
      </c>
      <c r="H2398" s="33" t="s">
        <v>8949</v>
      </c>
      <c r="I2398" s="33" t="s">
        <v>39</v>
      </c>
      <c r="J2398" s="33" t="s">
        <v>40</v>
      </c>
      <c r="K2398" s="33" t="s">
        <v>41</v>
      </c>
    </row>
    <row r="2399" spans="1:12" s="33" customFormat="1" hidden="1" x14ac:dyDescent="0.3">
      <c r="A2399" s="39">
        <v>46086.468263888892</v>
      </c>
      <c r="B2399" s="33">
        <v>4430459032</v>
      </c>
      <c r="C2399" s="33" t="s">
        <v>43</v>
      </c>
      <c r="D2399" s="33">
        <v>4430265054</v>
      </c>
      <c r="E2399" s="33">
        <v>563</v>
      </c>
      <c r="F2399" s="33">
        <v>538</v>
      </c>
      <c r="G2399" s="33" t="s">
        <v>38</v>
      </c>
      <c r="H2399" s="33" t="s">
        <v>8950</v>
      </c>
      <c r="I2399" s="33" t="s">
        <v>39</v>
      </c>
      <c r="J2399" s="33" t="s">
        <v>40</v>
      </c>
      <c r="K2399" s="33" t="s">
        <v>41</v>
      </c>
    </row>
    <row r="2400" spans="1:12" s="33" customFormat="1" hidden="1" x14ac:dyDescent="0.3">
      <c r="A2400" s="39">
        <v>46086.466400462959</v>
      </c>
      <c r="B2400" s="33" t="s">
        <v>44</v>
      </c>
      <c r="C2400" s="33">
        <v>4430141092</v>
      </c>
      <c r="E2400" s="33">
        <v>450</v>
      </c>
      <c r="F2400" s="33">
        <v>443</v>
      </c>
      <c r="G2400" s="33" t="s">
        <v>38</v>
      </c>
      <c r="H2400" s="33" t="s">
        <v>8951</v>
      </c>
      <c r="I2400" s="33" t="s">
        <v>46</v>
      </c>
      <c r="J2400" s="33" t="s">
        <v>40</v>
      </c>
    </row>
    <row r="2401" spans="1:12" s="33" customFormat="1" hidden="1" x14ac:dyDescent="0.3">
      <c r="A2401" s="39">
        <v>46086.46634259259</v>
      </c>
      <c r="B2401" s="33" t="s">
        <v>44</v>
      </c>
      <c r="C2401" s="33">
        <v>4430141092</v>
      </c>
      <c r="E2401" s="33">
        <v>4</v>
      </c>
      <c r="F2401" s="33">
        <v>0</v>
      </c>
      <c r="G2401" s="33" t="s">
        <v>47</v>
      </c>
      <c r="H2401" s="33" t="s">
        <v>8952</v>
      </c>
      <c r="I2401" s="33" t="s">
        <v>46</v>
      </c>
      <c r="J2401" s="33" t="s">
        <v>40</v>
      </c>
    </row>
    <row r="2402" spans="1:12" s="33" customFormat="1" hidden="1" x14ac:dyDescent="0.3">
      <c r="A2402" s="39">
        <v>46086.465115740742</v>
      </c>
      <c r="B2402" s="33">
        <v>44991388221</v>
      </c>
      <c r="C2402" s="33" t="s">
        <v>42</v>
      </c>
      <c r="D2402" s="33">
        <v>4430265054</v>
      </c>
      <c r="E2402" s="33">
        <v>376</v>
      </c>
      <c r="F2402" s="33">
        <v>235</v>
      </c>
      <c r="G2402" s="33" t="s">
        <v>38</v>
      </c>
      <c r="H2402" s="33" t="s">
        <v>8953</v>
      </c>
      <c r="I2402" s="33" t="s">
        <v>39</v>
      </c>
      <c r="J2402" s="33" t="s">
        <v>40</v>
      </c>
      <c r="K2402" s="33" t="s">
        <v>41</v>
      </c>
    </row>
    <row r="2403" spans="1:12" s="33" customFormat="1" hidden="1" x14ac:dyDescent="0.3">
      <c r="A2403" s="39">
        <v>46086.463437500002</v>
      </c>
      <c r="B2403" s="33">
        <v>44999654761</v>
      </c>
      <c r="C2403" s="33" t="s">
        <v>37</v>
      </c>
      <c r="D2403" s="33">
        <v>4430265054</v>
      </c>
      <c r="E2403" s="33">
        <v>527</v>
      </c>
      <c r="F2403" s="33">
        <v>453</v>
      </c>
      <c r="G2403" s="33" t="s">
        <v>38</v>
      </c>
      <c r="H2403" s="33" t="s">
        <v>8954</v>
      </c>
      <c r="I2403" s="33" t="s">
        <v>39</v>
      </c>
      <c r="J2403" s="33" t="s">
        <v>40</v>
      </c>
      <c r="K2403" s="33" t="s">
        <v>41</v>
      </c>
    </row>
    <row r="2404" spans="1:12" s="33" customFormat="1" hidden="1" x14ac:dyDescent="0.3">
      <c r="A2404" s="39">
        <v>46086.46</v>
      </c>
      <c r="B2404" s="33" t="s">
        <v>44</v>
      </c>
      <c r="C2404" s="33">
        <v>4432325260</v>
      </c>
      <c r="E2404" s="33">
        <v>28</v>
      </c>
      <c r="F2404" s="33">
        <v>20</v>
      </c>
      <c r="G2404" s="33" t="s">
        <v>38</v>
      </c>
      <c r="H2404" s="33" t="s">
        <v>8955</v>
      </c>
      <c r="I2404" s="33" t="s">
        <v>46</v>
      </c>
      <c r="J2404" s="33" t="s">
        <v>40</v>
      </c>
    </row>
    <row r="2405" spans="1:12" s="33" customFormat="1" hidden="1" x14ac:dyDescent="0.3">
      <c r="A2405" s="39">
        <v>46086.459861111114</v>
      </c>
      <c r="B2405" s="33">
        <v>41996175686</v>
      </c>
      <c r="C2405" s="33" t="s">
        <v>45</v>
      </c>
      <c r="D2405" s="33">
        <v>4430265054</v>
      </c>
      <c r="E2405" s="33">
        <v>268</v>
      </c>
      <c r="F2405" s="33">
        <v>183</v>
      </c>
      <c r="G2405" s="33" t="s">
        <v>38</v>
      </c>
      <c r="H2405" s="33" t="s">
        <v>8956</v>
      </c>
      <c r="I2405" s="33" t="s">
        <v>39</v>
      </c>
      <c r="J2405" s="33" t="s">
        <v>40</v>
      </c>
      <c r="K2405" s="33" t="s">
        <v>41</v>
      </c>
      <c r="L2405" s="33">
        <v>5</v>
      </c>
    </row>
    <row r="2406" spans="1:12" s="33" customFormat="1" hidden="1" x14ac:dyDescent="0.3">
      <c r="A2406" s="39">
        <v>46086.459780092591</v>
      </c>
      <c r="B2406" s="33" t="s">
        <v>44</v>
      </c>
      <c r="C2406" s="33">
        <v>4432325260</v>
      </c>
      <c r="E2406" s="33">
        <v>1</v>
      </c>
      <c r="F2406" s="33">
        <v>0</v>
      </c>
      <c r="G2406" s="33" t="s">
        <v>47</v>
      </c>
      <c r="H2406" s="33" t="s">
        <v>8957</v>
      </c>
      <c r="I2406" s="33" t="s">
        <v>46</v>
      </c>
      <c r="J2406" s="33" t="s">
        <v>40</v>
      </c>
    </row>
    <row r="2407" spans="1:12" s="33" customFormat="1" hidden="1" x14ac:dyDescent="0.3">
      <c r="A2407" s="39">
        <v>46086.459687499999</v>
      </c>
      <c r="B2407" s="33" t="s">
        <v>44</v>
      </c>
      <c r="C2407" s="33">
        <v>4432325260</v>
      </c>
      <c r="E2407" s="33">
        <v>5</v>
      </c>
      <c r="F2407" s="33">
        <v>0</v>
      </c>
      <c r="G2407" s="33" t="s">
        <v>47</v>
      </c>
      <c r="H2407" s="33" t="s">
        <v>8958</v>
      </c>
      <c r="I2407" s="33" t="s">
        <v>46</v>
      </c>
      <c r="J2407" s="33" t="s">
        <v>40</v>
      </c>
    </row>
    <row r="2408" spans="1:12" s="33" customFormat="1" hidden="1" x14ac:dyDescent="0.3">
      <c r="A2408" s="39">
        <v>46086.459282407406</v>
      </c>
      <c r="B2408" s="33" t="s">
        <v>3627</v>
      </c>
      <c r="C2408" s="33">
        <v>44999090169</v>
      </c>
      <c r="E2408" s="33">
        <v>35</v>
      </c>
      <c r="F2408" s="33">
        <v>0</v>
      </c>
      <c r="G2408" s="33" t="s">
        <v>47</v>
      </c>
      <c r="H2408" s="33" t="s">
        <v>8959</v>
      </c>
      <c r="I2408" s="33" t="s">
        <v>46</v>
      </c>
      <c r="J2408" s="33" t="s">
        <v>3629</v>
      </c>
    </row>
    <row r="2409" spans="1:12" s="33" customFormat="1" hidden="1" x14ac:dyDescent="0.3">
      <c r="A2409" s="39">
        <v>46086.458807870367</v>
      </c>
      <c r="B2409" s="33" t="s">
        <v>3627</v>
      </c>
      <c r="C2409" s="33">
        <v>4434531529</v>
      </c>
      <c r="E2409" s="33">
        <v>1</v>
      </c>
      <c r="F2409" s="33">
        <v>0</v>
      </c>
      <c r="G2409" s="33" t="s">
        <v>47</v>
      </c>
      <c r="H2409" s="33" t="s">
        <v>8960</v>
      </c>
      <c r="I2409" s="33" t="s">
        <v>46</v>
      </c>
      <c r="J2409" s="33" t="s">
        <v>3629</v>
      </c>
    </row>
    <row r="2410" spans="1:12" s="33" customFormat="1" hidden="1" x14ac:dyDescent="0.3">
      <c r="A2410" s="39">
        <v>46086.458761574075</v>
      </c>
      <c r="B2410" s="33" t="s">
        <v>3627</v>
      </c>
      <c r="C2410" s="33">
        <v>4434531529</v>
      </c>
      <c r="E2410" s="33">
        <v>0</v>
      </c>
      <c r="F2410" s="33">
        <v>0</v>
      </c>
      <c r="G2410" s="33" t="s">
        <v>47</v>
      </c>
      <c r="H2410" s="33" t="s">
        <v>8961</v>
      </c>
      <c r="I2410" s="33" t="s">
        <v>46</v>
      </c>
      <c r="J2410" s="33" t="s">
        <v>3629</v>
      </c>
    </row>
    <row r="2411" spans="1:12" s="33" customFormat="1" hidden="1" x14ac:dyDescent="0.3">
      <c r="A2411" s="39">
        <v>46086.458506944444</v>
      </c>
      <c r="B2411" s="33" t="s">
        <v>3627</v>
      </c>
      <c r="C2411" s="33">
        <v>4434531529</v>
      </c>
      <c r="E2411" s="33">
        <v>16</v>
      </c>
      <c r="F2411" s="33">
        <v>0</v>
      </c>
      <c r="G2411" s="33" t="s">
        <v>47</v>
      </c>
      <c r="H2411" s="33" t="s">
        <v>8962</v>
      </c>
      <c r="I2411" s="33" t="s">
        <v>46</v>
      </c>
      <c r="J2411" s="33" t="s">
        <v>3629</v>
      </c>
    </row>
    <row r="2412" spans="1:12" s="33" customFormat="1" hidden="1" x14ac:dyDescent="0.3">
      <c r="A2412" s="39">
        <v>46086.456041666665</v>
      </c>
      <c r="B2412" s="33">
        <v>4432226677</v>
      </c>
      <c r="C2412" s="33" t="s">
        <v>48</v>
      </c>
      <c r="D2412" s="33">
        <v>4430265054</v>
      </c>
      <c r="E2412" s="33">
        <v>534</v>
      </c>
      <c r="F2412" s="33">
        <v>512</v>
      </c>
      <c r="G2412" s="33" t="s">
        <v>38</v>
      </c>
      <c r="H2412" s="33" t="s">
        <v>8963</v>
      </c>
      <c r="I2412" s="33" t="s">
        <v>39</v>
      </c>
      <c r="J2412" s="33" t="s">
        <v>40</v>
      </c>
      <c r="K2412" s="33" t="s">
        <v>41</v>
      </c>
    </row>
    <row r="2413" spans="1:12" s="33" customFormat="1" hidden="1" x14ac:dyDescent="0.3">
      <c r="A2413" s="39">
        <v>46086.455925925926</v>
      </c>
      <c r="B2413" s="33">
        <v>6234347959</v>
      </c>
      <c r="C2413" s="33" t="s">
        <v>43</v>
      </c>
      <c r="D2413" s="33">
        <v>4430265054</v>
      </c>
      <c r="E2413" s="33">
        <v>302</v>
      </c>
      <c r="F2413" s="33">
        <v>250</v>
      </c>
      <c r="G2413" s="33" t="s">
        <v>38</v>
      </c>
      <c r="H2413" s="33" t="s">
        <v>8964</v>
      </c>
      <c r="I2413" s="33" t="s">
        <v>39</v>
      </c>
      <c r="J2413" s="33" t="s">
        <v>40</v>
      </c>
      <c r="K2413" s="33" t="s">
        <v>41</v>
      </c>
    </row>
    <row r="2414" spans="1:12" s="33" customFormat="1" hidden="1" x14ac:dyDescent="0.3">
      <c r="A2414" s="39">
        <v>46086.454965277779</v>
      </c>
      <c r="B2414" s="33">
        <v>4334234629</v>
      </c>
      <c r="C2414" s="33" t="s">
        <v>44</v>
      </c>
      <c r="D2414" s="33">
        <v>4430265054</v>
      </c>
      <c r="E2414" s="33">
        <v>694</v>
      </c>
      <c r="F2414" s="33">
        <v>638</v>
      </c>
      <c r="G2414" s="33" t="s">
        <v>38</v>
      </c>
      <c r="H2414" s="33" t="s">
        <v>8965</v>
      </c>
      <c r="I2414" s="33" t="s">
        <v>39</v>
      </c>
      <c r="J2414" s="33" t="s">
        <v>40</v>
      </c>
      <c r="K2414" s="33" t="s">
        <v>41</v>
      </c>
    </row>
    <row r="2415" spans="1:12" s="33" customFormat="1" hidden="1" x14ac:dyDescent="0.3">
      <c r="A2415" s="39">
        <v>46086.454108796293</v>
      </c>
      <c r="B2415" s="33">
        <v>47992275601</v>
      </c>
      <c r="C2415" s="33">
        <v>4430265054</v>
      </c>
      <c r="D2415" s="33">
        <v>4430265054</v>
      </c>
      <c r="E2415" s="33">
        <v>126</v>
      </c>
      <c r="F2415" s="33">
        <v>126</v>
      </c>
      <c r="G2415" s="33" t="s">
        <v>3449</v>
      </c>
      <c r="H2415" s="33" t="s">
        <v>8966</v>
      </c>
      <c r="I2415" s="33" t="s">
        <v>39</v>
      </c>
      <c r="J2415" s="33" t="s">
        <v>3451</v>
      </c>
      <c r="K2415" s="33" t="s">
        <v>41</v>
      </c>
    </row>
    <row r="2416" spans="1:12" s="33" customFormat="1" x14ac:dyDescent="0.3">
      <c r="A2416" s="39">
        <v>46086.4528587963</v>
      </c>
      <c r="B2416" s="33">
        <v>4430141092</v>
      </c>
      <c r="C2416" s="33" t="s">
        <v>42</v>
      </c>
      <c r="D2416" s="33">
        <v>4430265054</v>
      </c>
      <c r="E2416" s="33">
        <v>234</v>
      </c>
      <c r="F2416" s="33">
        <v>114</v>
      </c>
      <c r="G2416" s="33" t="s">
        <v>38</v>
      </c>
      <c r="H2416" s="33" t="s">
        <v>8967</v>
      </c>
      <c r="I2416" s="33" t="s">
        <v>39</v>
      </c>
      <c r="J2416" s="33" t="s">
        <v>40</v>
      </c>
      <c r="K2416" s="33" t="s">
        <v>41</v>
      </c>
      <c r="L2416" s="33">
        <v>5</v>
      </c>
    </row>
    <row r="2417" spans="1:12" s="33" customFormat="1" hidden="1" x14ac:dyDescent="0.3">
      <c r="A2417" s="39">
        <v>46086.452175925922</v>
      </c>
      <c r="B2417" s="33">
        <v>4430141092</v>
      </c>
      <c r="C2417" s="33">
        <v>4430265054</v>
      </c>
      <c r="D2417" s="33">
        <v>4430265054</v>
      </c>
      <c r="E2417" s="33">
        <v>48</v>
      </c>
      <c r="F2417" s="33">
        <v>47</v>
      </c>
      <c r="G2417" s="33" t="s">
        <v>3449</v>
      </c>
      <c r="H2417" s="33" t="s">
        <v>8968</v>
      </c>
      <c r="I2417" s="33" t="s">
        <v>39</v>
      </c>
      <c r="J2417" s="33" t="s">
        <v>3451</v>
      </c>
      <c r="K2417" s="33" t="s">
        <v>41</v>
      </c>
    </row>
    <row r="2418" spans="1:12" s="33" customFormat="1" hidden="1" x14ac:dyDescent="0.3">
      <c r="A2418" s="39">
        <v>46086.449907407405</v>
      </c>
      <c r="B2418" s="33">
        <v>44997561804</v>
      </c>
      <c r="C2418" s="33">
        <v>4430265054</v>
      </c>
      <c r="D2418" s="33">
        <v>4430265054</v>
      </c>
      <c r="E2418" s="33">
        <v>3</v>
      </c>
      <c r="F2418" s="33">
        <v>2</v>
      </c>
      <c r="G2418" s="33" t="s">
        <v>3449</v>
      </c>
      <c r="H2418" s="33" t="s">
        <v>8969</v>
      </c>
      <c r="I2418" s="33" t="s">
        <v>39</v>
      </c>
      <c r="J2418" s="33" t="s">
        <v>3451</v>
      </c>
    </row>
    <row r="2419" spans="1:12" s="33" customFormat="1" hidden="1" x14ac:dyDescent="0.3">
      <c r="A2419" s="39">
        <v>46086.44940972222</v>
      </c>
      <c r="B2419" s="33">
        <v>4432325260</v>
      </c>
      <c r="C2419" s="33" t="s">
        <v>37</v>
      </c>
      <c r="D2419" s="33">
        <v>4430265054</v>
      </c>
      <c r="E2419" s="33">
        <v>333</v>
      </c>
      <c r="F2419" s="33">
        <v>256</v>
      </c>
      <c r="G2419" s="33" t="s">
        <v>38</v>
      </c>
      <c r="H2419" s="33" t="s">
        <v>8970</v>
      </c>
      <c r="I2419" s="33" t="s">
        <v>39</v>
      </c>
      <c r="J2419" s="33" t="s">
        <v>40</v>
      </c>
      <c r="K2419" s="33" t="s">
        <v>41</v>
      </c>
      <c r="L2419" s="33">
        <v>5</v>
      </c>
    </row>
    <row r="2420" spans="1:12" s="33" customFormat="1" hidden="1" x14ac:dyDescent="0.3">
      <c r="A2420" s="39">
        <v>46086.449120370373</v>
      </c>
      <c r="B2420" s="33">
        <v>44999654761</v>
      </c>
      <c r="C2420" s="33" t="s">
        <v>45</v>
      </c>
      <c r="D2420" s="33">
        <v>4430265054</v>
      </c>
      <c r="E2420" s="33">
        <v>651</v>
      </c>
      <c r="F2420" s="33">
        <v>582</v>
      </c>
      <c r="G2420" s="33" t="s">
        <v>38</v>
      </c>
      <c r="H2420" s="33" t="s">
        <v>8971</v>
      </c>
      <c r="I2420" s="33" t="s">
        <v>39</v>
      </c>
      <c r="J2420" s="33" t="s">
        <v>40</v>
      </c>
      <c r="K2420" s="33" t="s">
        <v>41</v>
      </c>
    </row>
    <row r="2421" spans="1:12" s="33" customFormat="1" hidden="1" x14ac:dyDescent="0.3">
      <c r="A2421" s="39">
        <v>46086.448796296296</v>
      </c>
      <c r="B2421" s="33">
        <v>44991116911</v>
      </c>
      <c r="C2421" s="33" t="s">
        <v>43</v>
      </c>
      <c r="D2421" s="33">
        <v>4430265054</v>
      </c>
      <c r="E2421" s="33">
        <v>619</v>
      </c>
      <c r="F2421" s="33">
        <v>582</v>
      </c>
      <c r="G2421" s="33" t="s">
        <v>38</v>
      </c>
      <c r="H2421" s="33" t="s">
        <v>8972</v>
      </c>
      <c r="I2421" s="33" t="s">
        <v>39</v>
      </c>
      <c r="J2421" s="33" t="s">
        <v>40</v>
      </c>
      <c r="K2421" s="33" t="s">
        <v>41</v>
      </c>
    </row>
    <row r="2422" spans="1:12" s="33" customFormat="1" hidden="1" x14ac:dyDescent="0.3">
      <c r="A2422" s="39">
        <v>46086.448761574073</v>
      </c>
      <c r="B2422" s="33" t="s">
        <v>48</v>
      </c>
      <c r="C2422" s="33">
        <v>4434212150</v>
      </c>
      <c r="E2422" s="33">
        <v>319</v>
      </c>
      <c r="F2422" s="33">
        <v>312</v>
      </c>
      <c r="G2422" s="33" t="s">
        <v>38</v>
      </c>
      <c r="H2422" s="33" t="s">
        <v>8973</v>
      </c>
      <c r="I2422" s="33" t="s">
        <v>46</v>
      </c>
      <c r="J2422" s="33" t="s">
        <v>40</v>
      </c>
    </row>
    <row r="2423" spans="1:12" s="33" customFormat="1" hidden="1" x14ac:dyDescent="0.3">
      <c r="A2423" s="39">
        <v>46086.447696759256</v>
      </c>
      <c r="B2423" s="33">
        <v>4334226481</v>
      </c>
      <c r="C2423" s="33">
        <v>4430265054</v>
      </c>
      <c r="D2423" s="33">
        <v>4430265054</v>
      </c>
      <c r="E2423" s="33">
        <v>27</v>
      </c>
      <c r="F2423" s="33">
        <v>26</v>
      </c>
      <c r="G2423" s="33" t="s">
        <v>3449</v>
      </c>
      <c r="H2423" s="33" t="s">
        <v>8974</v>
      </c>
      <c r="I2423" s="33" t="s">
        <v>39</v>
      </c>
      <c r="J2423" s="33" t="s">
        <v>3451</v>
      </c>
    </row>
    <row r="2424" spans="1:12" s="33" customFormat="1" hidden="1" x14ac:dyDescent="0.3">
      <c r="A2424" s="39">
        <v>46086.445254629631</v>
      </c>
      <c r="B2424" s="33">
        <v>4432226677</v>
      </c>
      <c r="C2424" s="33" t="s">
        <v>37</v>
      </c>
      <c r="D2424" s="33">
        <v>4430265054</v>
      </c>
      <c r="E2424" s="33">
        <v>293</v>
      </c>
      <c r="F2424" s="33">
        <v>177</v>
      </c>
      <c r="G2424" s="33" t="s">
        <v>38</v>
      </c>
      <c r="H2424" s="33" t="s">
        <v>8975</v>
      </c>
      <c r="I2424" s="33" t="s">
        <v>39</v>
      </c>
      <c r="J2424" s="33" t="s">
        <v>40</v>
      </c>
      <c r="K2424" s="33" t="s">
        <v>41</v>
      </c>
      <c r="L2424" s="33">
        <v>5</v>
      </c>
    </row>
    <row r="2425" spans="1:12" s="33" customFormat="1" hidden="1" x14ac:dyDescent="0.3">
      <c r="A2425" s="39">
        <v>46086.443460648145</v>
      </c>
      <c r="B2425" s="33" t="s">
        <v>37</v>
      </c>
      <c r="C2425" s="33">
        <v>93984112869</v>
      </c>
      <c r="E2425" s="33">
        <v>146</v>
      </c>
      <c r="F2425" s="33">
        <v>136</v>
      </c>
      <c r="G2425" s="33" t="s">
        <v>38</v>
      </c>
      <c r="H2425" s="33" t="s">
        <v>8976</v>
      </c>
      <c r="I2425" s="33" t="s">
        <v>46</v>
      </c>
      <c r="J2425" s="33" t="s">
        <v>40</v>
      </c>
      <c r="L2425" s="33">
        <v>4</v>
      </c>
    </row>
    <row r="2426" spans="1:12" s="33" customFormat="1" hidden="1" x14ac:dyDescent="0.3">
      <c r="A2426" s="39">
        <v>46086.44326388889</v>
      </c>
      <c r="B2426" s="33">
        <v>4432226677</v>
      </c>
      <c r="C2426" s="33">
        <v>4430265054</v>
      </c>
      <c r="D2426" s="33">
        <v>4430265054</v>
      </c>
      <c r="E2426" s="33">
        <v>31</v>
      </c>
      <c r="F2426" s="33">
        <v>30</v>
      </c>
      <c r="G2426" s="33" t="s">
        <v>3449</v>
      </c>
      <c r="H2426" s="33" t="s">
        <v>8977</v>
      </c>
      <c r="I2426" s="33" t="s">
        <v>39</v>
      </c>
      <c r="J2426" s="33" t="s">
        <v>3451</v>
      </c>
      <c r="K2426" s="33" t="s">
        <v>41</v>
      </c>
    </row>
    <row r="2427" spans="1:12" s="33" customFormat="1" hidden="1" x14ac:dyDescent="0.3">
      <c r="A2427" s="39">
        <v>46086.443229166667</v>
      </c>
      <c r="B2427" s="33" t="s">
        <v>37</v>
      </c>
      <c r="C2427" s="33">
        <v>93984112869</v>
      </c>
      <c r="E2427" s="33">
        <v>13</v>
      </c>
      <c r="F2427" s="33">
        <v>7</v>
      </c>
      <c r="G2427" s="33" t="s">
        <v>38</v>
      </c>
      <c r="H2427" s="33" t="s">
        <v>8978</v>
      </c>
      <c r="I2427" s="33" t="s">
        <v>46</v>
      </c>
      <c r="J2427" s="33" t="s">
        <v>40</v>
      </c>
    </row>
    <row r="2428" spans="1:12" s="33" customFormat="1" hidden="1" x14ac:dyDescent="0.3">
      <c r="A2428" s="39">
        <v>46086.442569444444</v>
      </c>
      <c r="B2428" s="33">
        <v>4432325260</v>
      </c>
      <c r="C2428" s="33" t="s">
        <v>44</v>
      </c>
      <c r="D2428" s="33">
        <v>4430265054</v>
      </c>
      <c r="E2428" s="33">
        <v>406</v>
      </c>
      <c r="F2428" s="33">
        <v>292</v>
      </c>
      <c r="G2428" s="33" t="s">
        <v>38</v>
      </c>
      <c r="H2428" s="33" t="s">
        <v>8979</v>
      </c>
      <c r="I2428" s="33" t="s">
        <v>39</v>
      </c>
      <c r="J2428" s="33" t="s">
        <v>40</v>
      </c>
      <c r="K2428" s="33" t="s">
        <v>41</v>
      </c>
      <c r="L2428" s="33">
        <v>5</v>
      </c>
    </row>
    <row r="2429" spans="1:12" s="33" customFormat="1" hidden="1" x14ac:dyDescent="0.3">
      <c r="A2429" s="39">
        <v>46086.442361111112</v>
      </c>
      <c r="B2429" s="33">
        <v>44937562600</v>
      </c>
      <c r="C2429" s="33">
        <v>4430265054</v>
      </c>
      <c r="D2429" s="33">
        <v>4430265054</v>
      </c>
      <c r="E2429" s="33">
        <v>35</v>
      </c>
      <c r="F2429" s="33">
        <v>34</v>
      </c>
      <c r="G2429" s="33" t="s">
        <v>3449</v>
      </c>
      <c r="H2429" s="33" t="s">
        <v>8980</v>
      </c>
      <c r="I2429" s="33" t="s">
        <v>39</v>
      </c>
      <c r="J2429" s="33" t="s">
        <v>3451</v>
      </c>
      <c r="K2429" s="33" t="s">
        <v>41</v>
      </c>
    </row>
    <row r="2430" spans="1:12" s="33" customFormat="1" hidden="1" x14ac:dyDescent="0.3">
      <c r="A2430" s="39">
        <v>46086.442210648151</v>
      </c>
      <c r="B2430" s="33">
        <v>44997561804</v>
      </c>
      <c r="C2430" s="33" t="s">
        <v>43</v>
      </c>
      <c r="D2430" s="33">
        <v>4430265054</v>
      </c>
      <c r="E2430" s="33">
        <v>380</v>
      </c>
      <c r="F2430" s="33">
        <v>316</v>
      </c>
      <c r="G2430" s="33" t="s">
        <v>38</v>
      </c>
      <c r="H2430" s="33" t="s">
        <v>8981</v>
      </c>
      <c r="I2430" s="33" t="s">
        <v>39</v>
      </c>
      <c r="J2430" s="33" t="s">
        <v>40</v>
      </c>
      <c r="K2430" s="33" t="s">
        <v>41</v>
      </c>
    </row>
    <row r="2431" spans="1:12" s="33" customFormat="1" hidden="1" x14ac:dyDescent="0.3">
      <c r="A2431" s="39">
        <v>46086.440358796295</v>
      </c>
      <c r="B2431" s="33">
        <v>4432321371</v>
      </c>
      <c r="C2431" s="33">
        <v>4430265054</v>
      </c>
      <c r="D2431" s="33">
        <v>4430265054</v>
      </c>
      <c r="E2431" s="33">
        <v>194</v>
      </c>
      <c r="F2431" s="33">
        <v>193</v>
      </c>
      <c r="G2431" s="33" t="s">
        <v>3449</v>
      </c>
      <c r="H2431" s="33" t="s">
        <v>8982</v>
      </c>
      <c r="I2431" s="33" t="s">
        <v>39</v>
      </c>
      <c r="J2431" s="33" t="s">
        <v>3451</v>
      </c>
      <c r="K2431" s="33" t="s">
        <v>41</v>
      </c>
    </row>
    <row r="2432" spans="1:12" s="33" customFormat="1" hidden="1" x14ac:dyDescent="0.3">
      <c r="A2432" s="39">
        <v>46086.439849537041</v>
      </c>
      <c r="B2432" s="33">
        <v>93984112869</v>
      </c>
      <c r="C2432" s="33" t="s">
        <v>37</v>
      </c>
      <c r="D2432" s="33">
        <v>4431268225</v>
      </c>
      <c r="E2432" s="33">
        <v>274</v>
      </c>
      <c r="F2432" s="33">
        <v>99</v>
      </c>
      <c r="G2432" s="33" t="s">
        <v>38</v>
      </c>
      <c r="H2432" s="33" t="s">
        <v>8983</v>
      </c>
      <c r="I2432" s="33" t="s">
        <v>39</v>
      </c>
      <c r="J2432" s="33" t="s">
        <v>40</v>
      </c>
      <c r="K2432" s="33" t="s">
        <v>41</v>
      </c>
    </row>
    <row r="2433" spans="1:12" s="33" customFormat="1" hidden="1" x14ac:dyDescent="0.3">
      <c r="A2433" s="39">
        <v>46086.438750000001</v>
      </c>
      <c r="B2433" s="33">
        <v>44991213399</v>
      </c>
      <c r="C2433" s="33" t="s">
        <v>45</v>
      </c>
      <c r="D2433" s="33">
        <v>4430265054</v>
      </c>
      <c r="E2433" s="33">
        <v>480</v>
      </c>
      <c r="F2433" s="33">
        <v>441</v>
      </c>
      <c r="G2433" s="33" t="s">
        <v>38</v>
      </c>
      <c r="H2433" s="33" t="s">
        <v>8984</v>
      </c>
      <c r="I2433" s="33" t="s">
        <v>39</v>
      </c>
      <c r="J2433" s="33" t="s">
        <v>40</v>
      </c>
      <c r="K2433" s="33" t="s">
        <v>41</v>
      </c>
      <c r="L2433" s="33">
        <v>5</v>
      </c>
    </row>
    <row r="2434" spans="1:12" s="33" customFormat="1" hidden="1" x14ac:dyDescent="0.3">
      <c r="A2434" s="39">
        <v>46086.438437500001</v>
      </c>
      <c r="B2434" s="33">
        <v>4432325260</v>
      </c>
      <c r="C2434" s="33">
        <v>4430265054</v>
      </c>
      <c r="D2434" s="33">
        <v>4430265054</v>
      </c>
      <c r="E2434" s="33">
        <v>3</v>
      </c>
      <c r="F2434" s="33">
        <v>3</v>
      </c>
      <c r="G2434" s="33" t="s">
        <v>3449</v>
      </c>
      <c r="H2434" s="33" t="s">
        <v>8985</v>
      </c>
      <c r="I2434" s="33" t="s">
        <v>39</v>
      </c>
      <c r="J2434" s="33" t="s">
        <v>3451</v>
      </c>
    </row>
    <row r="2435" spans="1:12" s="33" customFormat="1" hidden="1" x14ac:dyDescent="0.3">
      <c r="A2435" s="39">
        <v>46086.436724537038</v>
      </c>
      <c r="B2435" s="33">
        <v>44937562600</v>
      </c>
      <c r="C2435" s="33">
        <v>4430265054</v>
      </c>
      <c r="D2435" s="33">
        <v>4430265054</v>
      </c>
      <c r="E2435" s="33">
        <v>67</v>
      </c>
      <c r="F2435" s="33">
        <v>66</v>
      </c>
      <c r="G2435" s="33" t="s">
        <v>3449</v>
      </c>
      <c r="H2435" s="33" t="s">
        <v>8986</v>
      </c>
      <c r="I2435" s="33" t="s">
        <v>39</v>
      </c>
      <c r="J2435" s="33" t="s">
        <v>3451</v>
      </c>
      <c r="K2435" s="33" t="s">
        <v>41</v>
      </c>
    </row>
    <row r="2436" spans="1:12" s="33" customFormat="1" hidden="1" x14ac:dyDescent="0.3">
      <c r="A2436" s="39">
        <v>46086.436388888891</v>
      </c>
      <c r="B2436" s="33">
        <v>4430153709</v>
      </c>
      <c r="C2436" s="33" t="s">
        <v>48</v>
      </c>
      <c r="D2436" s="33">
        <v>4430265054</v>
      </c>
      <c r="E2436" s="33">
        <v>611</v>
      </c>
      <c r="F2436" s="33">
        <v>592</v>
      </c>
      <c r="G2436" s="33" t="s">
        <v>38</v>
      </c>
      <c r="H2436" s="33" t="s">
        <v>8987</v>
      </c>
      <c r="I2436" s="33" t="s">
        <v>39</v>
      </c>
      <c r="J2436" s="33" t="s">
        <v>40</v>
      </c>
      <c r="K2436" s="33" t="s">
        <v>41</v>
      </c>
    </row>
    <row r="2437" spans="1:12" s="33" customFormat="1" hidden="1" x14ac:dyDescent="0.3">
      <c r="A2437" s="39">
        <v>46086.436342592591</v>
      </c>
      <c r="B2437" s="33">
        <v>44984241715</v>
      </c>
      <c r="C2437" s="33" t="s">
        <v>42</v>
      </c>
      <c r="D2437" s="33">
        <v>4430265054</v>
      </c>
      <c r="E2437" s="33">
        <v>851</v>
      </c>
      <c r="F2437" s="33">
        <v>813</v>
      </c>
      <c r="G2437" s="33" t="s">
        <v>38</v>
      </c>
      <c r="H2437" s="33" t="s">
        <v>8988</v>
      </c>
      <c r="I2437" s="33" t="s">
        <v>39</v>
      </c>
      <c r="J2437" s="33" t="s">
        <v>40</v>
      </c>
      <c r="K2437" s="33" t="s">
        <v>41</v>
      </c>
    </row>
    <row r="2438" spans="1:12" s="33" customFormat="1" hidden="1" x14ac:dyDescent="0.3">
      <c r="A2438" s="39">
        <v>46086.436238425929</v>
      </c>
      <c r="B2438" s="33">
        <v>44991388221</v>
      </c>
      <c r="C2438" s="33" t="s">
        <v>43</v>
      </c>
      <c r="D2438" s="33">
        <v>4430265054</v>
      </c>
      <c r="E2438" s="33">
        <v>557</v>
      </c>
      <c r="F2438" s="33">
        <v>489</v>
      </c>
      <c r="G2438" s="33" t="s">
        <v>38</v>
      </c>
      <c r="H2438" s="33" t="s">
        <v>8989</v>
      </c>
      <c r="I2438" s="33" t="s">
        <v>39</v>
      </c>
      <c r="J2438" s="33" t="s">
        <v>40</v>
      </c>
      <c r="K2438" s="33" t="s">
        <v>41</v>
      </c>
      <c r="L2438" s="33">
        <v>5</v>
      </c>
    </row>
    <row r="2439" spans="1:12" s="33" customFormat="1" hidden="1" x14ac:dyDescent="0.3">
      <c r="A2439" s="39">
        <v>46086.434525462966</v>
      </c>
      <c r="B2439" s="33" t="s">
        <v>48</v>
      </c>
      <c r="C2439" s="33">
        <v>44991064446</v>
      </c>
      <c r="E2439" s="33">
        <v>4</v>
      </c>
      <c r="F2439" s="33">
        <v>0</v>
      </c>
      <c r="G2439" s="33" t="s">
        <v>47</v>
      </c>
      <c r="H2439" s="33" t="s">
        <v>8990</v>
      </c>
      <c r="I2439" s="33" t="s">
        <v>46</v>
      </c>
      <c r="J2439" s="33" t="s">
        <v>40</v>
      </c>
    </row>
    <row r="2440" spans="1:12" s="33" customFormat="1" hidden="1" x14ac:dyDescent="0.3">
      <c r="A2440" s="39">
        <v>46086.434224537035</v>
      </c>
      <c r="B2440" s="33" t="s">
        <v>48</v>
      </c>
      <c r="C2440" s="33">
        <v>44991064446</v>
      </c>
      <c r="E2440" s="33">
        <v>6</v>
      </c>
      <c r="F2440" s="33">
        <v>0</v>
      </c>
      <c r="G2440" s="33" t="s">
        <v>47</v>
      </c>
      <c r="H2440" s="33" t="s">
        <v>8991</v>
      </c>
      <c r="I2440" s="33" t="s">
        <v>46</v>
      </c>
      <c r="J2440" s="33" t="s">
        <v>40</v>
      </c>
    </row>
    <row r="2441" spans="1:12" s="33" customFormat="1" hidden="1" x14ac:dyDescent="0.3">
      <c r="A2441" s="39">
        <v>46086.434062499997</v>
      </c>
      <c r="B2441" s="33" t="s">
        <v>48</v>
      </c>
      <c r="C2441" s="33">
        <v>44991064446</v>
      </c>
      <c r="E2441" s="33">
        <v>10</v>
      </c>
      <c r="F2441" s="33">
        <v>0</v>
      </c>
      <c r="G2441" s="33" t="s">
        <v>47</v>
      </c>
      <c r="H2441" s="33" t="s">
        <v>8992</v>
      </c>
      <c r="I2441" s="33" t="s">
        <v>46</v>
      </c>
      <c r="J2441" s="33" t="s">
        <v>40</v>
      </c>
    </row>
    <row r="2442" spans="1:12" s="33" customFormat="1" hidden="1" x14ac:dyDescent="0.3">
      <c r="A2442" s="39">
        <v>46086.43372685185</v>
      </c>
      <c r="B2442" s="33">
        <v>44991388221</v>
      </c>
      <c r="C2442" s="33">
        <v>4430265054</v>
      </c>
      <c r="D2442" s="33">
        <v>4430265054</v>
      </c>
      <c r="E2442" s="33">
        <v>28</v>
      </c>
      <c r="F2442" s="33">
        <v>28</v>
      </c>
      <c r="G2442" s="33" t="s">
        <v>3449</v>
      </c>
      <c r="H2442" s="33" t="s">
        <v>8993</v>
      </c>
      <c r="I2442" s="33" t="s">
        <v>39</v>
      </c>
      <c r="J2442" s="33" t="s">
        <v>3451</v>
      </c>
    </row>
    <row r="2443" spans="1:12" s="33" customFormat="1" hidden="1" x14ac:dyDescent="0.3">
      <c r="A2443" s="39">
        <v>46086.432951388888</v>
      </c>
      <c r="B2443" s="33" t="s">
        <v>48</v>
      </c>
      <c r="C2443" s="33">
        <v>4430153708</v>
      </c>
      <c r="E2443" s="33">
        <v>72</v>
      </c>
      <c r="F2443" s="33">
        <v>0</v>
      </c>
      <c r="G2443" s="33" t="s">
        <v>47</v>
      </c>
      <c r="H2443" s="33" t="s">
        <v>8994</v>
      </c>
      <c r="I2443" s="33" t="s">
        <v>46</v>
      </c>
      <c r="J2443" s="33" t="s">
        <v>40</v>
      </c>
    </row>
    <row r="2444" spans="1:12" s="33" customFormat="1" hidden="1" x14ac:dyDescent="0.3">
      <c r="A2444" s="39">
        <v>46086.431666666664</v>
      </c>
      <c r="B2444" s="33" t="s">
        <v>48</v>
      </c>
      <c r="C2444" s="33">
        <v>4430153708</v>
      </c>
      <c r="E2444" s="33">
        <v>99</v>
      </c>
      <c r="F2444" s="33">
        <v>0</v>
      </c>
      <c r="G2444" s="33" t="s">
        <v>47</v>
      </c>
      <c r="H2444" s="33" t="s">
        <v>8995</v>
      </c>
      <c r="I2444" s="33" t="s">
        <v>46</v>
      </c>
      <c r="J2444" s="33" t="s">
        <v>40</v>
      </c>
    </row>
    <row r="2445" spans="1:12" s="33" customFormat="1" hidden="1" x14ac:dyDescent="0.3">
      <c r="A2445" s="39">
        <v>46086.430844907409</v>
      </c>
      <c r="B2445" s="33">
        <v>4430141092</v>
      </c>
      <c r="C2445" s="33" t="s">
        <v>44</v>
      </c>
      <c r="D2445" s="33">
        <v>4430265054</v>
      </c>
      <c r="E2445" s="33">
        <v>993</v>
      </c>
      <c r="F2445" s="33">
        <v>955</v>
      </c>
      <c r="G2445" s="33" t="s">
        <v>38</v>
      </c>
      <c r="H2445" s="33" t="s">
        <v>8996</v>
      </c>
      <c r="I2445" s="33" t="s">
        <v>39</v>
      </c>
      <c r="J2445" s="33" t="s">
        <v>40</v>
      </c>
      <c r="K2445" s="33" t="s">
        <v>41</v>
      </c>
    </row>
    <row r="2446" spans="1:12" s="33" customFormat="1" hidden="1" x14ac:dyDescent="0.3">
      <c r="A2446" s="39">
        <v>46086.427604166667</v>
      </c>
      <c r="B2446" s="33" t="s">
        <v>43</v>
      </c>
      <c r="C2446" s="33">
        <v>4435223408</v>
      </c>
      <c r="E2446" s="33">
        <v>102</v>
      </c>
      <c r="F2446" s="33">
        <v>83</v>
      </c>
      <c r="G2446" s="33" t="s">
        <v>38</v>
      </c>
      <c r="H2446" s="33" t="s">
        <v>8997</v>
      </c>
      <c r="I2446" s="33" t="s">
        <v>46</v>
      </c>
      <c r="J2446" s="33" t="s">
        <v>40</v>
      </c>
    </row>
    <row r="2447" spans="1:12" s="33" customFormat="1" hidden="1" x14ac:dyDescent="0.3">
      <c r="A2447" s="39">
        <v>46086.427534722221</v>
      </c>
      <c r="B2447" s="33" t="s">
        <v>43</v>
      </c>
      <c r="C2447" s="33">
        <v>4435223408</v>
      </c>
      <c r="E2447" s="33">
        <v>4</v>
      </c>
      <c r="F2447" s="33">
        <v>0</v>
      </c>
      <c r="G2447" s="33" t="s">
        <v>47</v>
      </c>
      <c r="H2447" s="33" t="s">
        <v>8998</v>
      </c>
      <c r="I2447" s="33" t="s">
        <v>46</v>
      </c>
      <c r="J2447" s="33" t="s">
        <v>40</v>
      </c>
    </row>
    <row r="2448" spans="1:12" s="33" customFormat="1" hidden="1" x14ac:dyDescent="0.3">
      <c r="A2448" s="39">
        <v>46086.426527777781</v>
      </c>
      <c r="B2448" s="33" t="s">
        <v>43</v>
      </c>
      <c r="C2448" s="33">
        <v>44984173854</v>
      </c>
      <c r="E2448" s="33">
        <v>35</v>
      </c>
      <c r="F2448" s="33">
        <v>0</v>
      </c>
      <c r="G2448" s="33" t="s">
        <v>47</v>
      </c>
      <c r="H2448" s="33" t="s">
        <v>8999</v>
      </c>
      <c r="I2448" s="33" t="s">
        <v>46</v>
      </c>
      <c r="J2448" s="33" t="s">
        <v>40</v>
      </c>
    </row>
    <row r="2449" spans="1:12" s="33" customFormat="1" hidden="1" x14ac:dyDescent="0.3">
      <c r="A2449" s="39">
        <v>46086.425335648149</v>
      </c>
      <c r="B2449" s="33" t="s">
        <v>43</v>
      </c>
      <c r="C2449" s="33">
        <v>11998030658</v>
      </c>
      <c r="E2449" s="33">
        <v>62</v>
      </c>
      <c r="F2449" s="33">
        <v>52</v>
      </c>
      <c r="G2449" s="33" t="s">
        <v>38</v>
      </c>
      <c r="H2449" s="33" t="s">
        <v>9000</v>
      </c>
      <c r="I2449" s="33" t="s">
        <v>46</v>
      </c>
      <c r="J2449" s="33" t="s">
        <v>40</v>
      </c>
    </row>
    <row r="2450" spans="1:12" s="33" customFormat="1" hidden="1" x14ac:dyDescent="0.3">
      <c r="A2450" s="39">
        <v>46086.424085648148</v>
      </c>
      <c r="B2450" s="33">
        <v>44999646909</v>
      </c>
      <c r="C2450" s="33" t="s">
        <v>45</v>
      </c>
      <c r="D2450" s="33">
        <v>4430265054</v>
      </c>
      <c r="E2450" s="33">
        <v>182</v>
      </c>
      <c r="F2450" s="33">
        <v>133</v>
      </c>
      <c r="G2450" s="33" t="s">
        <v>38</v>
      </c>
      <c r="H2450" s="33" t="s">
        <v>9001</v>
      </c>
      <c r="I2450" s="33" t="s">
        <v>39</v>
      </c>
      <c r="J2450" s="33" t="s">
        <v>40</v>
      </c>
      <c r="K2450" s="33" t="s">
        <v>41</v>
      </c>
    </row>
    <row r="2451" spans="1:12" s="33" customFormat="1" hidden="1" x14ac:dyDescent="0.3">
      <c r="A2451" s="39">
        <v>46086.423715277779</v>
      </c>
      <c r="B2451" s="33">
        <v>41999865917</v>
      </c>
      <c r="C2451" s="33">
        <v>3000</v>
      </c>
      <c r="D2451" s="33">
        <v>4430265054</v>
      </c>
      <c r="E2451" s="33">
        <v>646</v>
      </c>
      <c r="F2451" s="33">
        <v>625</v>
      </c>
      <c r="G2451" s="33" t="s">
        <v>38</v>
      </c>
      <c r="H2451" s="33" t="s">
        <v>9002</v>
      </c>
      <c r="I2451" s="33" t="s">
        <v>39</v>
      </c>
      <c r="J2451" s="33" t="s">
        <v>3451</v>
      </c>
      <c r="K2451" s="33" t="s">
        <v>41</v>
      </c>
    </row>
    <row r="2452" spans="1:12" s="33" customFormat="1" hidden="1" x14ac:dyDescent="0.3">
      <c r="A2452" s="39">
        <v>46086.418379629627</v>
      </c>
      <c r="B2452" s="33">
        <v>41998909974</v>
      </c>
      <c r="C2452" s="33" t="s">
        <v>37</v>
      </c>
      <c r="D2452" s="33">
        <v>4430265054</v>
      </c>
      <c r="E2452" s="33">
        <v>1969</v>
      </c>
      <c r="F2452" s="33">
        <v>1843</v>
      </c>
      <c r="G2452" s="33" t="s">
        <v>38</v>
      </c>
      <c r="H2452" s="33" t="s">
        <v>9003</v>
      </c>
      <c r="I2452" s="33" t="s">
        <v>39</v>
      </c>
      <c r="J2452" s="33" t="s">
        <v>40</v>
      </c>
      <c r="K2452" s="33" t="s">
        <v>41</v>
      </c>
      <c r="L2452" s="33">
        <v>5</v>
      </c>
    </row>
    <row r="2453" spans="1:12" s="33" customFormat="1" hidden="1" x14ac:dyDescent="0.3">
      <c r="A2453" s="39">
        <v>46086.416562500002</v>
      </c>
      <c r="B2453" s="33">
        <v>47992275601</v>
      </c>
      <c r="C2453" s="33" t="s">
        <v>43</v>
      </c>
      <c r="D2453" s="33">
        <v>4430265054</v>
      </c>
      <c r="E2453" s="33">
        <v>152</v>
      </c>
      <c r="F2453" s="33">
        <v>86</v>
      </c>
      <c r="G2453" s="33" t="s">
        <v>38</v>
      </c>
      <c r="H2453" s="33" t="s">
        <v>9004</v>
      </c>
      <c r="I2453" s="33" t="s">
        <v>39</v>
      </c>
      <c r="J2453" s="33" t="s">
        <v>40</v>
      </c>
      <c r="K2453" s="33" t="s">
        <v>41</v>
      </c>
    </row>
    <row r="2454" spans="1:12" s="33" customFormat="1" hidden="1" x14ac:dyDescent="0.3">
      <c r="A2454" s="39">
        <v>46086.416203703702</v>
      </c>
      <c r="B2454" s="33">
        <v>44999497001</v>
      </c>
      <c r="C2454" s="33" t="s">
        <v>42</v>
      </c>
      <c r="D2454" s="33">
        <v>4430265054</v>
      </c>
      <c r="E2454" s="33">
        <v>215</v>
      </c>
      <c r="F2454" s="33">
        <v>184</v>
      </c>
      <c r="G2454" s="33" t="s">
        <v>38</v>
      </c>
      <c r="H2454" s="33" t="s">
        <v>9005</v>
      </c>
      <c r="I2454" s="33" t="s">
        <v>39</v>
      </c>
      <c r="J2454" s="33" t="s">
        <v>40</v>
      </c>
      <c r="K2454" s="33" t="s">
        <v>41</v>
      </c>
    </row>
    <row r="2455" spans="1:12" s="33" customFormat="1" hidden="1" x14ac:dyDescent="0.3">
      <c r="A2455" s="39">
        <v>46086.415752314817</v>
      </c>
      <c r="B2455" s="33">
        <v>44999654761</v>
      </c>
      <c r="C2455" s="33" t="s">
        <v>43</v>
      </c>
      <c r="D2455" s="33">
        <v>4430265054</v>
      </c>
      <c r="E2455" s="33">
        <v>112</v>
      </c>
      <c r="F2455" s="33">
        <v>94</v>
      </c>
      <c r="G2455" s="33" t="s">
        <v>38</v>
      </c>
      <c r="H2455" s="33" t="s">
        <v>9006</v>
      </c>
      <c r="I2455" s="33" t="s">
        <v>39</v>
      </c>
      <c r="J2455" s="33" t="s">
        <v>40</v>
      </c>
      <c r="K2455" s="33" t="s">
        <v>41</v>
      </c>
    </row>
    <row r="2456" spans="1:12" s="33" customFormat="1" hidden="1" x14ac:dyDescent="0.3">
      <c r="A2456" s="39">
        <v>46086.414479166669</v>
      </c>
      <c r="B2456" s="33">
        <v>4430450103</v>
      </c>
      <c r="C2456" s="33" t="s">
        <v>44</v>
      </c>
      <c r="D2456" s="33">
        <v>4430265054</v>
      </c>
      <c r="E2456" s="33">
        <v>431</v>
      </c>
      <c r="F2456" s="33">
        <v>411</v>
      </c>
      <c r="G2456" s="33" t="s">
        <v>38</v>
      </c>
      <c r="H2456" s="33" t="s">
        <v>9007</v>
      </c>
      <c r="I2456" s="33" t="s">
        <v>39</v>
      </c>
      <c r="J2456" s="33" t="s">
        <v>40</v>
      </c>
      <c r="K2456" s="33" t="s">
        <v>41</v>
      </c>
      <c r="L2456" s="33">
        <v>5</v>
      </c>
    </row>
    <row r="2457" spans="1:12" s="33" customFormat="1" hidden="1" x14ac:dyDescent="0.3">
      <c r="A2457" s="39">
        <v>46086.413113425922</v>
      </c>
      <c r="B2457" s="33">
        <v>44991284259</v>
      </c>
      <c r="C2457" s="33" t="s">
        <v>43</v>
      </c>
      <c r="D2457" s="33">
        <v>4430265054</v>
      </c>
      <c r="E2457" s="33">
        <v>124</v>
      </c>
      <c r="F2457" s="33">
        <v>110</v>
      </c>
      <c r="G2457" s="33" t="s">
        <v>38</v>
      </c>
      <c r="H2457" s="33" t="s">
        <v>9008</v>
      </c>
      <c r="I2457" s="33" t="s">
        <v>39</v>
      </c>
      <c r="J2457" s="33" t="s">
        <v>40</v>
      </c>
      <c r="K2457" s="33" t="s">
        <v>41</v>
      </c>
    </row>
    <row r="2458" spans="1:12" s="33" customFormat="1" hidden="1" x14ac:dyDescent="0.3">
      <c r="A2458" s="39">
        <v>46086.412465277775</v>
      </c>
      <c r="B2458" s="33">
        <v>44991249108</v>
      </c>
      <c r="C2458" s="33" t="s">
        <v>3627</v>
      </c>
      <c r="D2458" s="33">
        <v>4430265054</v>
      </c>
      <c r="E2458" s="33">
        <v>118</v>
      </c>
      <c r="F2458" s="33">
        <v>95</v>
      </c>
      <c r="G2458" s="33" t="s">
        <v>38</v>
      </c>
      <c r="H2458" s="33" t="s">
        <v>9009</v>
      </c>
      <c r="I2458" s="33" t="s">
        <v>39</v>
      </c>
      <c r="J2458" s="33" t="s">
        <v>3629</v>
      </c>
      <c r="K2458" s="33" t="s">
        <v>50</v>
      </c>
    </row>
    <row r="2459" spans="1:12" s="33" customFormat="1" hidden="1" x14ac:dyDescent="0.3">
      <c r="A2459" s="39">
        <v>46086.412349537037</v>
      </c>
      <c r="B2459" s="33">
        <v>4432226677</v>
      </c>
      <c r="C2459" s="33" t="s">
        <v>45</v>
      </c>
      <c r="D2459" s="33">
        <v>4430265054</v>
      </c>
      <c r="E2459" s="33">
        <v>676</v>
      </c>
      <c r="F2459" s="33">
        <v>645</v>
      </c>
      <c r="G2459" s="33" t="s">
        <v>38</v>
      </c>
      <c r="H2459" s="33" t="s">
        <v>9010</v>
      </c>
      <c r="I2459" s="33" t="s">
        <v>39</v>
      </c>
      <c r="J2459" s="33" t="s">
        <v>40</v>
      </c>
      <c r="K2459" s="33" t="s">
        <v>41</v>
      </c>
      <c r="L2459" s="33">
        <v>5</v>
      </c>
    </row>
    <row r="2460" spans="1:12" s="33" customFormat="1" hidden="1" x14ac:dyDescent="0.3">
      <c r="A2460" s="39">
        <v>46086.406354166669</v>
      </c>
      <c r="B2460" s="33">
        <v>4432325260</v>
      </c>
      <c r="C2460" s="33" t="s">
        <v>43</v>
      </c>
      <c r="D2460" s="33">
        <v>4430265054</v>
      </c>
      <c r="E2460" s="33">
        <v>213</v>
      </c>
      <c r="F2460" s="33">
        <v>187</v>
      </c>
      <c r="G2460" s="33" t="s">
        <v>38</v>
      </c>
      <c r="H2460" s="33" t="s">
        <v>9011</v>
      </c>
      <c r="I2460" s="33" t="s">
        <v>39</v>
      </c>
      <c r="J2460" s="33" t="s">
        <v>40</v>
      </c>
      <c r="K2460" s="33" t="s">
        <v>41</v>
      </c>
    </row>
    <row r="2461" spans="1:12" s="33" customFormat="1" hidden="1" x14ac:dyDescent="0.3">
      <c r="A2461" s="39">
        <v>46086.406168981484</v>
      </c>
      <c r="B2461" s="33" t="s">
        <v>48</v>
      </c>
      <c r="C2461" s="33">
        <v>44998410458</v>
      </c>
      <c r="E2461" s="33">
        <v>65</v>
      </c>
      <c r="F2461" s="33">
        <v>29</v>
      </c>
      <c r="G2461" s="33" t="s">
        <v>38</v>
      </c>
      <c r="H2461" s="33" t="s">
        <v>9012</v>
      </c>
      <c r="I2461" s="33" t="s">
        <v>46</v>
      </c>
      <c r="J2461" s="33" t="s">
        <v>40</v>
      </c>
    </row>
    <row r="2462" spans="1:12" s="33" customFormat="1" hidden="1" x14ac:dyDescent="0.3">
      <c r="A2462" s="39">
        <v>46086.405381944445</v>
      </c>
      <c r="B2462" s="33">
        <v>91985176746</v>
      </c>
      <c r="C2462" s="33" t="s">
        <v>44</v>
      </c>
      <c r="D2462" s="33">
        <v>4430265054</v>
      </c>
      <c r="E2462" s="33">
        <v>478</v>
      </c>
      <c r="F2462" s="33">
        <v>427</v>
      </c>
      <c r="G2462" s="33" t="s">
        <v>38</v>
      </c>
      <c r="H2462" s="33" t="s">
        <v>9013</v>
      </c>
      <c r="I2462" s="33" t="s">
        <v>39</v>
      </c>
      <c r="J2462" s="33" t="s">
        <v>40</v>
      </c>
      <c r="K2462" s="33" t="s">
        <v>41</v>
      </c>
    </row>
    <row r="2463" spans="1:12" s="33" customFormat="1" hidden="1" x14ac:dyDescent="0.3">
      <c r="A2463" s="39">
        <v>46086.404456018521</v>
      </c>
      <c r="B2463" s="33" t="s">
        <v>44</v>
      </c>
      <c r="C2463" s="33">
        <v>91981481202</v>
      </c>
      <c r="E2463" s="33">
        <v>35</v>
      </c>
      <c r="F2463" s="33">
        <v>26</v>
      </c>
      <c r="G2463" s="33" t="s">
        <v>38</v>
      </c>
      <c r="H2463" s="33" t="s">
        <v>9014</v>
      </c>
      <c r="I2463" s="33" t="s">
        <v>46</v>
      </c>
      <c r="J2463" s="33" t="s">
        <v>40</v>
      </c>
    </row>
    <row r="2464" spans="1:12" s="33" customFormat="1" hidden="1" x14ac:dyDescent="0.3">
      <c r="A2464" s="39">
        <v>46086.404120370367</v>
      </c>
      <c r="B2464" s="33">
        <v>4334234629</v>
      </c>
      <c r="C2464" s="33" t="s">
        <v>37</v>
      </c>
      <c r="D2464" s="33">
        <v>4430265054</v>
      </c>
      <c r="E2464" s="33">
        <v>1092</v>
      </c>
      <c r="F2464" s="33">
        <v>958</v>
      </c>
      <c r="G2464" s="33" t="s">
        <v>38</v>
      </c>
      <c r="H2464" s="33" t="s">
        <v>9015</v>
      </c>
      <c r="I2464" s="33" t="s">
        <v>39</v>
      </c>
      <c r="J2464" s="33" t="s">
        <v>40</v>
      </c>
      <c r="K2464" s="33" t="s">
        <v>41</v>
      </c>
    </row>
    <row r="2465" spans="1:12" s="33" customFormat="1" hidden="1" x14ac:dyDescent="0.3">
      <c r="A2465" s="39">
        <v>46086.402708333335</v>
      </c>
      <c r="B2465" s="33">
        <v>83988398480</v>
      </c>
      <c r="C2465" s="33" t="s">
        <v>45</v>
      </c>
      <c r="D2465" s="33">
        <v>4430265054</v>
      </c>
      <c r="E2465" s="33">
        <v>196</v>
      </c>
      <c r="F2465" s="33">
        <v>187</v>
      </c>
      <c r="G2465" s="33" t="s">
        <v>38</v>
      </c>
      <c r="H2465" s="33" t="s">
        <v>9016</v>
      </c>
      <c r="I2465" s="33" t="s">
        <v>39</v>
      </c>
      <c r="J2465" s="33" t="s">
        <v>40</v>
      </c>
      <c r="K2465" s="33" t="s">
        <v>41</v>
      </c>
    </row>
    <row r="2466" spans="1:12" s="33" customFormat="1" hidden="1" x14ac:dyDescent="0.3">
      <c r="A2466" s="39">
        <v>46086.400081018517</v>
      </c>
      <c r="B2466" s="33">
        <v>93991767964</v>
      </c>
      <c r="C2466" s="33" t="s">
        <v>37</v>
      </c>
      <c r="D2466" s="33">
        <v>4430265054</v>
      </c>
      <c r="E2466" s="33">
        <v>382</v>
      </c>
      <c r="F2466" s="33">
        <v>361</v>
      </c>
      <c r="G2466" s="33" t="s">
        <v>38</v>
      </c>
      <c r="H2466" s="33" t="s">
        <v>9017</v>
      </c>
      <c r="I2466" s="33" t="s">
        <v>39</v>
      </c>
      <c r="J2466" s="33" t="s">
        <v>40</v>
      </c>
      <c r="K2466" s="33" t="s">
        <v>41</v>
      </c>
      <c r="L2466" s="33">
        <v>5</v>
      </c>
    </row>
    <row r="2467" spans="1:12" s="33" customFormat="1" hidden="1" x14ac:dyDescent="0.3">
      <c r="A2467" s="39">
        <v>46086.392210648148</v>
      </c>
      <c r="B2467" s="33" t="s">
        <v>43</v>
      </c>
      <c r="C2467" s="33">
        <v>44984173854</v>
      </c>
      <c r="E2467" s="33">
        <v>39</v>
      </c>
      <c r="F2467" s="33">
        <v>0</v>
      </c>
      <c r="G2467" s="33" t="s">
        <v>47</v>
      </c>
      <c r="H2467" s="33" t="s">
        <v>9018</v>
      </c>
      <c r="I2467" s="33" t="s">
        <v>46</v>
      </c>
      <c r="J2467" s="33" t="s">
        <v>40</v>
      </c>
    </row>
    <row r="2468" spans="1:12" s="33" customFormat="1" hidden="1" x14ac:dyDescent="0.3">
      <c r="A2468" s="39">
        <v>46086.392129629632</v>
      </c>
      <c r="B2468" s="33" t="s">
        <v>43</v>
      </c>
      <c r="C2468" s="33">
        <v>44984173854</v>
      </c>
      <c r="E2468" s="33">
        <v>3</v>
      </c>
      <c r="F2468" s="33">
        <v>0</v>
      </c>
      <c r="G2468" s="33" t="s">
        <v>47</v>
      </c>
      <c r="H2468" s="33" t="s">
        <v>9019</v>
      </c>
      <c r="I2468" s="33" t="s">
        <v>46</v>
      </c>
      <c r="J2468" s="33" t="s">
        <v>40</v>
      </c>
    </row>
    <row r="2469" spans="1:12" s="33" customFormat="1" hidden="1" x14ac:dyDescent="0.3">
      <c r="A2469" s="39">
        <v>46086.387812499997</v>
      </c>
      <c r="B2469" s="33">
        <v>4430141092</v>
      </c>
      <c r="C2469" s="33" t="s">
        <v>45</v>
      </c>
      <c r="D2469" s="33">
        <v>4430265054</v>
      </c>
      <c r="E2469" s="33">
        <v>172</v>
      </c>
      <c r="F2469" s="33">
        <v>70</v>
      </c>
      <c r="G2469" s="33" t="s">
        <v>38</v>
      </c>
      <c r="H2469" s="33" t="s">
        <v>9020</v>
      </c>
      <c r="I2469" s="33" t="s">
        <v>39</v>
      </c>
      <c r="J2469" s="33" t="s">
        <v>40</v>
      </c>
      <c r="K2469" s="33" t="s">
        <v>41</v>
      </c>
    </row>
    <row r="2470" spans="1:12" s="33" customFormat="1" hidden="1" x14ac:dyDescent="0.3">
      <c r="A2470" s="39">
        <v>46086.38622685185</v>
      </c>
      <c r="B2470" s="33">
        <v>35998295948</v>
      </c>
      <c r="C2470" s="33" t="s">
        <v>45</v>
      </c>
      <c r="D2470" s="33">
        <v>4430265054</v>
      </c>
      <c r="E2470" s="33">
        <v>180</v>
      </c>
      <c r="F2470" s="33">
        <v>161</v>
      </c>
      <c r="G2470" s="33" t="s">
        <v>38</v>
      </c>
      <c r="H2470" s="33" t="s">
        <v>9021</v>
      </c>
      <c r="I2470" s="33" t="s">
        <v>39</v>
      </c>
      <c r="J2470" s="33" t="s">
        <v>40</v>
      </c>
      <c r="K2470" s="33" t="s">
        <v>41</v>
      </c>
    </row>
    <row r="2471" spans="1:12" s="33" customFormat="1" hidden="1" x14ac:dyDescent="0.3">
      <c r="A2471" s="39">
        <v>46086.375937500001</v>
      </c>
      <c r="B2471" s="33">
        <v>4436761185</v>
      </c>
      <c r="C2471" s="33" t="s">
        <v>43</v>
      </c>
      <c r="D2471" s="33">
        <v>4430265054</v>
      </c>
      <c r="E2471" s="33">
        <v>1002</v>
      </c>
      <c r="F2471" s="33">
        <v>910</v>
      </c>
      <c r="G2471" s="33" t="s">
        <v>38</v>
      </c>
      <c r="H2471" s="33" t="s">
        <v>9022</v>
      </c>
      <c r="I2471" s="33" t="s">
        <v>39</v>
      </c>
      <c r="J2471" s="33" t="s">
        <v>40</v>
      </c>
      <c r="K2471" s="33" t="s">
        <v>41</v>
      </c>
    </row>
    <row r="2472" spans="1:12" s="33" customFormat="1" hidden="1" x14ac:dyDescent="0.3">
      <c r="A2472" s="39">
        <v>46086.370879629627</v>
      </c>
      <c r="B2472" s="33" t="s">
        <v>43</v>
      </c>
      <c r="C2472" s="33">
        <v>4435341422</v>
      </c>
      <c r="E2472" s="33">
        <v>500</v>
      </c>
      <c r="F2472" s="33">
        <v>489</v>
      </c>
      <c r="G2472" s="33" t="s">
        <v>38</v>
      </c>
      <c r="H2472" s="33" t="s">
        <v>9023</v>
      </c>
      <c r="I2472" s="33" t="s">
        <v>46</v>
      </c>
      <c r="J2472" s="33" t="s">
        <v>40</v>
      </c>
    </row>
    <row r="2473" spans="1:12" s="33" customFormat="1" hidden="1" x14ac:dyDescent="0.3">
      <c r="A2473" s="39">
        <v>46086.368993055556</v>
      </c>
      <c r="B2473" s="33">
        <v>11965990735</v>
      </c>
      <c r="C2473" s="33" t="s">
        <v>48</v>
      </c>
      <c r="D2473" s="33">
        <v>4430265054</v>
      </c>
      <c r="E2473" s="33">
        <v>1447</v>
      </c>
      <c r="F2473" s="33">
        <v>1446</v>
      </c>
      <c r="G2473" s="33" t="s">
        <v>38</v>
      </c>
      <c r="H2473" s="33" t="s">
        <v>9024</v>
      </c>
      <c r="I2473" s="33" t="s">
        <v>39</v>
      </c>
      <c r="J2473" s="33" t="s">
        <v>40</v>
      </c>
      <c r="K2473" s="33" t="s">
        <v>41</v>
      </c>
      <c r="L2473" s="33">
        <v>5</v>
      </c>
    </row>
    <row r="2474" spans="1:12" s="33" customFormat="1" hidden="1" x14ac:dyDescent="0.3">
      <c r="A2474" s="39">
        <v>46086.367418981485</v>
      </c>
      <c r="B2474" s="33">
        <v>11965990735</v>
      </c>
      <c r="C2474" s="33">
        <v>4430265054</v>
      </c>
      <c r="D2474" s="33">
        <v>4430265054</v>
      </c>
      <c r="E2474" s="33">
        <v>32</v>
      </c>
      <c r="F2474" s="33">
        <v>32</v>
      </c>
      <c r="G2474" s="33" t="s">
        <v>3449</v>
      </c>
      <c r="H2474" s="33" t="s">
        <v>9025</v>
      </c>
      <c r="I2474" s="33" t="s">
        <v>39</v>
      </c>
      <c r="J2474" s="33" t="s">
        <v>3451</v>
      </c>
      <c r="K2474" s="33" t="s">
        <v>41</v>
      </c>
    </row>
    <row r="2475" spans="1:12" s="33" customFormat="1" hidden="1" x14ac:dyDescent="0.3">
      <c r="A2475" s="39">
        <v>46086.36377314815</v>
      </c>
      <c r="B2475" s="33">
        <v>44937562600</v>
      </c>
      <c r="C2475" s="33" t="s">
        <v>48</v>
      </c>
      <c r="D2475" s="33">
        <v>4430265054</v>
      </c>
      <c r="E2475" s="33">
        <v>88</v>
      </c>
      <c r="F2475" s="33">
        <v>52</v>
      </c>
      <c r="G2475" s="33" t="s">
        <v>38</v>
      </c>
      <c r="H2475" s="33" t="s">
        <v>9026</v>
      </c>
      <c r="I2475" s="33" t="s">
        <v>39</v>
      </c>
      <c r="J2475" s="33" t="s">
        <v>40</v>
      </c>
      <c r="K2475" s="33" t="s">
        <v>41</v>
      </c>
    </row>
    <row r="2476" spans="1:12" s="33" customFormat="1" hidden="1" x14ac:dyDescent="0.3">
      <c r="A2476" s="39">
        <v>46086.360289351855</v>
      </c>
      <c r="B2476" s="33">
        <v>44999654761</v>
      </c>
      <c r="C2476" s="33" t="s">
        <v>37</v>
      </c>
      <c r="D2476" s="33">
        <v>4430265054</v>
      </c>
      <c r="E2476" s="33">
        <v>3130</v>
      </c>
      <c r="F2476" s="33">
        <v>2985</v>
      </c>
      <c r="G2476" s="33" t="s">
        <v>38</v>
      </c>
      <c r="H2476" s="33" t="s">
        <v>9027</v>
      </c>
      <c r="I2476" s="33" t="s">
        <v>39</v>
      </c>
      <c r="J2476" s="33" t="s">
        <v>40</v>
      </c>
      <c r="K2476" s="33" t="s">
        <v>41</v>
      </c>
      <c r="L2476" s="33">
        <v>5</v>
      </c>
    </row>
    <row r="2477" spans="1:12" s="33" customFormat="1" hidden="1" x14ac:dyDescent="0.3">
      <c r="A2477" s="39">
        <v>46086.358599537038</v>
      </c>
      <c r="B2477" s="33">
        <v>4334226481</v>
      </c>
      <c r="C2477" s="33" t="s">
        <v>43</v>
      </c>
      <c r="D2477" s="33">
        <v>4430265054</v>
      </c>
      <c r="E2477" s="33">
        <v>1023</v>
      </c>
      <c r="F2477" s="33">
        <v>983</v>
      </c>
      <c r="G2477" s="33" t="s">
        <v>38</v>
      </c>
      <c r="H2477" s="33" t="s">
        <v>9028</v>
      </c>
      <c r="I2477" s="33" t="s">
        <v>39</v>
      </c>
      <c r="J2477" s="33" t="s">
        <v>40</v>
      </c>
      <c r="K2477" s="33" t="s">
        <v>41</v>
      </c>
    </row>
    <row r="2478" spans="1:12" s="33" customFormat="1" hidden="1" x14ac:dyDescent="0.3">
      <c r="A2478" s="39">
        <v>46086.357442129629</v>
      </c>
      <c r="B2478" s="33">
        <v>44937562600</v>
      </c>
      <c r="C2478" s="33" t="s">
        <v>42</v>
      </c>
      <c r="D2478" s="33">
        <v>4430265054</v>
      </c>
      <c r="E2478" s="33">
        <v>160</v>
      </c>
      <c r="F2478" s="33">
        <v>73</v>
      </c>
      <c r="G2478" s="33" t="s">
        <v>38</v>
      </c>
      <c r="H2478" s="33" t="s">
        <v>9029</v>
      </c>
      <c r="I2478" s="33" t="s">
        <v>39</v>
      </c>
      <c r="J2478" s="33" t="s">
        <v>40</v>
      </c>
      <c r="K2478" s="33" t="s">
        <v>41</v>
      </c>
    </row>
    <row r="2479" spans="1:12" s="33" customFormat="1" hidden="1" x14ac:dyDescent="0.3">
      <c r="A2479" s="39">
        <v>46086.356689814813</v>
      </c>
      <c r="B2479" s="33">
        <v>44991116911</v>
      </c>
      <c r="C2479" s="33" t="s">
        <v>43</v>
      </c>
      <c r="D2479" s="33">
        <v>4430265054</v>
      </c>
      <c r="E2479" s="33">
        <v>210</v>
      </c>
      <c r="F2479" s="33">
        <v>182</v>
      </c>
      <c r="G2479" s="33" t="s">
        <v>38</v>
      </c>
      <c r="H2479" s="33" t="s">
        <v>9030</v>
      </c>
      <c r="I2479" s="33" t="s">
        <v>39</v>
      </c>
      <c r="J2479" s="33" t="s">
        <v>40</v>
      </c>
      <c r="K2479" s="33" t="s">
        <v>41</v>
      </c>
      <c r="L2479" s="33">
        <v>5</v>
      </c>
    </row>
    <row r="2480" spans="1:12" s="33" customFormat="1" hidden="1" x14ac:dyDescent="0.3">
      <c r="A2480" s="39">
        <v>46086.355486111112</v>
      </c>
      <c r="B2480" s="33">
        <v>44998849102</v>
      </c>
      <c r="C2480" s="33" t="s">
        <v>44</v>
      </c>
      <c r="D2480" s="33">
        <v>4430265054</v>
      </c>
      <c r="E2480" s="33">
        <v>1302</v>
      </c>
      <c r="F2480" s="33">
        <v>1271</v>
      </c>
      <c r="G2480" s="33" t="s">
        <v>38</v>
      </c>
      <c r="H2480" s="33" t="s">
        <v>9031</v>
      </c>
      <c r="I2480" s="33" t="s">
        <v>39</v>
      </c>
      <c r="J2480" s="33" t="s">
        <v>40</v>
      </c>
      <c r="K2480" s="33" t="s">
        <v>41</v>
      </c>
    </row>
    <row r="2481" spans="1:12" s="33" customFormat="1" hidden="1" x14ac:dyDescent="0.3">
      <c r="A2481" s="39">
        <v>46086.35497685185</v>
      </c>
      <c r="B2481" s="33">
        <v>99984754234</v>
      </c>
      <c r="C2481" s="33" t="s">
        <v>37</v>
      </c>
      <c r="D2481" s="33">
        <v>4430265054</v>
      </c>
      <c r="E2481" s="33">
        <v>478</v>
      </c>
      <c r="F2481" s="33">
        <v>409</v>
      </c>
      <c r="G2481" s="33" t="s">
        <v>38</v>
      </c>
      <c r="H2481" s="33" t="s">
        <v>9032</v>
      </c>
      <c r="I2481" s="33" t="s">
        <v>39</v>
      </c>
      <c r="J2481" s="33" t="s">
        <v>40</v>
      </c>
      <c r="K2481" s="33" t="s">
        <v>41</v>
      </c>
      <c r="L2481" s="33">
        <v>4</v>
      </c>
    </row>
    <row r="2482" spans="1:12" s="33" customFormat="1" hidden="1" x14ac:dyDescent="0.3">
      <c r="A2482" s="39">
        <v>46086.354814814818</v>
      </c>
      <c r="B2482" s="33">
        <v>45998160883</v>
      </c>
      <c r="C2482" s="33" t="s">
        <v>45</v>
      </c>
      <c r="D2482" s="33">
        <v>4430265054</v>
      </c>
      <c r="E2482" s="33">
        <v>2190</v>
      </c>
      <c r="F2482" s="33">
        <v>2151</v>
      </c>
      <c r="G2482" s="33" t="s">
        <v>38</v>
      </c>
      <c r="H2482" s="33" t="s">
        <v>9033</v>
      </c>
      <c r="I2482" s="33" t="s">
        <v>39</v>
      </c>
      <c r="J2482" s="33" t="s">
        <v>40</v>
      </c>
      <c r="K2482" s="33" t="s">
        <v>41</v>
      </c>
    </row>
    <row r="2483" spans="1:12" s="33" customFormat="1" hidden="1" x14ac:dyDescent="0.3">
      <c r="A2483" s="39">
        <v>46086.350324074076</v>
      </c>
      <c r="B2483" s="33">
        <v>1438160351</v>
      </c>
      <c r="C2483" s="33">
        <v>4430265054</v>
      </c>
      <c r="D2483" s="33">
        <v>4430265054</v>
      </c>
      <c r="E2483" s="33">
        <v>9</v>
      </c>
      <c r="F2483" s="33">
        <v>8</v>
      </c>
      <c r="G2483" s="33" t="s">
        <v>3449</v>
      </c>
      <c r="H2483" s="33" t="s">
        <v>9034</v>
      </c>
      <c r="I2483" s="33" t="s">
        <v>39</v>
      </c>
      <c r="J2483" s="33" t="s">
        <v>3451</v>
      </c>
    </row>
    <row r="2484" spans="1:12" s="33" customFormat="1" hidden="1" x14ac:dyDescent="0.3">
      <c r="A2484" s="39">
        <v>46086.340856481482</v>
      </c>
      <c r="B2484" s="33">
        <v>44998142739</v>
      </c>
      <c r="C2484" s="33">
        <v>4430265054</v>
      </c>
      <c r="D2484" s="33">
        <v>4430265054</v>
      </c>
      <c r="E2484" s="33">
        <v>13</v>
      </c>
      <c r="F2484" s="33">
        <v>12</v>
      </c>
      <c r="G2484" s="33" t="s">
        <v>3449</v>
      </c>
      <c r="H2484" s="33" t="s">
        <v>9035</v>
      </c>
      <c r="I2484" s="33" t="s">
        <v>39</v>
      </c>
      <c r="J2484" s="33" t="s">
        <v>3451</v>
      </c>
    </row>
    <row r="2485" spans="1:12" s="33" customFormat="1" hidden="1" x14ac:dyDescent="0.3">
      <c r="A2485" s="39">
        <v>46085.743483796294</v>
      </c>
      <c r="B2485" s="33">
        <v>44988255390</v>
      </c>
      <c r="C2485" s="33" t="s">
        <v>37</v>
      </c>
      <c r="D2485" s="33">
        <v>4430265054</v>
      </c>
      <c r="E2485" s="33">
        <v>413</v>
      </c>
      <c r="F2485" s="33">
        <v>297</v>
      </c>
      <c r="G2485" s="33" t="s">
        <v>38</v>
      </c>
      <c r="H2485" s="33" t="s">
        <v>9036</v>
      </c>
      <c r="I2485" s="33" t="s">
        <v>39</v>
      </c>
      <c r="J2485" s="33" t="s">
        <v>40</v>
      </c>
      <c r="K2485" s="33" t="s">
        <v>41</v>
      </c>
    </row>
    <row r="2486" spans="1:12" s="33" customFormat="1" hidden="1" x14ac:dyDescent="0.3">
      <c r="A2486" s="39">
        <v>46085.732106481482</v>
      </c>
      <c r="B2486" s="33">
        <v>4334234629</v>
      </c>
      <c r="C2486" s="33" t="s">
        <v>37</v>
      </c>
      <c r="D2486" s="33">
        <v>4430265054</v>
      </c>
      <c r="E2486" s="33">
        <v>373</v>
      </c>
      <c r="F2486" s="33">
        <v>256</v>
      </c>
      <c r="G2486" s="33" t="s">
        <v>38</v>
      </c>
      <c r="H2486" s="33" t="s">
        <v>9037</v>
      </c>
      <c r="I2486" s="33" t="s">
        <v>39</v>
      </c>
      <c r="J2486" s="33" t="s">
        <v>40</v>
      </c>
      <c r="K2486" s="33" t="s">
        <v>41</v>
      </c>
      <c r="L2486" s="33">
        <v>5</v>
      </c>
    </row>
    <row r="2487" spans="1:12" s="33" customFormat="1" hidden="1" x14ac:dyDescent="0.3">
      <c r="A2487" s="39">
        <v>46085.728981481479</v>
      </c>
      <c r="B2487" s="33" t="s">
        <v>3627</v>
      </c>
      <c r="C2487" s="33">
        <v>48985000242</v>
      </c>
      <c r="E2487" s="33">
        <v>15</v>
      </c>
      <c r="F2487" s="33">
        <v>9</v>
      </c>
      <c r="G2487" s="33" t="s">
        <v>38</v>
      </c>
      <c r="H2487" s="33" t="s">
        <v>9038</v>
      </c>
      <c r="I2487" s="33" t="s">
        <v>46</v>
      </c>
      <c r="J2487" s="33" t="s">
        <v>3629</v>
      </c>
    </row>
    <row r="2488" spans="1:12" s="33" customFormat="1" hidden="1" x14ac:dyDescent="0.3">
      <c r="A2488" s="39">
        <v>46085.727777777778</v>
      </c>
      <c r="B2488" s="33" t="s">
        <v>3627</v>
      </c>
      <c r="C2488" s="33">
        <v>51998648835</v>
      </c>
      <c r="E2488" s="33">
        <v>4</v>
      </c>
      <c r="F2488" s="33">
        <v>1</v>
      </c>
      <c r="G2488" s="33" t="s">
        <v>38</v>
      </c>
      <c r="H2488" s="33" t="s">
        <v>9039</v>
      </c>
      <c r="I2488" s="33" t="s">
        <v>46</v>
      </c>
      <c r="J2488" s="33" t="s">
        <v>3629</v>
      </c>
    </row>
    <row r="2489" spans="1:12" s="33" customFormat="1" hidden="1" x14ac:dyDescent="0.3">
      <c r="A2489" s="39">
        <v>46085.721631944441</v>
      </c>
      <c r="B2489" s="33">
        <v>44998039090</v>
      </c>
      <c r="C2489" s="33">
        <v>4430265054</v>
      </c>
      <c r="D2489" s="33">
        <v>4430265054</v>
      </c>
      <c r="E2489" s="33">
        <v>4</v>
      </c>
      <c r="F2489" s="33">
        <v>3</v>
      </c>
      <c r="G2489" s="33" t="s">
        <v>3449</v>
      </c>
      <c r="H2489" s="33" t="s">
        <v>9040</v>
      </c>
      <c r="I2489" s="33" t="s">
        <v>39</v>
      </c>
      <c r="J2489" s="33" t="s">
        <v>3451</v>
      </c>
    </row>
    <row r="2490" spans="1:12" s="33" customFormat="1" hidden="1" x14ac:dyDescent="0.3">
      <c r="A2490" s="39">
        <v>46085.715520833335</v>
      </c>
      <c r="B2490" s="33" t="s">
        <v>45</v>
      </c>
      <c r="C2490" s="33">
        <v>43991364602</v>
      </c>
      <c r="E2490" s="33">
        <v>109</v>
      </c>
      <c r="F2490" s="33">
        <v>93</v>
      </c>
      <c r="G2490" s="33" t="s">
        <v>38</v>
      </c>
      <c r="H2490" s="33" t="s">
        <v>9041</v>
      </c>
      <c r="I2490" s="33" t="s">
        <v>46</v>
      </c>
      <c r="J2490" s="33" t="s">
        <v>40</v>
      </c>
    </row>
    <row r="2491" spans="1:12" s="33" customFormat="1" hidden="1" x14ac:dyDescent="0.3">
      <c r="A2491" s="39">
        <v>46085.71539351852</v>
      </c>
      <c r="B2491" s="33" t="s">
        <v>45</v>
      </c>
      <c r="C2491" s="33">
        <v>43991364602</v>
      </c>
      <c r="E2491" s="33">
        <v>5</v>
      </c>
      <c r="F2491" s="33">
        <v>0</v>
      </c>
      <c r="G2491" s="33" t="s">
        <v>47</v>
      </c>
      <c r="H2491" s="33" t="s">
        <v>9042</v>
      </c>
      <c r="I2491" s="33" t="s">
        <v>46</v>
      </c>
      <c r="J2491" s="33" t="s">
        <v>40</v>
      </c>
    </row>
    <row r="2492" spans="1:12" s="33" customFormat="1" hidden="1" x14ac:dyDescent="0.3">
      <c r="A2492" s="39">
        <v>46085.712395833332</v>
      </c>
      <c r="B2492" s="33" t="s">
        <v>45</v>
      </c>
      <c r="C2492" s="33">
        <v>44991174709</v>
      </c>
      <c r="E2492" s="33">
        <v>68</v>
      </c>
      <c r="F2492" s="33">
        <v>59</v>
      </c>
      <c r="G2492" s="33" t="s">
        <v>38</v>
      </c>
      <c r="H2492" s="33" t="s">
        <v>9043</v>
      </c>
      <c r="I2492" s="33" t="s">
        <v>46</v>
      </c>
      <c r="J2492" s="33" t="s">
        <v>40</v>
      </c>
    </row>
    <row r="2493" spans="1:12" s="33" customFormat="1" hidden="1" x14ac:dyDescent="0.3">
      <c r="A2493" s="39">
        <v>46085.712245370371</v>
      </c>
      <c r="B2493" s="33" t="s">
        <v>45</v>
      </c>
      <c r="C2493" s="33">
        <v>4434228345</v>
      </c>
      <c r="E2493" s="33">
        <v>4</v>
      </c>
      <c r="F2493" s="33">
        <v>0</v>
      </c>
      <c r="G2493" s="33" t="s">
        <v>47</v>
      </c>
      <c r="H2493" s="33" t="s">
        <v>9044</v>
      </c>
      <c r="I2493" s="33" t="s">
        <v>46</v>
      </c>
      <c r="J2493" s="33" t="s">
        <v>40</v>
      </c>
    </row>
    <row r="2494" spans="1:12" s="33" customFormat="1" hidden="1" x14ac:dyDescent="0.3">
      <c r="A2494" s="39">
        <v>46085.712083333332</v>
      </c>
      <c r="B2494" s="33" t="s">
        <v>45</v>
      </c>
      <c r="C2494" s="33">
        <v>44998860140</v>
      </c>
      <c r="E2494" s="33">
        <v>5</v>
      </c>
      <c r="F2494" s="33">
        <v>0</v>
      </c>
      <c r="G2494" s="33" t="s">
        <v>47</v>
      </c>
      <c r="H2494" s="33" t="s">
        <v>9045</v>
      </c>
      <c r="I2494" s="33" t="s">
        <v>46</v>
      </c>
      <c r="J2494" s="33" t="s">
        <v>40</v>
      </c>
    </row>
    <row r="2495" spans="1:12" s="33" customFormat="1" hidden="1" x14ac:dyDescent="0.3">
      <c r="A2495" s="39">
        <v>46085.710277777776</v>
      </c>
      <c r="B2495" s="33">
        <v>4430141092</v>
      </c>
      <c r="C2495" s="33" t="s">
        <v>37</v>
      </c>
      <c r="D2495" s="33">
        <v>4430265054</v>
      </c>
      <c r="E2495" s="33">
        <v>411</v>
      </c>
      <c r="F2495" s="33">
        <v>374</v>
      </c>
      <c r="G2495" s="33" t="s">
        <v>38</v>
      </c>
      <c r="H2495" s="33" t="s">
        <v>9046</v>
      </c>
      <c r="I2495" s="33" t="s">
        <v>39</v>
      </c>
      <c r="J2495" s="33" t="s">
        <v>40</v>
      </c>
      <c r="K2495" s="33" t="s">
        <v>41</v>
      </c>
      <c r="L2495" s="33">
        <v>5</v>
      </c>
    </row>
    <row r="2496" spans="1:12" s="33" customFormat="1" hidden="1" x14ac:dyDescent="0.3">
      <c r="A2496" s="39">
        <v>46085.706643518519</v>
      </c>
      <c r="B2496" s="33" t="s">
        <v>51</v>
      </c>
      <c r="C2496" s="33" t="s">
        <v>5173</v>
      </c>
      <c r="E2496" s="33">
        <v>2</v>
      </c>
      <c r="F2496" s="33">
        <v>0</v>
      </c>
      <c r="G2496" s="33" t="s">
        <v>47</v>
      </c>
      <c r="H2496" s="33" t="s">
        <v>9047</v>
      </c>
      <c r="I2496" s="33" t="s">
        <v>52</v>
      </c>
      <c r="J2496" s="33" t="s">
        <v>3629</v>
      </c>
    </row>
    <row r="2497" spans="1:12" s="33" customFormat="1" hidden="1" x14ac:dyDescent="0.3">
      <c r="A2497" s="39">
        <v>46085.700995370367</v>
      </c>
      <c r="B2497" s="33" t="s">
        <v>3627</v>
      </c>
      <c r="C2497" s="33">
        <v>91991909754</v>
      </c>
      <c r="E2497" s="33">
        <v>21</v>
      </c>
      <c r="F2497" s="33">
        <v>0</v>
      </c>
      <c r="G2497" s="33" t="s">
        <v>47</v>
      </c>
      <c r="H2497" s="33" t="s">
        <v>9048</v>
      </c>
      <c r="I2497" s="33" t="s">
        <v>46</v>
      </c>
      <c r="J2497" s="33" t="s">
        <v>3629</v>
      </c>
    </row>
    <row r="2498" spans="1:12" s="33" customFormat="1" hidden="1" x14ac:dyDescent="0.3">
      <c r="A2498" s="39">
        <v>46085.698368055557</v>
      </c>
      <c r="B2498" s="33" t="s">
        <v>43</v>
      </c>
      <c r="C2498" s="33">
        <v>4436281154</v>
      </c>
      <c r="E2498" s="33">
        <v>715</v>
      </c>
      <c r="F2498" s="33">
        <v>684</v>
      </c>
      <c r="G2498" s="33" t="s">
        <v>38</v>
      </c>
      <c r="H2498" s="33" t="s">
        <v>9049</v>
      </c>
      <c r="I2498" s="33" t="s">
        <v>46</v>
      </c>
      <c r="J2498" s="33" t="s">
        <v>40</v>
      </c>
    </row>
    <row r="2499" spans="1:12" s="33" customFormat="1" hidden="1" x14ac:dyDescent="0.3">
      <c r="A2499" s="39">
        <v>46085.697175925925</v>
      </c>
      <c r="B2499" s="33">
        <v>4430450103</v>
      </c>
      <c r="C2499" s="33">
        <v>4430265054</v>
      </c>
      <c r="D2499" s="33">
        <v>4430265054</v>
      </c>
      <c r="E2499" s="33">
        <v>53</v>
      </c>
      <c r="F2499" s="33">
        <v>53</v>
      </c>
      <c r="G2499" s="33" t="s">
        <v>3449</v>
      </c>
      <c r="H2499" s="33" t="s">
        <v>9050</v>
      </c>
      <c r="I2499" s="33" t="s">
        <v>39</v>
      </c>
      <c r="J2499" s="33" t="s">
        <v>3451</v>
      </c>
      <c r="K2499" s="33" t="s">
        <v>41</v>
      </c>
    </row>
    <row r="2500" spans="1:12" s="33" customFormat="1" hidden="1" x14ac:dyDescent="0.3">
      <c r="A2500" s="39">
        <v>46085.695208333331</v>
      </c>
      <c r="B2500" s="33">
        <v>4436281154</v>
      </c>
      <c r="C2500" s="33" t="s">
        <v>43</v>
      </c>
      <c r="D2500" s="33">
        <v>4430265054</v>
      </c>
      <c r="E2500" s="33">
        <v>268</v>
      </c>
      <c r="F2500" s="33">
        <v>238</v>
      </c>
      <c r="G2500" s="33" t="s">
        <v>38</v>
      </c>
      <c r="H2500" s="33" t="s">
        <v>9051</v>
      </c>
      <c r="I2500" s="33" t="s">
        <v>39</v>
      </c>
      <c r="J2500" s="33" t="s">
        <v>40</v>
      </c>
      <c r="K2500" s="33" t="s">
        <v>41</v>
      </c>
    </row>
    <row r="2501" spans="1:12" s="33" customFormat="1" hidden="1" x14ac:dyDescent="0.3">
      <c r="A2501" s="39">
        <v>46085.694155092591</v>
      </c>
      <c r="B2501" s="33">
        <v>4436281154</v>
      </c>
      <c r="C2501" s="33">
        <v>4430265054</v>
      </c>
      <c r="D2501" s="33">
        <v>4430265054</v>
      </c>
      <c r="E2501" s="33">
        <v>26</v>
      </c>
      <c r="F2501" s="33">
        <v>25</v>
      </c>
      <c r="G2501" s="33" t="s">
        <v>3449</v>
      </c>
      <c r="H2501" s="33" t="s">
        <v>9052</v>
      </c>
      <c r="I2501" s="33" t="s">
        <v>39</v>
      </c>
      <c r="J2501" s="33" t="s">
        <v>3451</v>
      </c>
      <c r="K2501" s="33" t="s">
        <v>41</v>
      </c>
    </row>
    <row r="2502" spans="1:12" s="33" customFormat="1" hidden="1" x14ac:dyDescent="0.3">
      <c r="A2502" s="39">
        <v>46085.692395833335</v>
      </c>
      <c r="B2502" s="33">
        <v>4436291513</v>
      </c>
      <c r="C2502" s="33" t="s">
        <v>42</v>
      </c>
      <c r="D2502" s="33">
        <v>4430265054</v>
      </c>
      <c r="E2502" s="33">
        <v>2550</v>
      </c>
      <c r="F2502" s="33">
        <v>2411</v>
      </c>
      <c r="G2502" s="33" t="s">
        <v>38</v>
      </c>
      <c r="H2502" s="33" t="s">
        <v>9053</v>
      </c>
      <c r="I2502" s="33" t="s">
        <v>39</v>
      </c>
      <c r="J2502" s="33" t="s">
        <v>40</v>
      </c>
      <c r="K2502" s="33" t="s">
        <v>41</v>
      </c>
    </row>
    <row r="2503" spans="1:12" s="33" customFormat="1" hidden="1" x14ac:dyDescent="0.3">
      <c r="A2503" s="39">
        <v>46085.691759259258</v>
      </c>
      <c r="B2503" s="33">
        <v>91981481202</v>
      </c>
      <c r="C2503" s="33" t="s">
        <v>44</v>
      </c>
      <c r="D2503" s="33">
        <v>4430265054</v>
      </c>
      <c r="E2503" s="33">
        <v>3593</v>
      </c>
      <c r="F2503" s="33">
        <v>3525</v>
      </c>
      <c r="G2503" s="33" t="s">
        <v>38</v>
      </c>
      <c r="H2503" s="33" t="s">
        <v>9054</v>
      </c>
      <c r="I2503" s="33" t="s">
        <v>39</v>
      </c>
      <c r="J2503" s="33" t="s">
        <v>40</v>
      </c>
      <c r="K2503" s="33" t="s">
        <v>41</v>
      </c>
      <c r="L2503" s="33">
        <v>5</v>
      </c>
    </row>
    <row r="2504" spans="1:12" s="33" customFormat="1" hidden="1" x14ac:dyDescent="0.3">
      <c r="A2504" s="39">
        <v>46085.690567129626</v>
      </c>
      <c r="B2504" s="33">
        <v>91981481202</v>
      </c>
      <c r="C2504" s="33">
        <v>4430265054</v>
      </c>
      <c r="D2504" s="33">
        <v>4430265054</v>
      </c>
      <c r="E2504" s="33">
        <v>22</v>
      </c>
      <c r="F2504" s="33">
        <v>22</v>
      </c>
      <c r="G2504" s="33" t="s">
        <v>3449</v>
      </c>
      <c r="H2504" s="33" t="s">
        <v>9055</v>
      </c>
      <c r="I2504" s="33" t="s">
        <v>39</v>
      </c>
      <c r="J2504" s="33" t="s">
        <v>3451</v>
      </c>
      <c r="K2504" s="33" t="s">
        <v>41</v>
      </c>
    </row>
    <row r="2505" spans="1:12" s="33" customFormat="1" hidden="1" x14ac:dyDescent="0.3">
      <c r="A2505" s="39">
        <v>46085.685983796298</v>
      </c>
      <c r="B2505" s="33">
        <v>45998160883</v>
      </c>
      <c r="C2505" s="33">
        <v>4430265054</v>
      </c>
      <c r="D2505" s="33">
        <v>4430265054</v>
      </c>
      <c r="E2505" s="33">
        <v>13</v>
      </c>
      <c r="F2505" s="33">
        <v>12</v>
      </c>
      <c r="G2505" s="33" t="s">
        <v>3449</v>
      </c>
      <c r="H2505" s="33" t="s">
        <v>9056</v>
      </c>
      <c r="I2505" s="33" t="s">
        <v>39</v>
      </c>
      <c r="J2505" s="33" t="s">
        <v>3451</v>
      </c>
    </row>
    <row r="2506" spans="1:12" s="33" customFormat="1" hidden="1" x14ac:dyDescent="0.3">
      <c r="A2506" s="39">
        <v>46085.682997685188</v>
      </c>
      <c r="B2506" s="33" t="s">
        <v>5173</v>
      </c>
      <c r="C2506" s="33">
        <v>1937562600</v>
      </c>
      <c r="E2506" s="33">
        <v>806</v>
      </c>
      <c r="F2506" s="33">
        <v>791</v>
      </c>
      <c r="G2506" s="33" t="s">
        <v>38</v>
      </c>
      <c r="H2506" s="33" t="s">
        <v>9057</v>
      </c>
      <c r="I2506" s="33" t="s">
        <v>46</v>
      </c>
      <c r="J2506" s="33" t="s">
        <v>3629</v>
      </c>
    </row>
    <row r="2507" spans="1:12" s="33" customFormat="1" hidden="1" x14ac:dyDescent="0.3">
      <c r="A2507" s="39">
        <v>46085.682615740741</v>
      </c>
      <c r="B2507" s="33">
        <v>4430346845</v>
      </c>
      <c r="C2507" s="33" t="s">
        <v>44</v>
      </c>
      <c r="D2507" s="33">
        <v>4430265054</v>
      </c>
      <c r="E2507" s="33">
        <v>286</v>
      </c>
      <c r="F2507" s="33">
        <v>216</v>
      </c>
      <c r="G2507" s="33" t="s">
        <v>38</v>
      </c>
      <c r="H2507" s="33" t="s">
        <v>9058</v>
      </c>
      <c r="I2507" s="33" t="s">
        <v>39</v>
      </c>
      <c r="J2507" s="33" t="s">
        <v>40</v>
      </c>
      <c r="K2507" s="33" t="s">
        <v>41</v>
      </c>
    </row>
    <row r="2508" spans="1:12" s="33" customFormat="1" hidden="1" x14ac:dyDescent="0.3">
      <c r="A2508" s="39">
        <v>46085.680648148147</v>
      </c>
      <c r="B2508" s="33" t="s">
        <v>5173</v>
      </c>
      <c r="C2508" s="33">
        <v>19992211619</v>
      </c>
      <c r="E2508" s="33">
        <v>42</v>
      </c>
      <c r="F2508" s="33">
        <v>18</v>
      </c>
      <c r="G2508" s="33" t="s">
        <v>38</v>
      </c>
      <c r="H2508" s="33" t="s">
        <v>9059</v>
      </c>
      <c r="I2508" s="33" t="s">
        <v>46</v>
      </c>
      <c r="J2508" s="33" t="s">
        <v>3629</v>
      </c>
    </row>
    <row r="2509" spans="1:12" s="33" customFormat="1" hidden="1" x14ac:dyDescent="0.3">
      <c r="A2509" s="39">
        <v>46085.679722222223</v>
      </c>
      <c r="B2509" s="33">
        <v>4430346845</v>
      </c>
      <c r="C2509" s="33">
        <v>4430265054</v>
      </c>
      <c r="D2509" s="33">
        <v>4430265054</v>
      </c>
      <c r="E2509" s="33">
        <v>115</v>
      </c>
      <c r="F2509" s="33">
        <v>115</v>
      </c>
      <c r="G2509" s="33" t="s">
        <v>3449</v>
      </c>
      <c r="H2509" s="33" t="s">
        <v>9060</v>
      </c>
      <c r="I2509" s="33" t="s">
        <v>39</v>
      </c>
      <c r="J2509" s="33" t="s">
        <v>3451</v>
      </c>
      <c r="K2509" s="33" t="s">
        <v>41</v>
      </c>
    </row>
    <row r="2510" spans="1:12" s="33" customFormat="1" hidden="1" x14ac:dyDescent="0.3">
      <c r="A2510" s="39">
        <v>46085.679120370369</v>
      </c>
      <c r="B2510" s="33">
        <v>4430346845</v>
      </c>
      <c r="C2510" s="33">
        <v>4430265054</v>
      </c>
      <c r="D2510" s="33">
        <v>4430265054</v>
      </c>
      <c r="E2510" s="33">
        <v>18</v>
      </c>
      <c r="F2510" s="33">
        <v>17</v>
      </c>
      <c r="G2510" s="33" t="s">
        <v>3449</v>
      </c>
      <c r="H2510" s="33" t="s">
        <v>9061</v>
      </c>
      <c r="I2510" s="33" t="s">
        <v>39</v>
      </c>
      <c r="J2510" s="33" t="s">
        <v>3451</v>
      </c>
    </row>
    <row r="2511" spans="1:12" s="33" customFormat="1" hidden="1" x14ac:dyDescent="0.3">
      <c r="A2511" s="39">
        <v>46085.671597222223</v>
      </c>
      <c r="B2511" s="33">
        <v>62992789056</v>
      </c>
      <c r="C2511" s="33" t="s">
        <v>43</v>
      </c>
      <c r="D2511" s="33">
        <v>4430265054</v>
      </c>
      <c r="E2511" s="33">
        <v>1053</v>
      </c>
      <c r="F2511" s="33">
        <v>993</v>
      </c>
      <c r="G2511" s="33" t="s">
        <v>38</v>
      </c>
      <c r="H2511" s="33" t="s">
        <v>9062</v>
      </c>
      <c r="I2511" s="33" t="s">
        <v>39</v>
      </c>
      <c r="J2511" s="33" t="s">
        <v>40</v>
      </c>
      <c r="K2511" s="33" t="s">
        <v>41</v>
      </c>
      <c r="L2511" s="33">
        <v>5</v>
      </c>
    </row>
    <row r="2512" spans="1:12" s="33" customFormat="1" hidden="1" x14ac:dyDescent="0.3">
      <c r="A2512" s="39">
        <v>46085.67087962963</v>
      </c>
      <c r="B2512" s="33">
        <v>44999976008</v>
      </c>
      <c r="C2512" s="33" t="s">
        <v>42</v>
      </c>
      <c r="D2512" s="33">
        <v>4430265054</v>
      </c>
      <c r="E2512" s="33">
        <v>176</v>
      </c>
      <c r="F2512" s="33">
        <v>133</v>
      </c>
      <c r="G2512" s="33" t="s">
        <v>38</v>
      </c>
      <c r="H2512" s="33" t="s">
        <v>9063</v>
      </c>
      <c r="I2512" s="33" t="s">
        <v>39</v>
      </c>
      <c r="J2512" s="33" t="s">
        <v>40</v>
      </c>
      <c r="K2512" s="33" t="s">
        <v>41</v>
      </c>
    </row>
    <row r="2513" spans="1:12" s="33" customFormat="1" hidden="1" x14ac:dyDescent="0.3">
      <c r="A2513" s="39">
        <v>46085.670104166667</v>
      </c>
      <c r="B2513" s="33" t="s">
        <v>37</v>
      </c>
      <c r="C2513" s="33">
        <v>4436296655</v>
      </c>
      <c r="E2513" s="33">
        <v>2598</v>
      </c>
      <c r="F2513" s="33">
        <v>2590</v>
      </c>
      <c r="G2513" s="33" t="s">
        <v>38</v>
      </c>
      <c r="H2513" s="33" t="s">
        <v>9064</v>
      </c>
      <c r="I2513" s="33" t="s">
        <v>46</v>
      </c>
      <c r="J2513" s="33" t="s">
        <v>40</v>
      </c>
    </row>
    <row r="2514" spans="1:12" s="33" customFormat="1" hidden="1" x14ac:dyDescent="0.3">
      <c r="A2514" s="39">
        <v>46085.668194444443</v>
      </c>
      <c r="B2514" s="33" t="s">
        <v>43</v>
      </c>
      <c r="C2514" s="33">
        <v>91981481202</v>
      </c>
      <c r="E2514" s="33">
        <v>150</v>
      </c>
      <c r="F2514" s="33">
        <v>143</v>
      </c>
      <c r="G2514" s="33" t="s">
        <v>38</v>
      </c>
      <c r="H2514" s="33" t="s">
        <v>9065</v>
      </c>
      <c r="I2514" s="33" t="s">
        <v>46</v>
      </c>
      <c r="J2514" s="33" t="s">
        <v>40</v>
      </c>
      <c r="L2514" s="33">
        <v>5</v>
      </c>
    </row>
    <row r="2515" spans="1:12" s="33" customFormat="1" hidden="1" x14ac:dyDescent="0.3">
      <c r="A2515" s="39">
        <v>46085.661006944443</v>
      </c>
      <c r="B2515" s="33">
        <v>44998562645</v>
      </c>
      <c r="C2515" s="33" t="s">
        <v>44</v>
      </c>
      <c r="D2515" s="33">
        <v>4430265054</v>
      </c>
      <c r="E2515" s="33">
        <v>675</v>
      </c>
      <c r="F2515" s="33">
        <v>584</v>
      </c>
      <c r="G2515" s="33" t="s">
        <v>38</v>
      </c>
      <c r="H2515" s="33" t="s">
        <v>9066</v>
      </c>
      <c r="I2515" s="33" t="s">
        <v>39</v>
      </c>
      <c r="J2515" s="33" t="s">
        <v>40</v>
      </c>
      <c r="K2515" s="33" t="s">
        <v>41</v>
      </c>
      <c r="L2515" s="33">
        <v>5</v>
      </c>
    </row>
    <row r="2516" spans="1:12" s="33" customFormat="1" hidden="1" x14ac:dyDescent="0.3">
      <c r="A2516" s="39">
        <v>46085.659421296295</v>
      </c>
      <c r="B2516" s="33">
        <v>44984173854</v>
      </c>
      <c r="C2516" s="33">
        <v>3000</v>
      </c>
      <c r="D2516" s="33">
        <v>4430265054</v>
      </c>
      <c r="E2516" s="33">
        <v>277</v>
      </c>
      <c r="F2516" s="33">
        <v>237</v>
      </c>
      <c r="G2516" s="33" t="s">
        <v>38</v>
      </c>
      <c r="H2516" s="33" t="s">
        <v>9067</v>
      </c>
      <c r="I2516" s="33" t="s">
        <v>39</v>
      </c>
      <c r="J2516" s="33" t="s">
        <v>3451</v>
      </c>
      <c r="K2516" s="33" t="s">
        <v>41</v>
      </c>
    </row>
    <row r="2517" spans="1:12" s="33" customFormat="1" hidden="1" x14ac:dyDescent="0.3">
      <c r="A2517" s="39">
        <v>46085.657939814817</v>
      </c>
      <c r="B2517" s="33">
        <v>44984173854</v>
      </c>
      <c r="C2517" s="33" t="s">
        <v>43</v>
      </c>
      <c r="D2517" s="33">
        <v>4430265054</v>
      </c>
      <c r="E2517" s="33">
        <v>115</v>
      </c>
      <c r="F2517" s="33">
        <v>23</v>
      </c>
      <c r="G2517" s="33" t="s">
        <v>38</v>
      </c>
      <c r="H2517" s="33" t="s">
        <v>9068</v>
      </c>
      <c r="I2517" s="33" t="s">
        <v>39</v>
      </c>
      <c r="J2517" s="33" t="s">
        <v>40</v>
      </c>
      <c r="K2517" s="33" t="s">
        <v>41</v>
      </c>
    </row>
    <row r="2518" spans="1:12" s="33" customFormat="1" hidden="1" x14ac:dyDescent="0.3">
      <c r="A2518" s="39">
        <v>46085.655069444445</v>
      </c>
      <c r="B2518" s="33">
        <v>44997650834</v>
      </c>
      <c r="C2518" s="33" t="s">
        <v>44</v>
      </c>
      <c r="D2518" s="33">
        <v>4430265054</v>
      </c>
      <c r="E2518" s="33">
        <v>436</v>
      </c>
      <c r="F2518" s="33">
        <v>398</v>
      </c>
      <c r="G2518" s="33" t="s">
        <v>38</v>
      </c>
      <c r="H2518" s="33" t="s">
        <v>9069</v>
      </c>
      <c r="I2518" s="33" t="s">
        <v>39</v>
      </c>
      <c r="J2518" s="33" t="s">
        <v>40</v>
      </c>
      <c r="K2518" s="33" t="s">
        <v>41</v>
      </c>
      <c r="L2518" s="33">
        <v>5</v>
      </c>
    </row>
    <row r="2519" spans="1:12" s="33" customFormat="1" hidden="1" x14ac:dyDescent="0.3">
      <c r="A2519" s="39">
        <v>46085.650578703702</v>
      </c>
      <c r="B2519" s="33" t="s">
        <v>3627</v>
      </c>
      <c r="C2519" s="33">
        <v>35988483204</v>
      </c>
      <c r="E2519" s="33">
        <v>38</v>
      </c>
      <c r="F2519" s="33">
        <v>0</v>
      </c>
      <c r="G2519" s="33" t="s">
        <v>47</v>
      </c>
      <c r="H2519" s="33" t="s">
        <v>9070</v>
      </c>
      <c r="I2519" s="33" t="s">
        <v>46</v>
      </c>
      <c r="J2519" s="33" t="s">
        <v>3629</v>
      </c>
    </row>
    <row r="2520" spans="1:12" s="33" customFormat="1" hidden="1" x14ac:dyDescent="0.3">
      <c r="A2520" s="39">
        <v>46085.650092592594</v>
      </c>
      <c r="B2520" s="33">
        <v>44997343311</v>
      </c>
      <c r="C2520" s="33" t="s">
        <v>37</v>
      </c>
      <c r="D2520" s="33">
        <v>4430265054</v>
      </c>
      <c r="E2520" s="33">
        <v>1108</v>
      </c>
      <c r="F2520" s="33">
        <v>982</v>
      </c>
      <c r="G2520" s="33" t="s">
        <v>38</v>
      </c>
      <c r="H2520" s="33" t="s">
        <v>9071</v>
      </c>
      <c r="I2520" s="33" t="s">
        <v>39</v>
      </c>
      <c r="J2520" s="33" t="s">
        <v>40</v>
      </c>
      <c r="K2520" s="33" t="s">
        <v>41</v>
      </c>
      <c r="L2520" s="33">
        <v>5</v>
      </c>
    </row>
    <row r="2521" spans="1:12" s="33" customFormat="1" hidden="1" x14ac:dyDescent="0.3">
      <c r="A2521" s="39">
        <v>46085.645590277774</v>
      </c>
      <c r="B2521" s="33">
        <v>44991388221</v>
      </c>
      <c r="C2521" s="33" t="s">
        <v>48</v>
      </c>
      <c r="D2521" s="33">
        <v>4430265054</v>
      </c>
      <c r="E2521" s="33">
        <v>107</v>
      </c>
      <c r="F2521" s="33">
        <v>107</v>
      </c>
      <c r="G2521" s="33" t="s">
        <v>38</v>
      </c>
      <c r="H2521" s="33" t="s">
        <v>9072</v>
      </c>
      <c r="I2521" s="33" t="s">
        <v>39</v>
      </c>
      <c r="J2521" s="33" t="s">
        <v>40</v>
      </c>
      <c r="K2521" s="33" t="s">
        <v>41</v>
      </c>
    </row>
    <row r="2522" spans="1:12" s="33" customFormat="1" hidden="1" x14ac:dyDescent="0.3">
      <c r="A2522" s="39">
        <v>46085.642407407409</v>
      </c>
      <c r="B2522" s="33">
        <v>44998717172</v>
      </c>
      <c r="C2522" s="33" t="s">
        <v>43</v>
      </c>
      <c r="D2522" s="33">
        <v>4430265054</v>
      </c>
      <c r="E2522" s="33">
        <v>919</v>
      </c>
      <c r="F2522" s="33">
        <v>904</v>
      </c>
      <c r="G2522" s="33" t="s">
        <v>38</v>
      </c>
      <c r="H2522" s="33" t="s">
        <v>9073</v>
      </c>
      <c r="I2522" s="33" t="s">
        <v>39</v>
      </c>
      <c r="J2522" s="33" t="s">
        <v>40</v>
      </c>
      <c r="K2522" s="33" t="s">
        <v>41</v>
      </c>
    </row>
    <row r="2523" spans="1:12" s="33" customFormat="1" hidden="1" x14ac:dyDescent="0.3">
      <c r="A2523" s="39">
        <v>46085.641770833332</v>
      </c>
      <c r="B2523" s="33">
        <v>44999654761</v>
      </c>
      <c r="C2523" s="33" t="s">
        <v>44</v>
      </c>
      <c r="D2523" s="33">
        <v>4430265054</v>
      </c>
      <c r="E2523" s="33">
        <v>806</v>
      </c>
      <c r="F2523" s="33">
        <v>768</v>
      </c>
      <c r="G2523" s="33" t="s">
        <v>38</v>
      </c>
      <c r="H2523" s="33" t="s">
        <v>9074</v>
      </c>
      <c r="I2523" s="33" t="s">
        <v>39</v>
      </c>
      <c r="J2523" s="33" t="s">
        <v>40</v>
      </c>
      <c r="K2523" s="33" t="s">
        <v>41</v>
      </c>
    </row>
    <row r="2524" spans="1:12" s="33" customFormat="1" hidden="1" x14ac:dyDescent="0.3">
      <c r="A2524" s="39">
        <v>46085.641504629632</v>
      </c>
      <c r="B2524" s="33">
        <v>44998717172</v>
      </c>
      <c r="C2524" s="33" t="s">
        <v>44</v>
      </c>
      <c r="D2524" s="33">
        <v>4430265054</v>
      </c>
      <c r="E2524" s="33">
        <v>46</v>
      </c>
      <c r="F2524" s="33">
        <v>8</v>
      </c>
      <c r="G2524" s="33" t="s">
        <v>38</v>
      </c>
      <c r="H2524" s="33" t="s">
        <v>9075</v>
      </c>
      <c r="I2524" s="33" t="s">
        <v>39</v>
      </c>
      <c r="J2524" s="33" t="s">
        <v>40</v>
      </c>
      <c r="K2524" s="33" t="s">
        <v>41</v>
      </c>
    </row>
    <row r="2525" spans="1:12" s="33" customFormat="1" hidden="1" x14ac:dyDescent="0.3">
      <c r="A2525" s="39">
        <v>46085.6403587963</v>
      </c>
      <c r="B2525" s="33">
        <v>44998562645</v>
      </c>
      <c r="C2525" s="33">
        <v>4430265054</v>
      </c>
      <c r="D2525" s="33">
        <v>4430265054</v>
      </c>
      <c r="E2525" s="33">
        <v>128</v>
      </c>
      <c r="F2525" s="33">
        <v>126</v>
      </c>
      <c r="G2525" s="33" t="s">
        <v>3449</v>
      </c>
      <c r="H2525" s="33" t="s">
        <v>9076</v>
      </c>
      <c r="I2525" s="33" t="s">
        <v>39</v>
      </c>
      <c r="J2525" s="33" t="s">
        <v>3451</v>
      </c>
      <c r="K2525" s="33" t="s">
        <v>41</v>
      </c>
    </row>
    <row r="2526" spans="1:12" s="33" customFormat="1" hidden="1" x14ac:dyDescent="0.3">
      <c r="A2526" s="39">
        <v>46085.635844907411</v>
      </c>
      <c r="B2526" s="33">
        <v>47991636470</v>
      </c>
      <c r="C2526" s="33" t="s">
        <v>42</v>
      </c>
      <c r="D2526" s="33">
        <v>4430265054</v>
      </c>
      <c r="E2526" s="33">
        <v>1809</v>
      </c>
      <c r="F2526" s="33">
        <v>1732</v>
      </c>
      <c r="G2526" s="33" t="s">
        <v>38</v>
      </c>
      <c r="H2526" s="33" t="s">
        <v>9077</v>
      </c>
      <c r="I2526" s="33" t="s">
        <v>39</v>
      </c>
      <c r="J2526" s="33" t="s">
        <v>40</v>
      </c>
      <c r="K2526" s="33" t="s">
        <v>41</v>
      </c>
    </row>
    <row r="2527" spans="1:12" s="33" customFormat="1" hidden="1" x14ac:dyDescent="0.3">
      <c r="A2527" s="39">
        <v>46085.633055555554</v>
      </c>
      <c r="B2527" s="33">
        <v>4430141533</v>
      </c>
      <c r="C2527" s="33" t="s">
        <v>37</v>
      </c>
      <c r="D2527" s="33">
        <v>4430265054</v>
      </c>
      <c r="E2527" s="33">
        <v>936</v>
      </c>
      <c r="F2527" s="33">
        <v>868</v>
      </c>
      <c r="G2527" s="33" t="s">
        <v>38</v>
      </c>
      <c r="H2527" s="33" t="s">
        <v>9078</v>
      </c>
      <c r="I2527" s="33" t="s">
        <v>39</v>
      </c>
      <c r="J2527" s="33" t="s">
        <v>40</v>
      </c>
      <c r="K2527" s="33" t="s">
        <v>41</v>
      </c>
      <c r="L2527" s="33">
        <v>5</v>
      </c>
    </row>
    <row r="2528" spans="1:12" s="33" customFormat="1" hidden="1" x14ac:dyDescent="0.3">
      <c r="A2528" s="39">
        <v>46085.631666666668</v>
      </c>
      <c r="B2528" s="33">
        <v>6234347959</v>
      </c>
      <c r="C2528" s="33" t="s">
        <v>43</v>
      </c>
      <c r="D2528" s="33">
        <v>4430265054</v>
      </c>
      <c r="E2528" s="33">
        <v>869</v>
      </c>
      <c r="F2528" s="33">
        <v>802</v>
      </c>
      <c r="G2528" s="33" t="s">
        <v>38</v>
      </c>
      <c r="H2528" s="33" t="s">
        <v>9079</v>
      </c>
      <c r="I2528" s="33" t="s">
        <v>39</v>
      </c>
      <c r="J2528" s="33" t="s">
        <v>40</v>
      </c>
      <c r="K2528" s="33" t="s">
        <v>41</v>
      </c>
      <c r="L2528" s="33">
        <v>5</v>
      </c>
    </row>
    <row r="2529" spans="1:12" s="33" customFormat="1" hidden="1" x14ac:dyDescent="0.3">
      <c r="A2529" s="39">
        <v>46085.628113425926</v>
      </c>
      <c r="B2529" s="33">
        <v>11965990735</v>
      </c>
      <c r="C2529" s="33" t="s">
        <v>43</v>
      </c>
      <c r="D2529" s="33">
        <v>4430265054</v>
      </c>
      <c r="E2529" s="33">
        <v>221</v>
      </c>
      <c r="F2529" s="33">
        <v>189</v>
      </c>
      <c r="G2529" s="33" t="s">
        <v>38</v>
      </c>
      <c r="H2529" s="33" t="s">
        <v>9080</v>
      </c>
      <c r="I2529" s="33" t="s">
        <v>39</v>
      </c>
      <c r="J2529" s="33" t="s">
        <v>40</v>
      </c>
      <c r="K2529" s="33" t="s">
        <v>41</v>
      </c>
      <c r="L2529" s="33">
        <v>5</v>
      </c>
    </row>
    <row r="2530" spans="1:12" s="33" customFormat="1" hidden="1" x14ac:dyDescent="0.3">
      <c r="A2530" s="39">
        <v>46085.625115740739</v>
      </c>
      <c r="B2530" s="33" t="s">
        <v>48</v>
      </c>
      <c r="C2530" s="33">
        <v>44991388221</v>
      </c>
      <c r="E2530" s="33">
        <v>611</v>
      </c>
      <c r="F2530" s="33">
        <v>602</v>
      </c>
      <c r="G2530" s="33" t="s">
        <v>38</v>
      </c>
      <c r="H2530" s="33" t="s">
        <v>9081</v>
      </c>
      <c r="I2530" s="33" t="s">
        <v>46</v>
      </c>
      <c r="J2530" s="33" t="s">
        <v>40</v>
      </c>
      <c r="L2530" s="33">
        <v>5</v>
      </c>
    </row>
    <row r="2531" spans="1:12" s="33" customFormat="1" hidden="1" x14ac:dyDescent="0.3">
      <c r="A2531" s="39">
        <v>46085.622523148151</v>
      </c>
      <c r="B2531" s="33">
        <v>1135976208</v>
      </c>
      <c r="C2531" s="33" t="s">
        <v>3873</v>
      </c>
      <c r="D2531" s="33">
        <v>4430265054</v>
      </c>
      <c r="E2531" s="33">
        <v>539</v>
      </c>
      <c r="F2531" s="33">
        <v>538</v>
      </c>
      <c r="G2531" s="33" t="s">
        <v>38</v>
      </c>
      <c r="H2531" s="33" t="s">
        <v>9082</v>
      </c>
      <c r="I2531" s="33" t="s">
        <v>39</v>
      </c>
      <c r="J2531" s="33" t="s">
        <v>3451</v>
      </c>
      <c r="K2531" s="33" t="s">
        <v>41</v>
      </c>
    </row>
    <row r="2532" spans="1:12" s="33" customFormat="1" hidden="1" x14ac:dyDescent="0.3">
      <c r="A2532" s="39">
        <v>46085.622199074074</v>
      </c>
      <c r="B2532" s="33">
        <v>4436281154</v>
      </c>
      <c r="C2532" s="33" t="s">
        <v>44</v>
      </c>
      <c r="D2532" s="33">
        <v>4430265054</v>
      </c>
      <c r="E2532" s="33">
        <v>431</v>
      </c>
      <c r="F2532" s="33">
        <v>382</v>
      </c>
      <c r="G2532" s="33" t="s">
        <v>38</v>
      </c>
      <c r="H2532" s="33" t="s">
        <v>9083</v>
      </c>
      <c r="I2532" s="33" t="s">
        <v>39</v>
      </c>
      <c r="J2532" s="33" t="s">
        <v>40</v>
      </c>
      <c r="K2532" s="33" t="s">
        <v>41</v>
      </c>
    </row>
    <row r="2533" spans="1:12" s="33" customFormat="1" hidden="1" x14ac:dyDescent="0.3">
      <c r="A2533" s="39">
        <v>46085.621712962966</v>
      </c>
      <c r="B2533" s="33">
        <v>4436281154</v>
      </c>
      <c r="C2533" s="33">
        <v>4430265054</v>
      </c>
      <c r="D2533" s="33">
        <v>4430265054</v>
      </c>
      <c r="E2533" s="33">
        <v>40</v>
      </c>
      <c r="F2533" s="33">
        <v>39</v>
      </c>
      <c r="G2533" s="33" t="s">
        <v>3449</v>
      </c>
      <c r="H2533" s="33" t="s">
        <v>9084</v>
      </c>
      <c r="I2533" s="33" t="s">
        <v>39</v>
      </c>
      <c r="J2533" s="33" t="s">
        <v>3451</v>
      </c>
      <c r="K2533" s="33" t="s">
        <v>41</v>
      </c>
    </row>
    <row r="2534" spans="1:12" s="33" customFormat="1" hidden="1" x14ac:dyDescent="0.3">
      <c r="A2534" s="39">
        <v>46085.620034722226</v>
      </c>
      <c r="B2534" s="33">
        <v>73982188717</v>
      </c>
      <c r="C2534" s="33" t="s">
        <v>42</v>
      </c>
      <c r="D2534" s="33">
        <v>4430265054</v>
      </c>
      <c r="E2534" s="33">
        <v>1181</v>
      </c>
      <c r="F2534" s="33">
        <v>1075</v>
      </c>
      <c r="G2534" s="33" t="s">
        <v>38</v>
      </c>
      <c r="H2534" s="33" t="s">
        <v>9085</v>
      </c>
      <c r="I2534" s="33" t="s">
        <v>39</v>
      </c>
      <c r="J2534" s="33" t="s">
        <v>40</v>
      </c>
      <c r="K2534" s="33" t="s">
        <v>41</v>
      </c>
    </row>
    <row r="2535" spans="1:12" s="33" customFormat="1" hidden="1" x14ac:dyDescent="0.3">
      <c r="A2535" s="39">
        <v>46085.619629629633</v>
      </c>
      <c r="B2535" s="33">
        <v>44937562600</v>
      </c>
      <c r="C2535" s="33" t="s">
        <v>45</v>
      </c>
      <c r="D2535" s="33">
        <v>4430265054</v>
      </c>
      <c r="E2535" s="33">
        <v>5035</v>
      </c>
      <c r="F2535" s="33">
        <v>5016</v>
      </c>
      <c r="G2535" s="33" t="s">
        <v>38</v>
      </c>
      <c r="H2535" s="33" t="s">
        <v>9086</v>
      </c>
      <c r="I2535" s="33" t="s">
        <v>39</v>
      </c>
      <c r="J2535" s="33" t="s">
        <v>40</v>
      </c>
      <c r="K2535" s="33" t="s">
        <v>41</v>
      </c>
    </row>
    <row r="2536" spans="1:12" s="33" customFormat="1" hidden="1" x14ac:dyDescent="0.3">
      <c r="A2536" s="39">
        <v>46085.613229166665</v>
      </c>
      <c r="B2536" s="33">
        <v>11965990735</v>
      </c>
      <c r="C2536" s="33">
        <v>4430265054</v>
      </c>
      <c r="D2536" s="33">
        <v>4430265054</v>
      </c>
      <c r="E2536" s="33">
        <v>8</v>
      </c>
      <c r="F2536" s="33">
        <v>7</v>
      </c>
      <c r="G2536" s="33" t="s">
        <v>3449</v>
      </c>
      <c r="H2536" s="33" t="s">
        <v>9087</v>
      </c>
      <c r="I2536" s="33" t="s">
        <v>39</v>
      </c>
      <c r="J2536" s="33" t="s">
        <v>3451</v>
      </c>
    </row>
    <row r="2537" spans="1:12" s="33" customFormat="1" hidden="1" x14ac:dyDescent="0.3">
      <c r="A2537" s="39">
        <v>46085.605983796297</v>
      </c>
      <c r="B2537" s="33" t="s">
        <v>37</v>
      </c>
      <c r="C2537" s="33">
        <v>93991495484</v>
      </c>
      <c r="E2537" s="33">
        <v>451</v>
      </c>
      <c r="F2537" s="33">
        <v>431</v>
      </c>
      <c r="G2537" s="33" t="s">
        <v>38</v>
      </c>
      <c r="H2537" s="33" t="s">
        <v>9088</v>
      </c>
      <c r="I2537" s="33" t="s">
        <v>46</v>
      </c>
      <c r="J2537" s="33" t="s">
        <v>40</v>
      </c>
      <c r="L2537" s="33">
        <v>5</v>
      </c>
    </row>
    <row r="2538" spans="1:12" s="33" customFormat="1" hidden="1" x14ac:dyDescent="0.3">
      <c r="A2538" s="39">
        <v>46085.605752314812</v>
      </c>
      <c r="B2538" s="33" t="s">
        <v>37</v>
      </c>
      <c r="C2538" s="33">
        <v>93991764039</v>
      </c>
      <c r="E2538" s="33">
        <v>14</v>
      </c>
      <c r="F2538" s="33">
        <v>0</v>
      </c>
      <c r="G2538" s="33" t="s">
        <v>47</v>
      </c>
      <c r="H2538" s="33" t="s">
        <v>9089</v>
      </c>
      <c r="I2538" s="33" t="s">
        <v>46</v>
      </c>
      <c r="J2538" s="33" t="s">
        <v>40</v>
      </c>
    </row>
    <row r="2539" spans="1:12" s="33" customFormat="1" hidden="1" x14ac:dyDescent="0.3">
      <c r="A2539" s="39">
        <v>46085.605243055557</v>
      </c>
      <c r="B2539" s="33" t="s">
        <v>37</v>
      </c>
      <c r="C2539" s="33">
        <v>93995233136</v>
      </c>
      <c r="E2539" s="33">
        <v>15</v>
      </c>
      <c r="F2539" s="33">
        <v>0</v>
      </c>
      <c r="G2539" s="33" t="s">
        <v>47</v>
      </c>
      <c r="H2539" s="33" t="s">
        <v>9090</v>
      </c>
      <c r="I2539" s="33" t="s">
        <v>46</v>
      </c>
      <c r="J2539" s="33" t="s">
        <v>40</v>
      </c>
    </row>
    <row r="2540" spans="1:12" s="33" customFormat="1" hidden="1" x14ac:dyDescent="0.3">
      <c r="A2540" s="39">
        <v>46085.599733796298</v>
      </c>
      <c r="B2540" s="33">
        <v>4430141092</v>
      </c>
      <c r="C2540" s="33" t="s">
        <v>45</v>
      </c>
      <c r="D2540" s="33">
        <v>4430265054</v>
      </c>
      <c r="E2540" s="33">
        <v>604</v>
      </c>
      <c r="F2540" s="33">
        <v>554</v>
      </c>
      <c r="G2540" s="33" t="s">
        <v>38</v>
      </c>
      <c r="H2540" s="33" t="s">
        <v>9091</v>
      </c>
      <c r="I2540" s="33" t="s">
        <v>39</v>
      </c>
      <c r="J2540" s="33" t="s">
        <v>40</v>
      </c>
      <c r="K2540" s="33" t="s">
        <v>41</v>
      </c>
    </row>
    <row r="2541" spans="1:12" s="33" customFormat="1" hidden="1" x14ac:dyDescent="0.3">
      <c r="A2541" s="39">
        <v>46085.593819444446</v>
      </c>
      <c r="B2541" s="33" t="s">
        <v>37</v>
      </c>
      <c r="C2541" s="33">
        <v>6434533677</v>
      </c>
      <c r="E2541" s="33">
        <v>198</v>
      </c>
      <c r="F2541" s="33">
        <v>192</v>
      </c>
      <c r="G2541" s="33" t="s">
        <v>38</v>
      </c>
      <c r="H2541" s="33" t="s">
        <v>9092</v>
      </c>
      <c r="I2541" s="33" t="s">
        <v>46</v>
      </c>
      <c r="J2541" s="33" t="s">
        <v>40</v>
      </c>
    </row>
    <row r="2542" spans="1:12" s="33" customFormat="1" hidden="1" x14ac:dyDescent="0.3">
      <c r="A2542" s="39">
        <v>46085.583333333336</v>
      </c>
      <c r="B2542" s="33">
        <v>3432424736</v>
      </c>
      <c r="C2542" s="33" t="s">
        <v>43</v>
      </c>
      <c r="D2542" s="33">
        <v>4430265054</v>
      </c>
      <c r="E2542" s="33">
        <v>452</v>
      </c>
      <c r="F2542" s="33">
        <v>397</v>
      </c>
      <c r="G2542" s="33" t="s">
        <v>38</v>
      </c>
      <c r="H2542" s="33" t="s">
        <v>9093</v>
      </c>
      <c r="I2542" s="33" t="s">
        <v>39</v>
      </c>
      <c r="J2542" s="33" t="s">
        <v>40</v>
      </c>
      <c r="K2542" s="33" t="s">
        <v>41</v>
      </c>
    </row>
    <row r="2543" spans="1:12" s="33" customFormat="1" hidden="1" x14ac:dyDescent="0.3">
      <c r="A2543" s="39">
        <v>46085.582546296297</v>
      </c>
      <c r="B2543" s="33">
        <v>44999654761</v>
      </c>
      <c r="C2543" s="33" t="s">
        <v>48</v>
      </c>
      <c r="D2543" s="33">
        <v>4430265054</v>
      </c>
      <c r="E2543" s="33">
        <v>216</v>
      </c>
      <c r="F2543" s="33">
        <v>173</v>
      </c>
      <c r="G2543" s="33" t="s">
        <v>38</v>
      </c>
      <c r="H2543" s="33" t="s">
        <v>9094</v>
      </c>
      <c r="I2543" s="33" t="s">
        <v>39</v>
      </c>
      <c r="J2543" s="33" t="s">
        <v>40</v>
      </c>
      <c r="K2543" s="33" t="s">
        <v>41</v>
      </c>
    </row>
    <row r="2544" spans="1:12" s="33" customFormat="1" hidden="1" x14ac:dyDescent="0.3">
      <c r="A2544" s="39">
        <v>46085.582314814812</v>
      </c>
      <c r="B2544" s="33">
        <v>1732146970</v>
      </c>
      <c r="C2544" s="33" t="s">
        <v>43</v>
      </c>
      <c r="D2544" s="33">
        <v>4431268225</v>
      </c>
      <c r="E2544" s="33">
        <v>94</v>
      </c>
      <c r="F2544" s="33">
        <v>75</v>
      </c>
      <c r="G2544" s="33" t="s">
        <v>38</v>
      </c>
      <c r="H2544" s="33" t="s">
        <v>9095</v>
      </c>
      <c r="I2544" s="33" t="s">
        <v>39</v>
      </c>
      <c r="J2544" s="33" t="s">
        <v>40</v>
      </c>
      <c r="K2544" s="33" t="s">
        <v>41</v>
      </c>
    </row>
    <row r="2545" spans="1:12" s="33" customFormat="1" hidden="1" x14ac:dyDescent="0.3">
      <c r="A2545" s="39">
        <v>46085.582303240742</v>
      </c>
      <c r="B2545" s="33">
        <v>44997561804</v>
      </c>
      <c r="C2545" s="33" t="s">
        <v>37</v>
      </c>
      <c r="D2545" s="33">
        <v>4430265054</v>
      </c>
      <c r="E2545" s="33">
        <v>699</v>
      </c>
      <c r="F2545" s="33">
        <v>566</v>
      </c>
      <c r="G2545" s="33" t="s">
        <v>38</v>
      </c>
      <c r="H2545" s="33" t="s">
        <v>9096</v>
      </c>
      <c r="I2545" s="33" t="s">
        <v>39</v>
      </c>
      <c r="J2545" s="33" t="s">
        <v>40</v>
      </c>
      <c r="K2545" s="33" t="s">
        <v>41</v>
      </c>
      <c r="L2545" s="33">
        <v>5</v>
      </c>
    </row>
    <row r="2546" spans="1:12" s="33" customFormat="1" hidden="1" x14ac:dyDescent="0.3">
      <c r="A2546" s="39">
        <v>46085.575787037036</v>
      </c>
      <c r="B2546" s="33">
        <v>6234347959</v>
      </c>
      <c r="C2546" s="33" t="s">
        <v>45</v>
      </c>
      <c r="D2546" s="33">
        <v>4430265054</v>
      </c>
      <c r="E2546" s="33">
        <v>228</v>
      </c>
      <c r="F2546" s="33">
        <v>130</v>
      </c>
      <c r="G2546" s="33" t="s">
        <v>38</v>
      </c>
      <c r="H2546" s="33" t="s">
        <v>9097</v>
      </c>
      <c r="I2546" s="33" t="s">
        <v>39</v>
      </c>
      <c r="J2546" s="33" t="s">
        <v>40</v>
      </c>
      <c r="K2546" s="33" t="s">
        <v>41</v>
      </c>
    </row>
    <row r="2547" spans="1:12" s="33" customFormat="1" hidden="1" x14ac:dyDescent="0.3">
      <c r="A2547" s="39">
        <v>46085.575578703705</v>
      </c>
      <c r="B2547" s="33">
        <v>4334226481</v>
      </c>
      <c r="C2547" s="33" t="s">
        <v>48</v>
      </c>
      <c r="D2547" s="33">
        <v>4430265054</v>
      </c>
      <c r="E2547" s="33">
        <v>529</v>
      </c>
      <c r="F2547" s="33">
        <v>504</v>
      </c>
      <c r="G2547" s="33" t="s">
        <v>38</v>
      </c>
      <c r="H2547" s="33" t="s">
        <v>9098</v>
      </c>
      <c r="I2547" s="33" t="s">
        <v>39</v>
      </c>
      <c r="J2547" s="33" t="s">
        <v>40</v>
      </c>
      <c r="K2547" s="33" t="s">
        <v>41</v>
      </c>
    </row>
    <row r="2548" spans="1:12" s="33" customFormat="1" hidden="1" x14ac:dyDescent="0.3">
      <c r="A2548" s="39">
        <v>46085.575497685182</v>
      </c>
      <c r="B2548" s="33">
        <v>4430141092</v>
      </c>
      <c r="C2548" s="33" t="s">
        <v>44</v>
      </c>
      <c r="D2548" s="33">
        <v>4430265054</v>
      </c>
      <c r="E2548" s="33">
        <v>944</v>
      </c>
      <c r="F2548" s="33">
        <v>916</v>
      </c>
      <c r="G2548" s="33" t="s">
        <v>38</v>
      </c>
      <c r="H2548" s="33" t="s">
        <v>9099</v>
      </c>
      <c r="I2548" s="33" t="s">
        <v>39</v>
      </c>
      <c r="J2548" s="33" t="s">
        <v>40</v>
      </c>
      <c r="K2548" s="33" t="s">
        <v>41</v>
      </c>
    </row>
    <row r="2549" spans="1:12" s="33" customFormat="1" hidden="1" x14ac:dyDescent="0.3">
      <c r="A2549" s="39">
        <v>46085.572881944441</v>
      </c>
      <c r="B2549" s="33">
        <v>44988255390</v>
      </c>
      <c r="C2549" s="33" t="s">
        <v>37</v>
      </c>
      <c r="D2549" s="33">
        <v>4430265054</v>
      </c>
      <c r="E2549" s="33">
        <v>780</v>
      </c>
      <c r="F2549" s="33">
        <v>688</v>
      </c>
      <c r="G2549" s="33" t="s">
        <v>38</v>
      </c>
      <c r="H2549" s="33" t="s">
        <v>9100</v>
      </c>
      <c r="I2549" s="33" t="s">
        <v>39</v>
      </c>
      <c r="J2549" s="33" t="s">
        <v>40</v>
      </c>
      <c r="K2549" s="33" t="s">
        <v>41</v>
      </c>
    </row>
    <row r="2550" spans="1:12" s="33" customFormat="1" hidden="1" x14ac:dyDescent="0.3">
      <c r="A2550" s="39">
        <v>46085.570185185185</v>
      </c>
      <c r="B2550" s="33">
        <v>44991213399</v>
      </c>
      <c r="C2550" s="33" t="s">
        <v>43</v>
      </c>
      <c r="D2550" s="33">
        <v>4430265054</v>
      </c>
      <c r="E2550" s="33">
        <v>878</v>
      </c>
      <c r="F2550" s="33">
        <v>839</v>
      </c>
      <c r="G2550" s="33" t="s">
        <v>38</v>
      </c>
      <c r="H2550" s="33" t="s">
        <v>9101</v>
      </c>
      <c r="I2550" s="33" t="s">
        <v>39</v>
      </c>
      <c r="J2550" s="33" t="s">
        <v>40</v>
      </c>
      <c r="K2550" s="33" t="s">
        <v>41</v>
      </c>
      <c r="L2550" s="33">
        <v>5</v>
      </c>
    </row>
    <row r="2551" spans="1:12" s="33" customFormat="1" hidden="1" x14ac:dyDescent="0.3">
      <c r="A2551" s="39">
        <v>46085.569560185184</v>
      </c>
      <c r="B2551" s="33">
        <v>4133423492</v>
      </c>
      <c r="C2551" s="33" t="s">
        <v>42</v>
      </c>
      <c r="D2551" s="33">
        <v>4430265054</v>
      </c>
      <c r="E2551" s="33">
        <v>820</v>
      </c>
      <c r="F2551" s="33">
        <v>614</v>
      </c>
      <c r="G2551" s="33" t="s">
        <v>38</v>
      </c>
      <c r="H2551" s="33" t="s">
        <v>9102</v>
      </c>
      <c r="I2551" s="33" t="s">
        <v>39</v>
      </c>
      <c r="J2551" s="33" t="s">
        <v>40</v>
      </c>
      <c r="K2551" s="33" t="s">
        <v>41</v>
      </c>
    </row>
    <row r="2552" spans="1:12" s="33" customFormat="1" hidden="1" x14ac:dyDescent="0.3">
      <c r="A2552" s="39">
        <v>46085.568136574075</v>
      </c>
      <c r="B2552" s="33">
        <v>4520312689</v>
      </c>
      <c r="C2552" s="33" t="s">
        <v>45</v>
      </c>
      <c r="D2552" s="33">
        <v>4430265054</v>
      </c>
      <c r="E2552" s="33">
        <v>756</v>
      </c>
      <c r="F2552" s="33">
        <v>673</v>
      </c>
      <c r="G2552" s="33" t="s">
        <v>38</v>
      </c>
      <c r="H2552" s="33" t="s">
        <v>9103</v>
      </c>
      <c r="I2552" s="33" t="s">
        <v>39</v>
      </c>
      <c r="J2552" s="33" t="s">
        <v>40</v>
      </c>
      <c r="K2552" s="33" t="s">
        <v>41</v>
      </c>
    </row>
    <row r="2553" spans="1:12" s="33" customFormat="1" hidden="1" x14ac:dyDescent="0.3">
      <c r="A2553" s="39">
        <v>46085.566030092596</v>
      </c>
      <c r="B2553" s="33">
        <v>4331724400</v>
      </c>
      <c r="C2553" s="33" t="s">
        <v>45</v>
      </c>
      <c r="D2553" s="33">
        <v>4430265054</v>
      </c>
      <c r="E2553" s="33">
        <v>199</v>
      </c>
      <c r="F2553" s="33">
        <v>156</v>
      </c>
      <c r="G2553" s="33" t="s">
        <v>38</v>
      </c>
      <c r="H2553" s="33" t="s">
        <v>9104</v>
      </c>
      <c r="I2553" s="33" t="s">
        <v>39</v>
      </c>
      <c r="J2553" s="33" t="s">
        <v>40</v>
      </c>
      <c r="K2553" s="33" t="s">
        <v>41</v>
      </c>
    </row>
    <row r="2554" spans="1:12" s="33" customFormat="1" hidden="1" x14ac:dyDescent="0.3">
      <c r="A2554" s="39">
        <v>46085.564791666664</v>
      </c>
      <c r="B2554" s="33" t="s">
        <v>43</v>
      </c>
      <c r="C2554" s="33">
        <v>1732146970</v>
      </c>
      <c r="E2554" s="33">
        <v>134</v>
      </c>
      <c r="F2554" s="33">
        <v>132</v>
      </c>
      <c r="G2554" s="33" t="s">
        <v>38</v>
      </c>
      <c r="H2554" s="33" t="s">
        <v>9105</v>
      </c>
      <c r="I2554" s="33" t="s">
        <v>46</v>
      </c>
      <c r="J2554" s="33" t="s">
        <v>40</v>
      </c>
    </row>
    <row r="2555" spans="1:12" s="33" customFormat="1" hidden="1" x14ac:dyDescent="0.3">
      <c r="A2555" s="39">
        <v>46085.563854166663</v>
      </c>
      <c r="B2555" s="33">
        <v>4432325260</v>
      </c>
      <c r="C2555" s="33" t="s">
        <v>45</v>
      </c>
      <c r="D2555" s="33">
        <v>4430265054</v>
      </c>
      <c r="E2555" s="33">
        <v>99</v>
      </c>
      <c r="F2555" s="33">
        <v>60</v>
      </c>
      <c r="G2555" s="33" t="s">
        <v>38</v>
      </c>
      <c r="H2555" s="33" t="s">
        <v>9106</v>
      </c>
      <c r="I2555" s="33" t="s">
        <v>39</v>
      </c>
      <c r="J2555" s="33" t="s">
        <v>40</v>
      </c>
      <c r="K2555" s="33" t="s">
        <v>41</v>
      </c>
    </row>
    <row r="2556" spans="1:12" s="33" customFormat="1" hidden="1" x14ac:dyDescent="0.3">
      <c r="A2556" s="39">
        <v>46085.557858796295</v>
      </c>
      <c r="B2556" s="33" t="s">
        <v>45</v>
      </c>
      <c r="C2556" s="33">
        <v>44991174709</v>
      </c>
      <c r="E2556" s="33">
        <v>97</v>
      </c>
      <c r="F2556" s="33">
        <v>88</v>
      </c>
      <c r="G2556" s="33" t="s">
        <v>38</v>
      </c>
      <c r="H2556" s="33" t="s">
        <v>9107</v>
      </c>
      <c r="I2556" s="33" t="s">
        <v>46</v>
      </c>
      <c r="J2556" s="33" t="s">
        <v>40</v>
      </c>
    </row>
    <row r="2557" spans="1:12" s="33" customFormat="1" hidden="1" x14ac:dyDescent="0.3">
      <c r="A2557" s="39">
        <v>46085.556331018517</v>
      </c>
      <c r="B2557" s="33">
        <v>4133423492</v>
      </c>
      <c r="C2557" s="33">
        <v>4430265054</v>
      </c>
      <c r="D2557" s="33">
        <v>4430265054</v>
      </c>
      <c r="E2557" s="33">
        <v>28</v>
      </c>
      <c r="F2557" s="33">
        <v>28</v>
      </c>
      <c r="G2557" s="33" t="s">
        <v>3449</v>
      </c>
      <c r="H2557" s="33" t="s">
        <v>9108</v>
      </c>
      <c r="I2557" s="33" t="s">
        <v>39</v>
      </c>
      <c r="J2557" s="33" t="s">
        <v>3451</v>
      </c>
    </row>
    <row r="2558" spans="1:12" s="33" customFormat="1" hidden="1" x14ac:dyDescent="0.3">
      <c r="A2558" s="39">
        <v>46085.555694444447</v>
      </c>
      <c r="B2558" s="33">
        <v>4133423492</v>
      </c>
      <c r="C2558" s="33">
        <v>4430265054</v>
      </c>
      <c r="D2558" s="33">
        <v>4430265054</v>
      </c>
      <c r="E2558" s="33">
        <v>29</v>
      </c>
      <c r="F2558" s="33">
        <v>28</v>
      </c>
      <c r="G2558" s="33" t="s">
        <v>3449</v>
      </c>
      <c r="H2558" s="33" t="s">
        <v>9109</v>
      </c>
      <c r="I2558" s="33" t="s">
        <v>39</v>
      </c>
      <c r="J2558" s="33" t="s">
        <v>3451</v>
      </c>
    </row>
    <row r="2559" spans="1:12" s="33" customFormat="1" hidden="1" x14ac:dyDescent="0.3">
      <c r="A2559" s="39">
        <v>46085.498298611114</v>
      </c>
      <c r="B2559" s="33">
        <v>62992789056</v>
      </c>
      <c r="C2559" s="33" t="s">
        <v>43</v>
      </c>
      <c r="D2559" s="33">
        <v>4430265054</v>
      </c>
      <c r="E2559" s="33">
        <v>188</v>
      </c>
      <c r="F2559" s="33">
        <v>85</v>
      </c>
      <c r="G2559" s="33" t="s">
        <v>38</v>
      </c>
      <c r="H2559" s="33" t="s">
        <v>9110</v>
      </c>
      <c r="I2559" s="33" t="s">
        <v>39</v>
      </c>
      <c r="J2559" s="33" t="s">
        <v>40</v>
      </c>
      <c r="K2559" s="33" t="s">
        <v>41</v>
      </c>
    </row>
    <row r="2560" spans="1:12" s="33" customFormat="1" hidden="1" x14ac:dyDescent="0.3">
      <c r="A2560" s="39">
        <v>46085.49322916667</v>
      </c>
      <c r="B2560" s="33">
        <v>44991388221</v>
      </c>
      <c r="C2560" s="33" t="s">
        <v>37</v>
      </c>
      <c r="D2560" s="33">
        <v>4430265054</v>
      </c>
      <c r="E2560" s="33">
        <v>605</v>
      </c>
      <c r="F2560" s="33">
        <v>462</v>
      </c>
      <c r="G2560" s="33" t="s">
        <v>38</v>
      </c>
      <c r="H2560" s="33" t="s">
        <v>9111</v>
      </c>
      <c r="I2560" s="33" t="s">
        <v>39</v>
      </c>
      <c r="J2560" s="33" t="s">
        <v>40</v>
      </c>
      <c r="K2560" s="33" t="s">
        <v>41</v>
      </c>
      <c r="L2560" s="33">
        <v>5</v>
      </c>
    </row>
    <row r="2561" spans="1:12" s="33" customFormat="1" hidden="1" x14ac:dyDescent="0.3">
      <c r="A2561" s="39">
        <v>46085.488287037035</v>
      </c>
      <c r="B2561" s="33" t="s">
        <v>43</v>
      </c>
      <c r="C2561" s="33">
        <v>91985176746</v>
      </c>
      <c r="E2561" s="33">
        <v>29</v>
      </c>
      <c r="F2561" s="33">
        <v>0</v>
      </c>
      <c r="G2561" s="33" t="s">
        <v>47</v>
      </c>
      <c r="H2561" s="33" t="s">
        <v>9112</v>
      </c>
      <c r="I2561" s="33" t="s">
        <v>46</v>
      </c>
      <c r="J2561" s="33" t="s">
        <v>40</v>
      </c>
    </row>
    <row r="2562" spans="1:12" s="33" customFormat="1" hidden="1" x14ac:dyDescent="0.3">
      <c r="A2562" s="39">
        <v>46085.488113425927</v>
      </c>
      <c r="B2562" s="33" t="s">
        <v>43</v>
      </c>
      <c r="C2562" s="33">
        <v>91985176746</v>
      </c>
      <c r="E2562" s="33">
        <v>37</v>
      </c>
      <c r="F2562" s="33">
        <v>32</v>
      </c>
      <c r="G2562" s="33" t="s">
        <v>38</v>
      </c>
      <c r="H2562" s="33" t="s">
        <v>9113</v>
      </c>
      <c r="I2562" s="33" t="s">
        <v>46</v>
      </c>
      <c r="J2562" s="33" t="s">
        <v>40</v>
      </c>
    </row>
    <row r="2563" spans="1:12" s="33" customFormat="1" hidden="1" x14ac:dyDescent="0.3">
      <c r="A2563" s="39">
        <v>46085.486527777779</v>
      </c>
      <c r="B2563" s="33" t="s">
        <v>45</v>
      </c>
      <c r="C2563" s="33">
        <v>44991174709</v>
      </c>
      <c r="E2563" s="33">
        <v>20</v>
      </c>
      <c r="F2563" s="33">
        <v>0</v>
      </c>
      <c r="G2563" s="33" t="s">
        <v>47</v>
      </c>
      <c r="H2563" s="33" t="s">
        <v>9114</v>
      </c>
      <c r="I2563" s="33" t="s">
        <v>46</v>
      </c>
      <c r="J2563" s="33" t="s">
        <v>40</v>
      </c>
    </row>
    <row r="2564" spans="1:12" s="33" customFormat="1" hidden="1" x14ac:dyDescent="0.3">
      <c r="A2564" s="39">
        <v>46085.482766203706</v>
      </c>
      <c r="B2564" s="33" t="s">
        <v>37</v>
      </c>
      <c r="C2564" s="33">
        <v>4436351414</v>
      </c>
      <c r="E2564" s="33">
        <v>31</v>
      </c>
      <c r="F2564" s="33">
        <v>0</v>
      </c>
      <c r="G2564" s="33" t="s">
        <v>47</v>
      </c>
      <c r="H2564" s="33" t="s">
        <v>9115</v>
      </c>
      <c r="I2564" s="33" t="s">
        <v>46</v>
      </c>
      <c r="J2564" s="33" t="s">
        <v>40</v>
      </c>
    </row>
    <row r="2565" spans="1:12" s="33" customFormat="1" hidden="1" x14ac:dyDescent="0.3">
      <c r="A2565" s="39">
        <v>46085.48232638889</v>
      </c>
      <c r="B2565" s="33" t="s">
        <v>37</v>
      </c>
      <c r="C2565" s="33">
        <v>4436351414</v>
      </c>
      <c r="E2565" s="33">
        <v>31</v>
      </c>
      <c r="F2565" s="33">
        <v>0</v>
      </c>
      <c r="G2565" s="33" t="s">
        <v>47</v>
      </c>
      <c r="H2565" s="33" t="s">
        <v>9116</v>
      </c>
      <c r="I2565" s="33" t="s">
        <v>46</v>
      </c>
      <c r="J2565" s="33" t="s">
        <v>40</v>
      </c>
    </row>
    <row r="2566" spans="1:12" s="33" customFormat="1" hidden="1" x14ac:dyDescent="0.3">
      <c r="A2566" s="39">
        <v>46085.482118055559</v>
      </c>
      <c r="B2566" s="33" t="s">
        <v>37</v>
      </c>
      <c r="C2566" s="33">
        <v>44998387878</v>
      </c>
      <c r="E2566" s="33">
        <v>16</v>
      </c>
      <c r="F2566" s="33">
        <v>0</v>
      </c>
      <c r="G2566" s="33" t="s">
        <v>47</v>
      </c>
      <c r="H2566" s="33" t="s">
        <v>9117</v>
      </c>
      <c r="I2566" s="33" t="s">
        <v>46</v>
      </c>
      <c r="J2566" s="33" t="s">
        <v>40</v>
      </c>
    </row>
    <row r="2567" spans="1:12" s="33" customFormat="1" hidden="1" x14ac:dyDescent="0.3">
      <c r="A2567" s="39">
        <v>46085.478888888887</v>
      </c>
      <c r="B2567" s="33" t="s">
        <v>51</v>
      </c>
      <c r="C2567" s="33">
        <v>4432247966</v>
      </c>
      <c r="E2567" s="33">
        <v>46</v>
      </c>
      <c r="F2567" s="33">
        <v>36</v>
      </c>
      <c r="G2567" s="33" t="s">
        <v>38</v>
      </c>
      <c r="H2567" s="33" t="s">
        <v>9118</v>
      </c>
      <c r="I2567" s="33" t="s">
        <v>46</v>
      </c>
      <c r="J2567" s="33" t="s">
        <v>3629</v>
      </c>
    </row>
    <row r="2568" spans="1:12" s="33" customFormat="1" hidden="1" x14ac:dyDescent="0.3">
      <c r="A2568" s="39">
        <v>46085.477916666663</v>
      </c>
      <c r="B2568" s="33" t="s">
        <v>45</v>
      </c>
      <c r="C2568" s="33">
        <v>4330333542</v>
      </c>
      <c r="E2568" s="33">
        <v>263</v>
      </c>
      <c r="F2568" s="33">
        <v>254</v>
      </c>
      <c r="G2568" s="33" t="s">
        <v>38</v>
      </c>
      <c r="H2568" s="33" t="s">
        <v>9119</v>
      </c>
      <c r="I2568" s="33" t="s">
        <v>46</v>
      </c>
      <c r="J2568" s="33" t="s">
        <v>40</v>
      </c>
      <c r="L2568" s="33">
        <v>5</v>
      </c>
    </row>
    <row r="2569" spans="1:12" s="33" customFormat="1" hidden="1" x14ac:dyDescent="0.3">
      <c r="A2569" s="39">
        <v>46085.477766203701</v>
      </c>
      <c r="B2569" s="33" t="s">
        <v>48</v>
      </c>
      <c r="C2569" s="33">
        <v>14996002383</v>
      </c>
      <c r="E2569" s="33">
        <v>510</v>
      </c>
      <c r="F2569" s="33">
        <v>496</v>
      </c>
      <c r="G2569" s="33" t="s">
        <v>38</v>
      </c>
      <c r="H2569" s="33" t="s">
        <v>9120</v>
      </c>
      <c r="I2569" s="33" t="s">
        <v>46</v>
      </c>
      <c r="J2569" s="33" t="s">
        <v>40</v>
      </c>
    </row>
    <row r="2570" spans="1:12" s="33" customFormat="1" hidden="1" x14ac:dyDescent="0.3">
      <c r="A2570" s="39">
        <v>46085.469606481478</v>
      </c>
      <c r="B2570" s="33">
        <v>1131515685</v>
      </c>
      <c r="C2570" s="33" t="s">
        <v>37</v>
      </c>
      <c r="D2570" s="33">
        <v>4430265054</v>
      </c>
      <c r="E2570" s="33">
        <v>260</v>
      </c>
      <c r="F2570" s="33">
        <v>214</v>
      </c>
      <c r="G2570" s="33" t="s">
        <v>38</v>
      </c>
      <c r="H2570" s="33" t="s">
        <v>9121</v>
      </c>
      <c r="I2570" s="33" t="s">
        <v>39</v>
      </c>
      <c r="J2570" s="33" t="s">
        <v>40</v>
      </c>
      <c r="K2570" s="33" t="s">
        <v>41</v>
      </c>
      <c r="L2570" s="33">
        <v>5</v>
      </c>
    </row>
    <row r="2571" spans="1:12" s="33" customFormat="1" hidden="1" x14ac:dyDescent="0.3">
      <c r="A2571" s="39">
        <v>46085.468124999999</v>
      </c>
      <c r="B2571" s="33" t="s">
        <v>42</v>
      </c>
      <c r="C2571" s="33">
        <v>4430191465</v>
      </c>
      <c r="E2571" s="33">
        <v>266</v>
      </c>
      <c r="F2571" s="33">
        <v>252</v>
      </c>
      <c r="G2571" s="33" t="s">
        <v>38</v>
      </c>
      <c r="H2571" s="33" t="s">
        <v>9122</v>
      </c>
      <c r="I2571" s="33" t="s">
        <v>46</v>
      </c>
      <c r="J2571" s="33" t="s">
        <v>40</v>
      </c>
    </row>
    <row r="2572" spans="1:12" s="33" customFormat="1" hidden="1" x14ac:dyDescent="0.3">
      <c r="A2572" s="39">
        <v>46085.46634259259</v>
      </c>
      <c r="B2572" s="33">
        <v>44997123083</v>
      </c>
      <c r="C2572" s="33" t="s">
        <v>43</v>
      </c>
      <c r="D2572" s="33">
        <v>4430265054</v>
      </c>
      <c r="E2572" s="33">
        <v>229</v>
      </c>
      <c r="F2572" s="33">
        <v>147</v>
      </c>
      <c r="G2572" s="33" t="s">
        <v>38</v>
      </c>
      <c r="H2572" s="33" t="s">
        <v>9123</v>
      </c>
      <c r="I2572" s="33" t="s">
        <v>39</v>
      </c>
      <c r="J2572" s="33" t="s">
        <v>40</v>
      </c>
      <c r="K2572" s="33" t="s">
        <v>41</v>
      </c>
    </row>
    <row r="2573" spans="1:12" s="33" customFormat="1" hidden="1" x14ac:dyDescent="0.3">
      <c r="A2573" s="39">
        <v>46085.46429398148</v>
      </c>
      <c r="B2573" s="33">
        <v>11965990735</v>
      </c>
      <c r="C2573" s="33" t="s">
        <v>44</v>
      </c>
      <c r="D2573" s="33">
        <v>4430265054</v>
      </c>
      <c r="E2573" s="33">
        <v>264</v>
      </c>
      <c r="F2573" s="33">
        <v>199</v>
      </c>
      <c r="G2573" s="33" t="s">
        <v>38</v>
      </c>
      <c r="H2573" s="33" t="s">
        <v>9124</v>
      </c>
      <c r="I2573" s="33" t="s">
        <v>39</v>
      </c>
      <c r="J2573" s="33" t="s">
        <v>40</v>
      </c>
      <c r="K2573" s="33" t="s">
        <v>41</v>
      </c>
    </row>
    <row r="2574" spans="1:12" s="33" customFormat="1" hidden="1" x14ac:dyDescent="0.3">
      <c r="A2574" s="39">
        <v>46085.460949074077</v>
      </c>
      <c r="B2574" s="33">
        <v>11971245198</v>
      </c>
      <c r="C2574" s="33" t="s">
        <v>45</v>
      </c>
      <c r="D2574" s="33">
        <v>4430265054</v>
      </c>
      <c r="E2574" s="33">
        <v>389</v>
      </c>
      <c r="F2574" s="33">
        <v>351</v>
      </c>
      <c r="G2574" s="33" t="s">
        <v>38</v>
      </c>
      <c r="H2574" s="33" t="s">
        <v>9125</v>
      </c>
      <c r="I2574" s="33" t="s">
        <v>39</v>
      </c>
      <c r="J2574" s="33" t="s">
        <v>40</v>
      </c>
      <c r="K2574" s="33" t="s">
        <v>41</v>
      </c>
    </row>
    <row r="2575" spans="1:12" s="33" customFormat="1" hidden="1" x14ac:dyDescent="0.3">
      <c r="A2575" s="39">
        <v>46085.459363425929</v>
      </c>
      <c r="B2575" s="33">
        <v>43999388040</v>
      </c>
      <c r="C2575" s="33" t="s">
        <v>37</v>
      </c>
      <c r="D2575" s="33">
        <v>4430265054</v>
      </c>
      <c r="E2575" s="33">
        <v>663</v>
      </c>
      <c r="F2575" s="33">
        <v>603</v>
      </c>
      <c r="G2575" s="33" t="s">
        <v>38</v>
      </c>
      <c r="H2575" s="33" t="s">
        <v>9126</v>
      </c>
      <c r="I2575" s="33" t="s">
        <v>39</v>
      </c>
      <c r="J2575" s="33" t="s">
        <v>40</v>
      </c>
      <c r="K2575" s="33" t="s">
        <v>41</v>
      </c>
    </row>
    <row r="2576" spans="1:12" s="33" customFormat="1" hidden="1" x14ac:dyDescent="0.3">
      <c r="A2576" s="39">
        <v>46085.458749999998</v>
      </c>
      <c r="B2576" s="33">
        <v>44991388221</v>
      </c>
      <c r="C2576" s="33" t="s">
        <v>43</v>
      </c>
      <c r="D2576" s="33">
        <v>4430265054</v>
      </c>
      <c r="E2576" s="33">
        <v>594</v>
      </c>
      <c r="F2576" s="33">
        <v>536</v>
      </c>
      <c r="G2576" s="33" t="s">
        <v>38</v>
      </c>
      <c r="H2576" s="33" t="s">
        <v>9127</v>
      </c>
      <c r="I2576" s="33" t="s">
        <v>39</v>
      </c>
      <c r="J2576" s="33" t="s">
        <v>40</v>
      </c>
      <c r="K2576" s="33" t="s">
        <v>41</v>
      </c>
    </row>
    <row r="2577" spans="1:12" s="33" customFormat="1" hidden="1" x14ac:dyDescent="0.3">
      <c r="A2577" s="39">
        <v>46085.45385416667</v>
      </c>
      <c r="B2577" s="33">
        <v>43999317663</v>
      </c>
      <c r="C2577" s="33" t="s">
        <v>48</v>
      </c>
      <c r="D2577" s="33">
        <v>4430265054</v>
      </c>
      <c r="E2577" s="33">
        <v>226</v>
      </c>
      <c r="F2577" s="33">
        <v>225</v>
      </c>
      <c r="G2577" s="33" t="s">
        <v>38</v>
      </c>
      <c r="H2577" s="33" t="s">
        <v>9128</v>
      </c>
      <c r="I2577" s="33" t="s">
        <v>39</v>
      </c>
      <c r="J2577" s="33" t="s">
        <v>40</v>
      </c>
      <c r="K2577" s="33" t="s">
        <v>41</v>
      </c>
    </row>
    <row r="2578" spans="1:12" s="33" customFormat="1" x14ac:dyDescent="0.3">
      <c r="A2578" s="39">
        <v>46085.452638888892</v>
      </c>
      <c r="B2578" s="33">
        <v>35998295948</v>
      </c>
      <c r="C2578" s="33" t="s">
        <v>42</v>
      </c>
      <c r="D2578" s="33">
        <v>4430265054</v>
      </c>
      <c r="E2578" s="33">
        <v>645</v>
      </c>
      <c r="F2578" s="33">
        <v>511</v>
      </c>
      <c r="G2578" s="33" t="s">
        <v>38</v>
      </c>
      <c r="H2578" s="33" t="s">
        <v>9129</v>
      </c>
      <c r="I2578" s="33" t="s">
        <v>39</v>
      </c>
      <c r="J2578" s="33" t="s">
        <v>40</v>
      </c>
      <c r="K2578" s="33" t="s">
        <v>41</v>
      </c>
      <c r="L2578" s="33">
        <v>5</v>
      </c>
    </row>
    <row r="2579" spans="1:12" s="33" customFormat="1" hidden="1" x14ac:dyDescent="0.3">
      <c r="A2579" s="39">
        <v>46085.451631944445</v>
      </c>
      <c r="B2579" s="33">
        <v>3432424736</v>
      </c>
      <c r="C2579" s="33" t="s">
        <v>45</v>
      </c>
      <c r="D2579" s="33">
        <v>4430265054</v>
      </c>
      <c r="E2579" s="33">
        <v>677</v>
      </c>
      <c r="F2579" s="33">
        <v>617</v>
      </c>
      <c r="G2579" s="33" t="s">
        <v>38</v>
      </c>
      <c r="H2579" s="33" t="s">
        <v>9130</v>
      </c>
      <c r="I2579" s="33" t="s">
        <v>39</v>
      </c>
      <c r="J2579" s="33" t="s">
        <v>40</v>
      </c>
      <c r="K2579" s="33" t="s">
        <v>41</v>
      </c>
    </row>
    <row r="2580" spans="1:12" s="33" customFormat="1" hidden="1" x14ac:dyDescent="0.3">
      <c r="A2580" s="39">
        <v>46085.445659722223</v>
      </c>
      <c r="B2580" s="33">
        <v>43999388040</v>
      </c>
      <c r="C2580" s="33" t="s">
        <v>48</v>
      </c>
      <c r="D2580" s="33">
        <v>4430265054</v>
      </c>
      <c r="E2580" s="33">
        <v>461</v>
      </c>
      <c r="F2580" s="33">
        <v>382</v>
      </c>
      <c r="G2580" s="33" t="s">
        <v>38</v>
      </c>
      <c r="H2580" s="33" t="s">
        <v>9131</v>
      </c>
      <c r="I2580" s="33" t="s">
        <v>39</v>
      </c>
      <c r="J2580" s="33" t="s">
        <v>40</v>
      </c>
      <c r="K2580" s="33" t="s">
        <v>41</v>
      </c>
    </row>
    <row r="2581" spans="1:12" s="33" customFormat="1" hidden="1" x14ac:dyDescent="0.3">
      <c r="A2581" s="39">
        <v>46085.445138888892</v>
      </c>
      <c r="B2581" s="33">
        <v>4532541802</v>
      </c>
      <c r="C2581" s="33" t="s">
        <v>44</v>
      </c>
      <c r="D2581" s="33">
        <v>4430265054</v>
      </c>
      <c r="E2581" s="33">
        <v>694</v>
      </c>
      <c r="F2581" s="33">
        <v>574</v>
      </c>
      <c r="G2581" s="33" t="s">
        <v>38</v>
      </c>
      <c r="H2581" s="33" t="s">
        <v>9132</v>
      </c>
      <c r="I2581" s="33" t="s">
        <v>39</v>
      </c>
      <c r="J2581" s="33" t="s">
        <v>40</v>
      </c>
      <c r="K2581" s="33" t="s">
        <v>41</v>
      </c>
    </row>
    <row r="2582" spans="1:12" s="33" customFormat="1" hidden="1" x14ac:dyDescent="0.3">
      <c r="A2582" s="39">
        <v>46085.444907407407</v>
      </c>
      <c r="B2582" s="33">
        <v>44997123083</v>
      </c>
      <c r="C2582" s="33" t="s">
        <v>43</v>
      </c>
      <c r="D2582" s="33">
        <v>4430265054</v>
      </c>
      <c r="E2582" s="33">
        <v>1045</v>
      </c>
      <c r="F2582" s="33">
        <v>1009</v>
      </c>
      <c r="G2582" s="33" t="s">
        <v>38</v>
      </c>
      <c r="H2582" s="33" t="s">
        <v>9133</v>
      </c>
      <c r="I2582" s="33" t="s">
        <v>39</v>
      </c>
      <c r="J2582" s="33" t="s">
        <v>40</v>
      </c>
      <c r="K2582" s="33" t="s">
        <v>41</v>
      </c>
    </row>
    <row r="2583" spans="1:12" s="33" customFormat="1" hidden="1" x14ac:dyDescent="0.3">
      <c r="A2583" s="39">
        <v>46085.441863425927</v>
      </c>
      <c r="B2583" s="33">
        <v>4334234629</v>
      </c>
      <c r="C2583" s="33" t="s">
        <v>37</v>
      </c>
      <c r="D2583" s="33">
        <v>4430265054</v>
      </c>
      <c r="E2583" s="33">
        <v>1174</v>
      </c>
      <c r="F2583" s="33">
        <v>1137</v>
      </c>
      <c r="G2583" s="33" t="s">
        <v>38</v>
      </c>
      <c r="H2583" s="33" t="s">
        <v>9134</v>
      </c>
      <c r="I2583" s="33" t="s">
        <v>39</v>
      </c>
      <c r="J2583" s="33" t="s">
        <v>40</v>
      </c>
      <c r="K2583" s="33" t="s">
        <v>41</v>
      </c>
      <c r="L2583" s="33">
        <v>5</v>
      </c>
    </row>
    <row r="2584" spans="1:12" s="33" customFormat="1" hidden="1" x14ac:dyDescent="0.3">
      <c r="A2584" s="39">
        <v>46085.440740740742</v>
      </c>
      <c r="B2584" s="33">
        <v>1128787060</v>
      </c>
      <c r="C2584" s="33" t="s">
        <v>42</v>
      </c>
      <c r="D2584" s="33">
        <v>4430265054</v>
      </c>
      <c r="E2584" s="33">
        <v>280</v>
      </c>
      <c r="F2584" s="33">
        <v>271</v>
      </c>
      <c r="G2584" s="33" t="s">
        <v>38</v>
      </c>
      <c r="H2584" s="33" t="s">
        <v>9135</v>
      </c>
      <c r="I2584" s="33" t="s">
        <v>39</v>
      </c>
      <c r="J2584" s="33" t="s">
        <v>40</v>
      </c>
      <c r="K2584" s="33" t="s">
        <v>41</v>
      </c>
    </row>
    <row r="2585" spans="1:12" s="33" customFormat="1" hidden="1" x14ac:dyDescent="0.3">
      <c r="A2585" s="39">
        <v>46085.439872685187</v>
      </c>
      <c r="B2585" s="33">
        <v>1128787060</v>
      </c>
      <c r="C2585" s="33">
        <v>4430265054</v>
      </c>
      <c r="D2585" s="33">
        <v>4430265054</v>
      </c>
      <c r="E2585" s="33">
        <v>38</v>
      </c>
      <c r="F2585" s="33">
        <v>37</v>
      </c>
      <c r="G2585" s="33" t="s">
        <v>3449</v>
      </c>
      <c r="H2585" s="33" t="s">
        <v>9136</v>
      </c>
      <c r="I2585" s="33" t="s">
        <v>39</v>
      </c>
      <c r="J2585" s="33" t="s">
        <v>3451</v>
      </c>
      <c r="K2585" s="33" t="s">
        <v>41</v>
      </c>
    </row>
    <row r="2586" spans="1:12" s="33" customFormat="1" hidden="1" x14ac:dyDescent="0.3">
      <c r="A2586" s="39">
        <v>46085.433055555557</v>
      </c>
      <c r="B2586" s="33">
        <v>44999654761</v>
      </c>
      <c r="C2586" s="33" t="s">
        <v>42</v>
      </c>
      <c r="D2586" s="33">
        <v>4430265054</v>
      </c>
      <c r="E2586" s="33">
        <v>257</v>
      </c>
      <c r="F2586" s="33">
        <v>214</v>
      </c>
      <c r="G2586" s="33" t="s">
        <v>38</v>
      </c>
      <c r="H2586" s="33" t="s">
        <v>9137</v>
      </c>
      <c r="I2586" s="33" t="s">
        <v>39</v>
      </c>
      <c r="J2586" s="33" t="s">
        <v>40</v>
      </c>
      <c r="K2586" s="33" t="s">
        <v>41</v>
      </c>
    </row>
    <row r="2587" spans="1:12" s="33" customFormat="1" hidden="1" x14ac:dyDescent="0.3">
      <c r="A2587" s="39">
        <v>46085.432708333334</v>
      </c>
      <c r="B2587" s="33">
        <v>4430141092</v>
      </c>
      <c r="C2587" s="33" t="s">
        <v>48</v>
      </c>
      <c r="D2587" s="33">
        <v>4430265054</v>
      </c>
      <c r="E2587" s="33">
        <v>449</v>
      </c>
      <c r="F2587" s="33">
        <v>363</v>
      </c>
      <c r="G2587" s="33" t="s">
        <v>38</v>
      </c>
      <c r="H2587" s="33" t="s">
        <v>9138</v>
      </c>
      <c r="I2587" s="33" t="s">
        <v>39</v>
      </c>
      <c r="J2587" s="33" t="s">
        <v>40</v>
      </c>
      <c r="K2587" s="33" t="s">
        <v>41</v>
      </c>
    </row>
    <row r="2588" spans="1:12" s="33" customFormat="1" hidden="1" x14ac:dyDescent="0.3">
      <c r="A2588" s="39">
        <v>46085.432141203702</v>
      </c>
      <c r="B2588" s="33">
        <v>4532541802</v>
      </c>
      <c r="C2588" s="33" t="s">
        <v>44</v>
      </c>
      <c r="D2588" s="33">
        <v>4430265054</v>
      </c>
      <c r="E2588" s="33">
        <v>996</v>
      </c>
      <c r="F2588" s="33">
        <v>877</v>
      </c>
      <c r="G2588" s="33" t="s">
        <v>38</v>
      </c>
      <c r="H2588" s="33" t="s">
        <v>9139</v>
      </c>
      <c r="I2588" s="33" t="s">
        <v>39</v>
      </c>
      <c r="J2588" s="33" t="s">
        <v>40</v>
      </c>
      <c r="K2588" s="33" t="s">
        <v>41</v>
      </c>
      <c r="L2588" s="33">
        <v>5</v>
      </c>
    </row>
    <row r="2589" spans="1:12" s="33" customFormat="1" hidden="1" x14ac:dyDescent="0.3">
      <c r="A2589" s="39">
        <v>46085.428599537037</v>
      </c>
      <c r="B2589" s="33">
        <v>35998295948</v>
      </c>
      <c r="C2589" s="33" t="s">
        <v>45</v>
      </c>
      <c r="D2589" s="33">
        <v>4430265054</v>
      </c>
      <c r="E2589" s="33">
        <v>1267</v>
      </c>
      <c r="F2589" s="33">
        <v>1222</v>
      </c>
      <c r="G2589" s="33" t="s">
        <v>38</v>
      </c>
      <c r="H2589" s="33" t="s">
        <v>9140</v>
      </c>
      <c r="I2589" s="33" t="s">
        <v>39</v>
      </c>
      <c r="J2589" s="33" t="s">
        <v>40</v>
      </c>
      <c r="K2589" s="33" t="s">
        <v>41</v>
      </c>
    </row>
    <row r="2590" spans="1:12" s="33" customFormat="1" hidden="1" x14ac:dyDescent="0.3">
      <c r="A2590" s="39">
        <v>46085.42732638889</v>
      </c>
      <c r="B2590" s="33">
        <v>44998006660</v>
      </c>
      <c r="C2590" s="33" t="s">
        <v>37</v>
      </c>
      <c r="D2590" s="33">
        <v>4430265054</v>
      </c>
      <c r="E2590" s="33">
        <v>653</v>
      </c>
      <c r="F2590" s="33">
        <v>611</v>
      </c>
      <c r="G2590" s="33" t="s">
        <v>38</v>
      </c>
      <c r="H2590" s="33" t="s">
        <v>9141</v>
      </c>
      <c r="I2590" s="33" t="s">
        <v>39</v>
      </c>
      <c r="J2590" s="33" t="s">
        <v>40</v>
      </c>
      <c r="K2590" s="33" t="s">
        <v>41</v>
      </c>
    </row>
    <row r="2591" spans="1:12" s="33" customFormat="1" hidden="1" x14ac:dyDescent="0.3">
      <c r="A2591" s="39">
        <v>46085.422719907408</v>
      </c>
      <c r="B2591" s="33">
        <v>44998860140</v>
      </c>
      <c r="C2591" s="33" t="s">
        <v>43</v>
      </c>
      <c r="D2591" s="33">
        <v>4430265054</v>
      </c>
      <c r="E2591" s="33">
        <v>1717</v>
      </c>
      <c r="F2591" s="33">
        <v>1678</v>
      </c>
      <c r="G2591" s="33" t="s">
        <v>38</v>
      </c>
      <c r="H2591" s="33" t="s">
        <v>9142</v>
      </c>
      <c r="I2591" s="33" t="s">
        <v>39</v>
      </c>
      <c r="J2591" s="33" t="s">
        <v>40</v>
      </c>
      <c r="K2591" s="33" t="s">
        <v>41</v>
      </c>
    </row>
    <row r="2592" spans="1:12" s="33" customFormat="1" hidden="1" x14ac:dyDescent="0.3">
      <c r="A2592" s="39">
        <v>46085.4216087963</v>
      </c>
      <c r="B2592" s="33" t="s">
        <v>45</v>
      </c>
      <c r="C2592" s="33">
        <v>43991398090</v>
      </c>
      <c r="E2592" s="33">
        <v>371</v>
      </c>
      <c r="F2592" s="33">
        <v>367</v>
      </c>
      <c r="G2592" s="33" t="s">
        <v>38</v>
      </c>
      <c r="H2592" s="33" t="s">
        <v>9143</v>
      </c>
      <c r="I2592" s="33" t="s">
        <v>46</v>
      </c>
      <c r="J2592" s="33" t="s">
        <v>40</v>
      </c>
    </row>
    <row r="2593" spans="1:12" s="33" customFormat="1" hidden="1" x14ac:dyDescent="0.3">
      <c r="A2593" s="39">
        <v>46085.421331018515</v>
      </c>
      <c r="B2593" s="33" t="s">
        <v>45</v>
      </c>
      <c r="C2593" s="33">
        <v>43991398090</v>
      </c>
      <c r="E2593" s="33">
        <v>24</v>
      </c>
      <c r="F2593" s="33">
        <v>14</v>
      </c>
      <c r="G2593" s="33" t="s">
        <v>38</v>
      </c>
      <c r="H2593" s="33" t="s">
        <v>9144</v>
      </c>
      <c r="I2593" s="33" t="s">
        <v>46</v>
      </c>
      <c r="J2593" s="33" t="s">
        <v>40</v>
      </c>
    </row>
    <row r="2594" spans="1:12" s="33" customFormat="1" hidden="1" x14ac:dyDescent="0.3">
      <c r="A2594" s="39">
        <v>46085.417870370373</v>
      </c>
      <c r="B2594" s="33">
        <v>4433050408</v>
      </c>
      <c r="C2594" s="33" t="s">
        <v>37</v>
      </c>
      <c r="D2594" s="33">
        <v>4430265054</v>
      </c>
      <c r="E2594" s="33">
        <v>839</v>
      </c>
      <c r="F2594" s="33">
        <v>827</v>
      </c>
      <c r="G2594" s="33" t="s">
        <v>38</v>
      </c>
      <c r="H2594" s="33" t="s">
        <v>9145</v>
      </c>
      <c r="I2594" s="33" t="s">
        <v>39</v>
      </c>
      <c r="J2594" s="33" t="s">
        <v>40</v>
      </c>
      <c r="K2594" s="33" t="s">
        <v>41</v>
      </c>
    </row>
    <row r="2595" spans="1:12" s="33" customFormat="1" hidden="1" x14ac:dyDescent="0.3">
      <c r="A2595" s="39">
        <v>46085.41778935185</v>
      </c>
      <c r="B2595" s="33">
        <v>44991388221</v>
      </c>
      <c r="C2595" s="33" t="s">
        <v>43</v>
      </c>
      <c r="D2595" s="33">
        <v>4430265054</v>
      </c>
      <c r="E2595" s="33">
        <v>421</v>
      </c>
      <c r="F2595" s="33">
        <v>341</v>
      </c>
      <c r="G2595" s="33" t="s">
        <v>38</v>
      </c>
      <c r="H2595" s="33" t="s">
        <v>9146</v>
      </c>
      <c r="I2595" s="33" t="s">
        <v>39</v>
      </c>
      <c r="J2595" s="33" t="s">
        <v>40</v>
      </c>
      <c r="K2595" s="33" t="s">
        <v>41</v>
      </c>
      <c r="L2595" s="33">
        <v>5</v>
      </c>
    </row>
    <row r="2596" spans="1:12" s="33" customFormat="1" hidden="1" x14ac:dyDescent="0.3">
      <c r="A2596" s="39">
        <v>46085.417604166665</v>
      </c>
      <c r="B2596" s="33">
        <v>4430410411</v>
      </c>
      <c r="C2596" s="33">
        <v>4430265054</v>
      </c>
      <c r="D2596" s="33">
        <v>4430265054</v>
      </c>
      <c r="E2596" s="33">
        <v>7</v>
      </c>
      <c r="F2596" s="33">
        <v>7</v>
      </c>
      <c r="G2596" s="33" t="s">
        <v>3449</v>
      </c>
      <c r="H2596" s="33" t="s">
        <v>9147</v>
      </c>
      <c r="I2596" s="33" t="s">
        <v>39</v>
      </c>
      <c r="J2596" s="33" t="s">
        <v>3451</v>
      </c>
    </row>
    <row r="2597" spans="1:12" s="33" customFormat="1" hidden="1" x14ac:dyDescent="0.3">
      <c r="A2597" s="39">
        <v>46085.415717592594</v>
      </c>
      <c r="B2597" s="33">
        <v>44937562600</v>
      </c>
      <c r="C2597" s="33" t="s">
        <v>48</v>
      </c>
      <c r="D2597" s="33">
        <v>4430265054</v>
      </c>
      <c r="E2597" s="33">
        <v>135</v>
      </c>
      <c r="F2597" s="33">
        <v>103</v>
      </c>
      <c r="G2597" s="33" t="s">
        <v>38</v>
      </c>
      <c r="H2597" s="33" t="s">
        <v>9148</v>
      </c>
      <c r="I2597" s="33" t="s">
        <v>39</v>
      </c>
      <c r="J2597" s="33" t="s">
        <v>40</v>
      </c>
      <c r="K2597" s="33" t="s">
        <v>41</v>
      </c>
    </row>
    <row r="2598" spans="1:12" s="33" customFormat="1" hidden="1" x14ac:dyDescent="0.3">
      <c r="A2598" s="39">
        <v>46085.415335648147</v>
      </c>
      <c r="B2598" s="33">
        <v>91981481202</v>
      </c>
      <c r="C2598" s="33" t="s">
        <v>44</v>
      </c>
      <c r="D2598" s="33">
        <v>4430265054</v>
      </c>
      <c r="E2598" s="33">
        <v>392</v>
      </c>
      <c r="F2598" s="33">
        <v>185</v>
      </c>
      <c r="G2598" s="33" t="s">
        <v>38</v>
      </c>
      <c r="H2598" s="33" t="s">
        <v>9149</v>
      </c>
      <c r="I2598" s="33" t="s">
        <v>39</v>
      </c>
      <c r="J2598" s="33" t="s">
        <v>40</v>
      </c>
      <c r="K2598" s="33" t="s">
        <v>41</v>
      </c>
    </row>
    <row r="2599" spans="1:12" s="33" customFormat="1" hidden="1" x14ac:dyDescent="0.3">
      <c r="A2599" s="39">
        <v>46085.413159722222</v>
      </c>
      <c r="B2599" s="33">
        <v>44999670264</v>
      </c>
      <c r="C2599" s="33" t="s">
        <v>43</v>
      </c>
      <c r="D2599" s="33">
        <v>4430265054</v>
      </c>
      <c r="E2599" s="33">
        <v>475</v>
      </c>
      <c r="F2599" s="33">
        <v>424</v>
      </c>
      <c r="G2599" s="33" t="s">
        <v>38</v>
      </c>
      <c r="H2599" s="33" t="s">
        <v>9150</v>
      </c>
      <c r="I2599" s="33" t="s">
        <v>39</v>
      </c>
      <c r="J2599" s="33" t="s">
        <v>40</v>
      </c>
      <c r="K2599" s="33" t="s">
        <v>41</v>
      </c>
      <c r="L2599" s="33">
        <v>5</v>
      </c>
    </row>
    <row r="2600" spans="1:12" s="33" customFormat="1" hidden="1" x14ac:dyDescent="0.3">
      <c r="A2600" s="39">
        <v>46085.408865740741</v>
      </c>
      <c r="B2600" s="33">
        <v>44991484476</v>
      </c>
      <c r="C2600" s="33">
        <v>4430265054</v>
      </c>
      <c r="D2600" s="33">
        <v>4430265054</v>
      </c>
      <c r="E2600" s="33">
        <v>22</v>
      </c>
      <c r="F2600" s="33">
        <v>21</v>
      </c>
      <c r="G2600" s="33" t="s">
        <v>3449</v>
      </c>
      <c r="H2600" s="33" t="s">
        <v>9151</v>
      </c>
      <c r="I2600" s="33" t="s">
        <v>39</v>
      </c>
      <c r="J2600" s="33" t="s">
        <v>3451</v>
      </c>
      <c r="K2600" s="33" t="s">
        <v>41</v>
      </c>
    </row>
    <row r="2601" spans="1:12" s="33" customFormat="1" hidden="1" x14ac:dyDescent="0.3">
      <c r="A2601" s="39">
        <v>46085.407962962963</v>
      </c>
      <c r="B2601" s="33" t="s">
        <v>3627</v>
      </c>
      <c r="C2601" s="33">
        <v>4434229352</v>
      </c>
      <c r="E2601" s="33">
        <v>69</v>
      </c>
      <c r="F2601" s="33">
        <v>68</v>
      </c>
      <c r="G2601" s="33" t="s">
        <v>38</v>
      </c>
      <c r="H2601" s="33" t="s">
        <v>9152</v>
      </c>
      <c r="I2601" s="33" t="s">
        <v>46</v>
      </c>
      <c r="J2601" s="33" t="s">
        <v>3629</v>
      </c>
    </row>
    <row r="2602" spans="1:12" s="33" customFormat="1" hidden="1" x14ac:dyDescent="0.3">
      <c r="A2602" s="39">
        <v>46085.405856481484</v>
      </c>
      <c r="B2602" s="33">
        <v>43996893235</v>
      </c>
      <c r="C2602" s="33">
        <v>4430265054</v>
      </c>
      <c r="D2602" s="33">
        <v>4430265054</v>
      </c>
      <c r="E2602" s="33">
        <v>25</v>
      </c>
      <c r="F2602" s="33">
        <v>25</v>
      </c>
      <c r="G2602" s="33" t="s">
        <v>3449</v>
      </c>
      <c r="H2602" s="33" t="s">
        <v>9153</v>
      </c>
      <c r="I2602" s="33" t="s">
        <v>39</v>
      </c>
      <c r="J2602" s="33" t="s">
        <v>3451</v>
      </c>
      <c r="K2602" s="33" t="s">
        <v>41</v>
      </c>
    </row>
    <row r="2603" spans="1:12" s="33" customFormat="1" hidden="1" x14ac:dyDescent="0.3">
      <c r="A2603" s="39">
        <v>46085.405104166668</v>
      </c>
      <c r="B2603" s="33">
        <v>1732146970</v>
      </c>
      <c r="C2603" s="33" t="s">
        <v>43</v>
      </c>
      <c r="D2603" s="33">
        <v>4431268225</v>
      </c>
      <c r="E2603" s="33">
        <v>477</v>
      </c>
      <c r="F2603" s="33">
        <v>431</v>
      </c>
      <c r="G2603" s="33" t="s">
        <v>38</v>
      </c>
      <c r="H2603" s="33" t="s">
        <v>9154</v>
      </c>
      <c r="I2603" s="33" t="s">
        <v>39</v>
      </c>
      <c r="J2603" s="33" t="s">
        <v>40</v>
      </c>
      <c r="K2603" s="33" t="s">
        <v>41</v>
      </c>
    </row>
    <row r="2604" spans="1:12" s="33" customFormat="1" hidden="1" x14ac:dyDescent="0.3">
      <c r="A2604" s="39">
        <v>46085.403854166667</v>
      </c>
      <c r="B2604" s="33">
        <v>4330333542</v>
      </c>
      <c r="C2604" s="33" t="s">
        <v>37</v>
      </c>
      <c r="D2604" s="33">
        <v>4430265054</v>
      </c>
      <c r="E2604" s="33">
        <v>112</v>
      </c>
      <c r="F2604" s="33">
        <v>96</v>
      </c>
      <c r="G2604" s="33" t="s">
        <v>38</v>
      </c>
      <c r="H2604" s="33" t="s">
        <v>9155</v>
      </c>
      <c r="I2604" s="33" t="s">
        <v>39</v>
      </c>
      <c r="J2604" s="33" t="s">
        <v>40</v>
      </c>
      <c r="K2604" s="33" t="s">
        <v>41</v>
      </c>
    </row>
    <row r="2605" spans="1:12" s="33" customFormat="1" hidden="1" x14ac:dyDescent="0.3">
      <c r="A2605" s="39">
        <v>46085.401134259257</v>
      </c>
      <c r="B2605" s="33">
        <v>1732146970</v>
      </c>
      <c r="C2605" s="33">
        <v>4431268225</v>
      </c>
      <c r="D2605" s="33">
        <v>4431268225</v>
      </c>
      <c r="E2605" s="33">
        <v>161</v>
      </c>
      <c r="F2605" s="33">
        <v>160</v>
      </c>
      <c r="G2605" s="33" t="s">
        <v>3449</v>
      </c>
      <c r="H2605" s="33" t="s">
        <v>9156</v>
      </c>
      <c r="I2605" s="33" t="s">
        <v>39</v>
      </c>
      <c r="J2605" s="33" t="s">
        <v>3451</v>
      </c>
      <c r="K2605" s="33" t="s">
        <v>41</v>
      </c>
    </row>
    <row r="2606" spans="1:12" s="33" customFormat="1" hidden="1" x14ac:dyDescent="0.3">
      <c r="A2606" s="39">
        <v>46085.40048611111</v>
      </c>
      <c r="B2606" s="33">
        <v>4430459032</v>
      </c>
      <c r="C2606" s="33" t="s">
        <v>43</v>
      </c>
      <c r="D2606" s="33">
        <v>4430265054</v>
      </c>
      <c r="E2606" s="33">
        <v>277</v>
      </c>
      <c r="F2606" s="33">
        <v>251</v>
      </c>
      <c r="G2606" s="33" t="s">
        <v>38</v>
      </c>
      <c r="H2606" s="33" t="s">
        <v>9157</v>
      </c>
      <c r="I2606" s="33" t="s">
        <v>39</v>
      </c>
      <c r="J2606" s="33" t="s">
        <v>40</v>
      </c>
      <c r="K2606" s="33" t="s">
        <v>41</v>
      </c>
    </row>
    <row r="2607" spans="1:12" s="33" customFormat="1" hidden="1" x14ac:dyDescent="0.3">
      <c r="A2607" s="39">
        <v>46085.400312500002</v>
      </c>
      <c r="B2607" s="33">
        <v>11965990735</v>
      </c>
      <c r="C2607" s="33" t="s">
        <v>45</v>
      </c>
      <c r="D2607" s="33">
        <v>4430265054</v>
      </c>
      <c r="E2607" s="33">
        <v>1839</v>
      </c>
      <c r="F2607" s="33">
        <v>1818</v>
      </c>
      <c r="G2607" s="33" t="s">
        <v>38</v>
      </c>
      <c r="H2607" s="33" t="s">
        <v>9158</v>
      </c>
      <c r="I2607" s="33" t="s">
        <v>39</v>
      </c>
      <c r="J2607" s="33" t="s">
        <v>40</v>
      </c>
      <c r="K2607" s="33" t="s">
        <v>41</v>
      </c>
      <c r="L2607" s="33">
        <v>5</v>
      </c>
    </row>
    <row r="2608" spans="1:12" s="33" customFormat="1" hidden="1" x14ac:dyDescent="0.3">
      <c r="A2608" s="39">
        <v>46085.400289351855</v>
      </c>
      <c r="B2608" s="33" t="s">
        <v>45</v>
      </c>
      <c r="C2608" s="33">
        <v>11965990735</v>
      </c>
      <c r="E2608" s="33">
        <v>19</v>
      </c>
      <c r="F2608" s="33">
        <v>14</v>
      </c>
      <c r="G2608" s="33" t="s">
        <v>38</v>
      </c>
      <c r="H2608" s="33" t="s">
        <v>9159</v>
      </c>
      <c r="I2608" s="33" t="s">
        <v>46</v>
      </c>
      <c r="J2608" s="33" t="s">
        <v>40</v>
      </c>
    </row>
    <row r="2609" spans="1:12" s="33" customFormat="1" hidden="1" x14ac:dyDescent="0.3">
      <c r="A2609" s="39">
        <v>46085.398449074077</v>
      </c>
      <c r="B2609" s="33">
        <v>91985176746</v>
      </c>
      <c r="C2609" s="33" t="s">
        <v>37</v>
      </c>
      <c r="D2609" s="33">
        <v>4430265054</v>
      </c>
      <c r="E2609" s="33">
        <v>185</v>
      </c>
      <c r="F2609" s="33">
        <v>142</v>
      </c>
      <c r="G2609" s="33" t="s">
        <v>38</v>
      </c>
      <c r="H2609" s="33" t="s">
        <v>9160</v>
      </c>
      <c r="I2609" s="33" t="s">
        <v>39</v>
      </c>
      <c r="J2609" s="33" t="s">
        <v>40</v>
      </c>
      <c r="K2609" s="33" t="s">
        <v>41</v>
      </c>
      <c r="L2609" s="33">
        <v>5</v>
      </c>
    </row>
    <row r="2610" spans="1:12" s="33" customFormat="1" hidden="1" x14ac:dyDescent="0.3">
      <c r="A2610" s="39">
        <v>46085.397037037037</v>
      </c>
      <c r="B2610" s="33">
        <v>11965990735</v>
      </c>
      <c r="C2610" s="33" t="s">
        <v>45</v>
      </c>
      <c r="D2610" s="33">
        <v>4430265054</v>
      </c>
      <c r="E2610" s="33">
        <v>275</v>
      </c>
      <c r="F2610" s="33">
        <v>260</v>
      </c>
      <c r="G2610" s="33" t="s">
        <v>38</v>
      </c>
      <c r="H2610" s="33" t="s">
        <v>9161</v>
      </c>
      <c r="I2610" s="33" t="s">
        <v>39</v>
      </c>
      <c r="J2610" s="33" t="s">
        <v>40</v>
      </c>
      <c r="K2610" s="33" t="s">
        <v>41</v>
      </c>
    </row>
    <row r="2611" spans="1:12" s="33" customFormat="1" hidden="1" x14ac:dyDescent="0.3">
      <c r="A2611" s="39">
        <v>46085.388506944444</v>
      </c>
      <c r="B2611" s="33">
        <v>4430191401</v>
      </c>
      <c r="C2611" s="33" t="s">
        <v>42</v>
      </c>
      <c r="D2611" s="33">
        <v>4430265054</v>
      </c>
      <c r="E2611" s="33">
        <v>447</v>
      </c>
      <c r="F2611" s="33">
        <v>353</v>
      </c>
      <c r="G2611" s="33" t="s">
        <v>38</v>
      </c>
      <c r="H2611" s="33" t="s">
        <v>9162</v>
      </c>
      <c r="I2611" s="33" t="s">
        <v>39</v>
      </c>
      <c r="J2611" s="33" t="s">
        <v>40</v>
      </c>
      <c r="K2611" s="33" t="s">
        <v>41</v>
      </c>
    </row>
    <row r="2612" spans="1:12" s="33" customFormat="1" hidden="1" x14ac:dyDescent="0.3">
      <c r="A2612" s="39">
        <v>46085.386782407404</v>
      </c>
      <c r="B2612" s="33">
        <v>44991249108</v>
      </c>
      <c r="C2612" s="33" t="s">
        <v>42</v>
      </c>
      <c r="D2612" s="33">
        <v>4430265054</v>
      </c>
      <c r="E2612" s="33">
        <v>210</v>
      </c>
      <c r="F2612" s="33">
        <v>89</v>
      </c>
      <c r="G2612" s="33" t="s">
        <v>38</v>
      </c>
      <c r="H2612" s="33" t="s">
        <v>9163</v>
      </c>
      <c r="I2612" s="33" t="s">
        <v>39</v>
      </c>
      <c r="J2612" s="33" t="s">
        <v>40</v>
      </c>
      <c r="K2612" s="33" t="s">
        <v>41</v>
      </c>
    </row>
    <row r="2613" spans="1:12" s="33" customFormat="1" hidden="1" x14ac:dyDescent="0.3">
      <c r="A2613" s="39">
        <v>46085.384953703702</v>
      </c>
      <c r="B2613" s="33">
        <v>11965990735</v>
      </c>
      <c r="C2613" s="33">
        <v>4430265054</v>
      </c>
      <c r="D2613" s="33">
        <v>4430265054</v>
      </c>
      <c r="E2613" s="33">
        <v>36</v>
      </c>
      <c r="F2613" s="33">
        <v>35</v>
      </c>
      <c r="G2613" s="33" t="s">
        <v>3449</v>
      </c>
      <c r="H2613" s="33" t="s">
        <v>9164</v>
      </c>
      <c r="I2613" s="33" t="s">
        <v>39</v>
      </c>
      <c r="J2613" s="33" t="s">
        <v>3451</v>
      </c>
      <c r="K2613" s="33" t="s">
        <v>41</v>
      </c>
    </row>
    <row r="2614" spans="1:12" s="33" customFormat="1" hidden="1" x14ac:dyDescent="0.3">
      <c r="A2614" s="39">
        <v>46085.38177083333</v>
      </c>
      <c r="B2614" s="33">
        <v>44999973333</v>
      </c>
      <c r="C2614" s="33" t="s">
        <v>44</v>
      </c>
      <c r="D2614" s="33">
        <v>4430265054</v>
      </c>
      <c r="E2614" s="33">
        <v>1016</v>
      </c>
      <c r="F2614" s="33">
        <v>965</v>
      </c>
      <c r="G2614" s="33" t="s">
        <v>38</v>
      </c>
      <c r="H2614" s="33" t="s">
        <v>9165</v>
      </c>
      <c r="I2614" s="33" t="s">
        <v>39</v>
      </c>
      <c r="J2614" s="33" t="s">
        <v>40</v>
      </c>
      <c r="K2614" s="33" t="s">
        <v>41</v>
      </c>
    </row>
    <row r="2615" spans="1:12" s="33" customFormat="1" hidden="1" x14ac:dyDescent="0.3">
      <c r="A2615" s="39">
        <v>46085.380439814813</v>
      </c>
      <c r="B2615" s="33">
        <v>4331724400</v>
      </c>
      <c r="C2615" s="33" t="s">
        <v>42</v>
      </c>
      <c r="D2615" s="33">
        <v>4430265054</v>
      </c>
      <c r="E2615" s="33">
        <v>522</v>
      </c>
      <c r="F2615" s="33">
        <v>465</v>
      </c>
      <c r="G2615" s="33" t="s">
        <v>38</v>
      </c>
      <c r="H2615" s="33" t="s">
        <v>9166</v>
      </c>
      <c r="I2615" s="33" t="s">
        <v>39</v>
      </c>
      <c r="J2615" s="33" t="s">
        <v>40</v>
      </c>
      <c r="K2615" s="33" t="s">
        <v>41</v>
      </c>
    </row>
    <row r="2616" spans="1:12" s="33" customFormat="1" hidden="1" x14ac:dyDescent="0.3">
      <c r="A2616" s="39">
        <v>46085.379166666666</v>
      </c>
      <c r="B2616" s="33">
        <v>43999388040</v>
      </c>
      <c r="C2616" s="33" t="s">
        <v>48</v>
      </c>
      <c r="D2616" s="33">
        <v>4430265054</v>
      </c>
      <c r="E2616" s="33">
        <v>347</v>
      </c>
      <c r="F2616" s="33">
        <v>314</v>
      </c>
      <c r="G2616" s="33" t="s">
        <v>38</v>
      </c>
      <c r="H2616" s="33" t="s">
        <v>9167</v>
      </c>
      <c r="I2616" s="33" t="s">
        <v>39</v>
      </c>
      <c r="J2616" s="33" t="s">
        <v>40</v>
      </c>
      <c r="K2616" s="33" t="s">
        <v>41</v>
      </c>
    </row>
    <row r="2617" spans="1:12" s="33" customFormat="1" hidden="1" x14ac:dyDescent="0.3">
      <c r="A2617" s="39">
        <v>46085.378240740742</v>
      </c>
      <c r="B2617" s="33">
        <v>4331724400</v>
      </c>
      <c r="C2617" s="33" t="s">
        <v>43</v>
      </c>
      <c r="D2617" s="33">
        <v>4430265054</v>
      </c>
      <c r="E2617" s="33">
        <v>172</v>
      </c>
      <c r="F2617" s="33">
        <v>37</v>
      </c>
      <c r="G2617" s="33" t="s">
        <v>38</v>
      </c>
      <c r="H2617" s="33" t="s">
        <v>9168</v>
      </c>
      <c r="I2617" s="33" t="s">
        <v>39</v>
      </c>
      <c r="J2617" s="33" t="s">
        <v>40</v>
      </c>
      <c r="K2617" s="33" t="s">
        <v>41</v>
      </c>
    </row>
    <row r="2618" spans="1:12" s="33" customFormat="1" hidden="1" x14ac:dyDescent="0.3">
      <c r="A2618" s="39">
        <v>46085.374513888892</v>
      </c>
      <c r="B2618" s="33">
        <v>43991398090</v>
      </c>
      <c r="C2618" s="33" t="s">
        <v>45</v>
      </c>
      <c r="D2618" s="33">
        <v>4430265054</v>
      </c>
      <c r="E2618" s="33">
        <v>1604</v>
      </c>
      <c r="F2618" s="33">
        <v>1577</v>
      </c>
      <c r="G2618" s="33" t="s">
        <v>38</v>
      </c>
      <c r="H2618" s="33" t="s">
        <v>9169</v>
      </c>
      <c r="I2618" s="33" t="s">
        <v>39</v>
      </c>
      <c r="J2618" s="33" t="s">
        <v>40</v>
      </c>
      <c r="K2618" s="33" t="s">
        <v>41</v>
      </c>
    </row>
    <row r="2619" spans="1:12" s="33" customFormat="1" hidden="1" x14ac:dyDescent="0.3">
      <c r="A2619" s="39">
        <v>46085.372939814813</v>
      </c>
      <c r="B2619" s="33">
        <v>44999654761</v>
      </c>
      <c r="C2619" s="33" t="s">
        <v>37</v>
      </c>
      <c r="D2619" s="33">
        <v>4430265054</v>
      </c>
      <c r="E2619" s="33">
        <v>1529</v>
      </c>
      <c r="F2619" s="33">
        <v>1431</v>
      </c>
      <c r="G2619" s="33" t="s">
        <v>38</v>
      </c>
      <c r="H2619" s="33" t="s">
        <v>9170</v>
      </c>
      <c r="I2619" s="33" t="s">
        <v>39</v>
      </c>
      <c r="J2619" s="33" t="s">
        <v>40</v>
      </c>
      <c r="K2619" s="33" t="s">
        <v>41</v>
      </c>
    </row>
    <row r="2620" spans="1:12" s="33" customFormat="1" hidden="1" x14ac:dyDescent="0.3">
      <c r="A2620" s="39">
        <v>46085.368020833332</v>
      </c>
      <c r="B2620" s="33">
        <v>44998717172</v>
      </c>
      <c r="C2620" s="33" t="s">
        <v>42</v>
      </c>
      <c r="D2620" s="33">
        <v>4430265054</v>
      </c>
      <c r="E2620" s="33">
        <v>964</v>
      </c>
      <c r="F2620" s="33">
        <v>894</v>
      </c>
      <c r="G2620" s="33" t="s">
        <v>38</v>
      </c>
      <c r="H2620" s="33" t="s">
        <v>9171</v>
      </c>
      <c r="I2620" s="33" t="s">
        <v>39</v>
      </c>
      <c r="J2620" s="33" t="s">
        <v>40</v>
      </c>
      <c r="K2620" s="33" t="s">
        <v>41</v>
      </c>
    </row>
    <row r="2621" spans="1:12" s="33" customFormat="1" hidden="1" x14ac:dyDescent="0.3">
      <c r="A2621" s="39">
        <v>46085.367280092592</v>
      </c>
      <c r="B2621" s="33">
        <v>11965990735</v>
      </c>
      <c r="C2621" s="33" t="s">
        <v>45</v>
      </c>
      <c r="D2621" s="33">
        <v>4430265054</v>
      </c>
      <c r="E2621" s="33">
        <v>625</v>
      </c>
      <c r="F2621" s="33">
        <v>599</v>
      </c>
      <c r="G2621" s="33" t="s">
        <v>38</v>
      </c>
      <c r="H2621" s="33" t="s">
        <v>9172</v>
      </c>
      <c r="I2621" s="33" t="s">
        <v>39</v>
      </c>
      <c r="J2621" s="33" t="s">
        <v>40</v>
      </c>
      <c r="K2621" s="33" t="s">
        <v>41</v>
      </c>
    </row>
    <row r="2622" spans="1:12" s="33" customFormat="1" hidden="1" x14ac:dyDescent="0.3">
      <c r="A2622" s="39">
        <v>46085.36246527778</v>
      </c>
      <c r="B2622" s="33">
        <v>91981481202</v>
      </c>
      <c r="C2622" s="33">
        <v>4430265054</v>
      </c>
      <c r="D2622" s="33">
        <v>4430265054</v>
      </c>
      <c r="E2622" s="33">
        <v>1</v>
      </c>
      <c r="F2622" s="33">
        <v>1</v>
      </c>
      <c r="G2622" s="33" t="s">
        <v>3449</v>
      </c>
      <c r="H2622" s="33" t="s">
        <v>9173</v>
      </c>
      <c r="I2622" s="33" t="s">
        <v>39</v>
      </c>
      <c r="J2622" s="33" t="s">
        <v>3451</v>
      </c>
    </row>
    <row r="2623" spans="1:12" s="33" customFormat="1" hidden="1" x14ac:dyDescent="0.3">
      <c r="A2623" s="39">
        <v>46085.360648148147</v>
      </c>
      <c r="B2623" s="33">
        <v>44998860140</v>
      </c>
      <c r="C2623" s="33">
        <v>4431268225</v>
      </c>
      <c r="D2623" s="33">
        <v>4431268225</v>
      </c>
      <c r="E2623" s="33">
        <v>2</v>
      </c>
      <c r="F2623" s="33">
        <v>1</v>
      </c>
      <c r="G2623" s="33" t="s">
        <v>3449</v>
      </c>
      <c r="H2623" s="33" t="s">
        <v>9174</v>
      </c>
      <c r="I2623" s="33" t="s">
        <v>39</v>
      </c>
      <c r="J2623" s="33" t="s">
        <v>3451</v>
      </c>
    </row>
    <row r="2624" spans="1:12" s="33" customFormat="1" hidden="1" x14ac:dyDescent="0.3">
      <c r="A2624" s="39">
        <v>46085.359537037039</v>
      </c>
      <c r="B2624" s="33" t="s">
        <v>42</v>
      </c>
      <c r="C2624" s="33">
        <v>44999844110</v>
      </c>
      <c r="E2624" s="33">
        <v>505</v>
      </c>
      <c r="F2624" s="33">
        <v>483</v>
      </c>
      <c r="G2624" s="33" t="s">
        <v>38</v>
      </c>
      <c r="H2624" s="33" t="s">
        <v>9175</v>
      </c>
      <c r="I2624" s="33" t="s">
        <v>46</v>
      </c>
      <c r="J2624" s="33" t="s">
        <v>40</v>
      </c>
    </row>
    <row r="2625" spans="1:12" s="33" customFormat="1" hidden="1" x14ac:dyDescent="0.3">
      <c r="A2625" s="39">
        <v>46085.359386574077</v>
      </c>
      <c r="B2625" s="33" t="s">
        <v>42</v>
      </c>
      <c r="C2625" s="33">
        <v>4430266599</v>
      </c>
      <c r="E2625" s="33">
        <v>2</v>
      </c>
      <c r="F2625" s="33">
        <v>0</v>
      </c>
      <c r="G2625" s="33" t="s">
        <v>47</v>
      </c>
      <c r="H2625" s="33" t="s">
        <v>9176</v>
      </c>
      <c r="I2625" s="33" t="s">
        <v>46</v>
      </c>
      <c r="J2625" s="33" t="s">
        <v>40</v>
      </c>
    </row>
    <row r="2626" spans="1:12" s="33" customFormat="1" hidden="1" x14ac:dyDescent="0.3">
      <c r="A2626" s="39">
        <v>46085.3593287037</v>
      </c>
      <c r="B2626" s="33" t="s">
        <v>42</v>
      </c>
      <c r="C2626" s="33">
        <v>4430266599</v>
      </c>
      <c r="E2626" s="33">
        <v>2</v>
      </c>
      <c r="F2626" s="33">
        <v>0</v>
      </c>
      <c r="G2626" s="33" t="s">
        <v>47</v>
      </c>
      <c r="H2626" s="33" t="s">
        <v>9177</v>
      </c>
      <c r="I2626" s="33" t="s">
        <v>46</v>
      </c>
      <c r="J2626" s="33" t="s">
        <v>40</v>
      </c>
    </row>
    <row r="2627" spans="1:12" s="33" customFormat="1" hidden="1" x14ac:dyDescent="0.3">
      <c r="A2627" s="39">
        <v>46085.359212962961</v>
      </c>
      <c r="B2627" s="33" t="s">
        <v>42</v>
      </c>
      <c r="C2627" s="33">
        <v>4430266599</v>
      </c>
      <c r="E2627" s="33">
        <v>4</v>
      </c>
      <c r="F2627" s="33">
        <v>0</v>
      </c>
      <c r="G2627" s="33" t="s">
        <v>47</v>
      </c>
      <c r="H2627" s="33" t="s">
        <v>9178</v>
      </c>
      <c r="I2627" s="33" t="s">
        <v>46</v>
      </c>
      <c r="J2627" s="33" t="s">
        <v>40</v>
      </c>
    </row>
    <row r="2628" spans="1:12" s="33" customFormat="1" hidden="1" x14ac:dyDescent="0.3">
      <c r="A2628" s="39">
        <v>46085.358796296299</v>
      </c>
      <c r="B2628" s="33">
        <v>44991213058</v>
      </c>
      <c r="C2628" s="33" t="s">
        <v>45</v>
      </c>
      <c r="D2628" s="33">
        <v>4430265054</v>
      </c>
      <c r="E2628" s="33">
        <v>342</v>
      </c>
      <c r="F2628" s="33">
        <v>305</v>
      </c>
      <c r="G2628" s="33" t="s">
        <v>38</v>
      </c>
      <c r="H2628" s="33" t="s">
        <v>9179</v>
      </c>
      <c r="I2628" s="33" t="s">
        <v>39</v>
      </c>
      <c r="J2628" s="33" t="s">
        <v>40</v>
      </c>
      <c r="K2628" s="33" t="s">
        <v>41</v>
      </c>
      <c r="L2628" s="33">
        <v>5</v>
      </c>
    </row>
    <row r="2629" spans="1:12" s="33" customFormat="1" hidden="1" x14ac:dyDescent="0.3">
      <c r="A2629" s="39">
        <v>46085.358483796299</v>
      </c>
      <c r="B2629" s="33" t="s">
        <v>5173</v>
      </c>
      <c r="C2629" s="33">
        <v>81994195603</v>
      </c>
      <c r="E2629" s="33">
        <v>1520</v>
      </c>
      <c r="F2629" s="33">
        <v>1511</v>
      </c>
      <c r="G2629" s="33" t="s">
        <v>38</v>
      </c>
      <c r="H2629" s="33" t="s">
        <v>9180</v>
      </c>
      <c r="I2629" s="33" t="s">
        <v>46</v>
      </c>
      <c r="J2629" s="33" t="s">
        <v>3629</v>
      </c>
    </row>
    <row r="2630" spans="1:12" s="33" customFormat="1" hidden="1" x14ac:dyDescent="0.3">
      <c r="A2630" s="39">
        <v>46085.358425925922</v>
      </c>
      <c r="B2630" s="33" t="s">
        <v>5173</v>
      </c>
      <c r="C2630" s="33">
        <v>81994195603</v>
      </c>
      <c r="E2630" s="33">
        <v>1</v>
      </c>
      <c r="F2630" s="33">
        <v>0</v>
      </c>
      <c r="G2630" s="33" t="s">
        <v>47</v>
      </c>
      <c r="H2630" s="33" t="s">
        <v>9181</v>
      </c>
      <c r="I2630" s="33" t="s">
        <v>46</v>
      </c>
      <c r="J2630" s="33" t="s">
        <v>3629</v>
      </c>
    </row>
    <row r="2631" spans="1:12" s="33" customFormat="1" hidden="1" x14ac:dyDescent="0.3">
      <c r="A2631" s="39">
        <v>46085.358310185184</v>
      </c>
      <c r="B2631" s="33">
        <v>4334226481</v>
      </c>
      <c r="C2631" s="33" t="s">
        <v>44</v>
      </c>
      <c r="D2631" s="33">
        <v>4430265054</v>
      </c>
      <c r="E2631" s="33">
        <v>1937</v>
      </c>
      <c r="F2631" s="33">
        <v>1898</v>
      </c>
      <c r="G2631" s="33" t="s">
        <v>38</v>
      </c>
      <c r="H2631" s="33" t="s">
        <v>9182</v>
      </c>
      <c r="I2631" s="33" t="s">
        <v>39</v>
      </c>
      <c r="J2631" s="33" t="s">
        <v>40</v>
      </c>
      <c r="K2631" s="33" t="s">
        <v>41</v>
      </c>
    </row>
    <row r="2632" spans="1:12" s="33" customFormat="1" hidden="1" x14ac:dyDescent="0.3">
      <c r="A2632" s="39">
        <v>46085.352106481485</v>
      </c>
      <c r="B2632" s="33">
        <v>1438160351</v>
      </c>
      <c r="C2632" s="33">
        <v>4430265054</v>
      </c>
      <c r="D2632" s="33">
        <v>4430265054</v>
      </c>
      <c r="E2632" s="33">
        <v>9</v>
      </c>
      <c r="F2632" s="33">
        <v>8</v>
      </c>
      <c r="G2632" s="33" t="s">
        <v>3449</v>
      </c>
      <c r="H2632" s="33" t="s">
        <v>9183</v>
      </c>
      <c r="I2632" s="33" t="s">
        <v>39</v>
      </c>
      <c r="J2632" s="33" t="s">
        <v>3451</v>
      </c>
    </row>
    <row r="2633" spans="1:12" s="33" customFormat="1" hidden="1" x14ac:dyDescent="0.3">
      <c r="A2633" s="39">
        <v>46085.350856481484</v>
      </c>
      <c r="B2633" s="33" t="s">
        <v>45</v>
      </c>
      <c r="C2633" s="33">
        <v>44998860140</v>
      </c>
      <c r="E2633" s="33">
        <v>627</v>
      </c>
      <c r="F2633" s="33">
        <v>613</v>
      </c>
      <c r="G2633" s="33" t="s">
        <v>38</v>
      </c>
      <c r="H2633" s="33" t="s">
        <v>9184</v>
      </c>
      <c r="I2633" s="33" t="s">
        <v>46</v>
      </c>
      <c r="J2633" s="33" t="s">
        <v>40</v>
      </c>
    </row>
    <row r="2634" spans="1:12" s="33" customFormat="1" hidden="1" x14ac:dyDescent="0.3">
      <c r="A2634" s="39">
        <v>46085.349629629629</v>
      </c>
      <c r="B2634" s="33">
        <v>4331724400</v>
      </c>
      <c r="C2634" s="33">
        <v>4430265054</v>
      </c>
      <c r="D2634" s="33">
        <v>4430265054</v>
      </c>
      <c r="E2634" s="33">
        <v>22</v>
      </c>
      <c r="F2634" s="33">
        <v>21</v>
      </c>
      <c r="G2634" s="33" t="s">
        <v>3449</v>
      </c>
      <c r="H2634" s="33" t="s">
        <v>9185</v>
      </c>
      <c r="I2634" s="33" t="s">
        <v>39</v>
      </c>
      <c r="J2634" s="33" t="s">
        <v>3451</v>
      </c>
    </row>
    <row r="2635" spans="1:12" s="33" customFormat="1" hidden="1" x14ac:dyDescent="0.3">
      <c r="A2635" s="39">
        <v>46085.349016203705</v>
      </c>
      <c r="B2635" s="33">
        <v>4331724400</v>
      </c>
      <c r="C2635" s="33">
        <v>4430265054</v>
      </c>
      <c r="D2635" s="33">
        <v>4430265054</v>
      </c>
      <c r="E2635" s="33">
        <v>29</v>
      </c>
      <c r="F2635" s="33">
        <v>28</v>
      </c>
      <c r="G2635" s="33" t="s">
        <v>3449</v>
      </c>
      <c r="H2635" s="33" t="s">
        <v>9186</v>
      </c>
      <c r="I2635" s="33" t="s">
        <v>39</v>
      </c>
      <c r="J2635" s="33" t="s">
        <v>3451</v>
      </c>
    </row>
    <row r="2636" spans="1:12" s="33" customFormat="1" hidden="1" x14ac:dyDescent="0.3">
      <c r="A2636" s="39">
        <v>46085.348437499997</v>
      </c>
      <c r="B2636" s="33">
        <v>4331724400</v>
      </c>
      <c r="C2636" s="33">
        <v>4430265054</v>
      </c>
      <c r="D2636" s="33">
        <v>4430265054</v>
      </c>
      <c r="E2636" s="33">
        <v>29</v>
      </c>
      <c r="F2636" s="33">
        <v>28</v>
      </c>
      <c r="G2636" s="33" t="s">
        <v>3449</v>
      </c>
      <c r="H2636" s="33" t="s">
        <v>9187</v>
      </c>
      <c r="I2636" s="33" t="s">
        <v>39</v>
      </c>
      <c r="J2636" s="33" t="s">
        <v>3451</v>
      </c>
    </row>
    <row r="2637" spans="1:12" s="33" customFormat="1" hidden="1" x14ac:dyDescent="0.3">
      <c r="A2637" s="39">
        <v>46084.750405092593</v>
      </c>
      <c r="B2637" s="33">
        <v>4430141092</v>
      </c>
      <c r="C2637" s="33">
        <v>4430265054</v>
      </c>
      <c r="D2637" s="33">
        <v>4430265054</v>
      </c>
      <c r="E2637" s="33">
        <v>167</v>
      </c>
      <c r="F2637" s="33">
        <v>166</v>
      </c>
      <c r="G2637" s="33" t="s">
        <v>3449</v>
      </c>
      <c r="H2637" s="33" t="s">
        <v>9188</v>
      </c>
      <c r="I2637" s="33" t="s">
        <v>39</v>
      </c>
      <c r="J2637" s="33" t="s">
        <v>3451</v>
      </c>
      <c r="K2637" s="33" t="s">
        <v>41</v>
      </c>
    </row>
    <row r="2638" spans="1:12" s="33" customFormat="1" hidden="1" x14ac:dyDescent="0.3">
      <c r="A2638" s="39">
        <v>46084.748171296298</v>
      </c>
      <c r="B2638" s="33">
        <v>62992789056</v>
      </c>
      <c r="C2638" s="33" t="s">
        <v>37</v>
      </c>
      <c r="D2638" s="33">
        <v>4430265054</v>
      </c>
      <c r="E2638" s="33">
        <v>421</v>
      </c>
      <c r="F2638" s="33">
        <v>339</v>
      </c>
      <c r="G2638" s="33" t="s">
        <v>38</v>
      </c>
      <c r="H2638" s="33" t="s">
        <v>9189</v>
      </c>
      <c r="I2638" s="33" t="s">
        <v>39</v>
      </c>
      <c r="J2638" s="33" t="s">
        <v>40</v>
      </c>
      <c r="K2638" s="33" t="s">
        <v>41</v>
      </c>
      <c r="L2638" s="33">
        <v>4</v>
      </c>
    </row>
    <row r="2639" spans="1:12" s="33" customFormat="1" hidden="1" x14ac:dyDescent="0.3">
      <c r="A2639" s="39">
        <v>46084.739930555559</v>
      </c>
      <c r="B2639" s="33">
        <v>4430459032</v>
      </c>
      <c r="C2639" s="33" t="s">
        <v>44</v>
      </c>
      <c r="D2639" s="33">
        <v>4430265054</v>
      </c>
      <c r="E2639" s="33">
        <v>330</v>
      </c>
      <c r="F2639" s="33">
        <v>311</v>
      </c>
      <c r="G2639" s="33" t="s">
        <v>38</v>
      </c>
      <c r="H2639" s="33" t="s">
        <v>9190</v>
      </c>
      <c r="I2639" s="33" t="s">
        <v>39</v>
      </c>
      <c r="J2639" s="33" t="s">
        <v>40</v>
      </c>
      <c r="K2639" s="33" t="s">
        <v>41</v>
      </c>
    </row>
    <row r="2640" spans="1:12" s="33" customFormat="1" hidden="1" x14ac:dyDescent="0.3">
      <c r="A2640" s="39">
        <v>46084.739791666667</v>
      </c>
      <c r="B2640" s="33">
        <v>4430459032</v>
      </c>
      <c r="C2640" s="33">
        <v>4430265054</v>
      </c>
      <c r="D2640" s="33">
        <v>4430265054</v>
      </c>
      <c r="E2640" s="33">
        <v>6</v>
      </c>
      <c r="F2640" s="33">
        <v>5</v>
      </c>
      <c r="G2640" s="33" t="s">
        <v>3449</v>
      </c>
      <c r="H2640" s="33" t="s">
        <v>9191</v>
      </c>
      <c r="I2640" s="33" t="s">
        <v>39</v>
      </c>
      <c r="J2640" s="33" t="s">
        <v>3451</v>
      </c>
      <c r="K2640" s="33" t="s">
        <v>41</v>
      </c>
    </row>
    <row r="2641" spans="1:12" s="33" customFormat="1" hidden="1" x14ac:dyDescent="0.3">
      <c r="A2641" s="39">
        <v>46084.737824074073</v>
      </c>
      <c r="B2641" s="33">
        <v>4430191617</v>
      </c>
      <c r="C2641" s="33" t="s">
        <v>42</v>
      </c>
      <c r="D2641" s="33">
        <v>4430265054</v>
      </c>
      <c r="E2641" s="33">
        <v>734</v>
      </c>
      <c r="F2641" s="33">
        <v>688</v>
      </c>
      <c r="G2641" s="33" t="s">
        <v>38</v>
      </c>
      <c r="H2641" s="33" t="s">
        <v>9192</v>
      </c>
      <c r="I2641" s="33" t="s">
        <v>39</v>
      </c>
      <c r="J2641" s="33" t="s">
        <v>40</v>
      </c>
      <c r="K2641" s="33" t="s">
        <v>41</v>
      </c>
    </row>
    <row r="2642" spans="1:12" s="33" customFormat="1" hidden="1" x14ac:dyDescent="0.3">
      <c r="A2642" s="39">
        <v>46084.736574074072</v>
      </c>
      <c r="B2642" s="33">
        <v>18996991511</v>
      </c>
      <c r="C2642" s="33" t="s">
        <v>37</v>
      </c>
      <c r="D2642" s="33">
        <v>4430265054</v>
      </c>
      <c r="E2642" s="33">
        <v>445</v>
      </c>
      <c r="F2642" s="33">
        <v>302</v>
      </c>
      <c r="G2642" s="33" t="s">
        <v>38</v>
      </c>
      <c r="H2642" s="33" t="s">
        <v>9193</v>
      </c>
      <c r="I2642" s="33" t="s">
        <v>39</v>
      </c>
      <c r="J2642" s="33" t="s">
        <v>40</v>
      </c>
      <c r="K2642" s="33" t="s">
        <v>41</v>
      </c>
      <c r="L2642" s="33">
        <v>5</v>
      </c>
    </row>
    <row r="2643" spans="1:12" s="33" customFormat="1" hidden="1" x14ac:dyDescent="0.3">
      <c r="A2643" s="39">
        <v>46084.735902777778</v>
      </c>
      <c r="B2643" s="33">
        <v>18996991511</v>
      </c>
      <c r="C2643" s="33">
        <v>4430265054</v>
      </c>
      <c r="D2643" s="33">
        <v>4430265054</v>
      </c>
      <c r="E2643" s="33">
        <v>49</v>
      </c>
      <c r="F2643" s="33">
        <v>48</v>
      </c>
      <c r="G2643" s="33" t="s">
        <v>3449</v>
      </c>
      <c r="H2643" s="33" t="s">
        <v>9194</v>
      </c>
      <c r="I2643" s="33" t="s">
        <v>39</v>
      </c>
      <c r="J2643" s="33" t="s">
        <v>3451</v>
      </c>
    </row>
    <row r="2644" spans="1:12" s="33" customFormat="1" hidden="1" x14ac:dyDescent="0.3">
      <c r="A2644" s="39">
        <v>46084.733865740738</v>
      </c>
      <c r="B2644" s="33" t="s">
        <v>5173</v>
      </c>
      <c r="C2644" s="33">
        <v>81994195603</v>
      </c>
      <c r="E2644" s="33">
        <v>13</v>
      </c>
      <c r="F2644" s="33">
        <v>4</v>
      </c>
      <c r="G2644" s="33" t="s">
        <v>38</v>
      </c>
      <c r="H2644" s="33" t="s">
        <v>9195</v>
      </c>
      <c r="I2644" s="33" t="s">
        <v>46</v>
      </c>
      <c r="J2644" s="33" t="s">
        <v>3629</v>
      </c>
    </row>
    <row r="2645" spans="1:12" s="33" customFormat="1" hidden="1" x14ac:dyDescent="0.3">
      <c r="A2645" s="39">
        <v>46084.729490740741</v>
      </c>
      <c r="B2645" s="33" t="s">
        <v>3627</v>
      </c>
      <c r="C2645" s="33">
        <v>84991812225</v>
      </c>
      <c r="E2645" s="33">
        <v>47</v>
      </c>
      <c r="F2645" s="33">
        <v>2</v>
      </c>
      <c r="G2645" s="33" t="s">
        <v>38</v>
      </c>
      <c r="H2645" s="33" t="s">
        <v>9196</v>
      </c>
      <c r="I2645" s="33" t="s">
        <v>46</v>
      </c>
      <c r="J2645" s="33" t="s">
        <v>3629</v>
      </c>
    </row>
    <row r="2646" spans="1:12" s="33" customFormat="1" hidden="1" x14ac:dyDescent="0.3">
      <c r="A2646" s="39">
        <v>46084.729467592595</v>
      </c>
      <c r="B2646" s="33">
        <v>4430141092</v>
      </c>
      <c r="C2646" s="33" t="s">
        <v>43</v>
      </c>
      <c r="D2646" s="33">
        <v>4430265054</v>
      </c>
      <c r="E2646" s="33">
        <v>289</v>
      </c>
      <c r="F2646" s="33">
        <v>245</v>
      </c>
      <c r="G2646" s="33" t="s">
        <v>38</v>
      </c>
      <c r="H2646" s="33" t="s">
        <v>9197</v>
      </c>
      <c r="I2646" s="33" t="s">
        <v>39</v>
      </c>
      <c r="J2646" s="33" t="s">
        <v>40</v>
      </c>
      <c r="K2646" s="33" t="s">
        <v>41</v>
      </c>
    </row>
    <row r="2647" spans="1:12" s="33" customFormat="1" hidden="1" x14ac:dyDescent="0.3">
      <c r="A2647" s="39">
        <v>46084.72865740741</v>
      </c>
      <c r="B2647" s="33" t="s">
        <v>3627</v>
      </c>
      <c r="C2647" s="33">
        <v>45999846765</v>
      </c>
      <c r="E2647" s="33">
        <v>18</v>
      </c>
      <c r="F2647" s="33">
        <v>0</v>
      </c>
      <c r="G2647" s="33" t="s">
        <v>47</v>
      </c>
      <c r="H2647" s="33" t="s">
        <v>9198</v>
      </c>
      <c r="I2647" s="33" t="s">
        <v>46</v>
      </c>
      <c r="J2647" s="33" t="s">
        <v>3629</v>
      </c>
    </row>
    <row r="2648" spans="1:12" s="33" customFormat="1" hidden="1" x14ac:dyDescent="0.3">
      <c r="A2648" s="39">
        <v>46084.724259259259</v>
      </c>
      <c r="B2648" s="33">
        <v>44998860140</v>
      </c>
      <c r="C2648" s="33" t="s">
        <v>45</v>
      </c>
      <c r="D2648" s="33">
        <v>4430265054</v>
      </c>
      <c r="E2648" s="33">
        <v>795</v>
      </c>
      <c r="F2648" s="33">
        <v>689</v>
      </c>
      <c r="G2648" s="33" t="s">
        <v>38</v>
      </c>
      <c r="H2648" s="33" t="s">
        <v>9199</v>
      </c>
      <c r="I2648" s="33" t="s">
        <v>39</v>
      </c>
      <c r="J2648" s="33" t="s">
        <v>40</v>
      </c>
      <c r="K2648" s="33" t="s">
        <v>41</v>
      </c>
    </row>
    <row r="2649" spans="1:12" s="33" customFormat="1" hidden="1" x14ac:dyDescent="0.3">
      <c r="A2649" s="39">
        <v>46084.724016203705</v>
      </c>
      <c r="B2649" s="33" t="s">
        <v>5173</v>
      </c>
      <c r="C2649" s="33">
        <v>81994195603</v>
      </c>
      <c r="E2649" s="33">
        <v>325</v>
      </c>
      <c r="F2649" s="33">
        <v>294</v>
      </c>
      <c r="G2649" s="33" t="s">
        <v>38</v>
      </c>
      <c r="H2649" s="33" t="s">
        <v>9200</v>
      </c>
      <c r="I2649" s="33" t="s">
        <v>46</v>
      </c>
      <c r="J2649" s="33" t="s">
        <v>3629</v>
      </c>
    </row>
    <row r="2650" spans="1:12" s="33" customFormat="1" hidden="1" x14ac:dyDescent="0.3">
      <c r="A2650" s="39">
        <v>46084.723935185182</v>
      </c>
      <c r="B2650" s="33" t="s">
        <v>5173</v>
      </c>
      <c r="C2650" s="33">
        <v>81994195603</v>
      </c>
      <c r="E2650" s="33">
        <v>2</v>
      </c>
      <c r="F2650" s="33">
        <v>0</v>
      </c>
      <c r="G2650" s="33" t="s">
        <v>47</v>
      </c>
      <c r="H2650" s="33" t="s">
        <v>9201</v>
      </c>
      <c r="I2650" s="33" t="s">
        <v>46</v>
      </c>
      <c r="J2650" s="33" t="s">
        <v>3629</v>
      </c>
    </row>
    <row r="2651" spans="1:12" s="33" customFormat="1" hidden="1" x14ac:dyDescent="0.3">
      <c r="A2651" s="39">
        <v>46084.722557870373</v>
      </c>
      <c r="B2651" s="33">
        <v>11934552189</v>
      </c>
      <c r="C2651" s="33" t="s">
        <v>48</v>
      </c>
      <c r="D2651" s="33">
        <v>4430265054</v>
      </c>
      <c r="E2651" s="33">
        <v>486</v>
      </c>
      <c r="F2651" s="33">
        <v>338</v>
      </c>
      <c r="G2651" s="33" t="s">
        <v>38</v>
      </c>
      <c r="H2651" s="33" t="s">
        <v>9202</v>
      </c>
      <c r="I2651" s="33" t="s">
        <v>39</v>
      </c>
      <c r="J2651" s="33" t="s">
        <v>40</v>
      </c>
      <c r="K2651" s="33" t="s">
        <v>41</v>
      </c>
    </row>
    <row r="2652" spans="1:12" s="33" customFormat="1" hidden="1" x14ac:dyDescent="0.3">
      <c r="A2652" s="39">
        <v>46084.721342592595</v>
      </c>
      <c r="B2652" s="33">
        <v>44988067937</v>
      </c>
      <c r="C2652" s="33" t="s">
        <v>45</v>
      </c>
      <c r="D2652" s="33">
        <v>4430265054</v>
      </c>
      <c r="E2652" s="33">
        <v>336</v>
      </c>
      <c r="F2652" s="33">
        <v>149</v>
      </c>
      <c r="G2652" s="33" t="s">
        <v>38</v>
      </c>
      <c r="H2652" s="33" t="s">
        <v>9203</v>
      </c>
      <c r="I2652" s="33" t="s">
        <v>39</v>
      </c>
      <c r="J2652" s="33" t="s">
        <v>40</v>
      </c>
      <c r="K2652" s="33" t="s">
        <v>41</v>
      </c>
    </row>
    <row r="2653" spans="1:12" s="33" customFormat="1" hidden="1" x14ac:dyDescent="0.3">
      <c r="A2653" s="39">
        <v>46084.720879629633</v>
      </c>
      <c r="B2653" s="33" t="s">
        <v>3627</v>
      </c>
      <c r="C2653" s="33">
        <v>4935661167</v>
      </c>
      <c r="E2653" s="33">
        <v>15</v>
      </c>
      <c r="F2653" s="33">
        <v>7</v>
      </c>
      <c r="G2653" s="33" t="s">
        <v>38</v>
      </c>
      <c r="H2653" s="33" t="s">
        <v>9204</v>
      </c>
      <c r="I2653" s="33" t="s">
        <v>46</v>
      </c>
      <c r="J2653" s="33" t="s">
        <v>3629</v>
      </c>
    </row>
    <row r="2654" spans="1:12" s="33" customFormat="1" hidden="1" x14ac:dyDescent="0.3">
      <c r="A2654" s="39">
        <v>46084.720706018517</v>
      </c>
      <c r="B2654" s="33">
        <v>4434239353</v>
      </c>
      <c r="C2654" s="33" t="s">
        <v>48</v>
      </c>
      <c r="D2654" s="33">
        <v>4430265054</v>
      </c>
      <c r="E2654" s="33">
        <v>297</v>
      </c>
      <c r="F2654" s="33">
        <v>97</v>
      </c>
      <c r="G2654" s="33" t="s">
        <v>38</v>
      </c>
      <c r="H2654" s="33" t="s">
        <v>9205</v>
      </c>
      <c r="I2654" s="33" t="s">
        <v>39</v>
      </c>
      <c r="J2654" s="33" t="s">
        <v>40</v>
      </c>
      <c r="K2654" s="33" t="s">
        <v>41</v>
      </c>
    </row>
    <row r="2655" spans="1:12" s="33" customFormat="1" hidden="1" x14ac:dyDescent="0.3">
      <c r="A2655" s="39">
        <v>46084.720335648148</v>
      </c>
      <c r="B2655" s="33">
        <v>44991284259</v>
      </c>
      <c r="C2655" s="33" t="s">
        <v>43</v>
      </c>
      <c r="D2655" s="33">
        <v>4430265054</v>
      </c>
      <c r="E2655" s="33">
        <v>471</v>
      </c>
      <c r="F2655" s="33">
        <v>452</v>
      </c>
      <c r="G2655" s="33" t="s">
        <v>38</v>
      </c>
      <c r="H2655" s="33" t="s">
        <v>9206</v>
      </c>
      <c r="I2655" s="33" t="s">
        <v>39</v>
      </c>
      <c r="J2655" s="33" t="s">
        <v>40</v>
      </c>
      <c r="K2655" s="33" t="s">
        <v>41</v>
      </c>
    </row>
    <row r="2656" spans="1:12" s="33" customFormat="1" hidden="1" x14ac:dyDescent="0.3">
      <c r="A2656" s="39">
        <v>46084.720011574071</v>
      </c>
      <c r="B2656" s="33">
        <v>44988067937</v>
      </c>
      <c r="C2656" s="33">
        <v>4430265054</v>
      </c>
      <c r="D2656" s="33">
        <v>4430265054</v>
      </c>
      <c r="E2656" s="33">
        <v>32</v>
      </c>
      <c r="F2656" s="33">
        <v>31</v>
      </c>
      <c r="G2656" s="33" t="s">
        <v>3449</v>
      </c>
      <c r="H2656" s="33" t="s">
        <v>9207</v>
      </c>
      <c r="I2656" s="33" t="s">
        <v>39</v>
      </c>
      <c r="J2656" s="33" t="s">
        <v>3451</v>
      </c>
      <c r="K2656" s="33" t="s">
        <v>41</v>
      </c>
    </row>
    <row r="2657" spans="1:12" s="33" customFormat="1" hidden="1" x14ac:dyDescent="0.3">
      <c r="A2657" s="39">
        <v>46084.718877314815</v>
      </c>
      <c r="B2657" s="33">
        <v>4430191401</v>
      </c>
      <c r="C2657" s="33" t="s">
        <v>48</v>
      </c>
      <c r="D2657" s="33">
        <v>4430265054</v>
      </c>
      <c r="E2657" s="33">
        <v>358</v>
      </c>
      <c r="F2657" s="33">
        <v>281</v>
      </c>
      <c r="G2657" s="33" t="s">
        <v>38</v>
      </c>
      <c r="H2657" s="33" t="s">
        <v>9208</v>
      </c>
      <c r="I2657" s="33" t="s">
        <v>39</v>
      </c>
      <c r="J2657" s="33" t="s">
        <v>40</v>
      </c>
      <c r="K2657" s="33" t="s">
        <v>41</v>
      </c>
    </row>
    <row r="2658" spans="1:12" s="33" customFormat="1" hidden="1" x14ac:dyDescent="0.3">
      <c r="A2658" s="39">
        <v>46084.717974537038</v>
      </c>
      <c r="B2658" s="33">
        <v>11916079448</v>
      </c>
      <c r="C2658" s="33" t="s">
        <v>37</v>
      </c>
      <c r="D2658" s="33">
        <v>4430265054</v>
      </c>
      <c r="E2658" s="33">
        <v>1369</v>
      </c>
      <c r="F2658" s="33">
        <v>1215</v>
      </c>
      <c r="G2658" s="33" t="s">
        <v>38</v>
      </c>
      <c r="H2658" s="33" t="s">
        <v>9209</v>
      </c>
      <c r="I2658" s="33" t="s">
        <v>39</v>
      </c>
      <c r="J2658" s="33" t="s">
        <v>40</v>
      </c>
      <c r="K2658" s="33" t="s">
        <v>41</v>
      </c>
      <c r="L2658" s="33">
        <v>5</v>
      </c>
    </row>
    <row r="2659" spans="1:12" s="33" customFormat="1" x14ac:dyDescent="0.3">
      <c r="A2659" s="39">
        <v>46084.717361111114</v>
      </c>
      <c r="B2659" s="33">
        <v>93984112869</v>
      </c>
      <c r="C2659" s="33" t="s">
        <v>42</v>
      </c>
      <c r="D2659" s="33">
        <v>4431268225</v>
      </c>
      <c r="E2659" s="33">
        <v>666</v>
      </c>
      <c r="F2659" s="33">
        <v>629</v>
      </c>
      <c r="G2659" s="33" t="s">
        <v>38</v>
      </c>
      <c r="H2659" s="33" t="s">
        <v>9210</v>
      </c>
      <c r="I2659" s="33" t="s">
        <v>39</v>
      </c>
      <c r="J2659" s="33" t="s">
        <v>40</v>
      </c>
      <c r="K2659" s="33" t="s">
        <v>41</v>
      </c>
      <c r="L2659" s="33">
        <v>5</v>
      </c>
    </row>
    <row r="2660" spans="1:12" s="33" customFormat="1" hidden="1" x14ac:dyDescent="0.3">
      <c r="A2660" s="39">
        <v>46084.715312499997</v>
      </c>
      <c r="B2660" s="33">
        <v>6234347959</v>
      </c>
      <c r="C2660" s="33" t="s">
        <v>42</v>
      </c>
      <c r="D2660" s="33">
        <v>4430265054</v>
      </c>
      <c r="E2660" s="33">
        <v>123</v>
      </c>
      <c r="F2660" s="33">
        <v>83</v>
      </c>
      <c r="G2660" s="33" t="s">
        <v>38</v>
      </c>
      <c r="H2660" s="33" t="s">
        <v>9211</v>
      </c>
      <c r="I2660" s="33" t="s">
        <v>39</v>
      </c>
      <c r="J2660" s="33" t="s">
        <v>40</v>
      </c>
      <c r="K2660" s="33" t="s">
        <v>41</v>
      </c>
    </row>
    <row r="2661" spans="1:12" s="33" customFormat="1" hidden="1" x14ac:dyDescent="0.3">
      <c r="A2661" s="39">
        <v>46084.715289351851</v>
      </c>
      <c r="B2661" s="33">
        <v>1131043888</v>
      </c>
      <c r="C2661" s="33" t="s">
        <v>44</v>
      </c>
      <c r="D2661" s="33">
        <v>4430265054</v>
      </c>
      <c r="E2661" s="33">
        <v>938</v>
      </c>
      <c r="F2661" s="33">
        <v>880</v>
      </c>
      <c r="G2661" s="33" t="s">
        <v>38</v>
      </c>
      <c r="H2661" s="33" t="s">
        <v>9212</v>
      </c>
      <c r="I2661" s="33" t="s">
        <v>39</v>
      </c>
      <c r="J2661" s="33" t="s">
        <v>40</v>
      </c>
      <c r="K2661" s="33" t="s">
        <v>41</v>
      </c>
    </row>
    <row r="2662" spans="1:12" s="33" customFormat="1" hidden="1" x14ac:dyDescent="0.3">
      <c r="A2662" s="39">
        <v>46084.714594907404</v>
      </c>
      <c r="B2662" s="33">
        <v>91981481202</v>
      </c>
      <c r="C2662" s="33" t="s">
        <v>45</v>
      </c>
      <c r="D2662" s="33">
        <v>4430265054</v>
      </c>
      <c r="E2662" s="33">
        <v>768</v>
      </c>
      <c r="F2662" s="33">
        <v>693</v>
      </c>
      <c r="G2662" s="33" t="s">
        <v>38</v>
      </c>
      <c r="H2662" s="33" t="s">
        <v>9213</v>
      </c>
      <c r="I2662" s="33" t="s">
        <v>39</v>
      </c>
      <c r="J2662" s="33" t="s">
        <v>40</v>
      </c>
      <c r="K2662" s="33" t="s">
        <v>41</v>
      </c>
    </row>
    <row r="2663" spans="1:12" s="33" customFormat="1" hidden="1" x14ac:dyDescent="0.3">
      <c r="A2663" s="39">
        <v>46084.712523148148</v>
      </c>
      <c r="B2663" s="33" t="s">
        <v>3627</v>
      </c>
      <c r="C2663" s="33">
        <v>98988779580</v>
      </c>
      <c r="E2663" s="33">
        <v>12</v>
      </c>
      <c r="F2663" s="33">
        <v>5</v>
      </c>
      <c r="G2663" s="33" t="s">
        <v>38</v>
      </c>
      <c r="H2663" s="33" t="s">
        <v>9214</v>
      </c>
      <c r="I2663" s="33" t="s">
        <v>46</v>
      </c>
      <c r="J2663" s="33" t="s">
        <v>3629</v>
      </c>
    </row>
    <row r="2664" spans="1:12" s="33" customFormat="1" hidden="1" x14ac:dyDescent="0.3">
      <c r="A2664" s="39">
        <v>46084.711712962962</v>
      </c>
      <c r="B2664" s="33" t="s">
        <v>3627</v>
      </c>
      <c r="C2664" s="33">
        <v>71996010834</v>
      </c>
      <c r="E2664" s="33">
        <v>3</v>
      </c>
      <c r="F2664" s="33">
        <v>0</v>
      </c>
      <c r="G2664" s="33" t="s">
        <v>47</v>
      </c>
      <c r="H2664" s="33" t="s">
        <v>9215</v>
      </c>
      <c r="I2664" s="33" t="s">
        <v>46</v>
      </c>
      <c r="J2664" s="33" t="s">
        <v>3629</v>
      </c>
    </row>
    <row r="2665" spans="1:12" s="33" customFormat="1" hidden="1" x14ac:dyDescent="0.3">
      <c r="A2665" s="39">
        <v>46084.711284722223</v>
      </c>
      <c r="B2665" s="33">
        <v>44991249108</v>
      </c>
      <c r="C2665" s="33" t="s">
        <v>37</v>
      </c>
      <c r="D2665" s="33">
        <v>4430265054</v>
      </c>
      <c r="E2665" s="33">
        <v>389</v>
      </c>
      <c r="F2665" s="33">
        <v>341</v>
      </c>
      <c r="G2665" s="33" t="s">
        <v>38</v>
      </c>
      <c r="H2665" s="33" t="s">
        <v>9216</v>
      </c>
      <c r="I2665" s="33" t="s">
        <v>39</v>
      </c>
      <c r="J2665" s="33" t="s">
        <v>40</v>
      </c>
      <c r="K2665" s="33" t="s">
        <v>41</v>
      </c>
      <c r="L2665" s="33">
        <v>5</v>
      </c>
    </row>
    <row r="2666" spans="1:12" s="33" customFormat="1" hidden="1" x14ac:dyDescent="0.3">
      <c r="A2666" s="39">
        <v>46084.7109375</v>
      </c>
      <c r="B2666" s="33" t="s">
        <v>44</v>
      </c>
      <c r="C2666" s="33">
        <v>4436249360</v>
      </c>
      <c r="E2666" s="33">
        <v>87</v>
      </c>
      <c r="F2666" s="33">
        <v>75</v>
      </c>
      <c r="G2666" s="33" t="s">
        <v>38</v>
      </c>
      <c r="H2666" s="33" t="s">
        <v>9217</v>
      </c>
      <c r="I2666" s="33" t="s">
        <v>46</v>
      </c>
      <c r="J2666" s="33" t="s">
        <v>40</v>
      </c>
    </row>
    <row r="2667" spans="1:12" s="33" customFormat="1" hidden="1" x14ac:dyDescent="0.3">
      <c r="A2667" s="39">
        <v>46084.710347222222</v>
      </c>
      <c r="B2667" s="33" t="s">
        <v>43</v>
      </c>
      <c r="C2667" s="33">
        <v>4430141092</v>
      </c>
      <c r="E2667" s="33">
        <v>200</v>
      </c>
      <c r="F2667" s="33">
        <v>198</v>
      </c>
      <c r="G2667" s="33" t="s">
        <v>38</v>
      </c>
      <c r="H2667" s="33" t="s">
        <v>9218</v>
      </c>
      <c r="I2667" s="33" t="s">
        <v>46</v>
      </c>
      <c r="J2667" s="33" t="s">
        <v>40</v>
      </c>
    </row>
    <row r="2668" spans="1:12" s="33" customFormat="1" hidden="1" x14ac:dyDescent="0.3">
      <c r="A2668" s="39">
        <v>46084.710266203707</v>
      </c>
      <c r="B2668" s="33" t="s">
        <v>43</v>
      </c>
      <c r="C2668" s="33">
        <v>4430141092</v>
      </c>
      <c r="E2668" s="33">
        <v>6</v>
      </c>
      <c r="F2668" s="33">
        <v>0</v>
      </c>
      <c r="G2668" s="33" t="s">
        <v>47</v>
      </c>
      <c r="H2668" s="33" t="s">
        <v>9219</v>
      </c>
      <c r="I2668" s="33" t="s">
        <v>46</v>
      </c>
      <c r="J2668" s="33" t="s">
        <v>40</v>
      </c>
    </row>
    <row r="2669" spans="1:12" s="33" customFormat="1" hidden="1" x14ac:dyDescent="0.3">
      <c r="A2669" s="39">
        <v>46084.70952546296</v>
      </c>
      <c r="B2669" s="33">
        <v>44999844110</v>
      </c>
      <c r="C2669" s="33" t="s">
        <v>42</v>
      </c>
      <c r="D2669" s="33">
        <v>4430265054</v>
      </c>
      <c r="E2669" s="33">
        <v>306</v>
      </c>
      <c r="F2669" s="33">
        <v>248</v>
      </c>
      <c r="G2669" s="33" t="s">
        <v>38</v>
      </c>
      <c r="H2669" s="33" t="s">
        <v>9220</v>
      </c>
      <c r="I2669" s="33" t="s">
        <v>39</v>
      </c>
      <c r="J2669" s="33" t="s">
        <v>40</v>
      </c>
      <c r="K2669" s="33" t="s">
        <v>41</v>
      </c>
    </row>
    <row r="2670" spans="1:12" s="33" customFormat="1" hidden="1" x14ac:dyDescent="0.3">
      <c r="A2670" s="39">
        <v>46084.704930555556</v>
      </c>
      <c r="B2670" s="33" t="s">
        <v>48</v>
      </c>
      <c r="C2670" s="33">
        <v>4430162376</v>
      </c>
      <c r="E2670" s="33">
        <v>1265</v>
      </c>
      <c r="F2670" s="33">
        <v>1251</v>
      </c>
      <c r="G2670" s="33" t="s">
        <v>38</v>
      </c>
      <c r="H2670" s="33" t="s">
        <v>9221</v>
      </c>
      <c r="I2670" s="33" t="s">
        <v>46</v>
      </c>
      <c r="J2670" s="33" t="s">
        <v>40</v>
      </c>
    </row>
    <row r="2671" spans="1:12" s="33" customFormat="1" hidden="1" x14ac:dyDescent="0.3">
      <c r="A2671" s="39">
        <v>46084.698298611111</v>
      </c>
      <c r="B2671" s="33">
        <v>4434231198</v>
      </c>
      <c r="C2671" s="33" t="s">
        <v>44</v>
      </c>
      <c r="D2671" s="33">
        <v>4430265054</v>
      </c>
      <c r="E2671" s="33">
        <v>404</v>
      </c>
      <c r="F2671" s="33">
        <v>348</v>
      </c>
      <c r="G2671" s="33" t="s">
        <v>38</v>
      </c>
      <c r="H2671" s="33" t="s">
        <v>9222</v>
      </c>
      <c r="I2671" s="33" t="s">
        <v>39</v>
      </c>
      <c r="J2671" s="33" t="s">
        <v>40</v>
      </c>
      <c r="K2671" s="33" t="s">
        <v>41</v>
      </c>
    </row>
    <row r="2672" spans="1:12" s="33" customFormat="1" hidden="1" x14ac:dyDescent="0.3">
      <c r="A2672" s="39">
        <v>46084.697534722225</v>
      </c>
      <c r="B2672" s="33" t="s">
        <v>37</v>
      </c>
      <c r="C2672" s="33">
        <v>4133491428</v>
      </c>
      <c r="E2672" s="33">
        <v>165</v>
      </c>
      <c r="F2672" s="33">
        <v>154</v>
      </c>
      <c r="G2672" s="33" t="s">
        <v>38</v>
      </c>
      <c r="H2672" s="33" t="s">
        <v>9223</v>
      </c>
      <c r="I2672" s="33" t="s">
        <v>46</v>
      </c>
      <c r="J2672" s="33" t="s">
        <v>40</v>
      </c>
    </row>
    <row r="2673" spans="1:12" s="33" customFormat="1" hidden="1" x14ac:dyDescent="0.3">
      <c r="A2673" s="39">
        <v>46084.692337962966</v>
      </c>
      <c r="B2673" s="33">
        <v>44998266194</v>
      </c>
      <c r="C2673" s="33" t="s">
        <v>42</v>
      </c>
      <c r="D2673" s="33">
        <v>4431268225</v>
      </c>
      <c r="E2673" s="33">
        <v>240</v>
      </c>
      <c r="F2673" s="33">
        <v>212</v>
      </c>
      <c r="G2673" s="33" t="s">
        <v>38</v>
      </c>
      <c r="H2673" s="33" t="s">
        <v>9224</v>
      </c>
      <c r="I2673" s="33" t="s">
        <v>39</v>
      </c>
      <c r="J2673" s="33" t="s">
        <v>40</v>
      </c>
      <c r="K2673" s="33" t="s">
        <v>41</v>
      </c>
    </row>
    <row r="2674" spans="1:12" s="33" customFormat="1" hidden="1" x14ac:dyDescent="0.3">
      <c r="A2674" s="39">
        <v>46084.692280092589</v>
      </c>
      <c r="B2674" s="33" t="s">
        <v>42</v>
      </c>
      <c r="C2674" s="33">
        <v>44998266194</v>
      </c>
      <c r="E2674" s="33">
        <v>40</v>
      </c>
      <c r="F2674" s="33">
        <v>35</v>
      </c>
      <c r="G2674" s="33" t="s">
        <v>38</v>
      </c>
      <c r="H2674" s="33" t="s">
        <v>9225</v>
      </c>
      <c r="I2674" s="33" t="s">
        <v>46</v>
      </c>
      <c r="J2674" s="33" t="s">
        <v>40</v>
      </c>
    </row>
    <row r="2675" spans="1:12" s="33" customFormat="1" hidden="1" x14ac:dyDescent="0.3">
      <c r="A2675" s="39">
        <v>46084.690925925926</v>
      </c>
      <c r="B2675" s="33">
        <v>44998266194</v>
      </c>
      <c r="C2675" s="33" t="s">
        <v>42</v>
      </c>
      <c r="D2675" s="33">
        <v>4431268225</v>
      </c>
      <c r="E2675" s="33">
        <v>114</v>
      </c>
      <c r="F2675" s="33">
        <v>57</v>
      </c>
      <c r="G2675" s="33" t="s">
        <v>38</v>
      </c>
      <c r="H2675" s="33" t="s">
        <v>9226</v>
      </c>
      <c r="I2675" s="33" t="s">
        <v>39</v>
      </c>
      <c r="J2675" s="33" t="s">
        <v>40</v>
      </c>
      <c r="K2675" s="33" t="s">
        <v>41</v>
      </c>
    </row>
    <row r="2676" spans="1:12" s="33" customFormat="1" hidden="1" x14ac:dyDescent="0.3">
      <c r="A2676" s="39">
        <v>46084.688240740739</v>
      </c>
      <c r="B2676" s="33">
        <v>4432677399</v>
      </c>
      <c r="C2676" s="33" t="s">
        <v>44</v>
      </c>
      <c r="D2676" s="33">
        <v>4430265054</v>
      </c>
      <c r="E2676" s="33">
        <v>259</v>
      </c>
      <c r="F2676" s="33">
        <v>147</v>
      </c>
      <c r="G2676" s="33" t="s">
        <v>38</v>
      </c>
      <c r="H2676" s="33" t="s">
        <v>9227</v>
      </c>
      <c r="I2676" s="33" t="s">
        <v>39</v>
      </c>
      <c r="J2676" s="33" t="s">
        <v>40</v>
      </c>
      <c r="K2676" s="33" t="s">
        <v>41</v>
      </c>
    </row>
    <row r="2677" spans="1:12" s="33" customFormat="1" hidden="1" x14ac:dyDescent="0.3">
      <c r="A2677" s="39">
        <v>46084.680648148147</v>
      </c>
      <c r="B2677" s="33">
        <v>1135975449</v>
      </c>
      <c r="C2677" s="33" t="s">
        <v>51</v>
      </c>
      <c r="D2677" s="33">
        <v>4430265054</v>
      </c>
      <c r="E2677" s="33">
        <v>2008</v>
      </c>
      <c r="F2677" s="33">
        <v>1987</v>
      </c>
      <c r="G2677" s="33" t="s">
        <v>38</v>
      </c>
      <c r="H2677" s="33" t="s">
        <v>9228</v>
      </c>
      <c r="I2677" s="33" t="s">
        <v>39</v>
      </c>
      <c r="J2677" s="33" t="s">
        <v>3629</v>
      </c>
      <c r="K2677" s="33" t="s">
        <v>50</v>
      </c>
    </row>
    <row r="2678" spans="1:12" s="33" customFormat="1" hidden="1" x14ac:dyDescent="0.3">
      <c r="A2678" s="39">
        <v>46084.679398148146</v>
      </c>
      <c r="B2678" s="33">
        <v>1135976275</v>
      </c>
      <c r="C2678" s="33">
        <v>4430265054</v>
      </c>
      <c r="D2678" s="33">
        <v>4430265054</v>
      </c>
      <c r="E2678" s="33">
        <v>97</v>
      </c>
      <c r="F2678" s="33">
        <v>96</v>
      </c>
      <c r="G2678" s="33" t="s">
        <v>3449</v>
      </c>
      <c r="H2678" s="33" t="s">
        <v>9229</v>
      </c>
      <c r="I2678" s="33" t="s">
        <v>39</v>
      </c>
      <c r="J2678" s="33" t="s">
        <v>3451</v>
      </c>
      <c r="K2678" s="33" t="s">
        <v>41</v>
      </c>
    </row>
    <row r="2679" spans="1:12" s="33" customFormat="1" hidden="1" x14ac:dyDescent="0.3">
      <c r="A2679" s="39">
        <v>46084.679108796299</v>
      </c>
      <c r="B2679" s="33">
        <v>91981481202</v>
      </c>
      <c r="C2679" s="33" t="s">
        <v>45</v>
      </c>
      <c r="D2679" s="33">
        <v>4430265054</v>
      </c>
      <c r="E2679" s="33">
        <v>104</v>
      </c>
      <c r="F2679" s="33">
        <v>47</v>
      </c>
      <c r="G2679" s="33" t="s">
        <v>38</v>
      </c>
      <c r="H2679" s="33" t="s">
        <v>9230</v>
      </c>
      <c r="I2679" s="33" t="s">
        <v>39</v>
      </c>
      <c r="J2679" s="33" t="s">
        <v>40</v>
      </c>
      <c r="K2679" s="33" t="s">
        <v>41</v>
      </c>
    </row>
    <row r="2680" spans="1:12" s="33" customFormat="1" hidden="1" x14ac:dyDescent="0.3">
      <c r="A2680" s="39">
        <v>46084.674212962964</v>
      </c>
      <c r="B2680" s="33" t="s">
        <v>5173</v>
      </c>
      <c r="C2680" s="33">
        <v>81994195603</v>
      </c>
      <c r="E2680" s="33">
        <v>1496</v>
      </c>
      <c r="F2680" s="33">
        <v>1487</v>
      </c>
      <c r="G2680" s="33" t="s">
        <v>38</v>
      </c>
      <c r="H2680" s="33" t="s">
        <v>9231</v>
      </c>
      <c r="I2680" s="33" t="s">
        <v>46</v>
      </c>
      <c r="J2680" s="33" t="s">
        <v>3629</v>
      </c>
    </row>
    <row r="2681" spans="1:12" s="33" customFormat="1" hidden="1" x14ac:dyDescent="0.3">
      <c r="A2681" s="39">
        <v>46084.673194444447</v>
      </c>
      <c r="B2681" s="33">
        <v>44988067937</v>
      </c>
      <c r="C2681" s="33" t="s">
        <v>48</v>
      </c>
      <c r="D2681" s="33">
        <v>4430265054</v>
      </c>
      <c r="E2681" s="33">
        <v>196</v>
      </c>
      <c r="F2681" s="33">
        <v>195</v>
      </c>
      <c r="G2681" s="33" t="s">
        <v>38</v>
      </c>
      <c r="H2681" s="33" t="s">
        <v>9232</v>
      </c>
      <c r="I2681" s="33" t="s">
        <v>39</v>
      </c>
      <c r="J2681" s="33" t="s">
        <v>40</v>
      </c>
      <c r="K2681" s="33" t="s">
        <v>41</v>
      </c>
    </row>
    <row r="2682" spans="1:12" s="33" customFormat="1" hidden="1" x14ac:dyDescent="0.3">
      <c r="A2682" s="39">
        <v>46084.672777777778</v>
      </c>
      <c r="B2682" s="33">
        <v>44998717172</v>
      </c>
      <c r="C2682" s="33" t="s">
        <v>42</v>
      </c>
      <c r="D2682" s="33">
        <v>4430265054</v>
      </c>
      <c r="E2682" s="33">
        <v>585</v>
      </c>
      <c r="F2682" s="33">
        <v>559</v>
      </c>
      <c r="G2682" s="33" t="s">
        <v>38</v>
      </c>
      <c r="H2682" s="33" t="s">
        <v>9233</v>
      </c>
      <c r="I2682" s="33" t="s">
        <v>39</v>
      </c>
      <c r="J2682" s="33" t="s">
        <v>40</v>
      </c>
      <c r="K2682" s="33" t="s">
        <v>41</v>
      </c>
    </row>
    <row r="2683" spans="1:12" s="33" customFormat="1" hidden="1" x14ac:dyDescent="0.3">
      <c r="A2683" s="39">
        <v>46084.671759259261</v>
      </c>
      <c r="B2683" s="33">
        <v>91985176746</v>
      </c>
      <c r="C2683" s="33" t="s">
        <v>43</v>
      </c>
      <c r="D2683" s="33">
        <v>4430265054</v>
      </c>
      <c r="E2683" s="33">
        <v>337</v>
      </c>
      <c r="F2683" s="33">
        <v>311</v>
      </c>
      <c r="G2683" s="33" t="s">
        <v>38</v>
      </c>
      <c r="H2683" s="33" t="s">
        <v>9234</v>
      </c>
      <c r="I2683" s="33" t="s">
        <v>39</v>
      </c>
      <c r="J2683" s="33" t="s">
        <v>40</v>
      </c>
      <c r="K2683" s="33" t="s">
        <v>41</v>
      </c>
    </row>
    <row r="2684" spans="1:12" s="33" customFormat="1" hidden="1" x14ac:dyDescent="0.3">
      <c r="A2684" s="39">
        <v>46084.663414351853</v>
      </c>
      <c r="B2684" s="33">
        <v>44997561804</v>
      </c>
      <c r="C2684" s="33" t="s">
        <v>37</v>
      </c>
      <c r="D2684" s="33">
        <v>4430265054</v>
      </c>
      <c r="E2684" s="33">
        <v>2205</v>
      </c>
      <c r="F2684" s="33">
        <v>2129</v>
      </c>
      <c r="G2684" s="33" t="s">
        <v>38</v>
      </c>
      <c r="H2684" s="33" t="s">
        <v>9235</v>
      </c>
      <c r="I2684" s="33" t="s">
        <v>39</v>
      </c>
      <c r="J2684" s="33" t="s">
        <v>40</v>
      </c>
      <c r="K2684" s="33" t="s">
        <v>41</v>
      </c>
      <c r="L2684" s="33">
        <v>5</v>
      </c>
    </row>
    <row r="2685" spans="1:12" s="33" customFormat="1" hidden="1" x14ac:dyDescent="0.3">
      <c r="A2685" s="39">
        <v>46084.662835648145</v>
      </c>
      <c r="B2685" s="33" t="s">
        <v>3627</v>
      </c>
      <c r="C2685" s="33">
        <v>71996010834</v>
      </c>
      <c r="E2685" s="33">
        <v>13</v>
      </c>
      <c r="F2685" s="33">
        <v>6</v>
      </c>
      <c r="G2685" s="33" t="s">
        <v>38</v>
      </c>
      <c r="H2685" s="33" t="s">
        <v>9236</v>
      </c>
      <c r="I2685" s="33" t="s">
        <v>46</v>
      </c>
      <c r="J2685" s="33" t="s">
        <v>3629</v>
      </c>
    </row>
    <row r="2686" spans="1:12" s="33" customFormat="1" hidden="1" x14ac:dyDescent="0.3">
      <c r="A2686" s="39">
        <v>46084.661481481482</v>
      </c>
      <c r="B2686" s="33" t="s">
        <v>3627</v>
      </c>
      <c r="C2686" s="33">
        <v>71996876010</v>
      </c>
      <c r="E2686" s="33">
        <v>12</v>
      </c>
      <c r="F2686" s="33">
        <v>0</v>
      </c>
      <c r="G2686" s="33" t="s">
        <v>47</v>
      </c>
      <c r="H2686" s="33" t="s">
        <v>9237</v>
      </c>
      <c r="I2686" s="33" t="s">
        <v>46</v>
      </c>
      <c r="J2686" s="33" t="s">
        <v>3629</v>
      </c>
    </row>
    <row r="2687" spans="1:12" s="33" customFormat="1" hidden="1" x14ac:dyDescent="0.3">
      <c r="A2687" s="39">
        <v>46084.654490740744</v>
      </c>
      <c r="B2687" s="33">
        <v>44999856904</v>
      </c>
      <c r="C2687" s="33" t="s">
        <v>44</v>
      </c>
      <c r="D2687" s="33">
        <v>4430265054</v>
      </c>
      <c r="E2687" s="33">
        <v>1872</v>
      </c>
      <c r="F2687" s="33">
        <v>1795</v>
      </c>
      <c r="G2687" s="33" t="s">
        <v>38</v>
      </c>
      <c r="H2687" s="33" t="s">
        <v>9238</v>
      </c>
      <c r="I2687" s="33" t="s">
        <v>39</v>
      </c>
      <c r="J2687" s="33" t="s">
        <v>40</v>
      </c>
      <c r="K2687" s="33" t="s">
        <v>41</v>
      </c>
    </row>
    <row r="2688" spans="1:12" s="33" customFormat="1" hidden="1" x14ac:dyDescent="0.3">
      <c r="A2688" s="39">
        <v>46084.653761574074</v>
      </c>
      <c r="B2688" s="33" t="s">
        <v>3627</v>
      </c>
      <c r="C2688" s="33">
        <v>7133220908</v>
      </c>
      <c r="E2688" s="33">
        <v>49</v>
      </c>
      <c r="F2688" s="33">
        <v>16</v>
      </c>
      <c r="G2688" s="33" t="s">
        <v>38</v>
      </c>
      <c r="H2688" s="33" t="s">
        <v>9239</v>
      </c>
      <c r="I2688" s="33" t="s">
        <v>46</v>
      </c>
      <c r="J2688" s="33" t="s">
        <v>3629</v>
      </c>
    </row>
    <row r="2689" spans="1:11" s="33" customFormat="1" hidden="1" x14ac:dyDescent="0.3">
      <c r="A2689" s="39">
        <v>46084.653287037036</v>
      </c>
      <c r="B2689" s="33">
        <v>4334234629</v>
      </c>
      <c r="C2689" s="33" t="s">
        <v>43</v>
      </c>
      <c r="D2689" s="33">
        <v>4430265054</v>
      </c>
      <c r="E2689" s="33">
        <v>375</v>
      </c>
      <c r="F2689" s="33">
        <v>329</v>
      </c>
      <c r="G2689" s="33" t="s">
        <v>38</v>
      </c>
      <c r="H2689" s="33" t="s">
        <v>9240</v>
      </c>
      <c r="I2689" s="33" t="s">
        <v>39</v>
      </c>
      <c r="J2689" s="33" t="s">
        <v>40</v>
      </c>
      <c r="K2689" s="33" t="s">
        <v>41</v>
      </c>
    </row>
    <row r="2690" spans="1:11" s="33" customFormat="1" hidden="1" x14ac:dyDescent="0.3">
      <c r="A2690" s="39">
        <v>46084.653101851851</v>
      </c>
      <c r="B2690" s="33">
        <v>4334226481</v>
      </c>
      <c r="C2690" s="33">
        <v>4430265054</v>
      </c>
      <c r="D2690" s="33">
        <v>4430265054</v>
      </c>
      <c r="E2690" s="33">
        <v>8</v>
      </c>
      <c r="F2690" s="33">
        <v>7</v>
      </c>
      <c r="G2690" s="33" t="s">
        <v>3449</v>
      </c>
      <c r="H2690" s="33" t="s">
        <v>9241</v>
      </c>
      <c r="I2690" s="33" t="s">
        <v>39</v>
      </c>
      <c r="J2690" s="33" t="s">
        <v>3451</v>
      </c>
      <c r="K2690" s="33" t="s">
        <v>41</v>
      </c>
    </row>
    <row r="2691" spans="1:11" s="33" customFormat="1" hidden="1" x14ac:dyDescent="0.3">
      <c r="A2691" s="39">
        <v>46084.652233796296</v>
      </c>
      <c r="B2691" s="33" t="s">
        <v>3627</v>
      </c>
      <c r="C2691" s="33">
        <v>44998324840</v>
      </c>
      <c r="E2691" s="33">
        <v>16</v>
      </c>
      <c r="F2691" s="33">
        <v>4</v>
      </c>
      <c r="G2691" s="33" t="s">
        <v>38</v>
      </c>
      <c r="H2691" s="33" t="s">
        <v>9242</v>
      </c>
      <c r="I2691" s="33" t="s">
        <v>46</v>
      </c>
      <c r="J2691" s="33" t="s">
        <v>3629</v>
      </c>
    </row>
    <row r="2692" spans="1:11" s="33" customFormat="1" hidden="1" x14ac:dyDescent="0.3">
      <c r="A2692" s="39">
        <v>46084.650185185186</v>
      </c>
      <c r="B2692" s="33">
        <v>44988255390</v>
      </c>
      <c r="C2692" s="33" t="s">
        <v>37</v>
      </c>
      <c r="D2692" s="33">
        <v>4430265054</v>
      </c>
      <c r="E2692" s="33">
        <v>521</v>
      </c>
      <c r="F2692" s="33">
        <v>426</v>
      </c>
      <c r="G2692" s="33" t="s">
        <v>38</v>
      </c>
      <c r="H2692" s="33" t="s">
        <v>9243</v>
      </c>
      <c r="I2692" s="33" t="s">
        <v>39</v>
      </c>
      <c r="J2692" s="33" t="s">
        <v>40</v>
      </c>
      <c r="K2692" s="33" t="s">
        <v>41</v>
      </c>
    </row>
    <row r="2693" spans="1:11" s="33" customFormat="1" hidden="1" x14ac:dyDescent="0.3">
      <c r="A2693" s="39">
        <v>46084.649791666663</v>
      </c>
      <c r="B2693" s="33" t="s">
        <v>3627</v>
      </c>
      <c r="C2693" s="33">
        <v>32991081989</v>
      </c>
      <c r="E2693" s="33">
        <v>17</v>
      </c>
      <c r="F2693" s="33">
        <v>0</v>
      </c>
      <c r="G2693" s="33" t="s">
        <v>47</v>
      </c>
      <c r="H2693" s="33" t="s">
        <v>9244</v>
      </c>
      <c r="I2693" s="33" t="s">
        <v>46</v>
      </c>
      <c r="J2693" s="33" t="s">
        <v>3629</v>
      </c>
    </row>
    <row r="2694" spans="1:11" s="33" customFormat="1" hidden="1" x14ac:dyDescent="0.3">
      <c r="A2694" s="39">
        <v>46084.647870370369</v>
      </c>
      <c r="B2694" s="33" t="s">
        <v>3627</v>
      </c>
      <c r="C2694" s="33">
        <v>81994999446</v>
      </c>
      <c r="E2694" s="33">
        <v>18</v>
      </c>
      <c r="F2694" s="33">
        <v>12</v>
      </c>
      <c r="G2694" s="33" t="s">
        <v>38</v>
      </c>
      <c r="H2694" s="33" t="s">
        <v>9245</v>
      </c>
      <c r="I2694" s="33" t="s">
        <v>46</v>
      </c>
      <c r="J2694" s="33" t="s">
        <v>3629</v>
      </c>
    </row>
    <row r="2695" spans="1:11" s="33" customFormat="1" hidden="1" x14ac:dyDescent="0.3">
      <c r="A2695" s="39">
        <v>46084.647430555553</v>
      </c>
      <c r="B2695" s="33">
        <v>44999497001</v>
      </c>
      <c r="C2695" s="33" t="s">
        <v>42</v>
      </c>
      <c r="D2695" s="33">
        <v>4430265054</v>
      </c>
      <c r="E2695" s="33">
        <v>319</v>
      </c>
      <c r="F2695" s="33">
        <v>264</v>
      </c>
      <c r="G2695" s="33" t="s">
        <v>38</v>
      </c>
      <c r="H2695" s="33" t="s">
        <v>9246</v>
      </c>
      <c r="I2695" s="33" t="s">
        <v>39</v>
      </c>
      <c r="J2695" s="33" t="s">
        <v>40</v>
      </c>
      <c r="K2695" s="33" t="s">
        <v>41</v>
      </c>
    </row>
    <row r="2696" spans="1:11" s="33" customFormat="1" hidden="1" x14ac:dyDescent="0.3">
      <c r="A2696" s="39">
        <v>46084.647326388891</v>
      </c>
      <c r="B2696" s="33" t="s">
        <v>3627</v>
      </c>
      <c r="C2696" s="33">
        <v>41987340117</v>
      </c>
      <c r="E2696" s="33">
        <v>15</v>
      </c>
      <c r="F2696" s="33">
        <v>0</v>
      </c>
      <c r="G2696" s="33" t="s">
        <v>47</v>
      </c>
      <c r="H2696" s="33" t="s">
        <v>9247</v>
      </c>
      <c r="I2696" s="33" t="s">
        <v>46</v>
      </c>
      <c r="J2696" s="33" t="s">
        <v>3629</v>
      </c>
    </row>
    <row r="2697" spans="1:11" s="33" customFormat="1" hidden="1" x14ac:dyDescent="0.3">
      <c r="A2697" s="39">
        <v>46084.646087962959</v>
      </c>
      <c r="B2697" s="33" t="s">
        <v>3627</v>
      </c>
      <c r="C2697" s="33">
        <v>88993746665</v>
      </c>
      <c r="E2697" s="33">
        <v>3</v>
      </c>
      <c r="F2697" s="33">
        <v>0</v>
      </c>
      <c r="G2697" s="33" t="s">
        <v>47</v>
      </c>
      <c r="H2697" s="33" t="s">
        <v>9248</v>
      </c>
      <c r="I2697" s="33" t="s">
        <v>46</v>
      </c>
      <c r="J2697" s="33" t="s">
        <v>3629</v>
      </c>
    </row>
    <row r="2698" spans="1:11" s="33" customFormat="1" hidden="1" x14ac:dyDescent="0.3">
      <c r="A2698" s="39">
        <v>46084.644259259258</v>
      </c>
      <c r="B2698" s="33" t="s">
        <v>3627</v>
      </c>
      <c r="C2698" s="33">
        <v>33999545950</v>
      </c>
      <c r="E2698" s="33">
        <v>14</v>
      </c>
      <c r="F2698" s="33">
        <v>1</v>
      </c>
      <c r="G2698" s="33" t="s">
        <v>38</v>
      </c>
      <c r="H2698" s="33" t="s">
        <v>9249</v>
      </c>
      <c r="I2698" s="33" t="s">
        <v>46</v>
      </c>
      <c r="J2698" s="33" t="s">
        <v>3629</v>
      </c>
    </row>
    <row r="2699" spans="1:11" s="33" customFormat="1" hidden="1" x14ac:dyDescent="0.3">
      <c r="A2699" s="39">
        <v>46084.642511574071</v>
      </c>
      <c r="B2699" s="33">
        <v>91981481202</v>
      </c>
      <c r="C2699" s="33" t="s">
        <v>45</v>
      </c>
      <c r="D2699" s="33">
        <v>4430265054</v>
      </c>
      <c r="E2699" s="33">
        <v>962</v>
      </c>
      <c r="F2699" s="33">
        <v>947</v>
      </c>
      <c r="G2699" s="33" t="s">
        <v>38</v>
      </c>
      <c r="H2699" s="33" t="s">
        <v>9250</v>
      </c>
      <c r="I2699" s="33" t="s">
        <v>39</v>
      </c>
      <c r="J2699" s="33" t="s">
        <v>40</v>
      </c>
      <c r="K2699" s="33" t="s">
        <v>41</v>
      </c>
    </row>
    <row r="2700" spans="1:11" s="33" customFormat="1" hidden="1" x14ac:dyDescent="0.3">
      <c r="A2700" s="39">
        <v>46084.642430555556</v>
      </c>
      <c r="B2700" s="33" t="s">
        <v>3627</v>
      </c>
      <c r="C2700" s="33">
        <v>48991456660</v>
      </c>
      <c r="E2700" s="33">
        <v>20</v>
      </c>
      <c r="F2700" s="33">
        <v>15</v>
      </c>
      <c r="G2700" s="33" t="s">
        <v>38</v>
      </c>
      <c r="H2700" s="33" t="s">
        <v>9251</v>
      </c>
      <c r="I2700" s="33" t="s">
        <v>46</v>
      </c>
      <c r="J2700" s="33" t="s">
        <v>3629</v>
      </c>
    </row>
    <row r="2701" spans="1:11" s="33" customFormat="1" hidden="1" x14ac:dyDescent="0.3">
      <c r="A2701" s="39">
        <v>46084.641828703701</v>
      </c>
      <c r="B2701" s="33">
        <v>44999497001</v>
      </c>
      <c r="C2701" s="33" t="s">
        <v>42</v>
      </c>
      <c r="D2701" s="33">
        <v>4430265054</v>
      </c>
      <c r="E2701" s="33">
        <v>269</v>
      </c>
      <c r="F2701" s="33">
        <v>220</v>
      </c>
      <c r="G2701" s="33" t="s">
        <v>38</v>
      </c>
      <c r="H2701" s="33" t="s">
        <v>9252</v>
      </c>
      <c r="I2701" s="33" t="s">
        <v>39</v>
      </c>
      <c r="J2701" s="33" t="s">
        <v>40</v>
      </c>
      <c r="K2701" s="33" t="s">
        <v>41</v>
      </c>
    </row>
    <row r="2702" spans="1:11" s="33" customFormat="1" hidden="1" x14ac:dyDescent="0.3">
      <c r="A2702" s="39">
        <v>46084.641539351855</v>
      </c>
      <c r="B2702" s="33" t="s">
        <v>3627</v>
      </c>
      <c r="C2702" s="33">
        <v>67991648405</v>
      </c>
      <c r="E2702" s="33">
        <v>21</v>
      </c>
      <c r="F2702" s="33">
        <v>0</v>
      </c>
      <c r="G2702" s="33" t="s">
        <v>47</v>
      </c>
      <c r="H2702" s="33" t="s">
        <v>9253</v>
      </c>
      <c r="I2702" s="33" t="s">
        <v>46</v>
      </c>
      <c r="J2702" s="33" t="s">
        <v>3629</v>
      </c>
    </row>
    <row r="2703" spans="1:11" s="33" customFormat="1" hidden="1" x14ac:dyDescent="0.3">
      <c r="A2703" s="39">
        <v>46084.640115740738</v>
      </c>
      <c r="B2703" s="33" t="s">
        <v>3627</v>
      </c>
      <c r="C2703" s="33">
        <v>51985326564</v>
      </c>
      <c r="E2703" s="33">
        <v>12</v>
      </c>
      <c r="F2703" s="33">
        <v>0</v>
      </c>
      <c r="G2703" s="33" t="s">
        <v>47</v>
      </c>
      <c r="H2703" s="33" t="s">
        <v>9254</v>
      </c>
      <c r="I2703" s="33" t="s">
        <v>46</v>
      </c>
      <c r="J2703" s="33" t="s">
        <v>3629</v>
      </c>
    </row>
    <row r="2704" spans="1:11" s="33" customFormat="1" hidden="1" x14ac:dyDescent="0.3">
      <c r="A2704" s="39">
        <v>46084.638182870367</v>
      </c>
      <c r="B2704" s="33" t="s">
        <v>3627</v>
      </c>
      <c r="C2704" s="33">
        <v>32991991879</v>
      </c>
      <c r="E2704" s="33">
        <v>1</v>
      </c>
      <c r="F2704" s="33">
        <v>0</v>
      </c>
      <c r="G2704" s="33" t="s">
        <v>47</v>
      </c>
      <c r="H2704" s="33" t="s">
        <v>9255</v>
      </c>
      <c r="I2704" s="33" t="s">
        <v>46</v>
      </c>
      <c r="J2704" s="33" t="s">
        <v>3629</v>
      </c>
    </row>
    <row r="2705" spans="1:12" s="33" customFormat="1" hidden="1" x14ac:dyDescent="0.3">
      <c r="A2705" s="39">
        <v>46084.636134259257</v>
      </c>
      <c r="B2705" s="33">
        <v>44997561804</v>
      </c>
      <c r="C2705" s="33" t="s">
        <v>44</v>
      </c>
      <c r="D2705" s="33">
        <v>4430265054</v>
      </c>
      <c r="E2705" s="33">
        <v>517</v>
      </c>
      <c r="F2705" s="33">
        <v>473</v>
      </c>
      <c r="G2705" s="33" t="s">
        <v>38</v>
      </c>
      <c r="H2705" s="33" t="s">
        <v>9256</v>
      </c>
      <c r="I2705" s="33" t="s">
        <v>39</v>
      </c>
      <c r="J2705" s="33" t="s">
        <v>40</v>
      </c>
      <c r="K2705" s="33" t="s">
        <v>41</v>
      </c>
      <c r="L2705" s="33">
        <v>5</v>
      </c>
    </row>
    <row r="2706" spans="1:12" s="33" customFormat="1" hidden="1" x14ac:dyDescent="0.3">
      <c r="A2706" s="39">
        <v>46084.632430555554</v>
      </c>
      <c r="B2706" s="33">
        <v>11953265422</v>
      </c>
      <c r="C2706" s="33" t="s">
        <v>48</v>
      </c>
      <c r="D2706" s="33">
        <v>4430265054</v>
      </c>
      <c r="E2706" s="33">
        <v>199</v>
      </c>
      <c r="F2706" s="33">
        <v>155</v>
      </c>
      <c r="G2706" s="33" t="s">
        <v>38</v>
      </c>
      <c r="H2706" s="33" t="s">
        <v>9257</v>
      </c>
      <c r="I2706" s="33" t="s">
        <v>39</v>
      </c>
      <c r="J2706" s="33" t="s">
        <v>40</v>
      </c>
      <c r="K2706" s="33" t="s">
        <v>41</v>
      </c>
    </row>
    <row r="2707" spans="1:12" s="33" customFormat="1" hidden="1" x14ac:dyDescent="0.3">
      <c r="A2707" s="39">
        <v>46084.632361111115</v>
      </c>
      <c r="B2707" s="33">
        <v>62994086124</v>
      </c>
      <c r="C2707" s="33" t="s">
        <v>43</v>
      </c>
      <c r="D2707" s="33">
        <v>4430265054</v>
      </c>
      <c r="E2707" s="33">
        <v>96</v>
      </c>
      <c r="F2707" s="33">
        <v>37</v>
      </c>
      <c r="G2707" s="33" t="s">
        <v>38</v>
      </c>
      <c r="H2707" s="33" t="s">
        <v>9258</v>
      </c>
      <c r="I2707" s="33" t="s">
        <v>39</v>
      </c>
      <c r="J2707" s="33" t="s">
        <v>40</v>
      </c>
      <c r="K2707" s="33" t="s">
        <v>41</v>
      </c>
    </row>
    <row r="2708" spans="1:12" s="33" customFormat="1" hidden="1" x14ac:dyDescent="0.3">
      <c r="A2708" s="39">
        <v>46084.629837962966</v>
      </c>
      <c r="B2708" s="33" t="s">
        <v>3627</v>
      </c>
      <c r="C2708" s="33">
        <v>37999419980</v>
      </c>
      <c r="E2708" s="33">
        <v>32</v>
      </c>
      <c r="F2708" s="33">
        <v>0</v>
      </c>
      <c r="G2708" s="33" t="s">
        <v>47</v>
      </c>
      <c r="H2708" s="33" t="s">
        <v>9259</v>
      </c>
      <c r="I2708" s="33" t="s">
        <v>46</v>
      </c>
      <c r="J2708" s="33" t="s">
        <v>3629</v>
      </c>
    </row>
    <row r="2709" spans="1:12" s="33" customFormat="1" hidden="1" x14ac:dyDescent="0.3">
      <c r="A2709" s="39">
        <v>46084.626250000001</v>
      </c>
      <c r="B2709" s="33" t="s">
        <v>45</v>
      </c>
      <c r="C2709" s="33">
        <v>4330333542</v>
      </c>
      <c r="E2709" s="33">
        <v>588</v>
      </c>
      <c r="F2709" s="33">
        <v>579</v>
      </c>
      <c r="G2709" s="33" t="s">
        <v>38</v>
      </c>
      <c r="H2709" s="33" t="s">
        <v>9260</v>
      </c>
      <c r="I2709" s="33" t="s">
        <v>46</v>
      </c>
      <c r="J2709" s="33" t="s">
        <v>40</v>
      </c>
    </row>
    <row r="2710" spans="1:12" s="33" customFormat="1" hidden="1" x14ac:dyDescent="0.3">
      <c r="A2710" s="39">
        <v>46084.620891203704</v>
      </c>
      <c r="B2710" s="33">
        <v>4432325260</v>
      </c>
      <c r="C2710" s="33" t="s">
        <v>45</v>
      </c>
      <c r="D2710" s="33">
        <v>4430265054</v>
      </c>
      <c r="E2710" s="33">
        <v>331</v>
      </c>
      <c r="F2710" s="33">
        <v>314</v>
      </c>
      <c r="G2710" s="33" t="s">
        <v>38</v>
      </c>
      <c r="H2710" s="33" t="s">
        <v>9261</v>
      </c>
      <c r="I2710" s="33" t="s">
        <v>39</v>
      </c>
      <c r="J2710" s="33" t="s">
        <v>40</v>
      </c>
      <c r="K2710" s="33" t="s">
        <v>41</v>
      </c>
      <c r="L2710" s="33">
        <v>5</v>
      </c>
    </row>
    <row r="2711" spans="1:12" s="33" customFormat="1" hidden="1" x14ac:dyDescent="0.3">
      <c r="A2711" s="39">
        <v>46084.61954861111</v>
      </c>
      <c r="B2711" s="33" t="s">
        <v>3627</v>
      </c>
      <c r="C2711" s="33">
        <v>21981837911</v>
      </c>
      <c r="E2711" s="33">
        <v>19</v>
      </c>
      <c r="F2711" s="33">
        <v>0</v>
      </c>
      <c r="G2711" s="33" t="s">
        <v>47</v>
      </c>
      <c r="H2711" s="33" t="s">
        <v>9262</v>
      </c>
      <c r="I2711" s="33" t="s">
        <v>46</v>
      </c>
      <c r="J2711" s="33" t="s">
        <v>3629</v>
      </c>
    </row>
    <row r="2712" spans="1:12" s="33" customFormat="1" hidden="1" x14ac:dyDescent="0.3">
      <c r="A2712" s="39">
        <v>46084.617858796293</v>
      </c>
      <c r="B2712" s="33">
        <v>44991484476</v>
      </c>
      <c r="C2712" s="33" t="s">
        <v>44</v>
      </c>
      <c r="D2712" s="33">
        <v>4430265054</v>
      </c>
      <c r="E2712" s="33">
        <v>836</v>
      </c>
      <c r="F2712" s="33">
        <v>809</v>
      </c>
      <c r="G2712" s="33" t="s">
        <v>38</v>
      </c>
      <c r="H2712" s="33" t="s">
        <v>9263</v>
      </c>
      <c r="I2712" s="33" t="s">
        <v>39</v>
      </c>
      <c r="J2712" s="33" t="s">
        <v>40</v>
      </c>
      <c r="K2712" s="33" t="s">
        <v>41</v>
      </c>
    </row>
    <row r="2713" spans="1:12" s="33" customFormat="1" hidden="1" x14ac:dyDescent="0.3">
      <c r="A2713" s="39">
        <v>46084.610046296293</v>
      </c>
      <c r="B2713" s="33">
        <v>44998266194</v>
      </c>
      <c r="C2713" s="33" t="s">
        <v>42</v>
      </c>
      <c r="D2713" s="33">
        <v>4431268225</v>
      </c>
      <c r="E2713" s="33">
        <v>2018</v>
      </c>
      <c r="F2713" s="33">
        <v>1980</v>
      </c>
      <c r="G2713" s="33" t="s">
        <v>38</v>
      </c>
      <c r="H2713" s="33" t="s">
        <v>9264</v>
      </c>
      <c r="I2713" s="33" t="s">
        <v>39</v>
      </c>
      <c r="J2713" s="33" t="s">
        <v>40</v>
      </c>
      <c r="K2713" s="33" t="s">
        <v>41</v>
      </c>
    </row>
    <row r="2714" spans="1:12" s="33" customFormat="1" hidden="1" x14ac:dyDescent="0.3">
      <c r="A2714" s="39">
        <v>46084.609236111108</v>
      </c>
      <c r="B2714" s="33">
        <v>44999387742</v>
      </c>
      <c r="C2714" s="33" t="s">
        <v>37</v>
      </c>
      <c r="D2714" s="33">
        <v>4430265054</v>
      </c>
      <c r="E2714" s="33">
        <v>1471</v>
      </c>
      <c r="F2714" s="33">
        <v>1333</v>
      </c>
      <c r="G2714" s="33" t="s">
        <v>38</v>
      </c>
      <c r="H2714" s="33" t="s">
        <v>9265</v>
      </c>
      <c r="I2714" s="33" t="s">
        <v>39</v>
      </c>
      <c r="J2714" s="33" t="s">
        <v>40</v>
      </c>
      <c r="K2714" s="33" t="s">
        <v>41</v>
      </c>
    </row>
    <row r="2715" spans="1:12" s="33" customFormat="1" hidden="1" x14ac:dyDescent="0.3">
      <c r="A2715" s="39">
        <v>46084.604444444441</v>
      </c>
      <c r="B2715" s="33">
        <v>44999629349</v>
      </c>
      <c r="C2715" s="33" t="s">
        <v>42</v>
      </c>
      <c r="D2715" s="33">
        <v>4430265054</v>
      </c>
      <c r="E2715" s="33">
        <v>397</v>
      </c>
      <c r="F2715" s="33">
        <v>378</v>
      </c>
      <c r="G2715" s="33" t="s">
        <v>38</v>
      </c>
      <c r="H2715" s="33" t="s">
        <v>9266</v>
      </c>
      <c r="I2715" s="33" t="s">
        <v>39</v>
      </c>
      <c r="J2715" s="33" t="s">
        <v>40</v>
      </c>
      <c r="K2715" s="33" t="s">
        <v>41</v>
      </c>
    </row>
    <row r="2716" spans="1:12" s="33" customFormat="1" hidden="1" x14ac:dyDescent="0.3">
      <c r="A2716" s="39">
        <v>46084.603796296295</v>
      </c>
      <c r="B2716" s="33">
        <v>44999629349</v>
      </c>
      <c r="C2716" s="33">
        <v>4430265054</v>
      </c>
      <c r="D2716" s="33">
        <v>4430265054</v>
      </c>
      <c r="E2716" s="33">
        <v>49</v>
      </c>
      <c r="F2716" s="33">
        <v>49</v>
      </c>
      <c r="G2716" s="33" t="s">
        <v>3449</v>
      </c>
      <c r="H2716" s="33" t="s">
        <v>9267</v>
      </c>
      <c r="I2716" s="33" t="s">
        <v>39</v>
      </c>
      <c r="J2716" s="33" t="s">
        <v>3451</v>
      </c>
      <c r="K2716" s="33" t="s">
        <v>41</v>
      </c>
    </row>
    <row r="2717" spans="1:12" s="33" customFormat="1" hidden="1" x14ac:dyDescent="0.3">
      <c r="A2717" s="39">
        <v>46084.603310185186</v>
      </c>
      <c r="B2717" s="33">
        <v>44988303530</v>
      </c>
      <c r="C2717" s="33" t="s">
        <v>43</v>
      </c>
      <c r="D2717" s="33">
        <v>4430265054</v>
      </c>
      <c r="E2717" s="33">
        <v>348</v>
      </c>
      <c r="F2717" s="33">
        <v>237</v>
      </c>
      <c r="G2717" s="33" t="s">
        <v>38</v>
      </c>
      <c r="H2717" s="33" t="s">
        <v>9268</v>
      </c>
      <c r="I2717" s="33" t="s">
        <v>39</v>
      </c>
      <c r="J2717" s="33" t="s">
        <v>40</v>
      </c>
      <c r="K2717" s="33" t="s">
        <v>41</v>
      </c>
    </row>
    <row r="2718" spans="1:12" s="33" customFormat="1" hidden="1" x14ac:dyDescent="0.3">
      <c r="A2718" s="39">
        <v>46084.59946759259</v>
      </c>
      <c r="B2718" s="33">
        <v>44988255390</v>
      </c>
      <c r="C2718" s="33" t="s">
        <v>37</v>
      </c>
      <c r="D2718" s="33">
        <v>4430265054</v>
      </c>
      <c r="E2718" s="33">
        <v>735</v>
      </c>
      <c r="F2718" s="33">
        <v>620</v>
      </c>
      <c r="G2718" s="33" t="s">
        <v>38</v>
      </c>
      <c r="H2718" s="33" t="s">
        <v>9269</v>
      </c>
      <c r="I2718" s="33" t="s">
        <v>39</v>
      </c>
      <c r="J2718" s="33" t="s">
        <v>40</v>
      </c>
      <c r="K2718" s="33" t="s">
        <v>41</v>
      </c>
    </row>
    <row r="2719" spans="1:12" s="33" customFormat="1" hidden="1" x14ac:dyDescent="0.3">
      <c r="A2719" s="39">
        <v>46084.596898148149</v>
      </c>
      <c r="B2719" s="33">
        <v>11916079448</v>
      </c>
      <c r="C2719" s="33" t="s">
        <v>45</v>
      </c>
      <c r="D2719" s="33">
        <v>4430265054</v>
      </c>
      <c r="E2719" s="33">
        <v>955</v>
      </c>
      <c r="F2719" s="33">
        <v>878</v>
      </c>
      <c r="G2719" s="33" t="s">
        <v>38</v>
      </c>
      <c r="H2719" s="33" t="s">
        <v>9270</v>
      </c>
      <c r="I2719" s="33" t="s">
        <v>39</v>
      </c>
      <c r="J2719" s="33" t="s">
        <v>40</v>
      </c>
      <c r="K2719" s="33" t="s">
        <v>41</v>
      </c>
    </row>
    <row r="2720" spans="1:12" s="33" customFormat="1" hidden="1" x14ac:dyDescent="0.3">
      <c r="A2720" s="39">
        <v>46084.593645833331</v>
      </c>
      <c r="B2720" s="33">
        <v>62994086124</v>
      </c>
      <c r="C2720" s="33" t="s">
        <v>45</v>
      </c>
      <c r="D2720" s="33">
        <v>4430265054</v>
      </c>
      <c r="E2720" s="33">
        <v>282</v>
      </c>
      <c r="F2720" s="33">
        <v>193</v>
      </c>
      <c r="G2720" s="33" t="s">
        <v>38</v>
      </c>
      <c r="H2720" s="33" t="s">
        <v>9271</v>
      </c>
      <c r="I2720" s="33" t="s">
        <v>39</v>
      </c>
      <c r="J2720" s="33" t="s">
        <v>40</v>
      </c>
      <c r="K2720" s="33" t="s">
        <v>41</v>
      </c>
    </row>
    <row r="2721" spans="1:12" s="33" customFormat="1" hidden="1" x14ac:dyDescent="0.3">
      <c r="A2721" s="39">
        <v>46084.590462962966</v>
      </c>
      <c r="B2721" s="33">
        <v>4430141092</v>
      </c>
      <c r="C2721" s="33" t="s">
        <v>43</v>
      </c>
      <c r="D2721" s="33">
        <v>4430265054</v>
      </c>
      <c r="E2721" s="33">
        <v>481</v>
      </c>
      <c r="F2721" s="33">
        <v>421</v>
      </c>
      <c r="G2721" s="33" t="s">
        <v>38</v>
      </c>
      <c r="H2721" s="33" t="s">
        <v>9272</v>
      </c>
      <c r="I2721" s="33" t="s">
        <v>39</v>
      </c>
      <c r="J2721" s="33" t="s">
        <v>40</v>
      </c>
      <c r="K2721" s="33" t="s">
        <v>41</v>
      </c>
      <c r="L2721" s="33">
        <v>5</v>
      </c>
    </row>
    <row r="2722" spans="1:12" s="33" customFormat="1" hidden="1" x14ac:dyDescent="0.3">
      <c r="A2722" s="39">
        <v>46084.576932870368</v>
      </c>
      <c r="B2722" s="33">
        <v>44999647912</v>
      </c>
      <c r="C2722" s="33" t="s">
        <v>45</v>
      </c>
      <c r="D2722" s="33">
        <v>4430265054</v>
      </c>
      <c r="E2722" s="33">
        <v>1466</v>
      </c>
      <c r="F2722" s="33">
        <v>1446</v>
      </c>
      <c r="G2722" s="33" t="s">
        <v>38</v>
      </c>
      <c r="H2722" s="33" t="s">
        <v>9273</v>
      </c>
      <c r="I2722" s="33" t="s">
        <v>39</v>
      </c>
      <c r="J2722" s="33" t="s">
        <v>40</v>
      </c>
      <c r="K2722" s="33" t="s">
        <v>41</v>
      </c>
    </row>
    <row r="2723" spans="1:12" s="33" customFormat="1" hidden="1" x14ac:dyDescent="0.3">
      <c r="A2723" s="39">
        <v>46084.574131944442</v>
      </c>
      <c r="B2723" s="33">
        <v>4436297742</v>
      </c>
      <c r="C2723" s="33" t="s">
        <v>48</v>
      </c>
      <c r="D2723" s="33">
        <v>4430265054</v>
      </c>
      <c r="E2723" s="33">
        <v>155</v>
      </c>
      <c r="F2723" s="33">
        <v>121</v>
      </c>
      <c r="G2723" s="33" t="s">
        <v>38</v>
      </c>
      <c r="H2723" s="33" t="s">
        <v>9274</v>
      </c>
      <c r="I2723" s="33" t="s">
        <v>39</v>
      </c>
      <c r="J2723" s="33" t="s">
        <v>40</v>
      </c>
      <c r="K2723" s="33" t="s">
        <v>41</v>
      </c>
    </row>
    <row r="2724" spans="1:12" s="33" customFormat="1" hidden="1" x14ac:dyDescent="0.3">
      <c r="A2724" s="39">
        <v>46084.573807870373</v>
      </c>
      <c r="B2724" s="33" t="s">
        <v>45</v>
      </c>
      <c r="C2724" s="33">
        <v>4432325260</v>
      </c>
      <c r="E2724" s="33">
        <v>144</v>
      </c>
      <c r="F2724" s="33">
        <v>133</v>
      </c>
      <c r="G2724" s="33" t="s">
        <v>38</v>
      </c>
      <c r="H2724" s="33" t="s">
        <v>9275</v>
      </c>
      <c r="I2724" s="33" t="s">
        <v>46</v>
      </c>
      <c r="J2724" s="33" t="s">
        <v>40</v>
      </c>
    </row>
    <row r="2725" spans="1:12" s="33" customFormat="1" hidden="1" x14ac:dyDescent="0.3">
      <c r="A2725" s="39">
        <v>46084.573368055557</v>
      </c>
      <c r="B2725" s="33">
        <v>6234347959</v>
      </c>
      <c r="C2725" s="33" t="s">
        <v>44</v>
      </c>
      <c r="D2725" s="33">
        <v>4430265054</v>
      </c>
      <c r="E2725" s="33">
        <v>973</v>
      </c>
      <c r="F2725" s="33">
        <v>955</v>
      </c>
      <c r="G2725" s="33" t="s">
        <v>38</v>
      </c>
      <c r="H2725" s="33" t="s">
        <v>9276</v>
      </c>
      <c r="I2725" s="33" t="s">
        <v>39</v>
      </c>
      <c r="J2725" s="33" t="s">
        <v>40</v>
      </c>
      <c r="K2725" s="33" t="s">
        <v>41</v>
      </c>
    </row>
    <row r="2726" spans="1:12" s="33" customFormat="1" hidden="1" x14ac:dyDescent="0.3">
      <c r="A2726" s="39">
        <v>46084.573275462964</v>
      </c>
      <c r="B2726" s="33">
        <v>47999760576</v>
      </c>
      <c r="C2726" s="33" t="s">
        <v>43</v>
      </c>
      <c r="D2726" s="33">
        <v>4430265054</v>
      </c>
      <c r="E2726" s="33">
        <v>573</v>
      </c>
      <c r="F2726" s="33">
        <v>491</v>
      </c>
      <c r="G2726" s="33" t="s">
        <v>38</v>
      </c>
      <c r="H2726" s="33" t="s">
        <v>9277</v>
      </c>
      <c r="I2726" s="33" t="s">
        <v>39</v>
      </c>
      <c r="J2726" s="33" t="s">
        <v>40</v>
      </c>
      <c r="K2726" s="33" t="s">
        <v>41</v>
      </c>
      <c r="L2726" s="33">
        <v>5</v>
      </c>
    </row>
    <row r="2727" spans="1:12" s="33" customFormat="1" hidden="1" x14ac:dyDescent="0.3">
      <c r="A2727" s="39">
        <v>46084.571527777778</v>
      </c>
      <c r="B2727" s="33">
        <v>35998295948</v>
      </c>
      <c r="C2727" s="33" t="s">
        <v>37</v>
      </c>
      <c r="D2727" s="33">
        <v>4430265054</v>
      </c>
      <c r="E2727" s="33">
        <v>2196</v>
      </c>
      <c r="F2727" s="33">
        <v>2021</v>
      </c>
      <c r="G2727" s="33" t="s">
        <v>38</v>
      </c>
      <c r="H2727" s="33" t="s">
        <v>9278</v>
      </c>
      <c r="I2727" s="33" t="s">
        <v>39</v>
      </c>
      <c r="J2727" s="33" t="s">
        <v>40</v>
      </c>
      <c r="K2727" s="33" t="s">
        <v>41</v>
      </c>
    </row>
    <row r="2728" spans="1:12" s="33" customFormat="1" x14ac:dyDescent="0.3">
      <c r="A2728" s="39">
        <v>46084.571180555555</v>
      </c>
      <c r="B2728" s="33">
        <v>44991174709</v>
      </c>
      <c r="C2728" s="33" t="s">
        <v>42</v>
      </c>
      <c r="D2728" s="33">
        <v>4430265054</v>
      </c>
      <c r="E2728" s="33">
        <v>1104</v>
      </c>
      <c r="F2728" s="33">
        <v>1020</v>
      </c>
      <c r="G2728" s="33" t="s">
        <v>38</v>
      </c>
      <c r="H2728" s="33" t="s">
        <v>9279</v>
      </c>
      <c r="I2728" s="33" t="s">
        <v>39</v>
      </c>
      <c r="J2728" s="33" t="s">
        <v>40</v>
      </c>
      <c r="K2728" s="33" t="s">
        <v>41</v>
      </c>
      <c r="L2728" s="33">
        <v>5</v>
      </c>
    </row>
    <row r="2729" spans="1:12" s="33" customFormat="1" hidden="1" x14ac:dyDescent="0.3">
      <c r="A2729" s="39">
        <v>46084.569120370368</v>
      </c>
      <c r="B2729" s="33">
        <v>44991174709</v>
      </c>
      <c r="C2729" s="33">
        <v>4430265054</v>
      </c>
      <c r="D2729" s="33">
        <v>4430265054</v>
      </c>
      <c r="E2729" s="33">
        <v>53</v>
      </c>
      <c r="F2729" s="33">
        <v>53</v>
      </c>
      <c r="G2729" s="33" t="s">
        <v>3449</v>
      </c>
      <c r="H2729" s="33" t="s">
        <v>9280</v>
      </c>
      <c r="I2729" s="33" t="s">
        <v>39</v>
      </c>
      <c r="J2729" s="33" t="s">
        <v>3451</v>
      </c>
      <c r="K2729" s="33" t="s">
        <v>41</v>
      </c>
    </row>
    <row r="2730" spans="1:12" s="33" customFormat="1" hidden="1" x14ac:dyDescent="0.3">
      <c r="A2730" s="39">
        <v>46084.568692129629</v>
      </c>
      <c r="B2730" s="33" t="s">
        <v>45</v>
      </c>
      <c r="C2730" s="33">
        <v>4432325260</v>
      </c>
      <c r="E2730" s="33">
        <v>255</v>
      </c>
      <c r="F2730" s="33">
        <v>248</v>
      </c>
      <c r="G2730" s="33" t="s">
        <v>38</v>
      </c>
      <c r="H2730" s="33" t="s">
        <v>9281</v>
      </c>
      <c r="I2730" s="33" t="s">
        <v>46</v>
      </c>
      <c r="J2730" s="33" t="s">
        <v>40</v>
      </c>
    </row>
    <row r="2731" spans="1:12" s="33" customFormat="1" hidden="1" x14ac:dyDescent="0.3">
      <c r="A2731" s="39">
        <v>46084.562777777777</v>
      </c>
      <c r="B2731" s="33">
        <v>35998295948</v>
      </c>
      <c r="C2731" s="33" t="s">
        <v>45</v>
      </c>
      <c r="D2731" s="33">
        <v>4430265054</v>
      </c>
      <c r="E2731" s="33">
        <v>486</v>
      </c>
      <c r="F2731" s="33">
        <v>466</v>
      </c>
      <c r="G2731" s="33" t="s">
        <v>38</v>
      </c>
      <c r="H2731" s="33" t="s">
        <v>9282</v>
      </c>
      <c r="I2731" s="33" t="s">
        <v>39</v>
      </c>
      <c r="J2731" s="33" t="s">
        <v>40</v>
      </c>
      <c r="K2731" s="33" t="s">
        <v>41</v>
      </c>
    </row>
    <row r="2732" spans="1:12" s="33" customFormat="1" hidden="1" x14ac:dyDescent="0.3">
      <c r="A2732" s="39">
        <v>46084.559502314813</v>
      </c>
      <c r="B2732" s="33" t="s">
        <v>45</v>
      </c>
      <c r="C2732" s="33">
        <v>4432325260</v>
      </c>
      <c r="E2732" s="33">
        <v>19</v>
      </c>
      <c r="F2732" s="33">
        <v>0</v>
      </c>
      <c r="G2732" s="33" t="s">
        <v>47</v>
      </c>
      <c r="H2732" s="33" t="s">
        <v>9283</v>
      </c>
      <c r="I2732" s="33" t="s">
        <v>46</v>
      </c>
      <c r="J2732" s="33" t="s">
        <v>40</v>
      </c>
    </row>
    <row r="2733" spans="1:12" s="33" customFormat="1" hidden="1" x14ac:dyDescent="0.3">
      <c r="A2733" s="39">
        <v>46084.5465625</v>
      </c>
      <c r="B2733" s="33">
        <v>4436295470</v>
      </c>
      <c r="C2733" s="33">
        <v>4430265054</v>
      </c>
      <c r="D2733" s="33">
        <v>4430265054</v>
      </c>
      <c r="E2733" s="33">
        <v>16</v>
      </c>
      <c r="F2733" s="33">
        <v>16</v>
      </c>
      <c r="G2733" s="33" t="s">
        <v>3449</v>
      </c>
      <c r="H2733" s="33" t="s">
        <v>9284</v>
      </c>
      <c r="I2733" s="33" t="s">
        <v>39</v>
      </c>
      <c r="J2733" s="33" t="s">
        <v>3451</v>
      </c>
    </row>
    <row r="2734" spans="1:12" s="33" customFormat="1" hidden="1" x14ac:dyDescent="0.3">
      <c r="A2734" s="39">
        <v>46084.521423611113</v>
      </c>
      <c r="B2734" s="33" t="s">
        <v>43</v>
      </c>
      <c r="C2734" s="33">
        <v>4432622611</v>
      </c>
      <c r="E2734" s="33">
        <v>98</v>
      </c>
      <c r="F2734" s="33">
        <v>70</v>
      </c>
      <c r="G2734" s="33" t="s">
        <v>38</v>
      </c>
      <c r="H2734" s="33" t="s">
        <v>9285</v>
      </c>
      <c r="I2734" s="33" t="s">
        <v>46</v>
      </c>
      <c r="J2734" s="33" t="s">
        <v>40</v>
      </c>
    </row>
    <row r="2735" spans="1:12" s="33" customFormat="1" hidden="1" x14ac:dyDescent="0.3">
      <c r="A2735" s="39">
        <v>46084.52134259259</v>
      </c>
      <c r="B2735" s="33" t="s">
        <v>43</v>
      </c>
      <c r="C2735" s="33">
        <v>4432622611</v>
      </c>
      <c r="E2735" s="33">
        <v>3</v>
      </c>
      <c r="F2735" s="33">
        <v>0</v>
      </c>
      <c r="G2735" s="33" t="s">
        <v>47</v>
      </c>
      <c r="H2735" s="33" t="s">
        <v>9286</v>
      </c>
      <c r="I2735" s="33" t="s">
        <v>46</v>
      </c>
      <c r="J2735" s="33" t="s">
        <v>40</v>
      </c>
    </row>
    <row r="2736" spans="1:12" s="33" customFormat="1" hidden="1" x14ac:dyDescent="0.3">
      <c r="A2736" s="39">
        <v>46084.495567129627</v>
      </c>
      <c r="B2736" s="33">
        <v>12997346335</v>
      </c>
      <c r="C2736" s="33" t="s">
        <v>37</v>
      </c>
      <c r="D2736" s="33">
        <v>4430265054</v>
      </c>
      <c r="E2736" s="33">
        <v>502</v>
      </c>
      <c r="F2736" s="33">
        <v>421</v>
      </c>
      <c r="G2736" s="33" t="s">
        <v>38</v>
      </c>
      <c r="H2736" s="33" t="s">
        <v>9287</v>
      </c>
      <c r="I2736" s="33" t="s">
        <v>39</v>
      </c>
      <c r="J2736" s="33" t="s">
        <v>40</v>
      </c>
      <c r="K2736" s="33" t="s">
        <v>41</v>
      </c>
      <c r="L2736" s="33">
        <v>5</v>
      </c>
    </row>
    <row r="2737" spans="1:12" s="33" customFormat="1" hidden="1" x14ac:dyDescent="0.3">
      <c r="A2737" s="39">
        <v>46084.488356481481</v>
      </c>
      <c r="B2737" s="33" t="s">
        <v>44</v>
      </c>
      <c r="C2737" s="33">
        <v>4436249360</v>
      </c>
      <c r="E2737" s="33">
        <v>67</v>
      </c>
      <c r="F2737" s="33">
        <v>0</v>
      </c>
      <c r="G2737" s="33" t="s">
        <v>47</v>
      </c>
      <c r="H2737" s="33" t="s">
        <v>9288</v>
      </c>
      <c r="I2737" s="33" t="s">
        <v>46</v>
      </c>
      <c r="J2737" s="33" t="s">
        <v>40</v>
      </c>
    </row>
    <row r="2738" spans="1:12" s="33" customFormat="1" hidden="1" x14ac:dyDescent="0.3">
      <c r="A2738" s="39">
        <v>46084.487199074072</v>
      </c>
      <c r="B2738" s="33">
        <v>44999710746</v>
      </c>
      <c r="C2738" s="33" t="s">
        <v>42</v>
      </c>
      <c r="D2738" s="33">
        <v>4430265054</v>
      </c>
      <c r="E2738" s="33">
        <v>350</v>
      </c>
      <c r="F2738" s="33">
        <v>258</v>
      </c>
      <c r="G2738" s="33" t="s">
        <v>38</v>
      </c>
      <c r="H2738" s="33" t="s">
        <v>9289</v>
      </c>
      <c r="I2738" s="33" t="s">
        <v>39</v>
      </c>
      <c r="J2738" s="33" t="s">
        <v>40</v>
      </c>
      <c r="K2738" s="33" t="s">
        <v>41</v>
      </c>
    </row>
    <row r="2739" spans="1:12" s="33" customFormat="1" hidden="1" x14ac:dyDescent="0.3">
      <c r="A2739" s="39">
        <v>46084.486446759256</v>
      </c>
      <c r="B2739" s="33" t="s">
        <v>44</v>
      </c>
      <c r="C2739" s="33">
        <v>11953265422</v>
      </c>
      <c r="E2739" s="33">
        <v>164</v>
      </c>
      <c r="F2739" s="33">
        <v>159</v>
      </c>
      <c r="G2739" s="33" t="s">
        <v>38</v>
      </c>
      <c r="H2739" s="33" t="s">
        <v>9290</v>
      </c>
      <c r="I2739" s="33" t="s">
        <v>46</v>
      </c>
      <c r="J2739" s="33" t="s">
        <v>40</v>
      </c>
    </row>
    <row r="2740" spans="1:12" s="33" customFormat="1" hidden="1" x14ac:dyDescent="0.3">
      <c r="A2740" s="39">
        <v>46084.485358796293</v>
      </c>
      <c r="B2740" s="33">
        <v>44999647912</v>
      </c>
      <c r="C2740" s="33" t="s">
        <v>43</v>
      </c>
      <c r="D2740" s="33">
        <v>4430265054</v>
      </c>
      <c r="E2740" s="33">
        <v>397</v>
      </c>
      <c r="F2740" s="33">
        <v>321</v>
      </c>
      <c r="G2740" s="33" t="s">
        <v>38</v>
      </c>
      <c r="H2740" s="33" t="s">
        <v>9291</v>
      </c>
      <c r="I2740" s="33" t="s">
        <v>39</v>
      </c>
      <c r="J2740" s="33" t="s">
        <v>40</v>
      </c>
      <c r="K2740" s="33" t="s">
        <v>41</v>
      </c>
    </row>
    <row r="2741" spans="1:12" s="33" customFormat="1" hidden="1" x14ac:dyDescent="0.3">
      <c r="A2741" s="39">
        <v>46084.48028935185</v>
      </c>
      <c r="B2741" s="33" t="s">
        <v>3627</v>
      </c>
      <c r="C2741" s="33">
        <v>92993590015</v>
      </c>
      <c r="E2741" s="33">
        <v>18</v>
      </c>
      <c r="F2741" s="33">
        <v>2</v>
      </c>
      <c r="G2741" s="33" t="s">
        <v>38</v>
      </c>
      <c r="H2741" s="33" t="s">
        <v>9292</v>
      </c>
      <c r="I2741" s="33" t="s">
        <v>46</v>
      </c>
      <c r="J2741" s="33" t="s">
        <v>3629</v>
      </c>
    </row>
    <row r="2742" spans="1:12" s="33" customFormat="1" hidden="1" x14ac:dyDescent="0.3">
      <c r="A2742" s="39">
        <v>46084.477256944447</v>
      </c>
      <c r="B2742" s="33">
        <v>44999647912</v>
      </c>
      <c r="C2742" s="33" t="s">
        <v>45</v>
      </c>
      <c r="D2742" s="33">
        <v>4430265054</v>
      </c>
      <c r="E2742" s="33">
        <v>504</v>
      </c>
      <c r="F2742" s="33">
        <v>476</v>
      </c>
      <c r="G2742" s="33" t="s">
        <v>38</v>
      </c>
      <c r="H2742" s="33" t="s">
        <v>9293</v>
      </c>
      <c r="I2742" s="33" t="s">
        <v>39</v>
      </c>
      <c r="J2742" s="33" t="s">
        <v>40</v>
      </c>
      <c r="K2742" s="33" t="s">
        <v>41</v>
      </c>
    </row>
    <row r="2743" spans="1:12" s="33" customFormat="1" hidden="1" x14ac:dyDescent="0.3">
      <c r="A2743" s="39">
        <v>46084.471759259257</v>
      </c>
      <c r="B2743" s="33" t="s">
        <v>44</v>
      </c>
      <c r="C2743" s="33">
        <v>4430162384</v>
      </c>
      <c r="E2743" s="33">
        <v>993</v>
      </c>
      <c r="F2743" s="33">
        <v>979</v>
      </c>
      <c r="G2743" s="33" t="s">
        <v>38</v>
      </c>
      <c r="H2743" s="33" t="s">
        <v>9294</v>
      </c>
      <c r="I2743" s="33" t="s">
        <v>46</v>
      </c>
      <c r="J2743" s="33" t="s">
        <v>40</v>
      </c>
    </row>
    <row r="2744" spans="1:12" s="33" customFormat="1" hidden="1" x14ac:dyDescent="0.3">
      <c r="A2744" s="39">
        <v>46084.463726851849</v>
      </c>
      <c r="B2744" s="33">
        <v>53981112780</v>
      </c>
      <c r="C2744" s="33" t="s">
        <v>42</v>
      </c>
      <c r="D2744" s="33">
        <v>4430265054</v>
      </c>
      <c r="E2744" s="33">
        <v>474</v>
      </c>
      <c r="F2744" s="33">
        <v>447</v>
      </c>
      <c r="G2744" s="33" t="s">
        <v>38</v>
      </c>
      <c r="H2744" s="33" t="s">
        <v>9295</v>
      </c>
      <c r="I2744" s="33" t="s">
        <v>39</v>
      </c>
      <c r="J2744" s="33" t="s">
        <v>40</v>
      </c>
      <c r="K2744" s="33" t="s">
        <v>41</v>
      </c>
    </row>
    <row r="2745" spans="1:12" s="33" customFormat="1" hidden="1" x14ac:dyDescent="0.3">
      <c r="A2745" s="39">
        <v>46084.463252314818</v>
      </c>
      <c r="B2745" s="33">
        <v>4133491428</v>
      </c>
      <c r="C2745" s="33" t="s">
        <v>37</v>
      </c>
      <c r="D2745" s="33">
        <v>4430265054</v>
      </c>
      <c r="E2745" s="33">
        <v>2401</v>
      </c>
      <c r="F2745" s="33">
        <v>2390</v>
      </c>
      <c r="G2745" s="33" t="s">
        <v>38</v>
      </c>
      <c r="H2745" s="33" t="s">
        <v>9296</v>
      </c>
      <c r="I2745" s="33" t="s">
        <v>39</v>
      </c>
      <c r="J2745" s="33" t="s">
        <v>40</v>
      </c>
      <c r="K2745" s="33" t="s">
        <v>41</v>
      </c>
    </row>
    <row r="2746" spans="1:12" s="33" customFormat="1" hidden="1" x14ac:dyDescent="0.3">
      <c r="A2746" s="39">
        <v>46084.46162037037</v>
      </c>
      <c r="B2746" s="33">
        <v>4430162376</v>
      </c>
      <c r="C2746" s="33" t="s">
        <v>45</v>
      </c>
      <c r="D2746" s="33">
        <v>4430265054</v>
      </c>
      <c r="E2746" s="33">
        <v>440</v>
      </c>
      <c r="F2746" s="33">
        <v>315</v>
      </c>
      <c r="G2746" s="33" t="s">
        <v>38</v>
      </c>
      <c r="H2746" s="33" t="s">
        <v>9297</v>
      </c>
      <c r="I2746" s="33" t="s">
        <v>39</v>
      </c>
      <c r="J2746" s="33" t="s">
        <v>40</v>
      </c>
      <c r="K2746" s="33" t="s">
        <v>41</v>
      </c>
    </row>
    <row r="2747" spans="1:12" s="33" customFormat="1" hidden="1" x14ac:dyDescent="0.3">
      <c r="A2747" s="39">
        <v>46084.461018518516</v>
      </c>
      <c r="B2747" s="33">
        <v>4430162384</v>
      </c>
      <c r="C2747" s="33" t="s">
        <v>45</v>
      </c>
      <c r="D2747" s="33">
        <v>4430265054</v>
      </c>
      <c r="E2747" s="33">
        <v>186</v>
      </c>
      <c r="F2747" s="33">
        <v>145</v>
      </c>
      <c r="G2747" s="33" t="s">
        <v>38</v>
      </c>
      <c r="H2747" s="33" t="s">
        <v>9298</v>
      </c>
      <c r="I2747" s="33" t="s">
        <v>39</v>
      </c>
      <c r="J2747" s="33" t="s">
        <v>40</v>
      </c>
      <c r="K2747" s="33" t="s">
        <v>41</v>
      </c>
    </row>
    <row r="2748" spans="1:12" s="33" customFormat="1" hidden="1" x14ac:dyDescent="0.3">
      <c r="A2748" s="39">
        <v>46084.459016203706</v>
      </c>
      <c r="B2748" s="33" t="s">
        <v>37</v>
      </c>
      <c r="C2748" s="33">
        <v>4430315826</v>
      </c>
      <c r="E2748" s="33">
        <v>7</v>
      </c>
      <c r="F2748" s="33">
        <v>0</v>
      </c>
      <c r="G2748" s="33" t="s">
        <v>47</v>
      </c>
      <c r="H2748" s="33" t="s">
        <v>9299</v>
      </c>
      <c r="I2748" s="33" t="s">
        <v>46</v>
      </c>
      <c r="J2748" s="33" t="s">
        <v>40</v>
      </c>
    </row>
    <row r="2749" spans="1:12" s="33" customFormat="1" hidden="1" x14ac:dyDescent="0.3">
      <c r="A2749" s="39">
        <v>46084.455868055556</v>
      </c>
      <c r="B2749" s="33">
        <v>44988064675</v>
      </c>
      <c r="C2749" s="33" t="s">
        <v>44</v>
      </c>
      <c r="D2749" s="33">
        <v>4430265054</v>
      </c>
      <c r="E2749" s="33">
        <v>528</v>
      </c>
      <c r="F2749" s="33">
        <v>411</v>
      </c>
      <c r="G2749" s="33" t="s">
        <v>38</v>
      </c>
      <c r="H2749" s="33" t="s">
        <v>9300</v>
      </c>
      <c r="I2749" s="33" t="s">
        <v>39</v>
      </c>
      <c r="J2749" s="33" t="s">
        <v>40</v>
      </c>
      <c r="K2749" s="33" t="s">
        <v>41</v>
      </c>
      <c r="L2749" s="33">
        <v>5</v>
      </c>
    </row>
    <row r="2750" spans="1:12" s="33" customFormat="1" hidden="1" x14ac:dyDescent="0.3">
      <c r="A2750" s="39">
        <v>46084.447812500002</v>
      </c>
      <c r="B2750" s="33" t="s">
        <v>45</v>
      </c>
      <c r="C2750" s="33">
        <v>4430162384</v>
      </c>
      <c r="E2750" s="33">
        <v>846</v>
      </c>
      <c r="F2750" s="33">
        <v>831</v>
      </c>
      <c r="G2750" s="33" t="s">
        <v>38</v>
      </c>
      <c r="H2750" s="33" t="s">
        <v>9301</v>
      </c>
      <c r="I2750" s="33" t="s">
        <v>46</v>
      </c>
      <c r="J2750" s="33" t="s">
        <v>40</v>
      </c>
    </row>
    <row r="2751" spans="1:12" s="33" customFormat="1" hidden="1" x14ac:dyDescent="0.3">
      <c r="A2751" s="39">
        <v>46084.443310185183</v>
      </c>
      <c r="B2751" s="33">
        <v>6234347959</v>
      </c>
      <c r="C2751" s="33" t="s">
        <v>45</v>
      </c>
      <c r="D2751" s="33">
        <v>4430265054</v>
      </c>
      <c r="E2751" s="33">
        <v>57</v>
      </c>
      <c r="F2751" s="33">
        <v>4</v>
      </c>
      <c r="G2751" s="33" t="s">
        <v>38</v>
      </c>
      <c r="H2751" s="33" t="s">
        <v>9302</v>
      </c>
      <c r="I2751" s="33" t="s">
        <v>39</v>
      </c>
      <c r="J2751" s="33" t="s">
        <v>40</v>
      </c>
      <c r="K2751" s="33" t="s">
        <v>41</v>
      </c>
    </row>
    <row r="2752" spans="1:12" s="33" customFormat="1" hidden="1" x14ac:dyDescent="0.3">
      <c r="A2752" s="39">
        <v>46084.438935185186</v>
      </c>
      <c r="B2752" s="33">
        <v>44988067937</v>
      </c>
      <c r="C2752" s="33" t="s">
        <v>42</v>
      </c>
      <c r="D2752" s="33">
        <v>4430265054</v>
      </c>
      <c r="E2752" s="33">
        <v>223</v>
      </c>
      <c r="F2752" s="33">
        <v>149</v>
      </c>
      <c r="G2752" s="33" t="s">
        <v>38</v>
      </c>
      <c r="H2752" s="33" t="s">
        <v>9303</v>
      </c>
      <c r="I2752" s="33" t="s">
        <v>39</v>
      </c>
      <c r="J2752" s="33" t="s">
        <v>40</v>
      </c>
      <c r="K2752" s="33" t="s">
        <v>41</v>
      </c>
    </row>
    <row r="2753" spans="1:12" s="33" customFormat="1" hidden="1" x14ac:dyDescent="0.3">
      <c r="A2753" s="39">
        <v>46084.43818287037</v>
      </c>
      <c r="B2753" s="33">
        <v>4430162384</v>
      </c>
      <c r="C2753" s="33" t="s">
        <v>45</v>
      </c>
      <c r="D2753" s="33">
        <v>4430265054</v>
      </c>
      <c r="E2753" s="33">
        <v>147</v>
      </c>
      <c r="F2753" s="33">
        <v>121</v>
      </c>
      <c r="G2753" s="33" t="s">
        <v>38</v>
      </c>
      <c r="H2753" s="33" t="s">
        <v>9304</v>
      </c>
      <c r="I2753" s="33" t="s">
        <v>39</v>
      </c>
      <c r="J2753" s="33" t="s">
        <v>40</v>
      </c>
      <c r="K2753" s="33" t="s">
        <v>41</v>
      </c>
    </row>
    <row r="2754" spans="1:12" s="33" customFormat="1" hidden="1" x14ac:dyDescent="0.3">
      <c r="A2754" s="39">
        <v>46084.435810185183</v>
      </c>
      <c r="B2754" s="33" t="s">
        <v>3627</v>
      </c>
      <c r="C2754" s="33">
        <v>65992922254</v>
      </c>
      <c r="E2754" s="33">
        <v>16</v>
      </c>
      <c r="F2754" s="33">
        <v>2</v>
      </c>
      <c r="G2754" s="33" t="s">
        <v>38</v>
      </c>
      <c r="H2754" s="33" t="s">
        <v>9305</v>
      </c>
      <c r="I2754" s="33" t="s">
        <v>46</v>
      </c>
      <c r="J2754" s="33" t="s">
        <v>3629</v>
      </c>
    </row>
    <row r="2755" spans="1:12" s="33" customFormat="1" hidden="1" x14ac:dyDescent="0.3">
      <c r="A2755" s="39">
        <v>46084.435023148151</v>
      </c>
      <c r="B2755" s="33">
        <v>44991249108</v>
      </c>
      <c r="C2755" s="33" t="s">
        <v>44</v>
      </c>
      <c r="D2755" s="33">
        <v>4430265054</v>
      </c>
      <c r="E2755" s="33">
        <v>671</v>
      </c>
      <c r="F2755" s="33">
        <v>516</v>
      </c>
      <c r="G2755" s="33" t="s">
        <v>38</v>
      </c>
      <c r="H2755" s="33" t="s">
        <v>9306</v>
      </c>
      <c r="I2755" s="33" t="s">
        <v>39</v>
      </c>
      <c r="J2755" s="33" t="s">
        <v>40</v>
      </c>
      <c r="K2755" s="33" t="s">
        <v>41</v>
      </c>
    </row>
    <row r="2756" spans="1:12" s="33" customFormat="1" hidden="1" x14ac:dyDescent="0.3">
      <c r="A2756" s="39">
        <v>46084.431828703702</v>
      </c>
      <c r="B2756" s="33">
        <v>44988255390</v>
      </c>
      <c r="C2756" s="33" t="s">
        <v>43</v>
      </c>
      <c r="D2756" s="33">
        <v>4430265054</v>
      </c>
      <c r="E2756" s="33">
        <v>980</v>
      </c>
      <c r="F2756" s="33">
        <v>929</v>
      </c>
      <c r="G2756" s="33" t="s">
        <v>38</v>
      </c>
      <c r="H2756" s="33" t="s">
        <v>9307</v>
      </c>
      <c r="I2756" s="33" t="s">
        <v>39</v>
      </c>
      <c r="J2756" s="33" t="s">
        <v>40</v>
      </c>
      <c r="K2756" s="33" t="s">
        <v>41</v>
      </c>
    </row>
    <row r="2757" spans="1:12" s="33" customFormat="1" hidden="1" x14ac:dyDescent="0.3">
      <c r="A2757" s="39">
        <v>46084.431215277778</v>
      </c>
      <c r="B2757" s="33" t="s">
        <v>48</v>
      </c>
      <c r="C2757" s="33">
        <v>11940298065</v>
      </c>
      <c r="E2757" s="33">
        <v>1233</v>
      </c>
      <c r="F2757" s="33">
        <v>1224</v>
      </c>
      <c r="G2757" s="33" t="s">
        <v>38</v>
      </c>
      <c r="H2757" s="33" t="s">
        <v>9308</v>
      </c>
      <c r="I2757" s="33" t="s">
        <v>46</v>
      </c>
      <c r="J2757" s="33" t="s">
        <v>40</v>
      </c>
    </row>
    <row r="2758" spans="1:12" s="33" customFormat="1" hidden="1" x14ac:dyDescent="0.3">
      <c r="A2758" s="39">
        <v>46084.428749999999</v>
      </c>
      <c r="B2758" s="33">
        <v>41999865917</v>
      </c>
      <c r="C2758" s="33" t="s">
        <v>48</v>
      </c>
      <c r="D2758" s="33">
        <v>4430265054</v>
      </c>
      <c r="E2758" s="33">
        <v>166</v>
      </c>
      <c r="F2758" s="33">
        <v>118</v>
      </c>
      <c r="G2758" s="33" t="s">
        <v>38</v>
      </c>
      <c r="H2758" s="33" t="s">
        <v>9309</v>
      </c>
      <c r="I2758" s="33" t="s">
        <v>39</v>
      </c>
      <c r="J2758" s="33" t="s">
        <v>40</v>
      </c>
      <c r="K2758" s="33" t="s">
        <v>41</v>
      </c>
    </row>
    <row r="2759" spans="1:12" s="33" customFormat="1" hidden="1" x14ac:dyDescent="0.3">
      <c r="A2759" s="39">
        <v>46084.428194444445</v>
      </c>
      <c r="B2759" s="33">
        <v>62994086124</v>
      </c>
      <c r="C2759" s="33" t="s">
        <v>42</v>
      </c>
      <c r="D2759" s="33">
        <v>4430265054</v>
      </c>
      <c r="E2759" s="33">
        <v>936</v>
      </c>
      <c r="F2759" s="33">
        <v>834</v>
      </c>
      <c r="G2759" s="33" t="s">
        <v>38</v>
      </c>
      <c r="H2759" s="33" t="s">
        <v>9310</v>
      </c>
      <c r="I2759" s="33" t="s">
        <v>39</v>
      </c>
      <c r="J2759" s="33" t="s">
        <v>40</v>
      </c>
      <c r="K2759" s="33" t="s">
        <v>41</v>
      </c>
    </row>
    <row r="2760" spans="1:12" s="33" customFormat="1" hidden="1" x14ac:dyDescent="0.3">
      <c r="A2760" s="39">
        <v>46084.424247685187</v>
      </c>
      <c r="B2760" s="33">
        <v>4433542435</v>
      </c>
      <c r="C2760" s="33">
        <v>4430265054</v>
      </c>
      <c r="D2760" s="33">
        <v>4430265054</v>
      </c>
      <c r="E2760" s="33">
        <v>100</v>
      </c>
      <c r="F2760" s="33">
        <v>100</v>
      </c>
      <c r="G2760" s="33" t="s">
        <v>3449</v>
      </c>
      <c r="H2760" s="33" t="s">
        <v>9311</v>
      </c>
      <c r="I2760" s="33" t="s">
        <v>39</v>
      </c>
      <c r="J2760" s="33" t="s">
        <v>3451</v>
      </c>
      <c r="K2760" s="33" t="s">
        <v>41</v>
      </c>
    </row>
    <row r="2761" spans="1:12" s="33" customFormat="1" hidden="1" x14ac:dyDescent="0.3">
      <c r="A2761" s="39">
        <v>46084.420590277776</v>
      </c>
      <c r="B2761" s="33">
        <v>45998160883</v>
      </c>
      <c r="C2761" s="33" t="s">
        <v>37</v>
      </c>
      <c r="D2761" s="33">
        <v>4430265054</v>
      </c>
      <c r="E2761" s="33">
        <v>2842</v>
      </c>
      <c r="F2761" s="33">
        <v>2791</v>
      </c>
      <c r="G2761" s="33" t="s">
        <v>38</v>
      </c>
      <c r="H2761" s="33" t="s">
        <v>9312</v>
      </c>
      <c r="I2761" s="33" t="s">
        <v>39</v>
      </c>
      <c r="J2761" s="33" t="s">
        <v>40</v>
      </c>
      <c r="K2761" s="33" t="s">
        <v>41</v>
      </c>
      <c r="L2761" s="33">
        <v>5</v>
      </c>
    </row>
    <row r="2762" spans="1:12" s="33" customFormat="1" hidden="1" x14ac:dyDescent="0.3">
      <c r="A2762" s="39">
        <v>46084.419409722221</v>
      </c>
      <c r="B2762" s="33">
        <v>4330333542</v>
      </c>
      <c r="C2762" s="33" t="s">
        <v>45</v>
      </c>
      <c r="D2762" s="33">
        <v>4430265054</v>
      </c>
      <c r="E2762" s="33">
        <v>1502</v>
      </c>
      <c r="F2762" s="33">
        <v>1474</v>
      </c>
      <c r="G2762" s="33" t="s">
        <v>38</v>
      </c>
      <c r="H2762" s="33" t="s">
        <v>9313</v>
      </c>
      <c r="I2762" s="33" t="s">
        <v>39</v>
      </c>
      <c r="J2762" s="33" t="s">
        <v>40</v>
      </c>
      <c r="K2762" s="33" t="s">
        <v>41</v>
      </c>
    </row>
    <row r="2763" spans="1:12" s="33" customFormat="1" hidden="1" x14ac:dyDescent="0.3">
      <c r="A2763" s="39">
        <v>46084.418749999997</v>
      </c>
      <c r="B2763" s="33">
        <v>4330332823</v>
      </c>
      <c r="C2763" s="33">
        <v>4430265054</v>
      </c>
      <c r="D2763" s="33">
        <v>4430265054</v>
      </c>
      <c r="E2763" s="33">
        <v>21</v>
      </c>
      <c r="F2763" s="33">
        <v>20</v>
      </c>
      <c r="G2763" s="33" t="s">
        <v>3449</v>
      </c>
      <c r="H2763" s="33" t="s">
        <v>9314</v>
      </c>
      <c r="I2763" s="33" t="s">
        <v>39</v>
      </c>
      <c r="J2763" s="33" t="s">
        <v>3451</v>
      </c>
      <c r="K2763" s="33" t="s">
        <v>41</v>
      </c>
    </row>
    <row r="2764" spans="1:12" s="33" customFormat="1" hidden="1" x14ac:dyDescent="0.3">
      <c r="A2764" s="39">
        <v>46084.416238425925</v>
      </c>
      <c r="B2764" s="33">
        <v>4436372684</v>
      </c>
      <c r="C2764" s="33" t="s">
        <v>42</v>
      </c>
      <c r="D2764" s="33">
        <v>4430265054</v>
      </c>
      <c r="E2764" s="33">
        <v>623</v>
      </c>
      <c r="F2764" s="33">
        <v>561</v>
      </c>
      <c r="G2764" s="33" t="s">
        <v>38</v>
      </c>
      <c r="H2764" s="33" t="s">
        <v>9315</v>
      </c>
      <c r="I2764" s="33" t="s">
        <v>39</v>
      </c>
      <c r="J2764" s="33" t="s">
        <v>40</v>
      </c>
      <c r="K2764" s="33" t="s">
        <v>41</v>
      </c>
    </row>
    <row r="2765" spans="1:12" s="33" customFormat="1" hidden="1" x14ac:dyDescent="0.3">
      <c r="A2765" s="39">
        <v>46084.416180555556</v>
      </c>
      <c r="B2765" s="33">
        <v>4430162384</v>
      </c>
      <c r="C2765" s="33" t="s">
        <v>44</v>
      </c>
      <c r="D2765" s="33">
        <v>4430265054</v>
      </c>
      <c r="E2765" s="33">
        <v>457</v>
      </c>
      <c r="F2765" s="33">
        <v>436</v>
      </c>
      <c r="G2765" s="33" t="s">
        <v>38</v>
      </c>
      <c r="H2765" s="33" t="s">
        <v>9316</v>
      </c>
      <c r="I2765" s="33" t="s">
        <v>39</v>
      </c>
      <c r="J2765" s="33" t="s">
        <v>40</v>
      </c>
      <c r="K2765" s="33" t="s">
        <v>41</v>
      </c>
    </row>
    <row r="2766" spans="1:12" s="33" customFormat="1" hidden="1" x14ac:dyDescent="0.3">
      <c r="A2766" s="39">
        <v>46084.415925925925</v>
      </c>
      <c r="B2766" s="33" t="s">
        <v>37</v>
      </c>
      <c r="C2766" s="33">
        <v>4430317020</v>
      </c>
      <c r="E2766" s="33">
        <v>127</v>
      </c>
      <c r="F2766" s="33">
        <v>115</v>
      </c>
      <c r="G2766" s="33" t="s">
        <v>38</v>
      </c>
      <c r="H2766" s="33" t="s">
        <v>9317</v>
      </c>
      <c r="I2766" s="33" t="s">
        <v>46</v>
      </c>
      <c r="J2766" s="33" t="s">
        <v>40</v>
      </c>
    </row>
    <row r="2767" spans="1:12" s="33" customFormat="1" hidden="1" x14ac:dyDescent="0.3">
      <c r="A2767" s="39">
        <v>46084.41578703704</v>
      </c>
      <c r="B2767" s="33" t="s">
        <v>37</v>
      </c>
      <c r="C2767" s="33">
        <v>44999457840</v>
      </c>
      <c r="E2767" s="33">
        <v>36</v>
      </c>
      <c r="F2767" s="33">
        <v>33</v>
      </c>
      <c r="G2767" s="33" t="s">
        <v>38</v>
      </c>
      <c r="H2767" s="33" t="s">
        <v>9318</v>
      </c>
      <c r="I2767" s="33" t="s">
        <v>46</v>
      </c>
      <c r="J2767" s="33" t="s">
        <v>40</v>
      </c>
    </row>
    <row r="2768" spans="1:12" s="33" customFormat="1" hidden="1" x14ac:dyDescent="0.3">
      <c r="A2768" s="39">
        <v>46084.415196759262</v>
      </c>
      <c r="B2768" s="33">
        <v>4430162384</v>
      </c>
      <c r="C2768" s="33" t="s">
        <v>44</v>
      </c>
      <c r="D2768" s="33">
        <v>4430265054</v>
      </c>
      <c r="E2768" s="33">
        <v>76</v>
      </c>
      <c r="F2768" s="33">
        <v>9</v>
      </c>
      <c r="G2768" s="33" t="s">
        <v>38</v>
      </c>
      <c r="H2768" s="33" t="s">
        <v>9319</v>
      </c>
      <c r="I2768" s="33" t="s">
        <v>39</v>
      </c>
      <c r="J2768" s="33" t="s">
        <v>40</v>
      </c>
      <c r="K2768" s="33" t="s">
        <v>41</v>
      </c>
    </row>
    <row r="2769" spans="1:13" hidden="1" x14ac:dyDescent="0.3">
      <c r="A2769" s="39">
        <v>46084.414918981478</v>
      </c>
      <c r="B2769" s="33">
        <v>99985426365</v>
      </c>
      <c r="C2769" s="33" t="s">
        <v>43</v>
      </c>
      <c r="D2769" s="33">
        <v>4430265054</v>
      </c>
      <c r="E2769" s="33">
        <v>758</v>
      </c>
      <c r="F2769" s="33">
        <v>712</v>
      </c>
      <c r="G2769" s="33" t="s">
        <v>38</v>
      </c>
      <c r="H2769" s="33" t="s">
        <v>9320</v>
      </c>
      <c r="I2769" s="33" t="s">
        <v>39</v>
      </c>
      <c r="J2769" s="33" t="s">
        <v>40</v>
      </c>
      <c r="K2769" s="33" t="s">
        <v>41</v>
      </c>
      <c r="M2769" s="33"/>
    </row>
    <row r="2770" spans="1:13" hidden="1" x14ac:dyDescent="0.3">
      <c r="A2770" s="39">
        <v>46084.414687500001</v>
      </c>
      <c r="B2770" s="33">
        <v>45999334612</v>
      </c>
      <c r="C2770" s="33" t="s">
        <v>48</v>
      </c>
      <c r="D2770" s="33">
        <v>4430265054</v>
      </c>
      <c r="E2770" s="33">
        <v>933</v>
      </c>
      <c r="F2770" s="33">
        <v>874</v>
      </c>
      <c r="G2770" s="33" t="s">
        <v>38</v>
      </c>
      <c r="H2770" s="33" t="s">
        <v>9321</v>
      </c>
      <c r="I2770" s="33" t="s">
        <v>39</v>
      </c>
      <c r="J2770" s="33" t="s">
        <v>40</v>
      </c>
      <c r="K2770" s="33" t="s">
        <v>41</v>
      </c>
      <c r="L2770" s="33">
        <v>5</v>
      </c>
      <c r="M2770" s="33"/>
    </row>
    <row r="2771" spans="1:13" hidden="1" x14ac:dyDescent="0.3">
      <c r="A2771" s="39">
        <v>46084.414664351854</v>
      </c>
      <c r="B2771" s="33" t="s">
        <v>37</v>
      </c>
      <c r="C2771" s="33">
        <v>4430315826</v>
      </c>
      <c r="E2771" s="33">
        <v>117</v>
      </c>
      <c r="F2771" s="33">
        <v>104</v>
      </c>
      <c r="G2771" s="33" t="s">
        <v>38</v>
      </c>
      <c r="H2771" s="33" t="s">
        <v>9322</v>
      </c>
      <c r="I2771" s="33" t="s">
        <v>46</v>
      </c>
      <c r="J2771" s="33" t="s">
        <v>40</v>
      </c>
      <c r="M2771" s="33"/>
    </row>
    <row r="2772" spans="1:13" hidden="1" x14ac:dyDescent="0.3">
      <c r="A2772" s="39">
        <v>46084.414606481485</v>
      </c>
      <c r="B2772" s="33" t="s">
        <v>37</v>
      </c>
      <c r="C2772" s="33">
        <v>4430315826</v>
      </c>
      <c r="E2772" s="33">
        <v>4</v>
      </c>
      <c r="F2772" s="33">
        <v>0</v>
      </c>
      <c r="G2772" s="33" t="s">
        <v>47</v>
      </c>
      <c r="H2772" s="33" t="s">
        <v>9323</v>
      </c>
      <c r="I2772" s="33" t="s">
        <v>46</v>
      </c>
      <c r="J2772" s="33" t="s">
        <v>40</v>
      </c>
      <c r="M2772" s="33"/>
    </row>
    <row r="2773" spans="1:13" hidden="1" x14ac:dyDescent="0.3">
      <c r="A2773" s="39">
        <v>46084.413958333331</v>
      </c>
      <c r="B2773" s="33">
        <v>4432672194</v>
      </c>
      <c r="C2773" s="33">
        <v>4430265054</v>
      </c>
      <c r="D2773" s="33">
        <v>4430265054</v>
      </c>
      <c r="E2773" s="33">
        <v>68</v>
      </c>
      <c r="F2773" s="33">
        <v>68</v>
      </c>
      <c r="G2773" s="33" t="s">
        <v>3449</v>
      </c>
      <c r="H2773" s="33" t="s">
        <v>9324</v>
      </c>
      <c r="I2773" s="33" t="s">
        <v>39</v>
      </c>
      <c r="J2773" s="33" t="s">
        <v>3451</v>
      </c>
      <c r="K2773" s="33" t="s">
        <v>41</v>
      </c>
      <c r="M2773" s="33"/>
    </row>
    <row r="2774" spans="1:13" hidden="1" x14ac:dyDescent="0.3">
      <c r="A2774" s="39">
        <v>46084.413738425923</v>
      </c>
      <c r="B2774" s="33">
        <v>4430284942</v>
      </c>
      <c r="C2774" s="33">
        <v>4430265054</v>
      </c>
      <c r="D2774" s="33">
        <v>4430265054</v>
      </c>
      <c r="E2774" s="33">
        <v>178</v>
      </c>
      <c r="F2774" s="33">
        <v>178</v>
      </c>
      <c r="G2774" s="33" t="s">
        <v>3449</v>
      </c>
      <c r="H2774" s="33" t="s">
        <v>9325</v>
      </c>
      <c r="I2774" s="33" t="s">
        <v>39</v>
      </c>
      <c r="J2774" s="33" t="s">
        <v>3451</v>
      </c>
      <c r="K2774" s="33" t="s">
        <v>41</v>
      </c>
      <c r="M2774" s="33"/>
    </row>
    <row r="2775" spans="1:13" hidden="1" x14ac:dyDescent="0.3">
      <c r="A2775" s="39">
        <v>46084.406238425923</v>
      </c>
      <c r="B2775" s="33">
        <v>44999976008</v>
      </c>
      <c r="C2775" s="33" t="s">
        <v>42</v>
      </c>
      <c r="D2775" s="33">
        <v>4430265054</v>
      </c>
      <c r="E2775" s="33">
        <v>715</v>
      </c>
      <c r="F2775" s="33">
        <v>632</v>
      </c>
      <c r="G2775" s="33" t="s">
        <v>38</v>
      </c>
      <c r="H2775" s="33" t="s">
        <v>9326</v>
      </c>
      <c r="I2775" s="33" t="s">
        <v>39</v>
      </c>
      <c r="J2775" s="33" t="s">
        <v>40</v>
      </c>
      <c r="K2775" s="33" t="s">
        <v>41</v>
      </c>
      <c r="M2775" s="33"/>
    </row>
    <row r="2776" spans="1:13" hidden="1" x14ac:dyDescent="0.3">
      <c r="A2776" s="39">
        <v>46084.403136574074</v>
      </c>
      <c r="B2776" s="33">
        <v>4430403880</v>
      </c>
      <c r="C2776" s="33" t="s">
        <v>37</v>
      </c>
      <c r="D2776" s="33">
        <v>4430265054</v>
      </c>
      <c r="E2776" s="33">
        <v>474</v>
      </c>
      <c r="F2776" s="33">
        <v>318</v>
      </c>
      <c r="G2776" s="33" t="s">
        <v>38</v>
      </c>
      <c r="H2776" s="33" t="s">
        <v>9327</v>
      </c>
      <c r="I2776" s="33" t="s">
        <v>39</v>
      </c>
      <c r="J2776" s="33" t="s">
        <v>40</v>
      </c>
      <c r="K2776" s="33" t="s">
        <v>41</v>
      </c>
      <c r="L2776" s="33">
        <v>5</v>
      </c>
      <c r="M2776" s="33"/>
    </row>
    <row r="2777" spans="1:13" hidden="1" x14ac:dyDescent="0.3">
      <c r="A2777" s="39">
        <v>46084.401296296295</v>
      </c>
      <c r="B2777" s="33">
        <v>44991116911</v>
      </c>
      <c r="C2777" s="33" t="s">
        <v>44</v>
      </c>
      <c r="D2777" s="33">
        <v>4430265054</v>
      </c>
      <c r="E2777" s="33">
        <v>330</v>
      </c>
      <c r="F2777" s="33">
        <v>173</v>
      </c>
      <c r="G2777" s="33" t="s">
        <v>38</v>
      </c>
      <c r="H2777" s="33" t="s">
        <v>9328</v>
      </c>
      <c r="I2777" s="33" t="s">
        <v>39</v>
      </c>
      <c r="J2777" s="33" t="s">
        <v>40</v>
      </c>
      <c r="K2777" s="33" t="s">
        <v>41</v>
      </c>
      <c r="L2777" s="33">
        <v>5</v>
      </c>
      <c r="M2777" s="33"/>
    </row>
    <row r="2778" spans="1:13" hidden="1" x14ac:dyDescent="0.3">
      <c r="A2778" s="39">
        <v>46084.398715277777</v>
      </c>
      <c r="B2778" s="33">
        <v>44991174709</v>
      </c>
      <c r="C2778" s="33" t="s">
        <v>45</v>
      </c>
      <c r="D2778" s="33">
        <v>4430265054</v>
      </c>
      <c r="E2778" s="33">
        <v>919</v>
      </c>
      <c r="F2778" s="33">
        <v>850</v>
      </c>
      <c r="G2778" s="33" t="s">
        <v>38</v>
      </c>
      <c r="H2778" s="33" t="s">
        <v>9329</v>
      </c>
      <c r="I2778" s="33" t="s">
        <v>39</v>
      </c>
      <c r="J2778" s="33" t="s">
        <v>40</v>
      </c>
      <c r="K2778" s="33" t="s">
        <v>41</v>
      </c>
      <c r="M2778" s="33"/>
    </row>
    <row r="2779" spans="1:13" hidden="1" x14ac:dyDescent="0.3">
      <c r="A2779" s="39">
        <v>46084.398460648146</v>
      </c>
      <c r="B2779" s="33">
        <v>44997134514</v>
      </c>
      <c r="C2779" s="33" t="s">
        <v>37</v>
      </c>
      <c r="D2779" s="33">
        <v>4430265054</v>
      </c>
      <c r="E2779" s="33">
        <v>410</v>
      </c>
      <c r="F2779" s="33">
        <v>329</v>
      </c>
      <c r="G2779" s="33" t="s">
        <v>38</v>
      </c>
      <c r="H2779" s="33" t="s">
        <v>9330</v>
      </c>
      <c r="I2779" s="33" t="s">
        <v>39</v>
      </c>
      <c r="J2779" s="33" t="s">
        <v>40</v>
      </c>
      <c r="K2779" s="33" t="s">
        <v>41</v>
      </c>
      <c r="M2779" s="33"/>
    </row>
    <row r="2780" spans="1:13" x14ac:dyDescent="0.3">
      <c r="A2780" s="39">
        <v>46084.394016203703</v>
      </c>
      <c r="B2780" s="33">
        <v>44997650834</v>
      </c>
      <c r="C2780" s="33" t="s">
        <v>42</v>
      </c>
      <c r="D2780" s="33">
        <v>4430265054</v>
      </c>
      <c r="E2780" s="33">
        <v>990</v>
      </c>
      <c r="F2780" s="33">
        <v>968</v>
      </c>
      <c r="G2780" s="33" t="s">
        <v>38</v>
      </c>
      <c r="H2780" s="33" t="s">
        <v>9331</v>
      </c>
      <c r="I2780" s="33" t="s">
        <v>39</v>
      </c>
      <c r="J2780" s="33" t="s">
        <v>40</v>
      </c>
      <c r="K2780" s="33" t="s">
        <v>41</v>
      </c>
      <c r="L2780" s="33">
        <v>3</v>
      </c>
      <c r="M2780" s="33"/>
    </row>
    <row r="2781" spans="1:13" hidden="1" x14ac:dyDescent="0.3">
      <c r="A2781" s="39">
        <v>46084.393460648149</v>
      </c>
      <c r="B2781" s="33">
        <v>44991249108</v>
      </c>
      <c r="C2781" s="33" t="s">
        <v>37</v>
      </c>
      <c r="D2781" s="33">
        <v>4430265054</v>
      </c>
      <c r="E2781" s="33">
        <v>162</v>
      </c>
      <c r="F2781" s="33">
        <v>139</v>
      </c>
      <c r="G2781" s="33" t="s">
        <v>38</v>
      </c>
      <c r="H2781" s="33" t="s">
        <v>9332</v>
      </c>
      <c r="I2781" s="33" t="s">
        <v>39</v>
      </c>
      <c r="J2781" s="33" t="s">
        <v>40</v>
      </c>
      <c r="K2781" s="33" t="s">
        <v>41</v>
      </c>
      <c r="L2781" s="33">
        <v>5</v>
      </c>
      <c r="M2781" s="33"/>
    </row>
    <row r="2782" spans="1:13" hidden="1" x14ac:dyDescent="0.3">
      <c r="A2782" s="39">
        <v>46084.390509259261</v>
      </c>
      <c r="B2782" s="33">
        <v>4430162384</v>
      </c>
      <c r="C2782" s="33" t="s">
        <v>51</v>
      </c>
      <c r="D2782" s="33">
        <v>4430265054</v>
      </c>
      <c r="E2782" s="33">
        <v>263</v>
      </c>
      <c r="F2782" s="33">
        <v>255</v>
      </c>
      <c r="G2782" s="33" t="s">
        <v>38</v>
      </c>
      <c r="H2782" s="33" t="s">
        <v>9333</v>
      </c>
      <c r="I2782" s="33" t="s">
        <v>39</v>
      </c>
      <c r="J2782" s="33" t="s">
        <v>3629</v>
      </c>
      <c r="K2782" s="33" t="s">
        <v>50</v>
      </c>
      <c r="M2782" s="33"/>
    </row>
    <row r="2783" spans="1:13" hidden="1" x14ac:dyDescent="0.3">
      <c r="A2783" s="39">
        <v>46084.389004629629</v>
      </c>
      <c r="B2783" s="33">
        <v>4430162384</v>
      </c>
      <c r="C2783" s="33" t="s">
        <v>45</v>
      </c>
      <c r="D2783" s="33">
        <v>4430265054</v>
      </c>
      <c r="E2783" s="33">
        <v>111</v>
      </c>
      <c r="F2783" s="33">
        <v>87</v>
      </c>
      <c r="G2783" s="33" t="s">
        <v>38</v>
      </c>
      <c r="H2783" s="33" t="s">
        <v>9334</v>
      </c>
      <c r="I2783" s="33" t="s">
        <v>39</v>
      </c>
      <c r="J2783" s="33" t="s">
        <v>40</v>
      </c>
      <c r="K2783" s="33" t="s">
        <v>41</v>
      </c>
      <c r="L2783" s="37">
        <v>5</v>
      </c>
      <c r="M2783" s="36" t="s">
        <v>9487</v>
      </c>
    </row>
    <row r="2784" spans="1:13" hidden="1" x14ac:dyDescent="0.3">
      <c r="A2784" s="39">
        <v>46084.387094907404</v>
      </c>
      <c r="B2784" s="33">
        <v>4430162384</v>
      </c>
      <c r="C2784" s="33" t="s">
        <v>3627</v>
      </c>
      <c r="D2784" s="33">
        <v>4430265054</v>
      </c>
      <c r="E2784" s="33">
        <v>31</v>
      </c>
      <c r="F2784" s="33">
        <v>3</v>
      </c>
      <c r="G2784" s="33" t="s">
        <v>38</v>
      </c>
      <c r="H2784" s="33" t="s">
        <v>9335</v>
      </c>
      <c r="I2784" s="33" t="s">
        <v>39</v>
      </c>
      <c r="J2784" s="33" t="s">
        <v>3629</v>
      </c>
      <c r="K2784" s="33" t="s">
        <v>50</v>
      </c>
      <c r="M2784" s="33"/>
    </row>
    <row r="2785" spans="1:12" s="33" customFormat="1" hidden="1" x14ac:dyDescent="0.3">
      <c r="A2785" s="39">
        <v>46084.382569444446</v>
      </c>
      <c r="B2785" s="33">
        <v>67992169496</v>
      </c>
      <c r="C2785" s="33" t="s">
        <v>43</v>
      </c>
      <c r="D2785" s="33">
        <v>4430265054</v>
      </c>
      <c r="E2785" s="33">
        <v>2562</v>
      </c>
      <c r="F2785" s="33">
        <v>2551</v>
      </c>
      <c r="G2785" s="33" t="s">
        <v>38</v>
      </c>
      <c r="H2785" s="33" t="s">
        <v>9336</v>
      </c>
      <c r="I2785" s="33" t="s">
        <v>39</v>
      </c>
      <c r="J2785" s="33" t="s">
        <v>40</v>
      </c>
      <c r="K2785" s="33" t="s">
        <v>41</v>
      </c>
    </row>
    <row r="2786" spans="1:12" s="33" customFormat="1" hidden="1" x14ac:dyDescent="0.3">
      <c r="A2786" s="39">
        <v>46084.380694444444</v>
      </c>
      <c r="B2786" s="33" t="s">
        <v>45</v>
      </c>
      <c r="C2786" s="33">
        <v>44997134514</v>
      </c>
      <c r="E2786" s="33">
        <v>430</v>
      </c>
      <c r="F2786" s="33">
        <v>423</v>
      </c>
      <c r="G2786" s="33" t="s">
        <v>38</v>
      </c>
      <c r="H2786" s="33" t="s">
        <v>9337</v>
      </c>
      <c r="I2786" s="33" t="s">
        <v>46</v>
      </c>
      <c r="J2786" s="33" t="s">
        <v>40</v>
      </c>
    </row>
    <row r="2787" spans="1:12" s="33" customFormat="1" hidden="1" x14ac:dyDescent="0.3">
      <c r="A2787" s="39">
        <v>46084.376608796294</v>
      </c>
      <c r="B2787" s="33">
        <v>44988255390</v>
      </c>
      <c r="C2787" s="33" t="s">
        <v>48</v>
      </c>
      <c r="D2787" s="33">
        <v>4430265054</v>
      </c>
      <c r="E2787" s="33">
        <v>2543</v>
      </c>
      <c r="F2787" s="33">
        <v>2471</v>
      </c>
      <c r="G2787" s="33" t="s">
        <v>38</v>
      </c>
      <c r="H2787" s="33" t="s">
        <v>9338</v>
      </c>
      <c r="I2787" s="33" t="s">
        <v>39</v>
      </c>
      <c r="J2787" s="33" t="s">
        <v>40</v>
      </c>
      <c r="K2787" s="33" t="s">
        <v>41</v>
      </c>
      <c r="L2787" s="33">
        <v>5</v>
      </c>
    </row>
    <row r="2788" spans="1:12" s="33" customFormat="1" hidden="1" x14ac:dyDescent="0.3">
      <c r="A2788" s="39">
        <v>46084.374513888892</v>
      </c>
      <c r="B2788" s="33">
        <v>67992169496</v>
      </c>
      <c r="C2788" s="33" t="s">
        <v>43</v>
      </c>
      <c r="D2788" s="33">
        <v>4430265054</v>
      </c>
      <c r="E2788" s="33">
        <v>454</v>
      </c>
      <c r="F2788" s="33">
        <v>308</v>
      </c>
      <c r="G2788" s="33" t="s">
        <v>38</v>
      </c>
      <c r="H2788" s="33" t="s">
        <v>9339</v>
      </c>
      <c r="I2788" s="33" t="s">
        <v>39</v>
      </c>
      <c r="J2788" s="33" t="s">
        <v>40</v>
      </c>
      <c r="K2788" s="33" t="s">
        <v>41</v>
      </c>
    </row>
    <row r="2789" spans="1:12" s="33" customFormat="1" hidden="1" x14ac:dyDescent="0.3">
      <c r="A2789" s="39">
        <v>46084.374212962961</v>
      </c>
      <c r="B2789" s="33">
        <v>4430162376</v>
      </c>
      <c r="C2789" s="33" t="s">
        <v>42</v>
      </c>
      <c r="D2789" s="33">
        <v>4430265054</v>
      </c>
      <c r="E2789" s="33">
        <v>336</v>
      </c>
      <c r="F2789" s="33">
        <v>101</v>
      </c>
      <c r="G2789" s="33" t="s">
        <v>38</v>
      </c>
      <c r="H2789" s="33" t="s">
        <v>9340</v>
      </c>
      <c r="I2789" s="33" t="s">
        <v>39</v>
      </c>
      <c r="J2789" s="33" t="s">
        <v>40</v>
      </c>
      <c r="K2789" s="33" t="s">
        <v>41</v>
      </c>
    </row>
    <row r="2790" spans="1:12" s="33" customFormat="1" hidden="1" x14ac:dyDescent="0.3">
      <c r="A2790" s="39">
        <v>46084.372800925928</v>
      </c>
      <c r="B2790" s="33">
        <v>44999647912</v>
      </c>
      <c r="C2790" s="33" t="s">
        <v>43</v>
      </c>
      <c r="D2790" s="33">
        <v>4430265054</v>
      </c>
      <c r="E2790" s="33">
        <v>241</v>
      </c>
      <c r="F2790" s="33">
        <v>181</v>
      </c>
      <c r="G2790" s="33" t="s">
        <v>38</v>
      </c>
      <c r="H2790" s="33" t="s">
        <v>9341</v>
      </c>
      <c r="I2790" s="33" t="s">
        <v>39</v>
      </c>
      <c r="J2790" s="33" t="s">
        <v>40</v>
      </c>
      <c r="K2790" s="33" t="s">
        <v>41</v>
      </c>
    </row>
    <row r="2791" spans="1:12" s="33" customFormat="1" hidden="1" x14ac:dyDescent="0.3">
      <c r="A2791" s="39">
        <v>46084.371874999997</v>
      </c>
      <c r="B2791" s="33">
        <v>4432637197</v>
      </c>
      <c r="C2791" s="33" t="s">
        <v>45</v>
      </c>
      <c r="D2791" s="33">
        <v>4430265054</v>
      </c>
      <c r="E2791" s="33">
        <v>636</v>
      </c>
      <c r="F2791" s="33">
        <v>603</v>
      </c>
      <c r="G2791" s="33" t="s">
        <v>38</v>
      </c>
      <c r="H2791" s="33" t="s">
        <v>9342</v>
      </c>
      <c r="I2791" s="33" t="s">
        <v>39</v>
      </c>
      <c r="J2791" s="33" t="s">
        <v>40</v>
      </c>
      <c r="K2791" s="33" t="s">
        <v>41</v>
      </c>
      <c r="L2791" s="33">
        <v>5</v>
      </c>
    </row>
    <row r="2792" spans="1:12" s="33" customFormat="1" hidden="1" x14ac:dyDescent="0.3">
      <c r="A2792" s="39">
        <v>46084.366018518522</v>
      </c>
      <c r="B2792" s="33">
        <v>12997346335</v>
      </c>
      <c r="C2792" s="33" t="s">
        <v>43</v>
      </c>
      <c r="D2792" s="33">
        <v>4430265054</v>
      </c>
      <c r="E2792" s="33">
        <v>562</v>
      </c>
      <c r="F2792" s="33">
        <v>510</v>
      </c>
      <c r="G2792" s="33" t="s">
        <v>38</v>
      </c>
      <c r="H2792" s="33" t="s">
        <v>9343</v>
      </c>
      <c r="I2792" s="33" t="s">
        <v>39</v>
      </c>
      <c r="J2792" s="33" t="s">
        <v>40</v>
      </c>
      <c r="K2792" s="33" t="s">
        <v>41</v>
      </c>
      <c r="L2792" s="33">
        <v>5</v>
      </c>
    </row>
    <row r="2793" spans="1:12" s="33" customFormat="1" hidden="1" x14ac:dyDescent="0.3">
      <c r="A2793" s="39">
        <v>46084.361886574072</v>
      </c>
      <c r="B2793" s="33">
        <v>44999629349</v>
      </c>
      <c r="C2793" s="33" t="s">
        <v>37</v>
      </c>
      <c r="D2793" s="33">
        <v>4430265054</v>
      </c>
      <c r="E2793" s="33">
        <v>2223</v>
      </c>
      <c r="F2793" s="33">
        <v>2182</v>
      </c>
      <c r="G2793" s="33" t="s">
        <v>38</v>
      </c>
      <c r="H2793" s="33" t="s">
        <v>9344</v>
      </c>
      <c r="I2793" s="33" t="s">
        <v>39</v>
      </c>
      <c r="J2793" s="33" t="s">
        <v>40</v>
      </c>
      <c r="K2793" s="33" t="s">
        <v>41</v>
      </c>
    </row>
    <row r="2794" spans="1:12" s="33" customFormat="1" hidden="1" x14ac:dyDescent="0.3">
      <c r="A2794" s="39">
        <v>46084.360636574071</v>
      </c>
      <c r="B2794" s="33">
        <v>4436351835</v>
      </c>
      <c r="C2794" s="33" t="s">
        <v>42</v>
      </c>
      <c r="D2794" s="33">
        <v>4430265054</v>
      </c>
      <c r="E2794" s="33">
        <v>1002</v>
      </c>
      <c r="F2794" s="33">
        <v>940</v>
      </c>
      <c r="G2794" s="33" t="s">
        <v>38</v>
      </c>
      <c r="H2794" s="33" t="s">
        <v>9345</v>
      </c>
      <c r="I2794" s="33" t="s">
        <v>39</v>
      </c>
      <c r="J2794" s="33" t="s">
        <v>40</v>
      </c>
      <c r="K2794" s="33" t="s">
        <v>41</v>
      </c>
    </row>
    <row r="2795" spans="1:12" s="33" customFormat="1" hidden="1" x14ac:dyDescent="0.3">
      <c r="A2795" s="39">
        <v>46084.359560185185</v>
      </c>
      <c r="B2795" s="33">
        <v>44991484476</v>
      </c>
      <c r="C2795" s="33" t="s">
        <v>44</v>
      </c>
      <c r="D2795" s="33">
        <v>4430265054</v>
      </c>
      <c r="E2795" s="33">
        <v>2302</v>
      </c>
      <c r="F2795" s="33">
        <v>2170</v>
      </c>
      <c r="G2795" s="33" t="s">
        <v>38</v>
      </c>
      <c r="H2795" s="33" t="s">
        <v>9346</v>
      </c>
      <c r="I2795" s="33" t="s">
        <v>39</v>
      </c>
      <c r="J2795" s="33" t="s">
        <v>40</v>
      </c>
      <c r="K2795" s="33" t="s">
        <v>41</v>
      </c>
    </row>
    <row r="2796" spans="1:12" s="33" customFormat="1" hidden="1" x14ac:dyDescent="0.3">
      <c r="A2796" s="39">
        <v>46084.357638888891</v>
      </c>
      <c r="B2796" s="33" t="s">
        <v>44</v>
      </c>
      <c r="C2796" s="33">
        <v>11953265422</v>
      </c>
      <c r="E2796" s="33">
        <v>175</v>
      </c>
      <c r="F2796" s="33">
        <v>170</v>
      </c>
      <c r="G2796" s="33" t="s">
        <v>38</v>
      </c>
      <c r="H2796" s="33" t="s">
        <v>9347</v>
      </c>
      <c r="I2796" s="33" t="s">
        <v>46</v>
      </c>
      <c r="J2796" s="33" t="s">
        <v>40</v>
      </c>
    </row>
    <row r="2797" spans="1:12" s="33" customFormat="1" hidden="1" x14ac:dyDescent="0.3">
      <c r="A2797" s="39">
        <v>46084.354768518519</v>
      </c>
      <c r="B2797" s="33">
        <v>44997134514</v>
      </c>
      <c r="C2797" s="33" t="s">
        <v>45</v>
      </c>
      <c r="D2797" s="33">
        <v>4430265054</v>
      </c>
      <c r="E2797" s="33">
        <v>601</v>
      </c>
      <c r="F2797" s="33">
        <v>572</v>
      </c>
      <c r="G2797" s="33" t="s">
        <v>38</v>
      </c>
      <c r="H2797" s="33" t="s">
        <v>9348</v>
      </c>
      <c r="I2797" s="33" t="s">
        <v>39</v>
      </c>
      <c r="J2797" s="33" t="s">
        <v>40</v>
      </c>
      <c r="K2797" s="33" t="s">
        <v>41</v>
      </c>
    </row>
    <row r="2798" spans="1:12" s="33" customFormat="1" hidden="1" x14ac:dyDescent="0.3">
      <c r="A2798" s="39">
        <v>46084.350995370369</v>
      </c>
      <c r="B2798" s="33">
        <v>4330332823</v>
      </c>
      <c r="C2798" s="33">
        <v>4430265054</v>
      </c>
      <c r="D2798" s="33">
        <v>4430265054</v>
      </c>
      <c r="E2798" s="33">
        <v>29</v>
      </c>
      <c r="F2798" s="33">
        <v>28</v>
      </c>
      <c r="G2798" s="33" t="s">
        <v>3449</v>
      </c>
      <c r="H2798" s="33" t="s">
        <v>9349</v>
      </c>
      <c r="I2798" s="33" t="s">
        <v>39</v>
      </c>
      <c r="J2798" s="33" t="s">
        <v>3451</v>
      </c>
    </row>
    <row r="2799" spans="1:12" s="33" customFormat="1" hidden="1" x14ac:dyDescent="0.3">
      <c r="A2799" s="39">
        <v>46084.350300925929</v>
      </c>
      <c r="B2799" s="33">
        <v>44997134514</v>
      </c>
      <c r="C2799" s="33">
        <v>4430265054</v>
      </c>
      <c r="D2799" s="33">
        <v>4430265054</v>
      </c>
      <c r="E2799" s="33">
        <v>28</v>
      </c>
      <c r="F2799" s="33">
        <v>28</v>
      </c>
      <c r="G2799" s="33" t="s">
        <v>3449</v>
      </c>
      <c r="H2799" s="33" t="s">
        <v>9350</v>
      </c>
      <c r="I2799" s="33" t="s">
        <v>39</v>
      </c>
      <c r="J2799" s="33" t="s">
        <v>3451</v>
      </c>
    </row>
    <row r="2800" spans="1:12" s="33" customFormat="1" hidden="1" x14ac:dyDescent="0.3">
      <c r="A2800" s="39">
        <v>46084.348067129627</v>
      </c>
      <c r="B2800" s="33" t="s">
        <v>44</v>
      </c>
      <c r="C2800" s="33">
        <v>11953265422</v>
      </c>
      <c r="E2800" s="33">
        <v>203</v>
      </c>
      <c r="F2800" s="33">
        <v>198</v>
      </c>
      <c r="G2800" s="33" t="s">
        <v>38</v>
      </c>
      <c r="H2800" s="33" t="s">
        <v>9351</v>
      </c>
      <c r="I2800" s="33" t="s">
        <v>46</v>
      </c>
      <c r="J2800" s="33" t="s">
        <v>40</v>
      </c>
    </row>
    <row r="2801" spans="1:12" s="33" customFormat="1" hidden="1" x14ac:dyDescent="0.3">
      <c r="A2801" s="39">
        <v>46084.344571759262</v>
      </c>
      <c r="B2801" s="33" t="s">
        <v>43</v>
      </c>
      <c r="C2801" s="33">
        <v>44991213399</v>
      </c>
      <c r="E2801" s="33">
        <v>8</v>
      </c>
      <c r="F2801" s="33">
        <v>0</v>
      </c>
      <c r="G2801" s="33" t="s">
        <v>47</v>
      </c>
      <c r="H2801" s="33" t="s">
        <v>9352</v>
      </c>
      <c r="I2801" s="33" t="s">
        <v>46</v>
      </c>
      <c r="J2801" s="33" t="s">
        <v>40</v>
      </c>
    </row>
    <row r="2802" spans="1:12" s="33" customFormat="1" hidden="1" x14ac:dyDescent="0.3">
      <c r="A2802" s="39">
        <v>46084.344513888886</v>
      </c>
      <c r="B2802" s="33" t="s">
        <v>43</v>
      </c>
      <c r="C2802" s="33">
        <v>44991213399</v>
      </c>
      <c r="E2802" s="33">
        <v>2</v>
      </c>
      <c r="F2802" s="33">
        <v>0</v>
      </c>
      <c r="G2802" s="33" t="s">
        <v>47</v>
      </c>
      <c r="H2802" s="33" t="s">
        <v>9353</v>
      </c>
      <c r="I2802" s="33" t="s">
        <v>46</v>
      </c>
      <c r="J2802" s="33" t="s">
        <v>40</v>
      </c>
    </row>
    <row r="2803" spans="1:12" s="33" customFormat="1" hidden="1" x14ac:dyDescent="0.3">
      <c r="A2803" s="39">
        <v>46084.34412037037</v>
      </c>
      <c r="B2803" s="33" t="s">
        <v>48</v>
      </c>
      <c r="C2803" s="33">
        <v>4432677399</v>
      </c>
      <c r="E2803" s="33">
        <v>1088</v>
      </c>
      <c r="F2803" s="33">
        <v>1078</v>
      </c>
      <c r="G2803" s="33" t="s">
        <v>38</v>
      </c>
      <c r="H2803" s="33" t="s">
        <v>9354</v>
      </c>
      <c r="I2803" s="33" t="s">
        <v>46</v>
      </c>
      <c r="J2803" s="33" t="s">
        <v>40</v>
      </c>
    </row>
    <row r="2804" spans="1:12" s="33" customFormat="1" hidden="1" x14ac:dyDescent="0.3">
      <c r="A2804" s="39">
        <v>46084.34171296296</v>
      </c>
      <c r="B2804" s="33" t="s">
        <v>44</v>
      </c>
      <c r="C2804" s="33">
        <v>4430162384</v>
      </c>
      <c r="E2804" s="33">
        <v>517</v>
      </c>
      <c r="F2804" s="33">
        <v>502</v>
      </c>
      <c r="G2804" s="33" t="s">
        <v>38</v>
      </c>
      <c r="H2804" s="33" t="s">
        <v>9355</v>
      </c>
      <c r="I2804" s="33" t="s">
        <v>46</v>
      </c>
      <c r="J2804" s="33" t="s">
        <v>40</v>
      </c>
    </row>
    <row r="2805" spans="1:12" s="33" customFormat="1" hidden="1" x14ac:dyDescent="0.3">
      <c r="A2805" s="39">
        <v>46083.740717592591</v>
      </c>
      <c r="B2805" s="33">
        <v>67992169496</v>
      </c>
      <c r="C2805" s="33" t="s">
        <v>42</v>
      </c>
      <c r="D2805" s="33">
        <v>4430265054</v>
      </c>
      <c r="E2805" s="33">
        <v>254</v>
      </c>
      <c r="F2805" s="33">
        <v>236</v>
      </c>
      <c r="G2805" s="33" t="s">
        <v>38</v>
      </c>
      <c r="H2805" s="33" t="s">
        <v>9356</v>
      </c>
      <c r="I2805" s="33" t="s">
        <v>39</v>
      </c>
      <c r="J2805" s="33" t="s">
        <v>40</v>
      </c>
      <c r="K2805" s="33" t="s">
        <v>41</v>
      </c>
    </row>
    <row r="2806" spans="1:12" s="33" customFormat="1" hidden="1" x14ac:dyDescent="0.3">
      <c r="A2806" s="39">
        <v>46083.736886574072</v>
      </c>
      <c r="B2806" s="33">
        <v>67992169496</v>
      </c>
      <c r="C2806" s="33" t="s">
        <v>42</v>
      </c>
      <c r="D2806" s="33">
        <v>4430265054</v>
      </c>
      <c r="E2806" s="33">
        <v>240</v>
      </c>
      <c r="F2806" s="33">
        <v>213</v>
      </c>
      <c r="G2806" s="33" t="s">
        <v>38</v>
      </c>
      <c r="H2806" s="33" t="s">
        <v>9357</v>
      </c>
      <c r="I2806" s="33" t="s">
        <v>39</v>
      </c>
      <c r="J2806" s="33" t="s">
        <v>40</v>
      </c>
      <c r="K2806" s="33" t="s">
        <v>41</v>
      </c>
    </row>
    <row r="2807" spans="1:12" s="33" customFormat="1" hidden="1" x14ac:dyDescent="0.3">
      <c r="A2807" s="39">
        <v>46083.731307870374</v>
      </c>
      <c r="B2807" s="33">
        <v>73982188717</v>
      </c>
      <c r="C2807" s="33" t="s">
        <v>45</v>
      </c>
      <c r="D2807" s="33">
        <v>4430265054</v>
      </c>
      <c r="E2807" s="33">
        <v>412</v>
      </c>
      <c r="F2807" s="33">
        <v>360</v>
      </c>
      <c r="G2807" s="33" t="s">
        <v>38</v>
      </c>
      <c r="H2807" s="33" t="s">
        <v>9358</v>
      </c>
      <c r="I2807" s="33" t="s">
        <v>39</v>
      </c>
      <c r="J2807" s="33" t="s">
        <v>40</v>
      </c>
      <c r="K2807" s="33" t="s">
        <v>41</v>
      </c>
    </row>
    <row r="2808" spans="1:12" s="33" customFormat="1" hidden="1" x14ac:dyDescent="0.3">
      <c r="A2808" s="39">
        <v>46083.728171296294</v>
      </c>
      <c r="B2808" s="33">
        <v>45999211357</v>
      </c>
      <c r="C2808" s="33" t="s">
        <v>37</v>
      </c>
      <c r="D2808" s="33">
        <v>4431268225</v>
      </c>
      <c r="E2808" s="33">
        <v>603</v>
      </c>
      <c r="F2808" s="33">
        <v>579</v>
      </c>
      <c r="G2808" s="33" t="s">
        <v>38</v>
      </c>
      <c r="H2808" s="33" t="s">
        <v>9359</v>
      </c>
      <c r="I2808" s="33" t="s">
        <v>39</v>
      </c>
      <c r="J2808" s="33" t="s">
        <v>40</v>
      </c>
      <c r="K2808" s="33" t="s">
        <v>41</v>
      </c>
      <c r="L2808" s="33">
        <v>5</v>
      </c>
    </row>
    <row r="2809" spans="1:12" s="33" customFormat="1" hidden="1" x14ac:dyDescent="0.3">
      <c r="A2809" s="39">
        <v>46083.723356481481</v>
      </c>
      <c r="B2809" s="33" t="s">
        <v>37</v>
      </c>
      <c r="C2809" s="33">
        <v>45999211357</v>
      </c>
      <c r="E2809" s="33">
        <v>381</v>
      </c>
      <c r="F2809" s="33">
        <v>372</v>
      </c>
      <c r="G2809" s="33" t="s">
        <v>38</v>
      </c>
      <c r="H2809" s="33" t="s">
        <v>9360</v>
      </c>
      <c r="I2809" s="33" t="s">
        <v>46</v>
      </c>
      <c r="J2809" s="33" t="s">
        <v>40</v>
      </c>
    </row>
    <row r="2810" spans="1:12" s="33" customFormat="1" hidden="1" x14ac:dyDescent="0.3">
      <c r="A2810" s="39">
        <v>46083.723090277781</v>
      </c>
      <c r="B2810" s="33">
        <v>4434221675</v>
      </c>
      <c r="C2810" s="33" t="s">
        <v>45</v>
      </c>
      <c r="D2810" s="33">
        <v>4430265054</v>
      </c>
      <c r="E2810" s="33">
        <v>413</v>
      </c>
      <c r="F2810" s="33">
        <v>354</v>
      </c>
      <c r="G2810" s="33" t="s">
        <v>38</v>
      </c>
      <c r="H2810" s="33" t="s">
        <v>9361</v>
      </c>
      <c r="I2810" s="33" t="s">
        <v>39</v>
      </c>
      <c r="J2810" s="33" t="s">
        <v>40</v>
      </c>
      <c r="K2810" s="33" t="s">
        <v>41</v>
      </c>
    </row>
    <row r="2811" spans="1:12" s="33" customFormat="1" hidden="1" x14ac:dyDescent="0.3">
      <c r="A2811" s="39">
        <v>46083.722557870373</v>
      </c>
      <c r="B2811" s="33" t="s">
        <v>37</v>
      </c>
      <c r="C2811" s="33">
        <v>45999211357</v>
      </c>
      <c r="E2811" s="33">
        <v>2</v>
      </c>
      <c r="F2811" s="33">
        <v>0</v>
      </c>
      <c r="G2811" s="33" t="s">
        <v>47</v>
      </c>
      <c r="H2811" s="33" t="s">
        <v>9362</v>
      </c>
      <c r="I2811" s="33" t="s">
        <v>46</v>
      </c>
      <c r="J2811" s="33" t="s">
        <v>40</v>
      </c>
    </row>
    <row r="2812" spans="1:12" s="33" customFormat="1" hidden="1" x14ac:dyDescent="0.3">
      <c r="A2812" s="39">
        <v>46083.722372685188</v>
      </c>
      <c r="B2812" s="33" t="s">
        <v>37</v>
      </c>
      <c r="C2812" s="33">
        <v>45999211357</v>
      </c>
      <c r="E2812" s="33">
        <v>8</v>
      </c>
      <c r="F2812" s="33">
        <v>0</v>
      </c>
      <c r="G2812" s="33" t="s">
        <v>47</v>
      </c>
      <c r="H2812" s="33" t="s">
        <v>9363</v>
      </c>
      <c r="I2812" s="33" t="s">
        <v>46</v>
      </c>
      <c r="J2812" s="33" t="s">
        <v>40</v>
      </c>
    </row>
    <row r="2813" spans="1:12" s="33" customFormat="1" hidden="1" x14ac:dyDescent="0.3">
      <c r="A2813" s="39">
        <v>46083.722187500003</v>
      </c>
      <c r="B2813" s="33" t="s">
        <v>37</v>
      </c>
      <c r="C2813" s="33">
        <v>45999211357</v>
      </c>
      <c r="E2813" s="33">
        <v>8</v>
      </c>
      <c r="F2813" s="33">
        <v>0</v>
      </c>
      <c r="G2813" s="33" t="s">
        <v>47</v>
      </c>
      <c r="H2813" s="33" t="s">
        <v>9364</v>
      </c>
      <c r="I2813" s="33" t="s">
        <v>46</v>
      </c>
      <c r="J2813" s="33" t="s">
        <v>40</v>
      </c>
    </row>
    <row r="2814" spans="1:12" s="33" customFormat="1" hidden="1" x14ac:dyDescent="0.3">
      <c r="A2814" s="39">
        <v>46083.721261574072</v>
      </c>
      <c r="B2814" s="33" t="s">
        <v>3627</v>
      </c>
      <c r="C2814" s="33">
        <v>17992241546</v>
      </c>
      <c r="E2814" s="33">
        <v>0</v>
      </c>
      <c r="F2814" s="33">
        <v>0</v>
      </c>
      <c r="G2814" s="33" t="s">
        <v>47</v>
      </c>
      <c r="H2814" s="33" t="s">
        <v>9365</v>
      </c>
      <c r="I2814" s="33" t="s">
        <v>46</v>
      </c>
      <c r="J2814" s="33" t="s">
        <v>3629</v>
      </c>
    </row>
    <row r="2815" spans="1:12" s="33" customFormat="1" hidden="1" x14ac:dyDescent="0.3">
      <c r="A2815" s="39">
        <v>46083.721087962964</v>
      </c>
      <c r="B2815" s="33" t="s">
        <v>3627</v>
      </c>
      <c r="C2815" s="33">
        <v>17992241546</v>
      </c>
      <c r="E2815" s="33">
        <v>0</v>
      </c>
      <c r="F2815" s="33">
        <v>0</v>
      </c>
      <c r="G2815" s="33" t="s">
        <v>47</v>
      </c>
      <c r="H2815" s="33" t="s">
        <v>9366</v>
      </c>
      <c r="I2815" s="33" t="s">
        <v>46</v>
      </c>
      <c r="J2815" s="33" t="s">
        <v>3629</v>
      </c>
    </row>
    <row r="2816" spans="1:12" s="33" customFormat="1" hidden="1" x14ac:dyDescent="0.3">
      <c r="A2816" s="39">
        <v>46083.720729166664</v>
      </c>
      <c r="B2816" s="33" t="s">
        <v>3627</v>
      </c>
      <c r="C2816" s="33">
        <v>17992241546</v>
      </c>
      <c r="E2816" s="33">
        <v>27</v>
      </c>
      <c r="F2816" s="33">
        <v>0</v>
      </c>
      <c r="G2816" s="33" t="s">
        <v>47</v>
      </c>
      <c r="H2816" s="33" t="s">
        <v>9367</v>
      </c>
      <c r="I2816" s="33" t="s">
        <v>46</v>
      </c>
      <c r="J2816" s="33" t="s">
        <v>3629</v>
      </c>
    </row>
    <row r="2817" spans="1:12" s="33" customFormat="1" hidden="1" x14ac:dyDescent="0.3">
      <c r="A2817" s="39">
        <v>46083.716238425928</v>
      </c>
      <c r="B2817" s="33">
        <v>45999211357</v>
      </c>
      <c r="C2817" s="33" t="s">
        <v>37</v>
      </c>
      <c r="D2817" s="33">
        <v>4431268225</v>
      </c>
      <c r="E2817" s="33">
        <v>471</v>
      </c>
      <c r="F2817" s="33">
        <v>441</v>
      </c>
      <c r="G2817" s="33" t="s">
        <v>38</v>
      </c>
      <c r="H2817" s="33" t="s">
        <v>9368</v>
      </c>
      <c r="I2817" s="33" t="s">
        <v>39</v>
      </c>
      <c r="J2817" s="33" t="s">
        <v>40</v>
      </c>
      <c r="K2817" s="33" t="s">
        <v>41</v>
      </c>
    </row>
    <row r="2818" spans="1:12" s="33" customFormat="1" hidden="1" x14ac:dyDescent="0.3">
      <c r="A2818" s="39">
        <v>46083.715069444443</v>
      </c>
      <c r="B2818" s="33">
        <v>4430141533</v>
      </c>
      <c r="C2818" s="33" t="s">
        <v>43</v>
      </c>
      <c r="D2818" s="33">
        <v>4430265054</v>
      </c>
      <c r="E2818" s="33">
        <v>196</v>
      </c>
      <c r="F2818" s="33">
        <v>78</v>
      </c>
      <c r="G2818" s="33" t="s">
        <v>38</v>
      </c>
      <c r="H2818" s="33" t="s">
        <v>9369</v>
      </c>
      <c r="I2818" s="33" t="s">
        <v>39</v>
      </c>
      <c r="J2818" s="33" t="s">
        <v>40</v>
      </c>
      <c r="K2818" s="33" t="s">
        <v>41</v>
      </c>
    </row>
    <row r="2819" spans="1:12" s="33" customFormat="1" hidden="1" x14ac:dyDescent="0.3">
      <c r="A2819" s="39">
        <v>46083.711006944446</v>
      </c>
      <c r="B2819" s="33" t="s">
        <v>43</v>
      </c>
      <c r="C2819" s="33">
        <v>44991174709</v>
      </c>
      <c r="E2819" s="33">
        <v>65</v>
      </c>
      <c r="F2819" s="33">
        <v>58</v>
      </c>
      <c r="G2819" s="33" t="s">
        <v>38</v>
      </c>
      <c r="H2819" s="33" t="s">
        <v>9370</v>
      </c>
      <c r="I2819" s="33" t="s">
        <v>46</v>
      </c>
      <c r="J2819" s="33" t="s">
        <v>40</v>
      </c>
      <c r="L2819" s="33">
        <v>5</v>
      </c>
    </row>
    <row r="2820" spans="1:12" s="33" customFormat="1" hidden="1" x14ac:dyDescent="0.3">
      <c r="A2820" s="39">
        <v>46083.698865740742</v>
      </c>
      <c r="B2820" s="33" t="s">
        <v>42</v>
      </c>
      <c r="C2820" s="33">
        <v>4439001698</v>
      </c>
      <c r="E2820" s="33">
        <v>3</v>
      </c>
      <c r="F2820" s="33">
        <v>0</v>
      </c>
      <c r="G2820" s="33" t="s">
        <v>47</v>
      </c>
      <c r="H2820" s="33" t="s">
        <v>9371</v>
      </c>
      <c r="I2820" s="33" t="s">
        <v>46</v>
      </c>
      <c r="J2820" s="33" t="s">
        <v>40</v>
      </c>
    </row>
    <row r="2821" spans="1:12" s="33" customFormat="1" hidden="1" x14ac:dyDescent="0.3">
      <c r="A2821" s="39">
        <v>46083.698576388888</v>
      </c>
      <c r="B2821" s="33" t="s">
        <v>42</v>
      </c>
      <c r="C2821" s="33">
        <v>4439001698</v>
      </c>
      <c r="E2821" s="33">
        <v>6</v>
      </c>
      <c r="F2821" s="33">
        <v>0</v>
      </c>
      <c r="G2821" s="33" t="s">
        <v>47</v>
      </c>
      <c r="H2821" s="33" t="s">
        <v>9372</v>
      </c>
      <c r="I2821" s="33" t="s">
        <v>46</v>
      </c>
      <c r="J2821" s="33" t="s">
        <v>40</v>
      </c>
    </row>
    <row r="2822" spans="1:12" s="33" customFormat="1" hidden="1" x14ac:dyDescent="0.3">
      <c r="A2822" s="39">
        <v>46083.696446759262</v>
      </c>
      <c r="B2822" s="33">
        <v>47999760576</v>
      </c>
      <c r="C2822" s="33" t="s">
        <v>48</v>
      </c>
      <c r="D2822" s="33">
        <v>4430265054</v>
      </c>
      <c r="E2822" s="33">
        <v>459</v>
      </c>
      <c r="F2822" s="33">
        <v>459</v>
      </c>
      <c r="G2822" s="33" t="s">
        <v>38</v>
      </c>
      <c r="H2822" s="33" t="s">
        <v>9373</v>
      </c>
      <c r="I2822" s="33" t="s">
        <v>39</v>
      </c>
      <c r="J2822" s="33" t="s">
        <v>40</v>
      </c>
      <c r="K2822" s="33" t="s">
        <v>41</v>
      </c>
    </row>
    <row r="2823" spans="1:12" s="33" customFormat="1" hidden="1" x14ac:dyDescent="0.3">
      <c r="A2823" s="39">
        <v>46083.694571759261</v>
      </c>
      <c r="B2823" s="33">
        <v>47999760576</v>
      </c>
      <c r="C2823" s="33" t="s">
        <v>48</v>
      </c>
      <c r="D2823" s="33">
        <v>4430265054</v>
      </c>
      <c r="E2823" s="33">
        <v>152</v>
      </c>
      <c r="F2823" s="33">
        <v>151</v>
      </c>
      <c r="G2823" s="33" t="s">
        <v>38</v>
      </c>
      <c r="H2823" s="33" t="s">
        <v>9374</v>
      </c>
      <c r="I2823" s="33" t="s">
        <v>39</v>
      </c>
      <c r="J2823" s="33" t="s">
        <v>40</v>
      </c>
      <c r="K2823" s="33" t="s">
        <v>41</v>
      </c>
    </row>
    <row r="2824" spans="1:12" s="33" customFormat="1" hidden="1" x14ac:dyDescent="0.3">
      <c r="A2824" s="39">
        <v>46083.691168981481</v>
      </c>
      <c r="B2824" s="33" t="s">
        <v>42</v>
      </c>
      <c r="C2824" s="33">
        <v>4439001698</v>
      </c>
      <c r="E2824" s="33">
        <v>7</v>
      </c>
      <c r="F2824" s="33">
        <v>0</v>
      </c>
      <c r="G2824" s="33" t="s">
        <v>47</v>
      </c>
      <c r="H2824" s="33" t="s">
        <v>9375</v>
      </c>
      <c r="I2824" s="33" t="s">
        <v>46</v>
      </c>
      <c r="J2824" s="33" t="s">
        <v>40</v>
      </c>
    </row>
    <row r="2825" spans="1:12" s="33" customFormat="1" hidden="1" x14ac:dyDescent="0.3">
      <c r="A2825" s="39">
        <v>46083.691111111111</v>
      </c>
      <c r="B2825" s="33" t="s">
        <v>42</v>
      </c>
      <c r="C2825" s="33">
        <v>4439001698</v>
      </c>
      <c r="E2825" s="33">
        <v>3</v>
      </c>
      <c r="F2825" s="33">
        <v>0</v>
      </c>
      <c r="G2825" s="33" t="s">
        <v>47</v>
      </c>
      <c r="H2825" s="33" t="s">
        <v>9376</v>
      </c>
      <c r="I2825" s="33" t="s">
        <v>46</v>
      </c>
      <c r="J2825" s="33" t="s">
        <v>40</v>
      </c>
    </row>
    <row r="2826" spans="1:12" s="33" customFormat="1" hidden="1" x14ac:dyDescent="0.3">
      <c r="A2826" s="39">
        <v>46083.691018518519</v>
      </c>
      <c r="B2826" s="33" t="s">
        <v>42</v>
      </c>
      <c r="C2826" s="33">
        <v>4439001698</v>
      </c>
      <c r="E2826" s="33">
        <v>5</v>
      </c>
      <c r="F2826" s="33">
        <v>0</v>
      </c>
      <c r="G2826" s="33" t="s">
        <v>47</v>
      </c>
      <c r="H2826" s="33" t="s">
        <v>9377</v>
      </c>
      <c r="I2826" s="33" t="s">
        <v>46</v>
      </c>
      <c r="J2826" s="33" t="s">
        <v>40</v>
      </c>
    </row>
    <row r="2827" spans="1:12" s="33" customFormat="1" hidden="1" x14ac:dyDescent="0.3">
      <c r="A2827" s="39">
        <v>46083.690243055556</v>
      </c>
      <c r="B2827" s="33">
        <v>4430315826</v>
      </c>
      <c r="C2827" s="33" t="s">
        <v>37</v>
      </c>
      <c r="D2827" s="33">
        <v>4430265054</v>
      </c>
      <c r="E2827" s="33">
        <v>588</v>
      </c>
      <c r="F2827" s="33">
        <v>494</v>
      </c>
      <c r="G2827" s="33" t="s">
        <v>38</v>
      </c>
      <c r="H2827" s="33" t="s">
        <v>9378</v>
      </c>
      <c r="I2827" s="33" t="s">
        <v>39</v>
      </c>
      <c r="J2827" s="33" t="s">
        <v>40</v>
      </c>
      <c r="K2827" s="33" t="s">
        <v>41</v>
      </c>
    </row>
    <row r="2828" spans="1:12" s="33" customFormat="1" hidden="1" x14ac:dyDescent="0.3">
      <c r="A2828" s="39">
        <v>46083.684756944444</v>
      </c>
      <c r="B2828" s="33" t="s">
        <v>43</v>
      </c>
      <c r="C2828" s="33">
        <v>11998030658</v>
      </c>
      <c r="E2828" s="33">
        <v>1146</v>
      </c>
      <c r="F2828" s="33">
        <v>1141</v>
      </c>
      <c r="G2828" s="33" t="s">
        <v>38</v>
      </c>
      <c r="H2828" s="33" t="s">
        <v>9379</v>
      </c>
      <c r="I2828" s="33" t="s">
        <v>46</v>
      </c>
      <c r="J2828" s="33" t="s">
        <v>40</v>
      </c>
    </row>
    <row r="2829" spans="1:12" s="33" customFormat="1" hidden="1" x14ac:dyDescent="0.3">
      <c r="A2829" s="39">
        <v>46083.683738425927</v>
      </c>
      <c r="B2829" s="33">
        <v>11998030658</v>
      </c>
      <c r="C2829" s="33" t="s">
        <v>43</v>
      </c>
      <c r="D2829" s="33">
        <v>4430265054</v>
      </c>
      <c r="E2829" s="33">
        <v>89</v>
      </c>
      <c r="F2829" s="33">
        <v>52</v>
      </c>
      <c r="G2829" s="33" t="s">
        <v>38</v>
      </c>
      <c r="H2829" s="33" t="s">
        <v>9380</v>
      </c>
      <c r="I2829" s="33" t="s">
        <v>39</v>
      </c>
      <c r="J2829" s="33" t="s">
        <v>40</v>
      </c>
      <c r="K2829" s="33" t="s">
        <v>41</v>
      </c>
    </row>
    <row r="2830" spans="1:12" s="33" customFormat="1" hidden="1" x14ac:dyDescent="0.3">
      <c r="A2830" s="39">
        <v>46083.682847222219</v>
      </c>
      <c r="B2830" s="33">
        <v>4439001698</v>
      </c>
      <c r="C2830" s="33" t="s">
        <v>42</v>
      </c>
      <c r="D2830" s="33">
        <v>4430265054</v>
      </c>
      <c r="E2830" s="33">
        <v>425</v>
      </c>
      <c r="F2830" s="33">
        <v>398</v>
      </c>
      <c r="G2830" s="33" t="s">
        <v>38</v>
      </c>
      <c r="H2830" s="33" t="s">
        <v>9381</v>
      </c>
      <c r="I2830" s="33" t="s">
        <v>39</v>
      </c>
      <c r="J2830" s="33" t="s">
        <v>40</v>
      </c>
      <c r="K2830" s="33" t="s">
        <v>41</v>
      </c>
    </row>
    <row r="2831" spans="1:12" s="33" customFormat="1" hidden="1" x14ac:dyDescent="0.3">
      <c r="A2831" s="39">
        <v>46083.678368055553</v>
      </c>
      <c r="B2831" s="33" t="s">
        <v>5173</v>
      </c>
      <c r="C2831" s="33">
        <v>44999723261</v>
      </c>
      <c r="E2831" s="33">
        <v>9</v>
      </c>
      <c r="F2831" s="33">
        <v>0</v>
      </c>
      <c r="G2831" s="33" t="s">
        <v>47</v>
      </c>
      <c r="H2831" s="33" t="s">
        <v>9382</v>
      </c>
      <c r="I2831" s="33" t="s">
        <v>46</v>
      </c>
      <c r="J2831" s="33" t="s">
        <v>3629</v>
      </c>
    </row>
    <row r="2832" spans="1:12" s="33" customFormat="1" hidden="1" x14ac:dyDescent="0.3">
      <c r="A2832" s="39">
        <v>46083.678148148145</v>
      </c>
      <c r="B2832" s="33">
        <v>4436311970</v>
      </c>
      <c r="C2832" s="33" t="s">
        <v>44</v>
      </c>
      <c r="D2832" s="33">
        <v>4430265054</v>
      </c>
      <c r="E2832" s="33">
        <v>515</v>
      </c>
      <c r="F2832" s="33">
        <v>394</v>
      </c>
      <c r="G2832" s="33" t="s">
        <v>38</v>
      </c>
      <c r="H2832" s="33" t="s">
        <v>9383</v>
      </c>
      <c r="I2832" s="33" t="s">
        <v>39</v>
      </c>
      <c r="J2832" s="33" t="s">
        <v>40</v>
      </c>
      <c r="K2832" s="33" t="s">
        <v>41</v>
      </c>
    </row>
    <row r="2833" spans="1:12" s="33" customFormat="1" hidden="1" x14ac:dyDescent="0.3">
      <c r="A2833" s="39">
        <v>46083.676493055558</v>
      </c>
      <c r="B2833" s="33" t="s">
        <v>5173</v>
      </c>
      <c r="C2833" s="33">
        <v>4432233159</v>
      </c>
      <c r="E2833" s="33">
        <v>0</v>
      </c>
      <c r="F2833" s="33">
        <v>0</v>
      </c>
      <c r="G2833" s="33" t="s">
        <v>47</v>
      </c>
      <c r="H2833" s="33" t="s">
        <v>9384</v>
      </c>
      <c r="I2833" s="33" t="s">
        <v>46</v>
      </c>
      <c r="J2833" s="33" t="s">
        <v>3629</v>
      </c>
    </row>
    <row r="2834" spans="1:12" s="33" customFormat="1" hidden="1" x14ac:dyDescent="0.3">
      <c r="A2834" s="39">
        <v>46083.676377314812</v>
      </c>
      <c r="B2834" s="33" t="s">
        <v>5173</v>
      </c>
      <c r="C2834" s="33">
        <v>4432285343</v>
      </c>
      <c r="E2834" s="33">
        <v>0</v>
      </c>
      <c r="F2834" s="33">
        <v>0</v>
      </c>
      <c r="G2834" s="33" t="s">
        <v>47</v>
      </c>
      <c r="H2834" s="33" t="s">
        <v>9385</v>
      </c>
      <c r="I2834" s="33" t="s">
        <v>46</v>
      </c>
      <c r="J2834" s="33" t="s">
        <v>3629</v>
      </c>
    </row>
    <row r="2835" spans="1:12" s="33" customFormat="1" hidden="1" x14ac:dyDescent="0.3">
      <c r="A2835" s="39">
        <v>46083.676006944443</v>
      </c>
      <c r="B2835" s="33" t="s">
        <v>5173</v>
      </c>
      <c r="C2835" s="33">
        <v>44999723261</v>
      </c>
      <c r="E2835" s="33">
        <v>10</v>
      </c>
      <c r="F2835" s="33">
        <v>0</v>
      </c>
      <c r="G2835" s="33" t="s">
        <v>47</v>
      </c>
      <c r="H2835" s="33" t="s">
        <v>9386</v>
      </c>
      <c r="I2835" s="33" t="s">
        <v>46</v>
      </c>
      <c r="J2835" s="33" t="s">
        <v>3629</v>
      </c>
    </row>
    <row r="2836" spans="1:12" s="33" customFormat="1" hidden="1" x14ac:dyDescent="0.3">
      <c r="A2836" s="39">
        <v>46083.673136574071</v>
      </c>
      <c r="B2836" s="33">
        <v>4432325260</v>
      </c>
      <c r="C2836" s="33" t="s">
        <v>45</v>
      </c>
      <c r="D2836" s="33">
        <v>4430265054</v>
      </c>
      <c r="E2836" s="33">
        <v>609</v>
      </c>
      <c r="F2836" s="33">
        <v>490</v>
      </c>
      <c r="G2836" s="33" t="s">
        <v>38</v>
      </c>
      <c r="H2836" s="33" t="s">
        <v>9387</v>
      </c>
      <c r="I2836" s="33" t="s">
        <v>39</v>
      </c>
      <c r="J2836" s="33" t="s">
        <v>40</v>
      </c>
      <c r="K2836" s="33" t="s">
        <v>41</v>
      </c>
    </row>
    <row r="2837" spans="1:12" s="33" customFormat="1" hidden="1" x14ac:dyDescent="0.3">
      <c r="A2837" s="39">
        <v>46083.670081018521</v>
      </c>
      <c r="B2837" s="33">
        <v>44999827582</v>
      </c>
      <c r="C2837" s="33" t="s">
        <v>42</v>
      </c>
      <c r="D2837" s="33">
        <v>4430265054</v>
      </c>
      <c r="E2837" s="33">
        <v>496</v>
      </c>
      <c r="F2837" s="33">
        <v>434</v>
      </c>
      <c r="G2837" s="33" t="s">
        <v>38</v>
      </c>
      <c r="H2837" s="33" t="s">
        <v>9388</v>
      </c>
      <c r="I2837" s="33" t="s">
        <v>39</v>
      </c>
      <c r="J2837" s="33" t="s">
        <v>40</v>
      </c>
      <c r="K2837" s="33" t="s">
        <v>41</v>
      </c>
    </row>
    <row r="2838" spans="1:12" s="33" customFormat="1" hidden="1" x14ac:dyDescent="0.3">
      <c r="A2838" s="39">
        <v>46083.667291666665</v>
      </c>
      <c r="B2838" s="33">
        <v>44999647912</v>
      </c>
      <c r="C2838" s="33">
        <v>4430265054</v>
      </c>
      <c r="D2838" s="33">
        <v>4430265054</v>
      </c>
      <c r="E2838" s="33">
        <v>40</v>
      </c>
      <c r="F2838" s="33">
        <v>39</v>
      </c>
      <c r="G2838" s="33" t="s">
        <v>3449</v>
      </c>
      <c r="H2838" s="33" t="s">
        <v>9389</v>
      </c>
      <c r="I2838" s="33" t="s">
        <v>39</v>
      </c>
      <c r="J2838" s="33" t="s">
        <v>3451</v>
      </c>
      <c r="K2838" s="33" t="s">
        <v>41</v>
      </c>
    </row>
    <row r="2839" spans="1:12" s="33" customFormat="1" hidden="1" x14ac:dyDescent="0.3">
      <c r="A2839" s="39">
        <v>46083.663032407407</v>
      </c>
      <c r="B2839" s="33">
        <v>4430289556</v>
      </c>
      <c r="C2839" s="33" t="s">
        <v>44</v>
      </c>
      <c r="D2839" s="33">
        <v>4430265054</v>
      </c>
      <c r="E2839" s="33">
        <v>838</v>
      </c>
      <c r="F2839" s="33">
        <v>716</v>
      </c>
      <c r="G2839" s="33" t="s">
        <v>38</v>
      </c>
      <c r="H2839" s="33" t="s">
        <v>9390</v>
      </c>
      <c r="I2839" s="33" t="s">
        <v>39</v>
      </c>
      <c r="J2839" s="33" t="s">
        <v>40</v>
      </c>
      <c r="K2839" s="33" t="s">
        <v>41</v>
      </c>
    </row>
    <row r="2840" spans="1:12" s="33" customFormat="1" hidden="1" x14ac:dyDescent="0.3">
      <c r="A2840" s="39">
        <v>46083.661377314813</v>
      </c>
      <c r="B2840" s="33">
        <v>44991566223</v>
      </c>
      <c r="C2840" s="33" t="s">
        <v>37</v>
      </c>
      <c r="D2840" s="33">
        <v>4430265054</v>
      </c>
      <c r="E2840" s="33">
        <v>274</v>
      </c>
      <c r="F2840" s="33">
        <v>103</v>
      </c>
      <c r="G2840" s="33" t="s">
        <v>38</v>
      </c>
      <c r="H2840" s="33" t="s">
        <v>9391</v>
      </c>
      <c r="I2840" s="33" t="s">
        <v>39</v>
      </c>
      <c r="J2840" s="33" t="s">
        <v>40</v>
      </c>
      <c r="K2840" s="33" t="s">
        <v>41</v>
      </c>
    </row>
    <row r="2841" spans="1:12" s="33" customFormat="1" hidden="1" x14ac:dyDescent="0.3">
      <c r="A2841" s="39">
        <v>46083.653784722221</v>
      </c>
      <c r="B2841" s="33">
        <v>11953265422</v>
      </c>
      <c r="C2841" s="33" t="s">
        <v>44</v>
      </c>
      <c r="D2841" s="33">
        <v>4430265054</v>
      </c>
      <c r="E2841" s="33">
        <v>351</v>
      </c>
      <c r="F2841" s="33">
        <v>257</v>
      </c>
      <c r="G2841" s="33" t="s">
        <v>38</v>
      </c>
      <c r="H2841" s="33" t="s">
        <v>9392</v>
      </c>
      <c r="I2841" s="33" t="s">
        <v>39</v>
      </c>
      <c r="J2841" s="33" t="s">
        <v>40</v>
      </c>
      <c r="K2841" s="33" t="s">
        <v>41</v>
      </c>
    </row>
    <row r="2842" spans="1:12" s="33" customFormat="1" hidden="1" x14ac:dyDescent="0.3">
      <c r="A2842" s="39">
        <v>46083.652349537035</v>
      </c>
      <c r="B2842" s="33">
        <v>4334234629</v>
      </c>
      <c r="C2842" s="33" t="s">
        <v>43</v>
      </c>
      <c r="D2842" s="33">
        <v>4430265054</v>
      </c>
      <c r="E2842" s="33">
        <v>303</v>
      </c>
      <c r="F2842" s="33">
        <v>172</v>
      </c>
      <c r="G2842" s="33" t="s">
        <v>38</v>
      </c>
      <c r="H2842" s="33" t="s">
        <v>9393</v>
      </c>
      <c r="I2842" s="33" t="s">
        <v>39</v>
      </c>
      <c r="J2842" s="33" t="s">
        <v>40</v>
      </c>
      <c r="K2842" s="33" t="s">
        <v>41</v>
      </c>
    </row>
    <row r="2843" spans="1:12" s="33" customFormat="1" hidden="1" x14ac:dyDescent="0.3">
      <c r="A2843" s="39">
        <v>46083.651354166665</v>
      </c>
      <c r="B2843" s="33">
        <v>4130263118</v>
      </c>
      <c r="C2843" s="33" t="s">
        <v>37</v>
      </c>
      <c r="D2843" s="33">
        <v>4430265054</v>
      </c>
      <c r="E2843" s="33">
        <v>376</v>
      </c>
      <c r="F2843" s="33">
        <v>196</v>
      </c>
      <c r="G2843" s="33" t="s">
        <v>38</v>
      </c>
      <c r="H2843" s="33" t="s">
        <v>9394</v>
      </c>
      <c r="I2843" s="33" t="s">
        <v>39</v>
      </c>
      <c r="J2843" s="33" t="s">
        <v>40</v>
      </c>
      <c r="K2843" s="33" t="s">
        <v>41</v>
      </c>
      <c r="L2843" s="33">
        <v>5</v>
      </c>
    </row>
    <row r="2844" spans="1:12" s="33" customFormat="1" hidden="1" x14ac:dyDescent="0.3">
      <c r="A2844" s="39">
        <v>46083.647546296299</v>
      </c>
      <c r="B2844" s="33">
        <v>4432525112</v>
      </c>
      <c r="C2844" s="33" t="s">
        <v>43</v>
      </c>
      <c r="D2844" s="33">
        <v>4430265054</v>
      </c>
      <c r="E2844" s="33">
        <v>476</v>
      </c>
      <c r="F2844" s="33">
        <v>435</v>
      </c>
      <c r="G2844" s="33" t="s">
        <v>38</v>
      </c>
      <c r="H2844" s="33" t="s">
        <v>9395</v>
      </c>
      <c r="I2844" s="33" t="s">
        <v>39</v>
      </c>
      <c r="J2844" s="33" t="s">
        <v>40</v>
      </c>
      <c r="K2844" s="33" t="s">
        <v>41</v>
      </c>
    </row>
    <row r="2845" spans="1:12" s="33" customFormat="1" hidden="1" x14ac:dyDescent="0.3">
      <c r="A2845" s="39">
        <v>46083.646423611113</v>
      </c>
      <c r="B2845" s="33">
        <v>1144320912</v>
      </c>
      <c r="C2845" s="33" t="s">
        <v>37</v>
      </c>
      <c r="D2845" s="33">
        <v>4430265054</v>
      </c>
      <c r="E2845" s="33">
        <v>388</v>
      </c>
      <c r="F2845" s="33">
        <v>302</v>
      </c>
      <c r="G2845" s="33" t="s">
        <v>38</v>
      </c>
      <c r="H2845" s="33" t="s">
        <v>9396</v>
      </c>
      <c r="I2845" s="33" t="s">
        <v>39</v>
      </c>
      <c r="J2845" s="33" t="s">
        <v>40</v>
      </c>
      <c r="K2845" s="33" t="s">
        <v>41</v>
      </c>
      <c r="L2845" s="33">
        <v>5</v>
      </c>
    </row>
    <row r="2846" spans="1:12" s="33" customFormat="1" hidden="1" x14ac:dyDescent="0.3">
      <c r="A2846" s="39">
        <v>46083.642453703702</v>
      </c>
      <c r="B2846" s="33" t="s">
        <v>51</v>
      </c>
      <c r="C2846" s="33">
        <v>4540639075</v>
      </c>
      <c r="E2846" s="33">
        <v>706</v>
      </c>
      <c r="F2846" s="33">
        <v>703</v>
      </c>
      <c r="G2846" s="33" t="s">
        <v>38</v>
      </c>
      <c r="H2846" s="33" t="s">
        <v>9397</v>
      </c>
      <c r="I2846" s="33" t="s">
        <v>46</v>
      </c>
      <c r="J2846" s="33" t="s">
        <v>3629</v>
      </c>
    </row>
    <row r="2847" spans="1:12" s="33" customFormat="1" hidden="1" x14ac:dyDescent="0.3">
      <c r="A2847" s="39">
        <v>46083.642291666663</v>
      </c>
      <c r="B2847" s="33" t="s">
        <v>51</v>
      </c>
      <c r="C2847" s="33">
        <v>454063907</v>
      </c>
      <c r="E2847" s="33">
        <v>3</v>
      </c>
      <c r="F2847" s="33">
        <v>0</v>
      </c>
      <c r="G2847" s="33" t="s">
        <v>47</v>
      </c>
      <c r="H2847" s="33" t="s">
        <v>9398</v>
      </c>
      <c r="I2847" s="33" t="s">
        <v>46</v>
      </c>
      <c r="J2847" s="33" t="s">
        <v>3629</v>
      </c>
    </row>
    <row r="2848" spans="1:12" s="33" customFormat="1" hidden="1" x14ac:dyDescent="0.3">
      <c r="A2848" s="39">
        <v>46083.641192129631</v>
      </c>
      <c r="B2848" s="33">
        <v>44997687156</v>
      </c>
      <c r="C2848" s="33">
        <v>4430265054</v>
      </c>
      <c r="D2848" s="33">
        <v>4430265054</v>
      </c>
      <c r="E2848" s="33">
        <v>7</v>
      </c>
      <c r="F2848" s="33">
        <v>7</v>
      </c>
      <c r="G2848" s="33" t="s">
        <v>3449</v>
      </c>
      <c r="H2848" s="33" t="s">
        <v>9399</v>
      </c>
      <c r="I2848" s="33" t="s">
        <v>39</v>
      </c>
      <c r="J2848" s="33" t="s">
        <v>3451</v>
      </c>
    </row>
    <row r="2849" spans="1:12" s="33" customFormat="1" hidden="1" x14ac:dyDescent="0.3">
      <c r="A2849" s="39">
        <v>46083.640347222223</v>
      </c>
      <c r="B2849" s="33">
        <v>44997134514</v>
      </c>
      <c r="C2849" s="33" t="s">
        <v>45</v>
      </c>
      <c r="D2849" s="33">
        <v>4430265054</v>
      </c>
      <c r="E2849" s="33">
        <v>2863</v>
      </c>
      <c r="F2849" s="33">
        <v>2802</v>
      </c>
      <c r="G2849" s="33" t="s">
        <v>38</v>
      </c>
      <c r="H2849" s="33" t="s">
        <v>9400</v>
      </c>
      <c r="I2849" s="33" t="s">
        <v>39</v>
      </c>
      <c r="J2849" s="33" t="s">
        <v>40</v>
      </c>
      <c r="K2849" s="33" t="s">
        <v>41</v>
      </c>
    </row>
    <row r="2850" spans="1:12" s="33" customFormat="1" hidden="1" x14ac:dyDescent="0.3">
      <c r="A2850" s="39">
        <v>46083.633958333332</v>
      </c>
      <c r="B2850" s="33">
        <v>44988064675</v>
      </c>
      <c r="C2850" s="33" t="s">
        <v>37</v>
      </c>
      <c r="D2850" s="33">
        <v>4430265054</v>
      </c>
      <c r="E2850" s="33">
        <v>620</v>
      </c>
      <c r="F2850" s="33">
        <v>599</v>
      </c>
      <c r="G2850" s="33" t="s">
        <v>38</v>
      </c>
      <c r="H2850" s="33" t="s">
        <v>9401</v>
      </c>
      <c r="I2850" s="33" t="s">
        <v>39</v>
      </c>
      <c r="J2850" s="33" t="s">
        <v>40</v>
      </c>
      <c r="K2850" s="33" t="s">
        <v>41</v>
      </c>
      <c r="L2850" s="33">
        <v>5</v>
      </c>
    </row>
    <row r="2851" spans="1:12" s="33" customFormat="1" hidden="1" x14ac:dyDescent="0.3">
      <c r="A2851" s="39">
        <v>46083.632291666669</v>
      </c>
      <c r="B2851" s="33">
        <v>2222100098</v>
      </c>
      <c r="C2851" s="33" t="s">
        <v>45</v>
      </c>
      <c r="D2851" s="33">
        <v>4430265054</v>
      </c>
      <c r="E2851" s="33">
        <v>258</v>
      </c>
      <c r="F2851" s="33">
        <v>139</v>
      </c>
      <c r="G2851" s="33" t="s">
        <v>38</v>
      </c>
      <c r="H2851" s="33" t="s">
        <v>9402</v>
      </c>
      <c r="I2851" s="33" t="s">
        <v>39</v>
      </c>
      <c r="J2851" s="33" t="s">
        <v>40</v>
      </c>
      <c r="K2851" s="33" t="s">
        <v>41</v>
      </c>
    </row>
    <row r="2852" spans="1:12" s="33" customFormat="1" hidden="1" x14ac:dyDescent="0.3">
      <c r="A2852" s="39">
        <v>46083.630706018521</v>
      </c>
      <c r="B2852" s="33" t="s">
        <v>45</v>
      </c>
      <c r="C2852" s="33">
        <v>44991344903</v>
      </c>
      <c r="E2852" s="33">
        <v>34</v>
      </c>
      <c r="F2852" s="33">
        <v>29</v>
      </c>
      <c r="G2852" s="33" t="s">
        <v>38</v>
      </c>
      <c r="H2852" s="33" t="s">
        <v>9403</v>
      </c>
      <c r="I2852" s="33" t="s">
        <v>46</v>
      </c>
      <c r="J2852" s="33" t="s">
        <v>40</v>
      </c>
    </row>
    <row r="2853" spans="1:12" s="33" customFormat="1" hidden="1" x14ac:dyDescent="0.3">
      <c r="A2853" s="39">
        <v>46083.621944444443</v>
      </c>
      <c r="B2853" s="33">
        <v>44997235101</v>
      </c>
      <c r="C2853" s="33" t="s">
        <v>44</v>
      </c>
      <c r="D2853" s="33">
        <v>4430265054</v>
      </c>
      <c r="E2853" s="33">
        <v>93</v>
      </c>
      <c r="F2853" s="33">
        <v>41</v>
      </c>
      <c r="G2853" s="33" t="s">
        <v>38</v>
      </c>
      <c r="H2853" s="33" t="s">
        <v>9404</v>
      </c>
      <c r="I2853" s="33" t="s">
        <v>39</v>
      </c>
      <c r="J2853" s="33" t="s">
        <v>40</v>
      </c>
      <c r="K2853" s="33" t="s">
        <v>41</v>
      </c>
    </row>
    <row r="2854" spans="1:12" s="33" customFormat="1" hidden="1" x14ac:dyDescent="0.3">
      <c r="A2854" s="39">
        <v>46083.612627314818</v>
      </c>
      <c r="B2854" s="33">
        <v>44991174709</v>
      </c>
      <c r="C2854" s="33" t="s">
        <v>44</v>
      </c>
      <c r="D2854" s="33">
        <v>4430265054</v>
      </c>
      <c r="E2854" s="33">
        <v>401</v>
      </c>
      <c r="F2854" s="33">
        <v>284</v>
      </c>
      <c r="G2854" s="33" t="s">
        <v>38</v>
      </c>
      <c r="H2854" s="33" t="s">
        <v>9405</v>
      </c>
      <c r="I2854" s="33" t="s">
        <v>39</v>
      </c>
      <c r="J2854" s="33" t="s">
        <v>40</v>
      </c>
      <c r="K2854" s="33" t="s">
        <v>41</v>
      </c>
    </row>
    <row r="2855" spans="1:12" s="33" customFormat="1" hidden="1" x14ac:dyDescent="0.3">
      <c r="A2855" s="39">
        <v>46083.61109953704</v>
      </c>
      <c r="B2855" s="33">
        <v>44997134514</v>
      </c>
      <c r="C2855" s="33" t="s">
        <v>43</v>
      </c>
      <c r="D2855" s="33">
        <v>4430265054</v>
      </c>
      <c r="E2855" s="33">
        <v>335</v>
      </c>
      <c r="F2855" s="33">
        <v>291</v>
      </c>
      <c r="G2855" s="33" t="s">
        <v>38</v>
      </c>
      <c r="H2855" s="33" t="s">
        <v>9406</v>
      </c>
      <c r="I2855" s="33" t="s">
        <v>39</v>
      </c>
      <c r="J2855" s="33" t="s">
        <v>40</v>
      </c>
      <c r="K2855" s="33" t="s">
        <v>41</v>
      </c>
    </row>
    <row r="2856" spans="1:12" s="33" customFormat="1" hidden="1" x14ac:dyDescent="0.3">
      <c r="A2856" s="39">
        <v>46083.610625000001</v>
      </c>
      <c r="B2856" s="33">
        <v>12997611769</v>
      </c>
      <c r="C2856" s="33" t="s">
        <v>45</v>
      </c>
      <c r="D2856" s="33">
        <v>4430265054</v>
      </c>
      <c r="E2856" s="33">
        <v>918</v>
      </c>
      <c r="F2856" s="33">
        <v>806</v>
      </c>
      <c r="G2856" s="33" t="s">
        <v>38</v>
      </c>
      <c r="H2856" s="33" t="s">
        <v>9407</v>
      </c>
      <c r="I2856" s="33" t="s">
        <v>39</v>
      </c>
      <c r="J2856" s="33" t="s">
        <v>40</v>
      </c>
      <c r="K2856" s="33" t="s">
        <v>41</v>
      </c>
      <c r="L2856" s="33">
        <v>5</v>
      </c>
    </row>
    <row r="2857" spans="1:12" s="33" customFormat="1" hidden="1" x14ac:dyDescent="0.3">
      <c r="A2857" s="39">
        <v>46083.605520833335</v>
      </c>
      <c r="B2857" s="33">
        <v>4532840300</v>
      </c>
      <c r="C2857" s="33" t="s">
        <v>37</v>
      </c>
      <c r="D2857" s="33">
        <v>4430265054</v>
      </c>
      <c r="E2857" s="33">
        <v>1059</v>
      </c>
      <c r="F2857" s="33">
        <v>972</v>
      </c>
      <c r="G2857" s="33" t="s">
        <v>38</v>
      </c>
      <c r="H2857" s="33" t="s">
        <v>9408</v>
      </c>
      <c r="I2857" s="33" t="s">
        <v>39</v>
      </c>
      <c r="J2857" s="33" t="s">
        <v>40</v>
      </c>
      <c r="K2857" s="33" t="s">
        <v>41</v>
      </c>
      <c r="L2857" s="33">
        <v>5</v>
      </c>
    </row>
    <row r="2858" spans="1:12" s="33" customFormat="1" hidden="1" x14ac:dyDescent="0.3">
      <c r="A2858" s="39">
        <v>46083.602048611108</v>
      </c>
      <c r="B2858" s="33">
        <v>4132440491</v>
      </c>
      <c r="C2858" s="33" t="s">
        <v>43</v>
      </c>
      <c r="D2858" s="33">
        <v>4430265054</v>
      </c>
      <c r="E2858" s="33">
        <v>433</v>
      </c>
      <c r="F2858" s="33">
        <v>272</v>
      </c>
      <c r="G2858" s="33" t="s">
        <v>38</v>
      </c>
      <c r="H2858" s="33" t="s">
        <v>9409</v>
      </c>
      <c r="I2858" s="33" t="s">
        <v>39</v>
      </c>
      <c r="J2858" s="33" t="s">
        <v>40</v>
      </c>
      <c r="K2858" s="33" t="s">
        <v>41</v>
      </c>
    </row>
    <row r="2859" spans="1:12" s="33" customFormat="1" hidden="1" x14ac:dyDescent="0.3">
      <c r="A2859" s="39">
        <v>46083.599907407406</v>
      </c>
      <c r="B2859" s="33" t="s">
        <v>44</v>
      </c>
      <c r="C2859" s="33">
        <v>4430315538</v>
      </c>
      <c r="E2859" s="33">
        <v>1122</v>
      </c>
      <c r="F2859" s="33">
        <v>1107</v>
      </c>
      <c r="G2859" s="33" t="s">
        <v>38</v>
      </c>
      <c r="H2859" s="33" t="s">
        <v>9410</v>
      </c>
      <c r="I2859" s="33" t="s">
        <v>46</v>
      </c>
      <c r="J2859" s="33" t="s">
        <v>40</v>
      </c>
    </row>
    <row r="2860" spans="1:12" s="33" customFormat="1" hidden="1" x14ac:dyDescent="0.3">
      <c r="A2860" s="39">
        <v>46083.599756944444</v>
      </c>
      <c r="B2860" s="33" t="s">
        <v>44</v>
      </c>
      <c r="C2860" s="33">
        <v>4430315538</v>
      </c>
      <c r="E2860" s="33">
        <v>8</v>
      </c>
      <c r="F2860" s="33">
        <v>0</v>
      </c>
      <c r="G2860" s="33" t="s">
        <v>47</v>
      </c>
      <c r="H2860" s="33" t="s">
        <v>9411</v>
      </c>
      <c r="I2860" s="33" t="s">
        <v>46</v>
      </c>
      <c r="J2860" s="33" t="s">
        <v>40</v>
      </c>
    </row>
    <row r="2861" spans="1:12" s="33" customFormat="1" hidden="1" x14ac:dyDescent="0.3">
      <c r="A2861" s="39">
        <v>46083.599675925929</v>
      </c>
      <c r="B2861" s="33" t="s">
        <v>44</v>
      </c>
      <c r="C2861" s="33">
        <v>4430315538</v>
      </c>
      <c r="E2861" s="33">
        <v>6</v>
      </c>
      <c r="F2861" s="33">
        <v>0</v>
      </c>
      <c r="G2861" s="33" t="s">
        <v>47</v>
      </c>
      <c r="H2861" s="33" t="s">
        <v>9412</v>
      </c>
      <c r="I2861" s="33" t="s">
        <v>46</v>
      </c>
      <c r="J2861" s="33" t="s">
        <v>40</v>
      </c>
    </row>
    <row r="2862" spans="1:12" s="33" customFormat="1" hidden="1" x14ac:dyDescent="0.3">
      <c r="A2862" s="39">
        <v>46083.596979166665</v>
      </c>
      <c r="B2862" s="33">
        <v>4430459032</v>
      </c>
      <c r="C2862" s="33" t="s">
        <v>44</v>
      </c>
      <c r="D2862" s="33">
        <v>4430265054</v>
      </c>
      <c r="E2862" s="33">
        <v>128</v>
      </c>
      <c r="F2862" s="33">
        <v>56</v>
      </c>
      <c r="G2862" s="33" t="s">
        <v>38</v>
      </c>
      <c r="H2862" s="33" t="s">
        <v>9413</v>
      </c>
      <c r="I2862" s="33" t="s">
        <v>39</v>
      </c>
      <c r="J2862" s="33" t="s">
        <v>40</v>
      </c>
      <c r="K2862" s="33" t="s">
        <v>41</v>
      </c>
    </row>
    <row r="2863" spans="1:12" s="33" customFormat="1" hidden="1" x14ac:dyDescent="0.3">
      <c r="A2863" s="39">
        <v>46083.594780092593</v>
      </c>
      <c r="B2863" s="33">
        <v>4430289386</v>
      </c>
      <c r="C2863" s="33" t="s">
        <v>37</v>
      </c>
      <c r="D2863" s="33">
        <v>4430265054</v>
      </c>
      <c r="E2863" s="33">
        <v>566</v>
      </c>
      <c r="F2863" s="33">
        <v>528</v>
      </c>
      <c r="G2863" s="33" t="s">
        <v>38</v>
      </c>
      <c r="H2863" s="33" t="s">
        <v>9414</v>
      </c>
      <c r="I2863" s="33" t="s">
        <v>39</v>
      </c>
      <c r="J2863" s="33" t="s">
        <v>40</v>
      </c>
      <c r="K2863" s="33" t="s">
        <v>41</v>
      </c>
    </row>
    <row r="2864" spans="1:12" s="33" customFormat="1" hidden="1" x14ac:dyDescent="0.3">
      <c r="A2864" s="39">
        <v>46083.593148148146</v>
      </c>
      <c r="B2864" s="33" t="s">
        <v>45</v>
      </c>
      <c r="C2864" s="33">
        <v>4430459032</v>
      </c>
      <c r="E2864" s="33">
        <v>257</v>
      </c>
      <c r="F2864" s="33">
        <v>255</v>
      </c>
      <c r="G2864" s="33" t="s">
        <v>38</v>
      </c>
      <c r="H2864" s="33" t="s">
        <v>9415</v>
      </c>
      <c r="I2864" s="33" t="s">
        <v>46</v>
      </c>
      <c r="J2864" s="33" t="s">
        <v>40</v>
      </c>
    </row>
    <row r="2865" spans="1:12" s="33" customFormat="1" hidden="1" x14ac:dyDescent="0.3">
      <c r="A2865" s="39">
        <v>46083.590891203705</v>
      </c>
      <c r="B2865" s="33">
        <v>44997618065</v>
      </c>
      <c r="C2865" s="33" t="s">
        <v>48</v>
      </c>
      <c r="D2865" s="33">
        <v>4430265054</v>
      </c>
      <c r="E2865" s="33">
        <v>212</v>
      </c>
      <c r="F2865" s="33">
        <v>212</v>
      </c>
      <c r="G2865" s="33" t="s">
        <v>38</v>
      </c>
      <c r="H2865" s="33" t="s">
        <v>9416</v>
      </c>
      <c r="I2865" s="33" t="s">
        <v>39</v>
      </c>
      <c r="J2865" s="33" t="s">
        <v>40</v>
      </c>
      <c r="K2865" s="33" t="s">
        <v>41</v>
      </c>
    </row>
    <row r="2866" spans="1:12" s="33" customFormat="1" hidden="1" x14ac:dyDescent="0.3">
      <c r="A2866" s="39">
        <v>46083.590752314813</v>
      </c>
      <c r="B2866" s="33">
        <v>44991344903</v>
      </c>
      <c r="C2866" s="33" t="s">
        <v>45</v>
      </c>
      <c r="D2866" s="33">
        <v>4430265054</v>
      </c>
      <c r="E2866" s="33">
        <v>171</v>
      </c>
      <c r="F2866" s="33">
        <v>100</v>
      </c>
      <c r="G2866" s="33" t="s">
        <v>38</v>
      </c>
      <c r="H2866" s="33" t="s">
        <v>9417</v>
      </c>
      <c r="I2866" s="33" t="s">
        <v>39</v>
      </c>
      <c r="J2866" s="33" t="s">
        <v>40</v>
      </c>
      <c r="K2866" s="33" t="s">
        <v>41</v>
      </c>
    </row>
    <row r="2867" spans="1:12" s="33" customFormat="1" hidden="1" x14ac:dyDescent="0.3">
      <c r="A2867" s="39">
        <v>46083.589872685188</v>
      </c>
      <c r="B2867" s="33">
        <v>77988770004</v>
      </c>
      <c r="C2867" s="33" t="s">
        <v>42</v>
      </c>
      <c r="D2867" s="33">
        <v>4430265054</v>
      </c>
      <c r="E2867" s="33">
        <v>363</v>
      </c>
      <c r="F2867" s="33">
        <v>338</v>
      </c>
      <c r="G2867" s="33" t="s">
        <v>38</v>
      </c>
      <c r="H2867" s="33" t="s">
        <v>9418</v>
      </c>
      <c r="I2867" s="33" t="s">
        <v>39</v>
      </c>
      <c r="J2867" s="33" t="s">
        <v>40</v>
      </c>
      <c r="K2867" s="33" t="s">
        <v>41</v>
      </c>
    </row>
    <row r="2868" spans="1:12" s="33" customFormat="1" hidden="1" x14ac:dyDescent="0.3">
      <c r="A2868" s="39">
        <v>46083.583564814813</v>
      </c>
      <c r="B2868" s="33">
        <v>4430459032</v>
      </c>
      <c r="C2868" s="33" t="s">
        <v>45</v>
      </c>
      <c r="D2868" s="33">
        <v>4430265054</v>
      </c>
      <c r="E2868" s="33">
        <v>417</v>
      </c>
      <c r="F2868" s="33">
        <v>352</v>
      </c>
      <c r="G2868" s="33" t="s">
        <v>38</v>
      </c>
      <c r="H2868" s="33" t="s">
        <v>9419</v>
      </c>
      <c r="I2868" s="33" t="s">
        <v>39</v>
      </c>
      <c r="J2868" s="33" t="s">
        <v>40</v>
      </c>
      <c r="K2868" s="33" t="s">
        <v>41</v>
      </c>
    </row>
    <row r="2869" spans="1:12" s="33" customFormat="1" hidden="1" x14ac:dyDescent="0.3">
      <c r="A2869" s="39">
        <v>46083.577893518515</v>
      </c>
      <c r="B2869" s="33">
        <v>4132440491</v>
      </c>
      <c r="C2869" s="33" t="s">
        <v>45</v>
      </c>
      <c r="D2869" s="33">
        <v>4430265054</v>
      </c>
      <c r="E2869" s="33">
        <v>74</v>
      </c>
      <c r="F2869" s="33">
        <v>7</v>
      </c>
      <c r="G2869" s="33" t="s">
        <v>38</v>
      </c>
      <c r="H2869" s="33" t="s">
        <v>9420</v>
      </c>
      <c r="I2869" s="33" t="s">
        <v>39</v>
      </c>
      <c r="J2869" s="33" t="s">
        <v>40</v>
      </c>
      <c r="K2869" s="33" t="s">
        <v>41</v>
      </c>
    </row>
    <row r="2870" spans="1:12" s="33" customFormat="1" hidden="1" x14ac:dyDescent="0.3">
      <c r="A2870" s="39">
        <v>46083.575185185182</v>
      </c>
      <c r="B2870" s="33">
        <v>4520312689</v>
      </c>
      <c r="C2870" s="33" t="s">
        <v>44</v>
      </c>
      <c r="D2870" s="33">
        <v>4430265054</v>
      </c>
      <c r="E2870" s="33">
        <v>1557</v>
      </c>
      <c r="F2870" s="33">
        <v>1512</v>
      </c>
      <c r="G2870" s="33" t="s">
        <v>38</v>
      </c>
      <c r="H2870" s="33" t="s">
        <v>9421</v>
      </c>
      <c r="I2870" s="33" t="s">
        <v>39</v>
      </c>
      <c r="J2870" s="33" t="s">
        <v>40</v>
      </c>
      <c r="K2870" s="33" t="s">
        <v>41</v>
      </c>
    </row>
    <row r="2871" spans="1:12" s="33" customFormat="1" hidden="1" x14ac:dyDescent="0.3">
      <c r="A2871" s="39">
        <v>46083.574467592596</v>
      </c>
      <c r="B2871" s="33">
        <v>4430459032</v>
      </c>
      <c r="C2871" s="33">
        <v>4430265054</v>
      </c>
      <c r="D2871" s="33">
        <v>4430265054</v>
      </c>
      <c r="E2871" s="33">
        <v>26</v>
      </c>
      <c r="F2871" s="33">
        <v>25</v>
      </c>
      <c r="G2871" s="33" t="s">
        <v>3449</v>
      </c>
      <c r="H2871" s="33" t="s">
        <v>9422</v>
      </c>
      <c r="I2871" s="33" t="s">
        <v>39</v>
      </c>
      <c r="J2871" s="33" t="s">
        <v>3451</v>
      </c>
    </row>
    <row r="2872" spans="1:12" s="33" customFormat="1" hidden="1" x14ac:dyDescent="0.3">
      <c r="A2872" s="39">
        <v>46083.574224537035</v>
      </c>
      <c r="B2872" s="33">
        <v>44991174709</v>
      </c>
      <c r="C2872" s="33" t="s">
        <v>43</v>
      </c>
      <c r="D2872" s="33">
        <v>4430265054</v>
      </c>
      <c r="E2872" s="33">
        <v>1459</v>
      </c>
      <c r="F2872" s="33">
        <v>1421</v>
      </c>
      <c r="G2872" s="33" t="s">
        <v>38</v>
      </c>
      <c r="H2872" s="33" t="s">
        <v>9423</v>
      </c>
      <c r="I2872" s="33" t="s">
        <v>39</v>
      </c>
      <c r="J2872" s="33" t="s">
        <v>40</v>
      </c>
      <c r="K2872" s="33" t="s">
        <v>41</v>
      </c>
    </row>
    <row r="2873" spans="1:12" s="33" customFormat="1" hidden="1" x14ac:dyDescent="0.3">
      <c r="A2873" s="39">
        <v>46083.571666666663</v>
      </c>
      <c r="B2873" s="33">
        <v>47999115463</v>
      </c>
      <c r="C2873" s="33" t="s">
        <v>45</v>
      </c>
      <c r="D2873" s="33">
        <v>4430265054</v>
      </c>
      <c r="E2873" s="33">
        <v>114</v>
      </c>
      <c r="F2873" s="33">
        <v>90</v>
      </c>
      <c r="G2873" s="33" t="s">
        <v>38</v>
      </c>
      <c r="H2873" s="33" t="s">
        <v>9424</v>
      </c>
      <c r="I2873" s="33" t="s">
        <v>39</v>
      </c>
      <c r="J2873" s="33" t="s">
        <v>40</v>
      </c>
      <c r="K2873" s="33" t="s">
        <v>41</v>
      </c>
    </row>
    <row r="2874" spans="1:12" s="33" customFormat="1" hidden="1" x14ac:dyDescent="0.3">
      <c r="A2874" s="39">
        <v>46083.56722222222</v>
      </c>
      <c r="B2874" s="33">
        <v>42998221810</v>
      </c>
      <c r="C2874" s="33" t="s">
        <v>37</v>
      </c>
      <c r="D2874" s="33">
        <v>4430265054</v>
      </c>
      <c r="E2874" s="33">
        <v>1037</v>
      </c>
      <c r="F2874" s="33">
        <v>982</v>
      </c>
      <c r="G2874" s="33" t="s">
        <v>38</v>
      </c>
      <c r="H2874" s="33" t="s">
        <v>9425</v>
      </c>
      <c r="I2874" s="33" t="s">
        <v>39</v>
      </c>
      <c r="J2874" s="33" t="s">
        <v>40</v>
      </c>
      <c r="K2874" s="33" t="s">
        <v>41</v>
      </c>
      <c r="L2874" s="33">
        <v>5</v>
      </c>
    </row>
    <row r="2875" spans="1:12" s="33" customFormat="1" hidden="1" x14ac:dyDescent="0.3">
      <c r="A2875" s="39">
        <v>46083.566122685188</v>
      </c>
      <c r="B2875" s="33" t="s">
        <v>3873</v>
      </c>
      <c r="E2875" s="33">
        <v>244</v>
      </c>
      <c r="F2875" s="33">
        <v>242</v>
      </c>
      <c r="G2875" s="33" t="s">
        <v>38</v>
      </c>
      <c r="H2875" s="33" t="s">
        <v>9426</v>
      </c>
      <c r="I2875" s="33" t="s">
        <v>46</v>
      </c>
      <c r="J2875" s="33" t="s">
        <v>3451</v>
      </c>
    </row>
    <row r="2876" spans="1:12" s="33" customFormat="1" hidden="1" x14ac:dyDescent="0.3">
      <c r="A2876" s="39">
        <v>46083.564791666664</v>
      </c>
      <c r="B2876" s="33">
        <v>47999115463</v>
      </c>
      <c r="C2876" s="33">
        <v>4430265054</v>
      </c>
      <c r="D2876" s="33">
        <v>4430265054</v>
      </c>
      <c r="E2876" s="33">
        <v>89</v>
      </c>
      <c r="F2876" s="33">
        <v>89</v>
      </c>
      <c r="G2876" s="33" t="s">
        <v>3449</v>
      </c>
      <c r="H2876" s="33" t="s">
        <v>9427</v>
      </c>
      <c r="I2876" s="33" t="s">
        <v>39</v>
      </c>
      <c r="J2876" s="33" t="s">
        <v>3451</v>
      </c>
      <c r="K2876" s="33" t="s">
        <v>41</v>
      </c>
    </row>
    <row r="2877" spans="1:12" s="33" customFormat="1" hidden="1" x14ac:dyDescent="0.3">
      <c r="A2877" s="39">
        <v>46083.564571759256</v>
      </c>
      <c r="B2877" s="33">
        <v>35998295948</v>
      </c>
      <c r="C2877" s="33" t="s">
        <v>45</v>
      </c>
      <c r="D2877" s="33">
        <v>4430265054</v>
      </c>
      <c r="E2877" s="33">
        <v>237</v>
      </c>
      <c r="F2877" s="33">
        <v>181</v>
      </c>
      <c r="G2877" s="33" t="s">
        <v>38</v>
      </c>
      <c r="H2877" s="33" t="s">
        <v>9428</v>
      </c>
      <c r="I2877" s="33" t="s">
        <v>39</v>
      </c>
      <c r="J2877" s="33" t="s">
        <v>40</v>
      </c>
      <c r="K2877" s="33" t="s">
        <v>41</v>
      </c>
    </row>
    <row r="2878" spans="1:12" s="33" customFormat="1" hidden="1" x14ac:dyDescent="0.3">
      <c r="A2878" s="39">
        <v>46083.564502314817</v>
      </c>
      <c r="B2878" s="33">
        <v>4430162384</v>
      </c>
      <c r="C2878" s="33" t="s">
        <v>44</v>
      </c>
      <c r="D2878" s="33">
        <v>4430265054</v>
      </c>
      <c r="E2878" s="33">
        <v>877</v>
      </c>
      <c r="F2878" s="33">
        <v>852</v>
      </c>
      <c r="G2878" s="33" t="s">
        <v>38</v>
      </c>
      <c r="H2878" s="33" t="s">
        <v>9429</v>
      </c>
      <c r="I2878" s="33" t="s">
        <v>39</v>
      </c>
      <c r="J2878" s="33" t="s">
        <v>40</v>
      </c>
      <c r="K2878" s="33" t="s">
        <v>41</v>
      </c>
    </row>
    <row r="2879" spans="1:12" s="33" customFormat="1" hidden="1" x14ac:dyDescent="0.3">
      <c r="A2879" s="39">
        <v>46083.562893518516</v>
      </c>
      <c r="B2879" s="33">
        <v>47999115463</v>
      </c>
      <c r="C2879" s="33">
        <v>4430265054</v>
      </c>
      <c r="D2879" s="33">
        <v>4430265054</v>
      </c>
      <c r="E2879" s="33">
        <v>78</v>
      </c>
      <c r="F2879" s="33">
        <v>77</v>
      </c>
      <c r="G2879" s="33" t="s">
        <v>3449</v>
      </c>
      <c r="H2879" s="33" t="s">
        <v>9430</v>
      </c>
      <c r="I2879" s="33" t="s">
        <v>39</v>
      </c>
      <c r="J2879" s="33" t="s">
        <v>3451</v>
      </c>
      <c r="K2879" s="33" t="s">
        <v>41</v>
      </c>
    </row>
    <row r="2880" spans="1:12" s="33" customFormat="1" hidden="1" x14ac:dyDescent="0.3">
      <c r="A2880" s="39">
        <v>46083.475682870368</v>
      </c>
      <c r="B2880" s="33" t="s">
        <v>42</v>
      </c>
      <c r="C2880" s="33">
        <v>44991388221</v>
      </c>
      <c r="E2880" s="33">
        <v>1573</v>
      </c>
      <c r="F2880" s="33">
        <v>1566</v>
      </c>
      <c r="G2880" s="33" t="s">
        <v>38</v>
      </c>
      <c r="H2880" s="33" t="s">
        <v>9431</v>
      </c>
      <c r="I2880" s="33" t="s">
        <v>46</v>
      </c>
      <c r="J2880" s="33" t="s">
        <v>40</v>
      </c>
    </row>
    <row r="2881" spans="1:12" s="33" customFormat="1" hidden="1" x14ac:dyDescent="0.3">
      <c r="A2881" s="39">
        <v>46083.473819444444</v>
      </c>
      <c r="B2881" s="33">
        <v>43988523271</v>
      </c>
      <c r="C2881" s="33" t="s">
        <v>43</v>
      </c>
      <c r="D2881" s="33">
        <v>4430265054</v>
      </c>
      <c r="E2881" s="33">
        <v>826</v>
      </c>
      <c r="F2881" s="33">
        <v>771</v>
      </c>
      <c r="G2881" s="33" t="s">
        <v>38</v>
      </c>
      <c r="H2881" s="33" t="s">
        <v>9432</v>
      </c>
      <c r="I2881" s="33" t="s">
        <v>39</v>
      </c>
      <c r="J2881" s="33" t="s">
        <v>40</v>
      </c>
      <c r="K2881" s="33" t="s">
        <v>41</v>
      </c>
    </row>
    <row r="2882" spans="1:12" s="33" customFormat="1" hidden="1" x14ac:dyDescent="0.3">
      <c r="A2882" s="39">
        <v>46083.472881944443</v>
      </c>
      <c r="B2882" s="33">
        <v>44991484476</v>
      </c>
      <c r="C2882" s="33" t="s">
        <v>44</v>
      </c>
      <c r="D2882" s="33">
        <v>4430265054</v>
      </c>
      <c r="E2882" s="33">
        <v>456</v>
      </c>
      <c r="F2882" s="33">
        <v>363</v>
      </c>
      <c r="G2882" s="33" t="s">
        <v>38</v>
      </c>
      <c r="H2882" s="33" t="s">
        <v>9433</v>
      </c>
      <c r="I2882" s="33" t="s">
        <v>39</v>
      </c>
      <c r="J2882" s="33" t="s">
        <v>40</v>
      </c>
      <c r="K2882" s="33" t="s">
        <v>41</v>
      </c>
    </row>
    <row r="2883" spans="1:12" s="33" customFormat="1" hidden="1" x14ac:dyDescent="0.3">
      <c r="A2883" s="39">
        <v>46083.471053240741</v>
      </c>
      <c r="B2883" s="33" t="s">
        <v>48</v>
      </c>
      <c r="C2883" s="33">
        <v>4430182968</v>
      </c>
      <c r="E2883" s="33">
        <v>147</v>
      </c>
      <c r="F2883" s="33">
        <v>139</v>
      </c>
      <c r="G2883" s="33" t="s">
        <v>38</v>
      </c>
      <c r="H2883" s="33" t="s">
        <v>9434</v>
      </c>
      <c r="I2883" s="33" t="s">
        <v>46</v>
      </c>
      <c r="J2883" s="33" t="s">
        <v>40</v>
      </c>
    </row>
    <row r="2884" spans="1:12" s="33" customFormat="1" hidden="1" x14ac:dyDescent="0.3">
      <c r="A2884" s="39">
        <v>46083.470937500002</v>
      </c>
      <c r="B2884" s="33" t="s">
        <v>48</v>
      </c>
      <c r="C2884" s="33">
        <v>4430182968</v>
      </c>
      <c r="E2884" s="33">
        <v>5</v>
      </c>
      <c r="F2884" s="33">
        <v>0</v>
      </c>
      <c r="G2884" s="33" t="s">
        <v>47</v>
      </c>
      <c r="H2884" s="33" t="s">
        <v>9435</v>
      </c>
      <c r="I2884" s="33" t="s">
        <v>46</v>
      </c>
      <c r="J2884" s="33" t="s">
        <v>40</v>
      </c>
    </row>
    <row r="2885" spans="1:12" s="33" customFormat="1" hidden="1" x14ac:dyDescent="0.3">
      <c r="A2885" s="39">
        <v>46083.467349537037</v>
      </c>
      <c r="B2885" s="33">
        <v>44991388221</v>
      </c>
      <c r="C2885" s="33" t="s">
        <v>37</v>
      </c>
      <c r="D2885" s="33">
        <v>4430265054</v>
      </c>
      <c r="E2885" s="33">
        <v>190</v>
      </c>
      <c r="F2885" s="33">
        <v>82</v>
      </c>
      <c r="G2885" s="33" t="s">
        <v>38</v>
      </c>
      <c r="H2885" s="33" t="s">
        <v>9436</v>
      </c>
      <c r="I2885" s="33" t="s">
        <v>39</v>
      </c>
      <c r="J2885" s="33" t="s">
        <v>40</v>
      </c>
      <c r="K2885" s="33" t="s">
        <v>41</v>
      </c>
    </row>
    <row r="2886" spans="1:12" s="33" customFormat="1" hidden="1" x14ac:dyDescent="0.3">
      <c r="A2886" s="39">
        <v>46083.466863425929</v>
      </c>
      <c r="B2886" s="33">
        <v>4439001698</v>
      </c>
      <c r="C2886" s="33" t="s">
        <v>42</v>
      </c>
      <c r="D2886" s="33">
        <v>4430265054</v>
      </c>
      <c r="E2886" s="33">
        <v>274</v>
      </c>
      <c r="F2886" s="33">
        <v>250</v>
      </c>
      <c r="G2886" s="33" t="s">
        <v>38</v>
      </c>
      <c r="H2886" s="33" t="s">
        <v>9437</v>
      </c>
      <c r="I2886" s="33" t="s">
        <v>39</v>
      </c>
      <c r="J2886" s="33" t="s">
        <v>40</v>
      </c>
      <c r="K2886" s="33" t="s">
        <v>41</v>
      </c>
    </row>
    <row r="2887" spans="1:12" s="33" customFormat="1" hidden="1" x14ac:dyDescent="0.3">
      <c r="A2887" s="39">
        <v>46083.465798611112</v>
      </c>
      <c r="B2887" s="33">
        <v>45999211357</v>
      </c>
      <c r="C2887" s="33" t="s">
        <v>48</v>
      </c>
      <c r="D2887" s="33">
        <v>4431268225</v>
      </c>
      <c r="E2887" s="33">
        <v>134</v>
      </c>
      <c r="F2887" s="33">
        <v>105</v>
      </c>
      <c r="G2887" s="33" t="s">
        <v>38</v>
      </c>
      <c r="H2887" s="33" t="s">
        <v>9438</v>
      </c>
      <c r="I2887" s="33" t="s">
        <v>39</v>
      </c>
      <c r="J2887" s="33" t="s">
        <v>40</v>
      </c>
      <c r="K2887" s="33" t="s">
        <v>41</v>
      </c>
      <c r="L2887" s="33">
        <v>5</v>
      </c>
    </row>
    <row r="2888" spans="1:12" s="33" customFormat="1" hidden="1" x14ac:dyDescent="0.3">
      <c r="A2888" s="39">
        <v>46083.465787037036</v>
      </c>
      <c r="B2888" s="33">
        <v>4132440491</v>
      </c>
      <c r="C2888" s="33" t="s">
        <v>44</v>
      </c>
      <c r="D2888" s="33">
        <v>4430265054</v>
      </c>
      <c r="E2888" s="33">
        <v>374</v>
      </c>
      <c r="F2888" s="33">
        <v>346</v>
      </c>
      <c r="G2888" s="33" t="s">
        <v>38</v>
      </c>
      <c r="H2888" s="33" t="s">
        <v>9439</v>
      </c>
      <c r="I2888" s="33" t="s">
        <v>39</v>
      </c>
      <c r="J2888" s="33" t="s">
        <v>40</v>
      </c>
      <c r="K2888" s="33" t="s">
        <v>41</v>
      </c>
      <c r="L2888" s="33">
        <v>4</v>
      </c>
    </row>
    <row r="2889" spans="1:12" s="33" customFormat="1" x14ac:dyDescent="0.3">
      <c r="A2889" s="39">
        <v>46083.464560185188</v>
      </c>
      <c r="B2889" s="33">
        <v>44999748684</v>
      </c>
      <c r="C2889" s="33" t="s">
        <v>42</v>
      </c>
      <c r="D2889" s="33">
        <v>4430265054</v>
      </c>
      <c r="E2889" s="33">
        <v>251</v>
      </c>
      <c r="F2889" s="33">
        <v>195</v>
      </c>
      <c r="G2889" s="33" t="s">
        <v>38</v>
      </c>
      <c r="H2889" s="33" t="s">
        <v>9440</v>
      </c>
      <c r="I2889" s="33" t="s">
        <v>39</v>
      </c>
      <c r="J2889" s="33" t="s">
        <v>40</v>
      </c>
      <c r="K2889" s="33" t="s">
        <v>41</v>
      </c>
      <c r="L2889" s="33">
        <v>5</v>
      </c>
    </row>
    <row r="2890" spans="1:12" s="33" customFormat="1" hidden="1" x14ac:dyDescent="0.3">
      <c r="A2890" s="39">
        <v>46083.461504629631</v>
      </c>
      <c r="B2890" s="33">
        <v>11916079448</v>
      </c>
      <c r="C2890" s="33" t="s">
        <v>44</v>
      </c>
      <c r="D2890" s="33">
        <v>4430265054</v>
      </c>
      <c r="E2890" s="33">
        <v>334</v>
      </c>
      <c r="F2890" s="33">
        <v>237</v>
      </c>
      <c r="G2890" s="33" t="s">
        <v>38</v>
      </c>
      <c r="H2890" s="33" t="s">
        <v>9441</v>
      </c>
      <c r="I2890" s="33" t="s">
        <v>39</v>
      </c>
      <c r="J2890" s="33" t="s">
        <v>40</v>
      </c>
      <c r="K2890" s="33" t="s">
        <v>41</v>
      </c>
      <c r="L2890" s="33">
        <v>5</v>
      </c>
    </row>
    <row r="2891" spans="1:12" s="33" customFormat="1" hidden="1" x14ac:dyDescent="0.3">
      <c r="A2891" s="39">
        <v>46083.461006944446</v>
      </c>
      <c r="B2891" s="33">
        <v>44997561804</v>
      </c>
      <c r="C2891" s="33" t="s">
        <v>43</v>
      </c>
      <c r="D2891" s="33">
        <v>4430265054</v>
      </c>
      <c r="E2891" s="33">
        <v>813</v>
      </c>
      <c r="F2891" s="33">
        <v>766</v>
      </c>
      <c r="G2891" s="33" t="s">
        <v>38</v>
      </c>
      <c r="H2891" s="33" t="s">
        <v>9442</v>
      </c>
      <c r="I2891" s="33" t="s">
        <v>39</v>
      </c>
      <c r="J2891" s="33" t="s">
        <v>40</v>
      </c>
      <c r="K2891" s="33" t="s">
        <v>41</v>
      </c>
    </row>
    <row r="2892" spans="1:12" s="33" customFormat="1" hidden="1" x14ac:dyDescent="0.3">
      <c r="A2892" s="39">
        <v>46083.455289351848</v>
      </c>
      <c r="B2892" s="33">
        <v>43988030048</v>
      </c>
      <c r="C2892" s="33" t="s">
        <v>37</v>
      </c>
      <c r="D2892" s="33">
        <v>4430265054</v>
      </c>
      <c r="E2892" s="33">
        <v>581</v>
      </c>
      <c r="F2892" s="33">
        <v>464</v>
      </c>
      <c r="G2892" s="33" t="s">
        <v>38</v>
      </c>
      <c r="H2892" s="33" t="s">
        <v>9443</v>
      </c>
      <c r="I2892" s="33" t="s">
        <v>39</v>
      </c>
      <c r="J2892" s="33" t="s">
        <v>40</v>
      </c>
      <c r="K2892" s="33" t="s">
        <v>41</v>
      </c>
    </row>
    <row r="2893" spans="1:12" s="33" customFormat="1" hidden="1" x14ac:dyDescent="0.3">
      <c r="A2893" s="39">
        <v>46083.450740740744</v>
      </c>
      <c r="B2893" s="33">
        <v>44991566223</v>
      </c>
      <c r="C2893" s="33" t="s">
        <v>43</v>
      </c>
      <c r="D2893" s="33">
        <v>4430265054</v>
      </c>
      <c r="E2893" s="33">
        <v>177</v>
      </c>
      <c r="F2893" s="33">
        <v>117</v>
      </c>
      <c r="G2893" s="33" t="s">
        <v>38</v>
      </c>
      <c r="H2893" s="33" t="s">
        <v>9444</v>
      </c>
      <c r="I2893" s="33" t="s">
        <v>39</v>
      </c>
      <c r="J2893" s="33" t="s">
        <v>40</v>
      </c>
      <c r="K2893" s="33" t="s">
        <v>41</v>
      </c>
    </row>
    <row r="2894" spans="1:12" s="33" customFormat="1" hidden="1" x14ac:dyDescent="0.3">
      <c r="A2894" s="39">
        <v>46083.449317129627</v>
      </c>
      <c r="B2894" s="33">
        <v>4436351818</v>
      </c>
      <c r="C2894" s="33" t="s">
        <v>43</v>
      </c>
      <c r="D2894" s="33">
        <v>4430265054</v>
      </c>
      <c r="E2894" s="33">
        <v>136</v>
      </c>
      <c r="F2894" s="33">
        <v>100</v>
      </c>
      <c r="G2894" s="33" t="s">
        <v>38</v>
      </c>
      <c r="H2894" s="33" t="s">
        <v>9445</v>
      </c>
      <c r="I2894" s="33" t="s">
        <v>39</v>
      </c>
      <c r="J2894" s="33" t="s">
        <v>40</v>
      </c>
      <c r="K2894" s="33" t="s">
        <v>41</v>
      </c>
    </row>
    <row r="2895" spans="1:12" s="33" customFormat="1" hidden="1" x14ac:dyDescent="0.3">
      <c r="A2895" s="39">
        <v>46083.446493055555</v>
      </c>
      <c r="B2895" s="33" t="s">
        <v>42</v>
      </c>
      <c r="C2895" s="33">
        <v>4439001698</v>
      </c>
      <c r="E2895" s="33">
        <v>458</v>
      </c>
      <c r="F2895" s="33">
        <v>446</v>
      </c>
      <c r="G2895" s="33" t="s">
        <v>38</v>
      </c>
      <c r="H2895" s="33" t="s">
        <v>9446</v>
      </c>
      <c r="I2895" s="33" t="s">
        <v>46</v>
      </c>
      <c r="J2895" s="33" t="s">
        <v>40</v>
      </c>
    </row>
    <row r="2896" spans="1:12" s="33" customFormat="1" hidden="1" x14ac:dyDescent="0.3">
      <c r="A2896" s="39">
        <v>46083.446215277778</v>
      </c>
      <c r="B2896" s="33" t="s">
        <v>42</v>
      </c>
      <c r="C2896" s="33">
        <v>4439001698</v>
      </c>
      <c r="E2896" s="33">
        <v>5</v>
      </c>
      <c r="F2896" s="33">
        <v>0</v>
      </c>
      <c r="G2896" s="33" t="s">
        <v>47</v>
      </c>
      <c r="H2896" s="33" t="s">
        <v>9447</v>
      </c>
      <c r="I2896" s="33" t="s">
        <v>46</v>
      </c>
      <c r="J2896" s="33" t="s">
        <v>40</v>
      </c>
    </row>
    <row r="2897" spans="1:12" s="33" customFormat="1" hidden="1" x14ac:dyDescent="0.3">
      <c r="A2897" s="39">
        <v>46083.446064814816</v>
      </c>
      <c r="B2897" s="33" t="s">
        <v>42</v>
      </c>
      <c r="C2897" s="33">
        <v>4439001698</v>
      </c>
      <c r="E2897" s="33">
        <v>9</v>
      </c>
      <c r="F2897" s="33">
        <v>0</v>
      </c>
      <c r="G2897" s="33" t="s">
        <v>47</v>
      </c>
      <c r="H2897" s="33" t="s">
        <v>9448</v>
      </c>
      <c r="I2897" s="33" t="s">
        <v>46</v>
      </c>
      <c r="J2897" s="33" t="s">
        <v>40</v>
      </c>
    </row>
    <row r="2898" spans="1:12" s="33" customFormat="1" hidden="1" x14ac:dyDescent="0.3">
      <c r="A2898" s="39">
        <v>46083.44158564815</v>
      </c>
      <c r="B2898" s="33">
        <v>43991364602</v>
      </c>
      <c r="C2898" s="33" t="s">
        <v>45</v>
      </c>
      <c r="D2898" s="33">
        <v>4430265054</v>
      </c>
      <c r="E2898" s="33">
        <v>2652</v>
      </c>
      <c r="F2898" s="33">
        <v>2509</v>
      </c>
      <c r="G2898" s="33" t="s">
        <v>38</v>
      </c>
      <c r="H2898" s="33" t="s">
        <v>9449</v>
      </c>
      <c r="I2898" s="33" t="s">
        <v>39</v>
      </c>
      <c r="J2898" s="33" t="s">
        <v>40</v>
      </c>
      <c r="K2898" s="33" t="s">
        <v>41</v>
      </c>
    </row>
    <row r="2899" spans="1:12" s="33" customFormat="1" hidden="1" x14ac:dyDescent="0.3">
      <c r="A2899" s="39">
        <v>46083.439004629632</v>
      </c>
      <c r="B2899" s="33">
        <v>44991213399</v>
      </c>
      <c r="C2899" s="33" t="s">
        <v>43</v>
      </c>
      <c r="D2899" s="33">
        <v>4430265054</v>
      </c>
      <c r="E2899" s="33">
        <v>475</v>
      </c>
      <c r="F2899" s="33">
        <v>454</v>
      </c>
      <c r="G2899" s="33" t="s">
        <v>38</v>
      </c>
      <c r="H2899" s="33" t="s">
        <v>9450</v>
      </c>
      <c r="I2899" s="33" t="s">
        <v>39</v>
      </c>
      <c r="J2899" s="33" t="s">
        <v>40</v>
      </c>
      <c r="K2899" s="33" t="s">
        <v>41</v>
      </c>
    </row>
    <row r="2900" spans="1:12" s="33" customFormat="1" hidden="1" x14ac:dyDescent="0.3">
      <c r="A2900" s="39">
        <v>46083.436631944445</v>
      </c>
      <c r="B2900" s="33">
        <v>4435226025</v>
      </c>
      <c r="C2900" s="33" t="s">
        <v>37</v>
      </c>
      <c r="D2900" s="33">
        <v>4430265054</v>
      </c>
      <c r="E2900" s="33">
        <v>1146</v>
      </c>
      <c r="F2900" s="33">
        <v>1071</v>
      </c>
      <c r="G2900" s="33" t="s">
        <v>38</v>
      </c>
      <c r="H2900" s="33" t="s">
        <v>9451</v>
      </c>
      <c r="I2900" s="33" t="s">
        <v>39</v>
      </c>
      <c r="J2900" s="33" t="s">
        <v>40</v>
      </c>
      <c r="K2900" s="33" t="s">
        <v>41</v>
      </c>
    </row>
    <row r="2901" spans="1:12" s="33" customFormat="1" hidden="1" x14ac:dyDescent="0.3">
      <c r="A2901" s="39">
        <v>46083.432442129626</v>
      </c>
      <c r="B2901" s="33">
        <v>4132440491</v>
      </c>
      <c r="C2901" s="33" t="s">
        <v>45</v>
      </c>
      <c r="D2901" s="33">
        <v>4430265054</v>
      </c>
      <c r="E2901" s="33">
        <v>313</v>
      </c>
      <c r="F2901" s="33">
        <v>259</v>
      </c>
      <c r="G2901" s="33" t="s">
        <v>38</v>
      </c>
      <c r="H2901" s="33" t="s">
        <v>9452</v>
      </c>
      <c r="I2901" s="33" t="s">
        <v>39</v>
      </c>
      <c r="J2901" s="33" t="s">
        <v>40</v>
      </c>
      <c r="K2901" s="33" t="s">
        <v>41</v>
      </c>
      <c r="L2901" s="33">
        <v>3</v>
      </c>
    </row>
    <row r="2902" spans="1:12" s="33" customFormat="1" hidden="1" x14ac:dyDescent="0.3">
      <c r="A2902" s="39">
        <v>46083.424872685187</v>
      </c>
      <c r="B2902" s="33" t="s">
        <v>42</v>
      </c>
      <c r="C2902" s="33">
        <v>44991566223</v>
      </c>
      <c r="E2902" s="33">
        <v>35</v>
      </c>
      <c r="F2902" s="33">
        <v>0</v>
      </c>
      <c r="G2902" s="33" t="s">
        <v>47</v>
      </c>
      <c r="H2902" s="33" t="s">
        <v>9453</v>
      </c>
      <c r="I2902" s="33" t="s">
        <v>46</v>
      </c>
      <c r="J2902" s="33" t="s">
        <v>40</v>
      </c>
    </row>
    <row r="2903" spans="1:12" s="33" customFormat="1" hidden="1" x14ac:dyDescent="0.3">
      <c r="A2903" s="39">
        <v>46083.424421296295</v>
      </c>
      <c r="B2903" s="33" t="s">
        <v>42</v>
      </c>
      <c r="C2903" s="33">
        <v>44991566223</v>
      </c>
      <c r="E2903" s="33">
        <v>36</v>
      </c>
      <c r="F2903" s="33">
        <v>0</v>
      </c>
      <c r="G2903" s="33" t="s">
        <v>47</v>
      </c>
      <c r="H2903" s="33" t="s">
        <v>9454</v>
      </c>
      <c r="I2903" s="33" t="s">
        <v>46</v>
      </c>
      <c r="J2903" s="33" t="s">
        <v>40</v>
      </c>
    </row>
    <row r="2904" spans="1:12" s="33" customFormat="1" hidden="1" x14ac:dyDescent="0.3">
      <c r="A2904" s="39">
        <v>46083.413703703707</v>
      </c>
      <c r="B2904" s="33">
        <v>44988300360</v>
      </c>
      <c r="C2904" s="33" t="s">
        <v>37</v>
      </c>
      <c r="D2904" s="33">
        <v>4430265054</v>
      </c>
      <c r="E2904" s="33">
        <v>986</v>
      </c>
      <c r="F2904" s="33">
        <v>887</v>
      </c>
      <c r="G2904" s="33" t="s">
        <v>38</v>
      </c>
      <c r="H2904" s="33" t="s">
        <v>9455</v>
      </c>
      <c r="I2904" s="33" t="s">
        <v>39</v>
      </c>
      <c r="J2904" s="33" t="s">
        <v>40</v>
      </c>
      <c r="K2904" s="33" t="s">
        <v>41</v>
      </c>
      <c r="L2904" s="33">
        <v>5</v>
      </c>
    </row>
    <row r="2905" spans="1:12" s="33" customFormat="1" hidden="1" x14ac:dyDescent="0.3">
      <c r="A2905" s="39">
        <v>46083.412418981483</v>
      </c>
      <c r="B2905" s="33" t="s">
        <v>37</v>
      </c>
      <c r="C2905" s="33">
        <v>93995233136</v>
      </c>
      <c r="E2905" s="33">
        <v>8</v>
      </c>
      <c r="F2905" s="33">
        <v>0</v>
      </c>
      <c r="G2905" s="33" t="s">
        <v>47</v>
      </c>
      <c r="H2905" s="33" t="s">
        <v>9456</v>
      </c>
      <c r="I2905" s="33" t="s">
        <v>46</v>
      </c>
      <c r="J2905" s="33" t="s">
        <v>40</v>
      </c>
    </row>
    <row r="2906" spans="1:12" s="33" customFormat="1" hidden="1" x14ac:dyDescent="0.3">
      <c r="A2906" s="39">
        <v>46083.41097222222</v>
      </c>
      <c r="B2906" s="33" t="s">
        <v>5173</v>
      </c>
      <c r="C2906" s="33">
        <v>92981211981</v>
      </c>
      <c r="E2906" s="33">
        <v>9</v>
      </c>
      <c r="F2906" s="33">
        <v>0</v>
      </c>
      <c r="G2906" s="33" t="s">
        <v>47</v>
      </c>
      <c r="H2906" s="33" t="s">
        <v>9457</v>
      </c>
      <c r="I2906" s="33" t="s">
        <v>46</v>
      </c>
      <c r="J2906" s="33" t="s">
        <v>3629</v>
      </c>
    </row>
    <row r="2907" spans="1:12" s="33" customFormat="1" hidden="1" x14ac:dyDescent="0.3">
      <c r="A2907" s="39">
        <v>46083.408414351848</v>
      </c>
      <c r="B2907" s="33">
        <v>44991566223</v>
      </c>
      <c r="C2907" s="33" t="s">
        <v>42</v>
      </c>
      <c r="D2907" s="33">
        <v>4430265054</v>
      </c>
      <c r="E2907" s="33">
        <v>1331</v>
      </c>
      <c r="F2907" s="33">
        <v>1304</v>
      </c>
      <c r="G2907" s="33" t="s">
        <v>38</v>
      </c>
      <c r="H2907" s="33" t="s">
        <v>9458</v>
      </c>
      <c r="I2907" s="33" t="s">
        <v>39</v>
      </c>
      <c r="J2907" s="33" t="s">
        <v>40</v>
      </c>
      <c r="K2907" s="33" t="s">
        <v>41</v>
      </c>
    </row>
    <row r="2908" spans="1:12" s="33" customFormat="1" hidden="1" x14ac:dyDescent="0.3">
      <c r="A2908" s="39">
        <v>46083.407534722224</v>
      </c>
      <c r="B2908" s="33">
        <v>4132440491</v>
      </c>
      <c r="C2908" s="33" t="s">
        <v>45</v>
      </c>
      <c r="D2908" s="33">
        <v>4430265054</v>
      </c>
      <c r="E2908" s="33">
        <v>1467</v>
      </c>
      <c r="F2908" s="33">
        <v>1419</v>
      </c>
      <c r="G2908" s="33" t="s">
        <v>38</v>
      </c>
      <c r="H2908" s="33" t="s">
        <v>9459</v>
      </c>
      <c r="I2908" s="33" t="s">
        <v>39</v>
      </c>
      <c r="J2908" s="33" t="s">
        <v>40</v>
      </c>
      <c r="K2908" s="33" t="s">
        <v>41</v>
      </c>
    </row>
    <row r="2909" spans="1:12" s="33" customFormat="1" hidden="1" x14ac:dyDescent="0.3">
      <c r="A2909" s="39">
        <v>46083.403263888889</v>
      </c>
      <c r="B2909" s="33">
        <v>44991388221</v>
      </c>
      <c r="C2909" s="33" t="s">
        <v>42</v>
      </c>
      <c r="D2909" s="33">
        <v>4430265054</v>
      </c>
      <c r="E2909" s="33">
        <v>315</v>
      </c>
      <c r="F2909" s="33">
        <v>292</v>
      </c>
      <c r="G2909" s="33" t="s">
        <v>38</v>
      </c>
      <c r="H2909" s="33" t="s">
        <v>9460</v>
      </c>
      <c r="I2909" s="33" t="s">
        <v>39</v>
      </c>
      <c r="J2909" s="33" t="s">
        <v>40</v>
      </c>
      <c r="K2909" s="33" t="s">
        <v>41</v>
      </c>
    </row>
    <row r="2910" spans="1:12" s="33" customFormat="1" hidden="1" x14ac:dyDescent="0.3">
      <c r="A2910" s="39">
        <v>46083.4</v>
      </c>
      <c r="B2910" s="33">
        <v>44999550006</v>
      </c>
      <c r="C2910" s="33" t="s">
        <v>45</v>
      </c>
      <c r="D2910" s="33">
        <v>4430265054</v>
      </c>
      <c r="E2910" s="33">
        <v>261</v>
      </c>
      <c r="F2910" s="33">
        <v>171</v>
      </c>
      <c r="G2910" s="33" t="s">
        <v>38</v>
      </c>
      <c r="H2910" s="33" t="s">
        <v>9461</v>
      </c>
      <c r="I2910" s="33" t="s">
        <v>39</v>
      </c>
      <c r="J2910" s="33" t="s">
        <v>40</v>
      </c>
      <c r="K2910" s="33" t="s">
        <v>41</v>
      </c>
    </row>
    <row r="2911" spans="1:12" s="33" customFormat="1" hidden="1" x14ac:dyDescent="0.3">
      <c r="A2911" s="39">
        <v>46083.398043981484</v>
      </c>
      <c r="B2911" s="33" t="s">
        <v>44</v>
      </c>
      <c r="C2911" s="33">
        <v>4430315538</v>
      </c>
      <c r="E2911" s="33">
        <v>645</v>
      </c>
      <c r="F2911" s="33">
        <v>628</v>
      </c>
      <c r="G2911" s="33" t="s">
        <v>38</v>
      </c>
      <c r="H2911" s="33" t="s">
        <v>9462</v>
      </c>
      <c r="I2911" s="33" t="s">
        <v>46</v>
      </c>
      <c r="J2911" s="33" t="s">
        <v>40</v>
      </c>
    </row>
    <row r="2912" spans="1:12" s="33" customFormat="1" hidden="1" x14ac:dyDescent="0.3">
      <c r="A2912" s="39">
        <v>46083.397997685184</v>
      </c>
      <c r="B2912" s="33" t="s">
        <v>44</v>
      </c>
      <c r="C2912" s="33">
        <v>4430315538</v>
      </c>
      <c r="E2912" s="33">
        <v>2</v>
      </c>
      <c r="F2912" s="33">
        <v>0</v>
      </c>
      <c r="G2912" s="33" t="s">
        <v>47</v>
      </c>
      <c r="H2912" s="33" t="s">
        <v>9463</v>
      </c>
      <c r="I2912" s="33" t="s">
        <v>46</v>
      </c>
      <c r="J2912" s="33" t="s">
        <v>40</v>
      </c>
    </row>
    <row r="2913" spans="1:12" s="33" customFormat="1" hidden="1" x14ac:dyDescent="0.3">
      <c r="A2913" s="39">
        <v>46083.397939814815</v>
      </c>
      <c r="B2913" s="33" t="s">
        <v>44</v>
      </c>
      <c r="C2913" s="33">
        <v>4430315538</v>
      </c>
      <c r="E2913" s="33">
        <v>2</v>
      </c>
      <c r="F2913" s="33">
        <v>0</v>
      </c>
      <c r="G2913" s="33" t="s">
        <v>47</v>
      </c>
      <c r="H2913" s="33" t="s">
        <v>9464</v>
      </c>
      <c r="I2913" s="33" t="s">
        <v>46</v>
      </c>
      <c r="J2913" s="33" t="s">
        <v>40</v>
      </c>
    </row>
    <row r="2914" spans="1:12" s="33" customFormat="1" hidden="1" x14ac:dyDescent="0.3">
      <c r="A2914" s="39">
        <v>46083.395173611112</v>
      </c>
      <c r="B2914" s="33">
        <v>4435226025</v>
      </c>
      <c r="C2914" s="33" t="s">
        <v>43</v>
      </c>
      <c r="D2914" s="33">
        <v>4430265054</v>
      </c>
      <c r="E2914" s="33">
        <v>702</v>
      </c>
      <c r="F2914" s="33">
        <v>644</v>
      </c>
      <c r="G2914" s="33" t="s">
        <v>38</v>
      </c>
      <c r="H2914" s="33" t="s">
        <v>9465</v>
      </c>
      <c r="I2914" s="33" t="s">
        <v>39</v>
      </c>
      <c r="J2914" s="33" t="s">
        <v>40</v>
      </c>
      <c r="K2914" s="33" t="s">
        <v>41</v>
      </c>
    </row>
    <row r="2915" spans="1:12" s="33" customFormat="1" hidden="1" x14ac:dyDescent="0.3">
      <c r="A2915" s="39">
        <v>46083.392048611109</v>
      </c>
      <c r="B2915" s="33" t="s">
        <v>5173</v>
      </c>
      <c r="C2915" s="33">
        <v>71996771061</v>
      </c>
      <c r="E2915" s="33">
        <v>433</v>
      </c>
      <c r="F2915" s="33">
        <v>428</v>
      </c>
      <c r="G2915" s="33" t="s">
        <v>38</v>
      </c>
      <c r="H2915" s="33" t="s">
        <v>9466</v>
      </c>
      <c r="I2915" s="33" t="s">
        <v>46</v>
      </c>
      <c r="J2915" s="33" t="s">
        <v>3629</v>
      </c>
    </row>
    <row r="2916" spans="1:12" s="33" customFormat="1" hidden="1" x14ac:dyDescent="0.3">
      <c r="A2916" s="39">
        <v>46083.389745370368</v>
      </c>
      <c r="B2916" s="33" t="s">
        <v>5173</v>
      </c>
      <c r="C2916" s="33">
        <v>11959681858</v>
      </c>
      <c r="E2916" s="33">
        <v>38</v>
      </c>
      <c r="F2916" s="33">
        <v>1</v>
      </c>
      <c r="G2916" s="33" t="s">
        <v>38</v>
      </c>
      <c r="H2916" s="33" t="s">
        <v>9467</v>
      </c>
      <c r="I2916" s="33" t="s">
        <v>46</v>
      </c>
      <c r="J2916" s="33" t="s">
        <v>3629</v>
      </c>
    </row>
    <row r="2917" spans="1:12" s="33" customFormat="1" hidden="1" x14ac:dyDescent="0.3">
      <c r="A2917" s="39">
        <v>46083.389479166668</v>
      </c>
      <c r="B2917" s="33">
        <v>4330332823</v>
      </c>
      <c r="C2917" s="33" t="s">
        <v>37</v>
      </c>
      <c r="D2917" s="33">
        <v>4430265054</v>
      </c>
      <c r="E2917" s="33">
        <v>249</v>
      </c>
      <c r="F2917" s="33">
        <v>204</v>
      </c>
      <c r="G2917" s="33" t="s">
        <v>38</v>
      </c>
      <c r="H2917" s="33" t="s">
        <v>9468</v>
      </c>
      <c r="I2917" s="33" t="s">
        <v>39</v>
      </c>
      <c r="J2917" s="33" t="s">
        <v>40</v>
      </c>
      <c r="K2917" s="33" t="s">
        <v>41</v>
      </c>
      <c r="L2917" s="33">
        <v>5</v>
      </c>
    </row>
    <row r="2918" spans="1:12" s="33" customFormat="1" hidden="1" x14ac:dyDescent="0.3">
      <c r="A2918" s="39">
        <v>46083.385081018518</v>
      </c>
      <c r="B2918" s="33">
        <v>44997650834</v>
      </c>
      <c r="C2918" s="33" t="s">
        <v>45</v>
      </c>
      <c r="D2918" s="33">
        <v>4430265054</v>
      </c>
      <c r="E2918" s="33">
        <v>271</v>
      </c>
      <c r="F2918" s="33">
        <v>203</v>
      </c>
      <c r="G2918" s="33" t="s">
        <v>38</v>
      </c>
      <c r="H2918" s="33" t="s">
        <v>9469</v>
      </c>
      <c r="I2918" s="33" t="s">
        <v>39</v>
      </c>
      <c r="J2918" s="33" t="s">
        <v>40</v>
      </c>
      <c r="K2918" s="33" t="s">
        <v>41</v>
      </c>
      <c r="L2918" s="33">
        <v>5</v>
      </c>
    </row>
    <row r="2919" spans="1:12" s="33" customFormat="1" hidden="1" x14ac:dyDescent="0.3">
      <c r="A2919" s="39">
        <v>46083.376435185186</v>
      </c>
      <c r="B2919" s="33">
        <v>4430315538</v>
      </c>
      <c r="C2919" s="33" t="s">
        <v>44</v>
      </c>
      <c r="D2919" s="33">
        <v>4430265054</v>
      </c>
      <c r="E2919" s="33">
        <v>590</v>
      </c>
      <c r="F2919" s="33">
        <v>550</v>
      </c>
      <c r="G2919" s="33" t="s">
        <v>38</v>
      </c>
      <c r="H2919" s="33" t="s">
        <v>9470</v>
      </c>
      <c r="I2919" s="33" t="s">
        <v>39</v>
      </c>
      <c r="J2919" s="33" t="s">
        <v>40</v>
      </c>
      <c r="K2919" s="33" t="s">
        <v>41</v>
      </c>
    </row>
    <row r="2920" spans="1:12" s="33" customFormat="1" hidden="1" x14ac:dyDescent="0.3">
      <c r="A2920" s="39">
        <v>46083.37568287037</v>
      </c>
      <c r="B2920" s="33">
        <v>44991388221</v>
      </c>
      <c r="C2920" s="33" t="s">
        <v>45</v>
      </c>
      <c r="D2920" s="33">
        <v>4430265054</v>
      </c>
      <c r="E2920" s="33">
        <v>415</v>
      </c>
      <c r="F2920" s="33">
        <v>365</v>
      </c>
      <c r="G2920" s="33" t="s">
        <v>38</v>
      </c>
      <c r="H2920" s="33" t="s">
        <v>9471</v>
      </c>
      <c r="I2920" s="33" t="s">
        <v>39</v>
      </c>
      <c r="J2920" s="33" t="s">
        <v>40</v>
      </c>
      <c r="K2920" s="33" t="s">
        <v>41</v>
      </c>
      <c r="L2920" s="33">
        <v>5</v>
      </c>
    </row>
    <row r="2921" spans="1:12" s="33" customFormat="1" hidden="1" x14ac:dyDescent="0.3">
      <c r="A2921" s="39">
        <v>46083.372858796298</v>
      </c>
      <c r="B2921" s="33" t="s">
        <v>45</v>
      </c>
      <c r="C2921" s="33">
        <v>4430459032</v>
      </c>
      <c r="E2921" s="33">
        <v>196</v>
      </c>
      <c r="F2921" s="33">
        <v>195</v>
      </c>
      <c r="G2921" s="33" t="s">
        <v>38</v>
      </c>
      <c r="H2921" s="33" t="s">
        <v>9472</v>
      </c>
      <c r="I2921" s="33" t="s">
        <v>46</v>
      </c>
      <c r="J2921" s="33" t="s">
        <v>40</v>
      </c>
    </row>
    <row r="2922" spans="1:12" s="33" customFormat="1" hidden="1" x14ac:dyDescent="0.3">
      <c r="A2922" s="39">
        <v>46083.367719907408</v>
      </c>
      <c r="B2922" s="33">
        <v>73982188717</v>
      </c>
      <c r="C2922" s="33" t="s">
        <v>48</v>
      </c>
      <c r="D2922" s="33">
        <v>4430265054</v>
      </c>
      <c r="E2922" s="33">
        <v>158</v>
      </c>
      <c r="F2922" s="33">
        <v>111</v>
      </c>
      <c r="G2922" s="33" t="s">
        <v>38</v>
      </c>
      <c r="H2922" s="33" t="s">
        <v>9473</v>
      </c>
      <c r="I2922" s="33" t="s">
        <v>39</v>
      </c>
      <c r="J2922" s="33" t="s">
        <v>40</v>
      </c>
      <c r="K2922" s="33" t="s">
        <v>41</v>
      </c>
    </row>
    <row r="2923" spans="1:12" s="33" customFormat="1" hidden="1" x14ac:dyDescent="0.3">
      <c r="A2923" s="39">
        <v>46083.367303240739</v>
      </c>
      <c r="B2923" s="33">
        <v>4430459032</v>
      </c>
      <c r="C2923" s="33" t="s">
        <v>45</v>
      </c>
      <c r="D2923" s="33">
        <v>4430265054</v>
      </c>
      <c r="E2923" s="33">
        <v>473</v>
      </c>
      <c r="F2923" s="33">
        <v>388</v>
      </c>
      <c r="G2923" s="33" t="s">
        <v>38</v>
      </c>
      <c r="H2923" s="33" t="s">
        <v>9474</v>
      </c>
      <c r="I2923" s="33" t="s">
        <v>39</v>
      </c>
      <c r="J2923" s="33" t="s">
        <v>40</v>
      </c>
      <c r="K2923" s="33" t="s">
        <v>41</v>
      </c>
    </row>
    <row r="2924" spans="1:12" s="33" customFormat="1" hidden="1" x14ac:dyDescent="0.3">
      <c r="A2924" s="39">
        <v>46083.365347222221</v>
      </c>
      <c r="B2924" s="33">
        <v>3432424736</v>
      </c>
      <c r="C2924" s="33" t="s">
        <v>44</v>
      </c>
      <c r="D2924" s="33">
        <v>4430265054</v>
      </c>
      <c r="E2924" s="33">
        <v>752</v>
      </c>
      <c r="F2924" s="33">
        <v>655</v>
      </c>
      <c r="G2924" s="33" t="s">
        <v>38</v>
      </c>
      <c r="H2924" s="33" t="s">
        <v>9475</v>
      </c>
      <c r="I2924" s="33" t="s">
        <v>39</v>
      </c>
      <c r="J2924" s="33" t="s">
        <v>40</v>
      </c>
      <c r="K2924" s="33" t="s">
        <v>41</v>
      </c>
    </row>
    <row r="2925" spans="1:12" s="33" customFormat="1" hidden="1" x14ac:dyDescent="0.3">
      <c r="A2925" s="39">
        <v>46083.361273148148</v>
      </c>
      <c r="B2925" s="33" t="s">
        <v>44</v>
      </c>
      <c r="C2925" s="33">
        <v>44999689445</v>
      </c>
      <c r="E2925" s="33">
        <v>90</v>
      </c>
      <c r="F2925" s="33">
        <v>83</v>
      </c>
      <c r="G2925" s="33" t="s">
        <v>38</v>
      </c>
      <c r="H2925" s="33" t="s">
        <v>9476</v>
      </c>
      <c r="I2925" s="33" t="s">
        <v>46</v>
      </c>
      <c r="J2925" s="33" t="s">
        <v>40</v>
      </c>
    </row>
    <row r="2926" spans="1:12" s="33" customFormat="1" hidden="1" x14ac:dyDescent="0.3">
      <c r="A2926" s="39">
        <v>46083.360960648148</v>
      </c>
      <c r="B2926" s="33" t="s">
        <v>42</v>
      </c>
      <c r="C2926" s="33">
        <v>4439001698</v>
      </c>
      <c r="E2926" s="33">
        <v>381</v>
      </c>
      <c r="F2926" s="33">
        <v>367</v>
      </c>
      <c r="G2926" s="33" t="s">
        <v>38</v>
      </c>
      <c r="H2926" s="33" t="s">
        <v>9477</v>
      </c>
      <c r="I2926" s="33" t="s">
        <v>46</v>
      </c>
      <c r="J2926" s="33" t="s">
        <v>40</v>
      </c>
    </row>
    <row r="2927" spans="1:12" s="33" customFormat="1" hidden="1" x14ac:dyDescent="0.3">
      <c r="A2927" s="39">
        <v>46083.359988425924</v>
      </c>
      <c r="B2927" s="33" t="s">
        <v>42</v>
      </c>
      <c r="C2927" s="33">
        <v>4430456097</v>
      </c>
      <c r="E2927" s="33">
        <v>61</v>
      </c>
      <c r="F2927" s="33">
        <v>0</v>
      </c>
      <c r="G2927" s="33" t="s">
        <v>47</v>
      </c>
      <c r="H2927" s="33" t="s">
        <v>9478</v>
      </c>
      <c r="I2927" s="33" t="s">
        <v>46</v>
      </c>
      <c r="J2927" s="33" t="s">
        <v>40</v>
      </c>
    </row>
    <row r="2928" spans="1:12" s="33" customFormat="1" hidden="1" x14ac:dyDescent="0.3">
      <c r="A2928" s="39">
        <v>46083.355370370373</v>
      </c>
      <c r="B2928" s="33">
        <v>44999550006</v>
      </c>
      <c r="C2928" s="33" t="s">
        <v>45</v>
      </c>
      <c r="D2928" s="33">
        <v>4430265054</v>
      </c>
      <c r="E2928" s="33">
        <v>196</v>
      </c>
      <c r="F2928" s="33">
        <v>148</v>
      </c>
      <c r="G2928" s="33" t="s">
        <v>38</v>
      </c>
      <c r="H2928" s="33" t="s">
        <v>9479</v>
      </c>
      <c r="I2928" s="33" t="s">
        <v>39</v>
      </c>
      <c r="J2928" s="33" t="s">
        <v>40</v>
      </c>
      <c r="K2928" s="33" t="s">
        <v>41</v>
      </c>
    </row>
    <row r="2929" spans="1:10" s="33" customFormat="1" hidden="1" x14ac:dyDescent="0.3">
      <c r="A2929" s="39">
        <v>46083.352766203701</v>
      </c>
      <c r="B2929" s="33" t="s">
        <v>44</v>
      </c>
      <c r="C2929" s="33">
        <v>4432677399</v>
      </c>
      <c r="E2929" s="33">
        <v>336</v>
      </c>
      <c r="F2929" s="33">
        <v>326</v>
      </c>
      <c r="G2929" s="33" t="s">
        <v>38</v>
      </c>
      <c r="H2929" s="33" t="s">
        <v>9480</v>
      </c>
      <c r="I2929" s="33" t="s">
        <v>46</v>
      </c>
      <c r="J2929" s="33" t="s">
        <v>40</v>
      </c>
    </row>
    <row r="2930" spans="1:10" s="33" customFormat="1" hidden="1" x14ac:dyDescent="0.3">
      <c r="A2930" s="39">
        <v>46083.352731481478</v>
      </c>
      <c r="B2930" s="33" t="s">
        <v>44</v>
      </c>
      <c r="C2930" s="33">
        <v>4432677399</v>
      </c>
      <c r="E2930" s="33">
        <v>2</v>
      </c>
      <c r="F2930" s="33">
        <v>0</v>
      </c>
      <c r="G2930" s="33" t="s">
        <v>47</v>
      </c>
      <c r="H2930" s="33" t="s">
        <v>9481</v>
      </c>
      <c r="I2930" s="33" t="s">
        <v>46</v>
      </c>
      <c r="J2930" s="33" t="s">
        <v>40</v>
      </c>
    </row>
    <row r="2931" spans="1:10" s="33" customFormat="1" hidden="1" x14ac:dyDescent="0.3">
      <c r="A2931" s="39">
        <v>46083.352546296293</v>
      </c>
      <c r="B2931" s="33" t="s">
        <v>44</v>
      </c>
      <c r="C2931" s="33">
        <v>4432677399</v>
      </c>
      <c r="E2931" s="33">
        <v>6</v>
      </c>
      <c r="F2931" s="33">
        <v>0</v>
      </c>
      <c r="G2931" s="33" t="s">
        <v>47</v>
      </c>
      <c r="H2931" s="33" t="s">
        <v>9482</v>
      </c>
      <c r="I2931" s="33" t="s">
        <v>46</v>
      </c>
      <c r="J2931" s="33" t="s">
        <v>40</v>
      </c>
    </row>
    <row r="2932" spans="1:10" s="33" customFormat="1" hidden="1" x14ac:dyDescent="0.3">
      <c r="A2932" s="39">
        <v>46083.352175925924</v>
      </c>
      <c r="B2932" s="33" t="s">
        <v>43</v>
      </c>
      <c r="C2932" s="33">
        <v>4430162376</v>
      </c>
      <c r="E2932" s="33">
        <v>473</v>
      </c>
      <c r="F2932" s="33">
        <v>459</v>
      </c>
      <c r="G2932" s="33" t="s">
        <v>38</v>
      </c>
      <c r="H2932" s="33" t="s">
        <v>9483</v>
      </c>
      <c r="I2932" s="33" t="s">
        <v>46</v>
      </c>
      <c r="J2932" s="33" t="s">
        <v>40</v>
      </c>
    </row>
    <row r="2933" spans="1:10" s="33" customFormat="1" hidden="1" x14ac:dyDescent="0.3">
      <c r="A2933" s="39">
        <v>46083.351041666669</v>
      </c>
      <c r="B2933" s="33">
        <v>44999550006</v>
      </c>
      <c r="C2933" s="33">
        <v>4430265054</v>
      </c>
      <c r="D2933" s="33">
        <v>4430265054</v>
      </c>
      <c r="E2933" s="33">
        <v>12</v>
      </c>
      <c r="F2933" s="33">
        <v>11</v>
      </c>
      <c r="G2933" s="33" t="s">
        <v>3449</v>
      </c>
      <c r="H2933" s="33" t="s">
        <v>9484</v>
      </c>
      <c r="I2933" s="33" t="s">
        <v>39</v>
      </c>
      <c r="J2933" s="33" t="s">
        <v>3451</v>
      </c>
    </row>
    <row r="2934" spans="1:10" s="33" customFormat="1" hidden="1" x14ac:dyDescent="0.3">
      <c r="A2934" s="39">
        <v>46083.350995370369</v>
      </c>
      <c r="B2934" s="33" t="s">
        <v>42</v>
      </c>
      <c r="C2934" s="33">
        <v>4432268889</v>
      </c>
      <c r="E2934" s="33">
        <v>182</v>
      </c>
      <c r="F2934" s="33">
        <v>166</v>
      </c>
      <c r="G2934" s="33" t="s">
        <v>38</v>
      </c>
      <c r="H2934" s="33" t="s">
        <v>9485</v>
      </c>
      <c r="I2934" s="33" t="s">
        <v>46</v>
      </c>
      <c r="J2934" s="33" t="s">
        <v>40</v>
      </c>
    </row>
    <row r="2935" spans="1:10" s="33" customFormat="1" hidden="1" x14ac:dyDescent="0.3">
      <c r="A2935" s="39">
        <v>46083.338425925926</v>
      </c>
      <c r="B2935" s="33">
        <v>4430459032</v>
      </c>
      <c r="C2935" s="33">
        <v>4430265054</v>
      </c>
      <c r="D2935" s="33">
        <v>4430265054</v>
      </c>
      <c r="E2935" s="33">
        <v>16</v>
      </c>
      <c r="F2935" s="33">
        <v>15</v>
      </c>
      <c r="G2935" s="33" t="s">
        <v>3449</v>
      </c>
      <c r="H2935" s="33" t="s">
        <v>9486</v>
      </c>
      <c r="I2935" s="33" t="s">
        <v>39</v>
      </c>
      <c r="J2935" s="33" t="s">
        <v>3451</v>
      </c>
    </row>
  </sheetData>
  <autoFilter ref="A1:L2935" xr:uid="{1925E673-B92D-4842-81BB-10C01394CAF3}">
    <filterColumn colId="2">
      <filters>
        <filter val="PSYSTEM_1001"/>
      </filters>
    </filterColumn>
    <filterColumn colId="4">
      <customFilters>
        <customFilter operator="greaterThan" val="100"/>
      </customFilters>
    </filterColumn>
    <filterColumn colId="1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50EF-5C9F-4980-B404-19C8D141AC41}">
  <dimension ref="A1:E115"/>
  <sheetViews>
    <sheetView zoomScale="87" workbookViewId="0">
      <pane ySplit="1" topLeftCell="A51" activePane="bottomLeft" state="frozen"/>
      <selection activeCell="L27" sqref="L27:L3095"/>
      <selection pane="bottomLeft" activeCell="E2" sqref="E2:E60"/>
    </sheetView>
  </sheetViews>
  <sheetFormatPr defaultRowHeight="14.4" x14ac:dyDescent="0.3"/>
  <cols>
    <col min="1" max="1" width="17.77734375" style="33" bestFit="1" customWidth="1"/>
    <col min="2" max="2" width="14.77734375" style="33" bestFit="1" customWidth="1"/>
    <col min="3" max="4" width="16.33203125" style="33" bestFit="1" customWidth="1"/>
    <col min="5" max="5" width="17.44140625" style="33" bestFit="1" customWidth="1"/>
    <col min="6" max="16384" width="8.88671875" style="33"/>
  </cols>
  <sheetData>
    <row r="1" spans="1:5" x14ac:dyDescent="0.3">
      <c r="A1" s="30" t="s">
        <v>20</v>
      </c>
      <c r="B1" s="30" t="s">
        <v>19</v>
      </c>
      <c r="C1" s="30" t="s">
        <v>21</v>
      </c>
      <c r="D1" s="30" t="s">
        <v>32</v>
      </c>
      <c r="E1" s="30" t="s">
        <v>22</v>
      </c>
    </row>
    <row r="2" spans="1:5" x14ac:dyDescent="0.3">
      <c r="A2" s="33">
        <v>5</v>
      </c>
      <c r="B2" s="33">
        <v>5</v>
      </c>
      <c r="C2" s="33">
        <v>5</v>
      </c>
      <c r="D2" s="33">
        <v>5</v>
      </c>
      <c r="E2" s="33">
        <v>5</v>
      </c>
    </row>
    <row r="3" spans="1:5" x14ac:dyDescent="0.3">
      <c r="A3" s="33">
        <v>5</v>
      </c>
      <c r="B3" s="33">
        <v>5</v>
      </c>
      <c r="C3" s="33">
        <v>5</v>
      </c>
      <c r="D3" s="33">
        <v>5</v>
      </c>
      <c r="E3" s="33">
        <v>5</v>
      </c>
    </row>
    <row r="4" spans="1:5" x14ac:dyDescent="0.3">
      <c r="A4" s="33">
        <v>5</v>
      </c>
      <c r="B4" s="33">
        <v>5</v>
      </c>
      <c r="C4" s="33">
        <v>5</v>
      </c>
      <c r="D4" s="33">
        <v>5</v>
      </c>
      <c r="E4" s="33">
        <v>5</v>
      </c>
    </row>
    <row r="5" spans="1:5" x14ac:dyDescent="0.3">
      <c r="A5" s="33">
        <v>4</v>
      </c>
      <c r="B5" s="33">
        <v>5</v>
      </c>
      <c r="C5" s="33">
        <v>5</v>
      </c>
      <c r="D5" s="33">
        <v>5</v>
      </c>
      <c r="E5" s="33">
        <v>5</v>
      </c>
    </row>
    <row r="6" spans="1:5" x14ac:dyDescent="0.3">
      <c r="A6" s="33">
        <v>5</v>
      </c>
      <c r="B6" s="33">
        <v>5</v>
      </c>
      <c r="C6" s="33">
        <v>5</v>
      </c>
      <c r="D6" s="33">
        <v>5</v>
      </c>
      <c r="E6" s="33">
        <v>5</v>
      </c>
    </row>
    <row r="7" spans="1:5" x14ac:dyDescent="0.3">
      <c r="A7" s="33">
        <v>5</v>
      </c>
      <c r="B7" s="33">
        <v>5</v>
      </c>
      <c r="C7" s="33">
        <v>5</v>
      </c>
      <c r="D7" s="33">
        <v>5</v>
      </c>
      <c r="E7" s="33">
        <v>5</v>
      </c>
    </row>
    <row r="8" spans="1:5" x14ac:dyDescent="0.3">
      <c r="A8" s="33">
        <v>5</v>
      </c>
      <c r="B8" s="33">
        <v>5</v>
      </c>
      <c r="C8" s="33">
        <v>5</v>
      </c>
      <c r="D8" s="33">
        <v>5</v>
      </c>
      <c r="E8" s="33">
        <v>5</v>
      </c>
    </row>
    <row r="9" spans="1:5" x14ac:dyDescent="0.3">
      <c r="A9" s="33">
        <v>5</v>
      </c>
      <c r="B9" s="33">
        <v>5</v>
      </c>
      <c r="C9" s="33">
        <v>5</v>
      </c>
      <c r="D9" s="33">
        <v>4</v>
      </c>
      <c r="E9" s="33">
        <v>5</v>
      </c>
    </row>
    <row r="10" spans="1:5" x14ac:dyDescent="0.3">
      <c r="A10" s="33">
        <v>5</v>
      </c>
      <c r="B10" s="33">
        <v>5</v>
      </c>
      <c r="C10" s="33">
        <v>4</v>
      </c>
      <c r="D10" s="33">
        <v>5</v>
      </c>
      <c r="E10" s="33">
        <v>5</v>
      </c>
    </row>
    <row r="11" spans="1:5" x14ac:dyDescent="0.3">
      <c r="A11" s="33">
        <v>5</v>
      </c>
      <c r="B11" s="33">
        <v>5</v>
      </c>
      <c r="C11" s="33">
        <v>5</v>
      </c>
      <c r="D11" s="33">
        <v>5</v>
      </c>
      <c r="E11" s="33">
        <v>5</v>
      </c>
    </row>
    <row r="12" spans="1:5" x14ac:dyDescent="0.3">
      <c r="A12" s="33">
        <v>5</v>
      </c>
      <c r="B12" s="33">
        <v>4</v>
      </c>
      <c r="C12" s="33">
        <v>5</v>
      </c>
      <c r="D12" s="33">
        <v>5</v>
      </c>
      <c r="E12" s="33">
        <v>5</v>
      </c>
    </row>
    <row r="13" spans="1:5" x14ac:dyDescent="0.3">
      <c r="A13" s="33">
        <v>5</v>
      </c>
      <c r="B13" s="33">
        <v>5</v>
      </c>
      <c r="C13" s="33">
        <v>5</v>
      </c>
      <c r="D13" s="33">
        <v>5</v>
      </c>
      <c r="E13" s="33">
        <v>5</v>
      </c>
    </row>
    <row r="14" spans="1:5" x14ac:dyDescent="0.3">
      <c r="A14" s="33">
        <v>5</v>
      </c>
      <c r="B14" s="33">
        <v>4</v>
      </c>
      <c r="C14" s="33">
        <v>5</v>
      </c>
      <c r="D14" s="33">
        <v>5</v>
      </c>
      <c r="E14" s="33">
        <v>5</v>
      </c>
    </row>
    <row r="15" spans="1:5" x14ac:dyDescent="0.3">
      <c r="A15" s="33">
        <v>5</v>
      </c>
      <c r="B15" s="33">
        <v>5</v>
      </c>
      <c r="C15" s="33">
        <v>5</v>
      </c>
      <c r="D15" s="33">
        <v>5</v>
      </c>
      <c r="E15" s="33">
        <v>5</v>
      </c>
    </row>
    <row r="16" spans="1:5" x14ac:dyDescent="0.3">
      <c r="A16" s="33">
        <v>5</v>
      </c>
      <c r="B16" s="33">
        <v>5</v>
      </c>
      <c r="C16" s="33">
        <v>5</v>
      </c>
      <c r="D16" s="33">
        <v>5</v>
      </c>
      <c r="E16" s="33">
        <v>5</v>
      </c>
    </row>
    <row r="17" spans="1:5" x14ac:dyDescent="0.3">
      <c r="A17" s="37">
        <v>5</v>
      </c>
      <c r="B17" s="33">
        <v>5</v>
      </c>
      <c r="C17" s="33">
        <v>5</v>
      </c>
      <c r="D17" s="33">
        <v>5</v>
      </c>
      <c r="E17" s="33">
        <v>5</v>
      </c>
    </row>
    <row r="18" spans="1:5" x14ac:dyDescent="0.3">
      <c r="A18" s="33">
        <v>5</v>
      </c>
      <c r="B18" s="33">
        <v>5</v>
      </c>
      <c r="C18" s="33">
        <v>5</v>
      </c>
      <c r="D18" s="33">
        <v>5</v>
      </c>
      <c r="E18" s="33">
        <v>5</v>
      </c>
    </row>
    <row r="19" spans="1:5" x14ac:dyDescent="0.3">
      <c r="A19" s="33">
        <v>5</v>
      </c>
      <c r="B19" s="33">
        <v>5</v>
      </c>
      <c r="C19" s="33">
        <v>5</v>
      </c>
      <c r="D19" s="33">
        <v>5</v>
      </c>
      <c r="E19" s="33">
        <v>5</v>
      </c>
    </row>
    <row r="20" spans="1:5" x14ac:dyDescent="0.3">
      <c r="A20" s="33">
        <v>5</v>
      </c>
      <c r="B20" s="33">
        <v>5</v>
      </c>
      <c r="C20" s="33">
        <v>5</v>
      </c>
      <c r="D20" s="33">
        <v>5</v>
      </c>
      <c r="E20" s="33">
        <v>5</v>
      </c>
    </row>
    <row r="21" spans="1:5" x14ac:dyDescent="0.3">
      <c r="A21" s="37">
        <v>4</v>
      </c>
      <c r="B21" s="33">
        <v>5</v>
      </c>
      <c r="C21" s="33">
        <v>5</v>
      </c>
      <c r="D21" s="33">
        <v>5</v>
      </c>
      <c r="E21" s="33">
        <v>5</v>
      </c>
    </row>
    <row r="22" spans="1:5" x14ac:dyDescent="0.3">
      <c r="A22" s="33">
        <v>5</v>
      </c>
      <c r="B22" s="33">
        <v>4</v>
      </c>
      <c r="C22" s="33">
        <v>5</v>
      </c>
      <c r="D22" s="33">
        <v>5</v>
      </c>
      <c r="E22" s="33">
        <v>5</v>
      </c>
    </row>
    <row r="23" spans="1:5" x14ac:dyDescent="0.3">
      <c r="A23" s="33">
        <v>5</v>
      </c>
      <c r="B23" s="33">
        <v>5</v>
      </c>
      <c r="C23" s="33">
        <v>5</v>
      </c>
      <c r="D23" s="33">
        <v>5</v>
      </c>
      <c r="E23" s="33">
        <v>5</v>
      </c>
    </row>
    <row r="24" spans="1:5" x14ac:dyDescent="0.3">
      <c r="A24" s="33">
        <v>5</v>
      </c>
      <c r="B24" s="33">
        <v>5</v>
      </c>
      <c r="C24" s="33">
        <v>5</v>
      </c>
      <c r="D24" s="33">
        <v>4</v>
      </c>
      <c r="E24" s="33">
        <v>5</v>
      </c>
    </row>
    <row r="25" spans="1:5" x14ac:dyDescent="0.3">
      <c r="A25" s="33">
        <v>5</v>
      </c>
      <c r="B25" s="33">
        <v>5</v>
      </c>
      <c r="C25" s="33">
        <v>5</v>
      </c>
      <c r="D25" s="33">
        <v>5</v>
      </c>
      <c r="E25" s="33">
        <v>5</v>
      </c>
    </row>
    <row r="26" spans="1:5" x14ac:dyDescent="0.3">
      <c r="A26" s="33">
        <v>5</v>
      </c>
      <c r="B26" s="33">
        <v>5</v>
      </c>
      <c r="C26" s="33">
        <v>5</v>
      </c>
      <c r="D26" s="33">
        <v>5</v>
      </c>
      <c r="E26" s="33">
        <v>5</v>
      </c>
    </row>
    <row r="27" spans="1:5" x14ac:dyDescent="0.3">
      <c r="A27" s="33">
        <v>5</v>
      </c>
      <c r="B27" s="33">
        <v>5</v>
      </c>
      <c r="C27" s="33">
        <v>5</v>
      </c>
      <c r="D27" s="33">
        <v>5</v>
      </c>
      <c r="E27" s="33">
        <v>5</v>
      </c>
    </row>
    <row r="28" spans="1:5" x14ac:dyDescent="0.3">
      <c r="A28" s="33">
        <v>5</v>
      </c>
      <c r="B28" s="33">
        <v>5</v>
      </c>
      <c r="C28" s="33">
        <v>5</v>
      </c>
      <c r="D28" s="33">
        <v>5</v>
      </c>
      <c r="E28" s="33">
        <v>5</v>
      </c>
    </row>
    <row r="29" spans="1:5" x14ac:dyDescent="0.3">
      <c r="A29" s="33">
        <v>5</v>
      </c>
      <c r="B29" s="33">
        <v>5</v>
      </c>
      <c r="C29" s="33">
        <v>5</v>
      </c>
      <c r="D29" s="33">
        <v>5</v>
      </c>
      <c r="E29" s="33">
        <v>5</v>
      </c>
    </row>
    <row r="30" spans="1:5" x14ac:dyDescent="0.3">
      <c r="A30" s="33">
        <v>5</v>
      </c>
      <c r="B30" s="33">
        <v>5</v>
      </c>
      <c r="C30" s="33">
        <v>5</v>
      </c>
      <c r="D30" s="33">
        <v>5</v>
      </c>
      <c r="E30" s="33">
        <v>5</v>
      </c>
    </row>
    <row r="31" spans="1:5" x14ac:dyDescent="0.3">
      <c r="A31" s="33">
        <v>5</v>
      </c>
      <c r="B31" s="33">
        <v>5</v>
      </c>
      <c r="C31" s="33">
        <v>5</v>
      </c>
      <c r="D31" s="33">
        <v>5</v>
      </c>
      <c r="E31" s="33">
        <v>5</v>
      </c>
    </row>
    <row r="32" spans="1:5" x14ac:dyDescent="0.3">
      <c r="A32" s="33">
        <v>5</v>
      </c>
      <c r="B32" s="33">
        <v>5</v>
      </c>
      <c r="C32" s="33">
        <v>5</v>
      </c>
      <c r="D32" s="33">
        <v>5</v>
      </c>
      <c r="E32" s="33">
        <v>5</v>
      </c>
    </row>
    <row r="33" spans="1:5" x14ac:dyDescent="0.3">
      <c r="A33" s="33">
        <v>5</v>
      </c>
      <c r="B33" s="33">
        <v>5</v>
      </c>
      <c r="C33" s="33">
        <v>5</v>
      </c>
      <c r="D33" s="33">
        <v>5</v>
      </c>
      <c r="E33" s="33">
        <v>5</v>
      </c>
    </row>
    <row r="34" spans="1:5" x14ac:dyDescent="0.3">
      <c r="A34" s="33">
        <v>5</v>
      </c>
      <c r="B34" s="33">
        <v>5</v>
      </c>
      <c r="C34" s="33">
        <v>5</v>
      </c>
      <c r="D34" s="33">
        <v>5</v>
      </c>
      <c r="E34" s="33">
        <v>5</v>
      </c>
    </row>
    <row r="35" spans="1:5" x14ac:dyDescent="0.3">
      <c r="A35" s="33">
        <v>5</v>
      </c>
      <c r="B35" s="33">
        <v>5</v>
      </c>
      <c r="C35" s="33">
        <v>5</v>
      </c>
      <c r="D35" s="33">
        <v>5</v>
      </c>
      <c r="E35" s="33">
        <v>5</v>
      </c>
    </row>
    <row r="36" spans="1:5" x14ac:dyDescent="0.3">
      <c r="A36" s="33">
        <v>5</v>
      </c>
      <c r="B36" s="33">
        <v>5</v>
      </c>
      <c r="C36" s="33">
        <v>5</v>
      </c>
      <c r="D36" s="33">
        <v>5</v>
      </c>
      <c r="E36" s="33">
        <v>5</v>
      </c>
    </row>
    <row r="37" spans="1:5" x14ac:dyDescent="0.3">
      <c r="A37" s="33">
        <v>5</v>
      </c>
      <c r="B37" s="33">
        <v>5</v>
      </c>
      <c r="C37" s="33">
        <v>5</v>
      </c>
      <c r="D37" s="33">
        <v>4</v>
      </c>
      <c r="E37" s="33">
        <v>5</v>
      </c>
    </row>
    <row r="38" spans="1:5" x14ac:dyDescent="0.3">
      <c r="A38" s="33">
        <v>5</v>
      </c>
      <c r="B38" s="33">
        <v>5</v>
      </c>
      <c r="C38" s="33">
        <v>5</v>
      </c>
      <c r="D38" s="33">
        <v>5</v>
      </c>
      <c r="E38" s="33">
        <v>5</v>
      </c>
    </row>
    <row r="39" spans="1:5" x14ac:dyDescent="0.3">
      <c r="A39" s="33">
        <v>5</v>
      </c>
      <c r="B39" s="33">
        <v>5</v>
      </c>
      <c r="C39" s="33">
        <v>5</v>
      </c>
      <c r="D39" s="33">
        <v>5</v>
      </c>
      <c r="E39" s="33">
        <v>5</v>
      </c>
    </row>
    <row r="40" spans="1:5" x14ac:dyDescent="0.3">
      <c r="A40" s="33">
        <v>5</v>
      </c>
      <c r="B40" s="33">
        <v>5</v>
      </c>
      <c r="C40" s="33">
        <v>5</v>
      </c>
      <c r="D40" s="33">
        <v>5</v>
      </c>
      <c r="E40" s="33">
        <v>5</v>
      </c>
    </row>
    <row r="41" spans="1:5" x14ac:dyDescent="0.3">
      <c r="A41" s="33">
        <v>5</v>
      </c>
      <c r="B41" s="33">
        <v>5</v>
      </c>
      <c r="C41" s="33">
        <v>5</v>
      </c>
      <c r="D41" s="33">
        <v>5</v>
      </c>
      <c r="E41" s="33">
        <v>5</v>
      </c>
    </row>
    <row r="42" spans="1:5" x14ac:dyDescent="0.3">
      <c r="A42" s="33">
        <v>5</v>
      </c>
      <c r="B42" s="33">
        <v>3</v>
      </c>
      <c r="C42" s="33">
        <v>5</v>
      </c>
      <c r="D42" s="33">
        <v>5</v>
      </c>
      <c r="E42" s="33">
        <v>5</v>
      </c>
    </row>
    <row r="43" spans="1:5" x14ac:dyDescent="0.3">
      <c r="A43" s="33">
        <v>5</v>
      </c>
      <c r="B43" s="33">
        <v>5</v>
      </c>
      <c r="C43" s="33">
        <v>5</v>
      </c>
      <c r="D43" s="33">
        <v>5</v>
      </c>
      <c r="E43" s="33">
        <v>5</v>
      </c>
    </row>
    <row r="44" spans="1:5" x14ac:dyDescent="0.3">
      <c r="A44" s="33">
        <v>5</v>
      </c>
      <c r="B44" s="33">
        <v>5</v>
      </c>
      <c r="C44" s="33">
        <v>5</v>
      </c>
      <c r="D44" s="33">
        <v>5</v>
      </c>
      <c r="E44" s="33">
        <v>5</v>
      </c>
    </row>
    <row r="45" spans="1:5" x14ac:dyDescent="0.3">
      <c r="A45" s="33">
        <v>5</v>
      </c>
      <c r="B45" s="33">
        <v>5</v>
      </c>
      <c r="C45" s="33">
        <v>5</v>
      </c>
      <c r="D45" s="33">
        <v>5</v>
      </c>
      <c r="E45" s="33">
        <v>5</v>
      </c>
    </row>
    <row r="46" spans="1:5" x14ac:dyDescent="0.3">
      <c r="A46" s="33">
        <v>5</v>
      </c>
      <c r="B46" s="33">
        <v>5</v>
      </c>
      <c r="C46" s="33">
        <v>5</v>
      </c>
      <c r="D46" s="33">
        <v>5</v>
      </c>
      <c r="E46" s="33">
        <v>5</v>
      </c>
    </row>
    <row r="47" spans="1:5" x14ac:dyDescent="0.3">
      <c r="A47" s="33">
        <v>5</v>
      </c>
      <c r="B47" s="33">
        <v>5</v>
      </c>
      <c r="C47" s="33">
        <v>5</v>
      </c>
      <c r="D47" s="33">
        <v>5</v>
      </c>
      <c r="E47" s="33">
        <v>5</v>
      </c>
    </row>
    <row r="48" spans="1:5" x14ac:dyDescent="0.3">
      <c r="A48" s="33">
        <v>5</v>
      </c>
      <c r="B48" s="33">
        <v>5</v>
      </c>
      <c r="C48" s="33">
        <v>5</v>
      </c>
      <c r="D48" s="33">
        <v>5</v>
      </c>
      <c r="E48" s="33">
        <v>5</v>
      </c>
    </row>
    <row r="49" spans="1:5" x14ac:dyDescent="0.3">
      <c r="A49" s="33">
        <v>5</v>
      </c>
      <c r="B49" s="33">
        <v>5</v>
      </c>
      <c r="C49" s="33">
        <v>5</v>
      </c>
      <c r="D49" s="33">
        <v>5</v>
      </c>
      <c r="E49" s="33">
        <v>5</v>
      </c>
    </row>
    <row r="50" spans="1:5" x14ac:dyDescent="0.3">
      <c r="A50" s="33">
        <v>5</v>
      </c>
      <c r="B50" s="33">
        <v>5</v>
      </c>
      <c r="C50" s="33">
        <v>5</v>
      </c>
      <c r="D50" s="33">
        <v>5</v>
      </c>
      <c r="E50" s="33">
        <v>5</v>
      </c>
    </row>
    <row r="51" spans="1:5" x14ac:dyDescent="0.3">
      <c r="A51" s="33">
        <v>3</v>
      </c>
      <c r="B51" s="33">
        <v>5</v>
      </c>
      <c r="C51" s="33">
        <v>5</v>
      </c>
      <c r="D51" s="33">
        <v>5</v>
      </c>
      <c r="E51" s="33">
        <v>5</v>
      </c>
    </row>
    <row r="52" spans="1:5" x14ac:dyDescent="0.3">
      <c r="A52" s="33">
        <v>5</v>
      </c>
      <c r="B52" s="33">
        <v>4</v>
      </c>
      <c r="C52" s="33">
        <v>5</v>
      </c>
      <c r="D52" s="33">
        <v>5</v>
      </c>
      <c r="E52" s="33">
        <v>5</v>
      </c>
    </row>
    <row r="53" spans="1:5" x14ac:dyDescent="0.3">
      <c r="A53" s="33">
        <v>5</v>
      </c>
      <c r="B53" s="33">
        <v>5</v>
      </c>
      <c r="C53" s="33">
        <v>5</v>
      </c>
      <c r="D53" s="33">
        <v>5</v>
      </c>
      <c r="E53" s="33">
        <v>5</v>
      </c>
    </row>
    <row r="54" spans="1:5" x14ac:dyDescent="0.3">
      <c r="A54" s="33">
        <v>5</v>
      </c>
      <c r="B54" s="33">
        <v>5</v>
      </c>
      <c r="C54" s="33">
        <v>5</v>
      </c>
      <c r="D54" s="33">
        <v>4</v>
      </c>
      <c r="E54" s="33">
        <v>5</v>
      </c>
    </row>
    <row r="55" spans="1:5" x14ac:dyDescent="0.3">
      <c r="A55" s="33">
        <v>5</v>
      </c>
      <c r="B55" s="33">
        <v>5</v>
      </c>
      <c r="C55" s="33">
        <v>5</v>
      </c>
      <c r="D55" s="33">
        <v>5</v>
      </c>
      <c r="E55" s="33">
        <v>5</v>
      </c>
    </row>
    <row r="56" spans="1:5" x14ac:dyDescent="0.3">
      <c r="A56" s="33">
        <v>5</v>
      </c>
      <c r="B56" s="33">
        <v>5</v>
      </c>
      <c r="C56" s="33">
        <v>5</v>
      </c>
      <c r="E56" s="33">
        <v>5</v>
      </c>
    </row>
    <row r="57" spans="1:5" x14ac:dyDescent="0.3">
      <c r="A57" s="33">
        <v>5</v>
      </c>
      <c r="B57" s="33">
        <v>5</v>
      </c>
      <c r="C57" s="33">
        <v>5</v>
      </c>
      <c r="E57" s="33">
        <v>5</v>
      </c>
    </row>
    <row r="58" spans="1:5" x14ac:dyDescent="0.3">
      <c r="A58" s="33">
        <v>5</v>
      </c>
      <c r="B58" s="33">
        <v>5</v>
      </c>
      <c r="C58" s="33">
        <v>5</v>
      </c>
      <c r="E58" s="33">
        <v>5</v>
      </c>
    </row>
    <row r="59" spans="1:5" x14ac:dyDescent="0.3">
      <c r="A59" s="33">
        <v>5</v>
      </c>
      <c r="B59" s="33">
        <v>5</v>
      </c>
      <c r="C59" s="33">
        <v>5</v>
      </c>
      <c r="E59" s="33">
        <v>3</v>
      </c>
    </row>
    <row r="60" spans="1:5" x14ac:dyDescent="0.3">
      <c r="A60" s="33">
        <v>5</v>
      </c>
      <c r="B60" s="37">
        <v>5</v>
      </c>
      <c r="C60" s="33">
        <v>5</v>
      </c>
      <c r="E60" s="33">
        <v>5</v>
      </c>
    </row>
    <row r="61" spans="1:5" x14ac:dyDescent="0.3">
      <c r="A61" s="33">
        <v>5</v>
      </c>
      <c r="B61" s="33">
        <v>5</v>
      </c>
      <c r="C61" s="33">
        <v>5</v>
      </c>
    </row>
    <row r="62" spans="1:5" x14ac:dyDescent="0.3">
      <c r="A62" s="33">
        <v>5</v>
      </c>
      <c r="B62" s="33">
        <v>5</v>
      </c>
      <c r="C62" s="33">
        <v>5</v>
      </c>
    </row>
    <row r="63" spans="1:5" x14ac:dyDescent="0.3">
      <c r="A63" s="33">
        <v>5</v>
      </c>
      <c r="B63" s="33">
        <v>5</v>
      </c>
      <c r="C63" s="33">
        <v>5</v>
      </c>
    </row>
    <row r="64" spans="1:5" x14ac:dyDescent="0.3">
      <c r="A64" s="33">
        <v>5</v>
      </c>
      <c r="B64" s="33">
        <v>5</v>
      </c>
      <c r="C64" s="33">
        <v>5</v>
      </c>
    </row>
    <row r="65" spans="1:3" x14ac:dyDescent="0.3">
      <c r="A65" s="33">
        <v>5</v>
      </c>
      <c r="B65" s="33">
        <v>5</v>
      </c>
      <c r="C65" s="33">
        <v>5</v>
      </c>
    </row>
    <row r="66" spans="1:3" x14ac:dyDescent="0.3">
      <c r="A66" s="33">
        <v>5</v>
      </c>
      <c r="B66" s="33">
        <v>5</v>
      </c>
    </row>
    <row r="67" spans="1:3" x14ac:dyDescent="0.3">
      <c r="A67" s="37">
        <v>5</v>
      </c>
      <c r="B67" s="33">
        <v>5</v>
      </c>
    </row>
    <row r="68" spans="1:3" x14ac:dyDescent="0.3">
      <c r="A68" s="33">
        <v>5</v>
      </c>
      <c r="B68" s="33">
        <v>5</v>
      </c>
    </row>
    <row r="69" spans="1:3" x14ac:dyDescent="0.3">
      <c r="A69" s="33">
        <v>5</v>
      </c>
      <c r="B69" s="33">
        <v>5</v>
      </c>
    </row>
    <row r="70" spans="1:3" x14ac:dyDescent="0.3">
      <c r="A70" s="33">
        <v>5</v>
      </c>
      <c r="B70" s="33">
        <v>5</v>
      </c>
    </row>
    <row r="71" spans="1:3" x14ac:dyDescent="0.3">
      <c r="A71" s="33">
        <v>5</v>
      </c>
      <c r="B71" s="33">
        <v>5</v>
      </c>
    </row>
    <row r="72" spans="1:3" x14ac:dyDescent="0.3">
      <c r="A72" s="33">
        <v>5</v>
      </c>
      <c r="B72" s="33">
        <v>5</v>
      </c>
    </row>
    <row r="73" spans="1:3" x14ac:dyDescent="0.3">
      <c r="A73" s="33">
        <v>5</v>
      </c>
      <c r="B73" s="33">
        <v>5</v>
      </c>
    </row>
    <row r="74" spans="1:3" x14ac:dyDescent="0.3">
      <c r="A74" s="33">
        <v>5</v>
      </c>
      <c r="B74" s="33">
        <v>5</v>
      </c>
    </row>
    <row r="75" spans="1:3" x14ac:dyDescent="0.3">
      <c r="A75" s="33">
        <v>5</v>
      </c>
      <c r="B75" s="33">
        <v>5</v>
      </c>
    </row>
    <row r="76" spans="1:3" x14ac:dyDescent="0.3">
      <c r="A76" s="33">
        <v>5</v>
      </c>
      <c r="B76" s="33">
        <v>5</v>
      </c>
    </row>
    <row r="77" spans="1:3" x14ac:dyDescent="0.3">
      <c r="A77" s="33">
        <v>5</v>
      </c>
      <c r="B77" s="33">
        <v>5</v>
      </c>
    </row>
    <row r="78" spans="1:3" x14ac:dyDescent="0.3">
      <c r="A78" s="33">
        <v>4</v>
      </c>
      <c r="B78" s="33">
        <v>5</v>
      </c>
    </row>
    <row r="79" spans="1:3" x14ac:dyDescent="0.3">
      <c r="A79" s="33">
        <v>5</v>
      </c>
      <c r="B79" s="33">
        <v>5</v>
      </c>
    </row>
    <row r="80" spans="1:3" x14ac:dyDescent="0.3">
      <c r="A80" s="33">
        <v>5</v>
      </c>
      <c r="B80" s="33">
        <v>5</v>
      </c>
    </row>
    <row r="81" spans="1:2" x14ac:dyDescent="0.3">
      <c r="A81" s="33">
        <v>5</v>
      </c>
      <c r="B81" s="33">
        <v>5</v>
      </c>
    </row>
    <row r="82" spans="1:2" x14ac:dyDescent="0.3">
      <c r="A82" s="37">
        <v>4</v>
      </c>
      <c r="B82" s="33">
        <v>5</v>
      </c>
    </row>
    <row r="83" spans="1:2" x14ac:dyDescent="0.3">
      <c r="A83" s="33">
        <v>5</v>
      </c>
      <c r="B83" s="33">
        <v>5</v>
      </c>
    </row>
    <row r="84" spans="1:2" x14ac:dyDescent="0.3">
      <c r="A84" s="33">
        <v>5</v>
      </c>
      <c r="B84" s="33">
        <v>5</v>
      </c>
    </row>
    <row r="85" spans="1:2" x14ac:dyDescent="0.3">
      <c r="A85" s="33">
        <v>5</v>
      </c>
      <c r="B85" s="33">
        <v>5</v>
      </c>
    </row>
    <row r="86" spans="1:2" x14ac:dyDescent="0.3">
      <c r="A86" s="33">
        <v>5</v>
      </c>
      <c r="B86" s="33">
        <v>5</v>
      </c>
    </row>
    <row r="87" spans="1:2" x14ac:dyDescent="0.3">
      <c r="A87" s="33">
        <v>3</v>
      </c>
      <c r="B87" s="33">
        <v>5</v>
      </c>
    </row>
    <row r="88" spans="1:2" x14ac:dyDescent="0.3">
      <c r="A88" s="33">
        <v>5</v>
      </c>
      <c r="B88" s="33">
        <v>5</v>
      </c>
    </row>
    <row r="89" spans="1:2" x14ac:dyDescent="0.3">
      <c r="A89" s="33">
        <v>5</v>
      </c>
      <c r="B89" s="33">
        <v>4</v>
      </c>
    </row>
    <row r="90" spans="1:2" x14ac:dyDescent="0.3">
      <c r="A90" s="33">
        <v>5</v>
      </c>
      <c r="B90" s="33">
        <v>5</v>
      </c>
    </row>
    <row r="91" spans="1:2" x14ac:dyDescent="0.3">
      <c r="A91" s="33">
        <v>5</v>
      </c>
      <c r="B91" s="33">
        <v>5</v>
      </c>
    </row>
    <row r="92" spans="1:2" x14ac:dyDescent="0.3">
      <c r="A92" s="33">
        <v>5</v>
      </c>
      <c r="B92" s="33">
        <v>5</v>
      </c>
    </row>
    <row r="93" spans="1:2" x14ac:dyDescent="0.3">
      <c r="A93" s="33">
        <v>5</v>
      </c>
      <c r="B93" s="33">
        <v>5</v>
      </c>
    </row>
    <row r="94" spans="1:2" x14ac:dyDescent="0.3">
      <c r="A94" s="37">
        <v>4</v>
      </c>
      <c r="B94" s="33">
        <v>5</v>
      </c>
    </row>
    <row r="95" spans="1:2" x14ac:dyDescent="0.3">
      <c r="A95" s="37">
        <v>4</v>
      </c>
      <c r="B95" s="33">
        <v>5</v>
      </c>
    </row>
    <row r="96" spans="1:2" x14ac:dyDescent="0.3">
      <c r="A96" s="33">
        <v>5</v>
      </c>
      <c r="B96" s="33">
        <v>5</v>
      </c>
    </row>
    <row r="97" spans="1:2" x14ac:dyDescent="0.3">
      <c r="A97" s="33">
        <v>5</v>
      </c>
      <c r="B97" s="33">
        <v>5</v>
      </c>
    </row>
    <row r="98" spans="1:2" x14ac:dyDescent="0.3">
      <c r="A98" s="33">
        <v>5</v>
      </c>
      <c r="B98" s="33">
        <v>5</v>
      </c>
    </row>
    <row r="99" spans="1:2" x14ac:dyDescent="0.3">
      <c r="A99" s="33">
        <v>5</v>
      </c>
      <c r="B99" s="33">
        <v>4</v>
      </c>
    </row>
    <row r="100" spans="1:2" x14ac:dyDescent="0.3">
      <c r="A100" s="33">
        <v>5</v>
      </c>
      <c r="B100" s="33">
        <v>5</v>
      </c>
    </row>
    <row r="101" spans="1:2" x14ac:dyDescent="0.3">
      <c r="A101" s="33">
        <v>5</v>
      </c>
      <c r="B101" s="33">
        <v>5</v>
      </c>
    </row>
    <row r="102" spans="1:2" x14ac:dyDescent="0.3">
      <c r="A102" s="33">
        <v>5</v>
      </c>
      <c r="B102" s="33">
        <v>5</v>
      </c>
    </row>
    <row r="103" spans="1:2" x14ac:dyDescent="0.3">
      <c r="A103" s="33">
        <v>5</v>
      </c>
      <c r="B103" s="33">
        <v>5</v>
      </c>
    </row>
    <row r="104" spans="1:2" x14ac:dyDescent="0.3">
      <c r="A104" s="33">
        <v>5</v>
      </c>
      <c r="B104" s="33">
        <v>5</v>
      </c>
    </row>
    <row r="105" spans="1:2" x14ac:dyDescent="0.3">
      <c r="A105" s="33">
        <v>5</v>
      </c>
      <c r="B105" s="33">
        <v>5</v>
      </c>
    </row>
    <row r="106" spans="1:2" x14ac:dyDescent="0.3">
      <c r="A106" s="33">
        <v>5</v>
      </c>
      <c r="B106" s="33">
        <v>5</v>
      </c>
    </row>
    <row r="107" spans="1:2" x14ac:dyDescent="0.3">
      <c r="A107" s="33">
        <v>5</v>
      </c>
      <c r="B107" s="33">
        <v>5</v>
      </c>
    </row>
    <row r="108" spans="1:2" x14ac:dyDescent="0.3">
      <c r="A108" s="33">
        <v>5</v>
      </c>
      <c r="B108" s="33">
        <v>5</v>
      </c>
    </row>
    <row r="109" spans="1:2" x14ac:dyDescent="0.3">
      <c r="A109" s="37">
        <v>5</v>
      </c>
      <c r="B109" s="33">
        <v>5</v>
      </c>
    </row>
    <row r="110" spans="1:2" x14ac:dyDescent="0.3">
      <c r="A110" s="33">
        <v>5</v>
      </c>
      <c r="B110" s="33">
        <v>5</v>
      </c>
    </row>
    <row r="111" spans="1:2" x14ac:dyDescent="0.3">
      <c r="A111" s="33">
        <v>5</v>
      </c>
      <c r="B111" s="33">
        <v>5</v>
      </c>
    </row>
    <row r="112" spans="1:2" x14ac:dyDescent="0.3">
      <c r="A112" s="33">
        <v>3</v>
      </c>
      <c r="B112" s="33">
        <v>5</v>
      </c>
    </row>
    <row r="113" spans="1:2" x14ac:dyDescent="0.3">
      <c r="A113" s="33">
        <v>5</v>
      </c>
      <c r="B113" s="33">
        <v>5</v>
      </c>
    </row>
    <row r="114" spans="1:2" x14ac:dyDescent="0.3">
      <c r="A114" s="33">
        <v>5</v>
      </c>
      <c r="B114" s="33">
        <v>5</v>
      </c>
    </row>
    <row r="115" spans="1:2" x14ac:dyDescent="0.3">
      <c r="B115" s="33">
        <v>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5DCA-F6D5-4D7F-9886-0214F73CFF22}">
  <dimension ref="A1:I24"/>
  <sheetViews>
    <sheetView zoomScale="81" zoomScaleNormal="115" workbookViewId="0">
      <selection activeCell="C2" sqref="C2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453</v>
      </c>
      <c r="C2" s="20">
        <f>B15+C15</f>
        <v>120</v>
      </c>
      <c r="D2" s="21">
        <f>C2/B2</f>
        <v>0.26490066225165565</v>
      </c>
      <c r="E2" s="27">
        <f>AVERAGE('Notas Mar'!$A$2:$A$200)</f>
        <v>4.8938053097345131</v>
      </c>
      <c r="F2" s="27"/>
      <c r="G2" s="31">
        <f>E2-F2</f>
        <v>4.8938053097345131</v>
      </c>
      <c r="H2" s="1"/>
      <c r="I2" s="38">
        <f>G2*C2</f>
        <v>587.25663716814154</v>
      </c>
    </row>
    <row r="3" spans="1:9" x14ac:dyDescent="0.3">
      <c r="A3" s="5" t="s">
        <v>19</v>
      </c>
      <c r="B3" s="6">
        <f>D16+E16+F16</f>
        <v>380</v>
      </c>
      <c r="C3" s="6">
        <f>B16+C16</f>
        <v>125</v>
      </c>
      <c r="D3" s="35">
        <f>C3/B3</f>
        <v>0.32894736842105265</v>
      </c>
      <c r="E3" s="8">
        <f>AVERAGE('Notas Mar'!$B$2:$B$200)</f>
        <v>4.9298245614035086</v>
      </c>
      <c r="F3" s="8"/>
      <c r="G3" s="32">
        <f t="shared" ref="G3:G6" si="0">E3-F3</f>
        <v>4.9298245614035086</v>
      </c>
      <c r="H3" s="1"/>
      <c r="I3" s="23">
        <f>G3*C3</f>
        <v>616.22807017543857</v>
      </c>
    </row>
    <row r="4" spans="1:9" x14ac:dyDescent="0.3">
      <c r="A4" s="19" t="s">
        <v>21</v>
      </c>
      <c r="B4" s="20">
        <f t="shared" ref="B4:B6" si="1">D17+E17+F17</f>
        <v>405</v>
      </c>
      <c r="C4" s="20">
        <f>B17+C17</f>
        <v>75</v>
      </c>
      <c r="D4" s="21">
        <f>C4/B4</f>
        <v>0.18518518518518517</v>
      </c>
      <c r="E4" s="27">
        <f>AVERAGE('Notas Mar'!$C$2:$C$200)</f>
        <v>4.984375</v>
      </c>
      <c r="F4" s="27"/>
      <c r="G4" s="31">
        <f t="shared" si="0"/>
        <v>4.984375</v>
      </c>
      <c r="H4" s="1"/>
      <c r="I4" s="38">
        <f t="shared" ref="I4:I6" si="2">G4*C4</f>
        <v>373.828125</v>
      </c>
    </row>
    <row r="5" spans="1:9" x14ac:dyDescent="0.3">
      <c r="A5" s="5" t="s">
        <v>32</v>
      </c>
      <c r="B5" s="6">
        <f t="shared" si="1"/>
        <v>391</v>
      </c>
      <c r="C5" s="6">
        <f>B18+C18</f>
        <v>67</v>
      </c>
      <c r="D5" s="35">
        <f>C5/B5</f>
        <v>0.17135549872122763</v>
      </c>
      <c r="E5" s="8">
        <f>AVERAGE('Notas Mar'!$D$2:$D$200)</f>
        <v>4.9259259259259256</v>
      </c>
      <c r="F5" s="8"/>
      <c r="G5" s="32">
        <f t="shared" si="0"/>
        <v>4.9259259259259256</v>
      </c>
      <c r="H5" s="1"/>
      <c r="I5" s="38">
        <f t="shared" si="2"/>
        <v>330.03703703703701</v>
      </c>
    </row>
    <row r="6" spans="1:9" x14ac:dyDescent="0.3">
      <c r="A6" s="19" t="s">
        <v>22</v>
      </c>
      <c r="B6" s="20">
        <f t="shared" si="1"/>
        <v>382</v>
      </c>
      <c r="C6" s="20">
        <f>B19+C19</f>
        <v>78</v>
      </c>
      <c r="D6" s="21">
        <f>C6/B6</f>
        <v>0.20418848167539266</v>
      </c>
      <c r="E6" s="27">
        <f>AVERAGE('Notas Mar'!$E$2:$E$200)</f>
        <v>4.9661016949152543</v>
      </c>
      <c r="F6" s="27"/>
      <c r="G6" s="31">
        <f t="shared" si="0"/>
        <v>4.9661016949152543</v>
      </c>
      <c r="H6" s="1"/>
      <c r="I6" s="38">
        <f t="shared" si="2"/>
        <v>387.35593220338984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8"/>
    </row>
    <row r="8" spans="1:9" x14ac:dyDescent="0.3">
      <c r="A8" s="1"/>
      <c r="B8" s="1"/>
      <c r="C8" s="1"/>
      <c r="D8" s="9"/>
      <c r="E8" s="1"/>
      <c r="F8" s="28"/>
      <c r="G8" s="13"/>
      <c r="H8" s="1"/>
      <c r="I8" s="1"/>
    </row>
    <row r="9" spans="1:9" x14ac:dyDescent="0.3">
      <c r="A9" s="14" t="s">
        <v>16</v>
      </c>
      <c r="B9" s="14">
        <f>SUM(B2:B7)</f>
        <v>2011</v>
      </c>
      <c r="C9" s="14">
        <f>SUM(C2:C7)</f>
        <v>465</v>
      </c>
      <c r="D9" s="15">
        <f>C9/B9</f>
        <v>0.23122824465440078</v>
      </c>
      <c r="E9" s="16">
        <f>AVERAGE(E2:E7)</f>
        <v>4.9400064983958405</v>
      </c>
      <c r="F9" s="16"/>
      <c r="G9" s="17">
        <f>E9-F9</f>
        <v>4.9400064983958405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COUNTIFS(Mar!$B$2:$B$4000,"PSYSTEM_1005",Mar!$E$2:$E$4000,"&gt;100",Mar!$L$2:$L$4000,"&gt;0")</f>
        <v>12</v>
      </c>
      <c r="C15" s="1">
        <f>COUNTIFS(Mar!$C$2:$C$4000,"PSYSTEM_1005",Mar!$E$2:$E$4000,"&gt;100",Mar!$L$2:$L$4000,"&gt;0")+G15</f>
        <v>108</v>
      </c>
      <c r="D15" s="1">
        <f>COUNTIFS(Mar!$B$2:$B$4000,"PSYSTEM_1005",Mar!$E$2:$E$4000,"&gt;100")</f>
        <v>70</v>
      </c>
      <c r="E15" s="1">
        <f>COUNTIFS(Mar!$C$2:$C$4000,"PSYSTEM_1005",Mar!$E$2:$E$4000,"&gt;100")</f>
        <v>311</v>
      </c>
      <c r="F15" s="1">
        <v>72</v>
      </c>
      <c r="G15" s="33">
        <v>7</v>
      </c>
    </row>
    <row r="16" spans="1:9" x14ac:dyDescent="0.3">
      <c r="A16" s="5" t="s">
        <v>19</v>
      </c>
      <c r="B16" s="1">
        <f>COUNTIFS(Mar!$B$2:$B$4000,"PSYSTEM_1002",Mar!$E$2:$E$4000,"&gt;100",Mar!$L$2:$L$4000,"&gt;0")</f>
        <v>14</v>
      </c>
      <c r="C16" s="1">
        <f>COUNTIFS(Mar!$C$2:$C$4000,"PSYSTEM_1002",Mar!$E$2:$E$4000,"&gt;100",Mar!$L$2:$L$4000,"&gt;0")+G16</f>
        <v>111</v>
      </c>
      <c r="D16" s="1">
        <f>COUNTIFS(Mar!$B$2:$B$4000,"PSYSTEM_1002",Mar!$E$2:$E$4000,"&gt;100")</f>
        <v>48</v>
      </c>
      <c r="E16" s="1">
        <f>COUNTIFS(Mar!$C$2:$C$4000,"PSYSTEM_1002",Mar!$E$2:$E$4000,"&gt;100")</f>
        <v>241</v>
      </c>
      <c r="F16" s="33">
        <v>91</v>
      </c>
      <c r="G16" s="33">
        <v>11</v>
      </c>
    </row>
    <row r="17" spans="1:9" x14ac:dyDescent="0.3">
      <c r="A17" s="19" t="s">
        <v>21</v>
      </c>
      <c r="B17" s="1">
        <f>COUNTIFS(Mar!$B$2:$B$4000,"PSYSTEM_1004",Mar!$E$2:$E$4000,"&gt;100",Mar!$L$2:$L$4000,"&gt;0")</f>
        <v>5</v>
      </c>
      <c r="C17" s="1">
        <f>COUNTIFS(Mar!$C$2:$C$4000,"PSYSTEM_1004",Mar!$E$2:$E$4000,"&gt;100",Mar!$L$2:$L$4000,"&gt;0")+G17</f>
        <v>70</v>
      </c>
      <c r="D17" s="1">
        <f>COUNTIFS(Mar!$B$2:$B$4000,"PSYSTEM_1004",Mar!$E$2:$E$4000,"&gt;100")</f>
        <v>45</v>
      </c>
      <c r="E17" s="1">
        <f>COUNTIFS(Mar!$C$2:$C$4000,"PSYSTEM_1004",Mar!$E$2:$E$4000,"&gt;100")</f>
        <v>282</v>
      </c>
      <c r="F17" s="1">
        <v>78</v>
      </c>
      <c r="G17" s="33">
        <v>11</v>
      </c>
    </row>
    <row r="18" spans="1:9" x14ac:dyDescent="0.3">
      <c r="A18" s="5" t="s">
        <v>32</v>
      </c>
      <c r="B18" s="1">
        <f>COUNTIFS(Mar!$B$2:$B$4000,"PSYSTEM_1013",Mar!$E$2:$E$4000,"&gt;100",Mar!$L$2:$L$4000,"&gt;0")</f>
        <v>5</v>
      </c>
      <c r="C18" s="1">
        <f>COUNTIFS(Mar!$C$2:$C$4000,"PSYSTEM_1013",Mar!$E$2:$E$4000,"&gt;100",Mar!$L$2:$L$4000,"&gt;0")+G18</f>
        <v>62</v>
      </c>
      <c r="D18" s="1">
        <f>COUNTIFS(Mar!$B$2:$B$4000,"PSYSTEM_1013",Mar!$E$2:$E$4000,"&gt;100")</f>
        <v>37</v>
      </c>
      <c r="E18" s="1">
        <f>COUNTIFS(Mar!$C$2:$C$4000,"PSYSTEM_1013",Mar!$E$2:$E$4000,"&gt;100")</f>
        <v>224</v>
      </c>
      <c r="F18" s="1">
        <v>130</v>
      </c>
      <c r="G18" s="1">
        <v>13</v>
      </c>
      <c r="H18" s="1"/>
      <c r="I18" s="1"/>
    </row>
    <row r="19" spans="1:9" x14ac:dyDescent="0.3">
      <c r="A19" s="19" t="s">
        <v>22</v>
      </c>
      <c r="B19" s="1">
        <f>COUNTIFS(Mar!$B$2:$B$4000,"PSYSTEM_1001",Mar!$E$2:$E$4000,"&gt;100",Mar!$L$2:$L$4000,"&gt;0")</f>
        <v>2</v>
      </c>
      <c r="C19" s="1">
        <f>COUNTIFS(Mar!$C$2:$C$4000,"PSYSTEM_1001",Mar!$E$2:$E$4000,"&gt;100",Mar!$L$2:$L$4000,"&gt;0")+G19</f>
        <v>76</v>
      </c>
      <c r="D19" s="1">
        <f>COUNTIFS(Mar!$B$2:$B$4000,"PSYSTEM_1001",Mar!$E$2:$E$4000,"&gt;100")</f>
        <v>32</v>
      </c>
      <c r="E19" s="1">
        <f>COUNTIFS(Mar!$C$2:$C$4000,"PSYSTEM_1001",Mar!$E$2:$E$4000,"&gt;100")</f>
        <v>223</v>
      </c>
      <c r="F19" s="1">
        <v>127</v>
      </c>
      <c r="G19" s="1">
        <v>19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017B-7D3D-4304-A410-6163E7DBF1CC}">
  <dimension ref="A1:E348"/>
  <sheetViews>
    <sheetView zoomScale="87" workbookViewId="0">
      <pane ySplit="1" topLeftCell="A2" activePane="bottomLeft" state="frozen"/>
      <selection pane="bottomLeft" activeCell="B348" sqref="B2:B348"/>
    </sheetView>
  </sheetViews>
  <sheetFormatPr defaultRowHeight="14.4" x14ac:dyDescent="0.3"/>
  <cols>
    <col min="1" max="1" width="16.88671875" style="33" bestFit="1" customWidth="1"/>
    <col min="2" max="2" width="14.109375" style="33" bestFit="1" customWidth="1"/>
    <col min="3" max="4" width="15.5546875" style="33" bestFit="1" customWidth="1"/>
    <col min="5" max="5" width="17" style="33" bestFit="1" customWidth="1"/>
    <col min="6" max="16384" width="8.88671875" style="33"/>
  </cols>
  <sheetData>
    <row r="1" spans="1:5" x14ac:dyDescent="0.3">
      <c r="A1" s="30" t="s">
        <v>20</v>
      </c>
      <c r="B1" s="30" t="s">
        <v>19</v>
      </c>
      <c r="C1" s="30" t="s">
        <v>21</v>
      </c>
      <c r="D1" s="30" t="s">
        <v>32</v>
      </c>
      <c r="E1" s="30" t="s">
        <v>22</v>
      </c>
    </row>
    <row r="2" spans="1:5" x14ac:dyDescent="0.3">
      <c r="A2" s="33">
        <v>5</v>
      </c>
      <c r="B2" s="33">
        <v>5</v>
      </c>
      <c r="C2" s="33">
        <v>5</v>
      </c>
      <c r="D2" s="33">
        <v>5</v>
      </c>
      <c r="E2" s="33">
        <v>5</v>
      </c>
    </row>
    <row r="3" spans="1:5" x14ac:dyDescent="0.3">
      <c r="A3" s="33">
        <v>3</v>
      </c>
      <c r="B3" s="33">
        <v>5</v>
      </c>
      <c r="C3" s="33">
        <v>5</v>
      </c>
      <c r="D3" s="33">
        <v>5</v>
      </c>
      <c r="E3" s="33">
        <v>5</v>
      </c>
    </row>
    <row r="4" spans="1:5" x14ac:dyDescent="0.3">
      <c r="A4" s="33">
        <v>5</v>
      </c>
      <c r="B4" s="33">
        <v>5</v>
      </c>
      <c r="C4" s="33">
        <v>5</v>
      </c>
      <c r="D4" s="33">
        <v>5</v>
      </c>
      <c r="E4" s="33">
        <v>5</v>
      </c>
    </row>
    <row r="5" spans="1:5" x14ac:dyDescent="0.3">
      <c r="A5" s="33">
        <v>5</v>
      </c>
      <c r="B5" s="33">
        <v>5</v>
      </c>
      <c r="C5" s="33">
        <v>5</v>
      </c>
      <c r="D5" s="33">
        <v>5</v>
      </c>
      <c r="E5" s="33">
        <v>5</v>
      </c>
    </row>
    <row r="6" spans="1:5" x14ac:dyDescent="0.3">
      <c r="A6" s="33">
        <v>5</v>
      </c>
      <c r="B6" s="33">
        <v>5</v>
      </c>
      <c r="C6" s="33">
        <v>5</v>
      </c>
      <c r="D6" s="33">
        <v>5</v>
      </c>
      <c r="E6" s="33">
        <v>5</v>
      </c>
    </row>
    <row r="7" spans="1:5" x14ac:dyDescent="0.3">
      <c r="A7" s="33">
        <v>5</v>
      </c>
      <c r="B7" s="33">
        <v>5</v>
      </c>
      <c r="C7" s="33">
        <v>5</v>
      </c>
      <c r="D7" s="33">
        <v>5</v>
      </c>
      <c r="E7" s="33">
        <v>5</v>
      </c>
    </row>
    <row r="8" spans="1:5" x14ac:dyDescent="0.3">
      <c r="A8" s="33">
        <v>5</v>
      </c>
      <c r="B8" s="33">
        <v>5</v>
      </c>
      <c r="C8" s="33">
        <v>5</v>
      </c>
      <c r="D8" s="33">
        <v>5</v>
      </c>
      <c r="E8" s="33">
        <v>5</v>
      </c>
    </row>
    <row r="9" spans="1:5" x14ac:dyDescent="0.3">
      <c r="A9" s="33">
        <v>5</v>
      </c>
      <c r="B9" s="33">
        <v>5</v>
      </c>
      <c r="C9" s="33">
        <v>4</v>
      </c>
      <c r="D9" s="33">
        <v>5</v>
      </c>
      <c r="E9" s="33">
        <v>4</v>
      </c>
    </row>
    <row r="10" spans="1:5" x14ac:dyDescent="0.3">
      <c r="A10" s="33">
        <v>5</v>
      </c>
      <c r="B10" s="33">
        <v>5</v>
      </c>
      <c r="C10" s="33">
        <v>5</v>
      </c>
      <c r="D10" s="33">
        <v>5</v>
      </c>
      <c r="E10" s="33">
        <v>5</v>
      </c>
    </row>
    <row r="11" spans="1:5" x14ac:dyDescent="0.3">
      <c r="A11" s="33">
        <v>5</v>
      </c>
      <c r="B11" s="33">
        <v>5</v>
      </c>
      <c r="C11" s="33">
        <v>5</v>
      </c>
      <c r="D11" s="33">
        <v>5</v>
      </c>
      <c r="E11" s="33">
        <v>5</v>
      </c>
    </row>
    <row r="12" spans="1:5" x14ac:dyDescent="0.3">
      <c r="A12" s="33">
        <v>5</v>
      </c>
      <c r="B12" s="33">
        <v>5</v>
      </c>
      <c r="C12" s="33">
        <v>5</v>
      </c>
      <c r="D12" s="33">
        <v>5</v>
      </c>
      <c r="E12" s="33">
        <v>5</v>
      </c>
    </row>
    <row r="13" spans="1:5" x14ac:dyDescent="0.3">
      <c r="A13" s="33">
        <v>5</v>
      </c>
      <c r="B13" s="33">
        <v>5</v>
      </c>
      <c r="C13" s="33">
        <v>5</v>
      </c>
      <c r="D13" s="33">
        <v>5</v>
      </c>
      <c r="E13" s="33">
        <v>5</v>
      </c>
    </row>
    <row r="14" spans="1:5" x14ac:dyDescent="0.3">
      <c r="A14" s="33">
        <v>5</v>
      </c>
      <c r="B14" s="33">
        <v>5</v>
      </c>
      <c r="C14" s="33">
        <v>5</v>
      </c>
      <c r="D14" s="33">
        <v>5</v>
      </c>
      <c r="E14" s="33">
        <v>5</v>
      </c>
    </row>
    <row r="15" spans="1:5" x14ac:dyDescent="0.3">
      <c r="A15" s="33">
        <v>5</v>
      </c>
      <c r="B15" s="33">
        <v>5</v>
      </c>
      <c r="C15" s="33">
        <v>5</v>
      </c>
      <c r="D15" s="33">
        <v>5</v>
      </c>
      <c r="E15" s="33">
        <v>5</v>
      </c>
    </row>
    <row r="16" spans="1:5" x14ac:dyDescent="0.3">
      <c r="A16" s="33">
        <v>5</v>
      </c>
      <c r="B16" s="33">
        <v>5</v>
      </c>
      <c r="C16" s="33">
        <v>5</v>
      </c>
      <c r="D16" s="33">
        <v>4</v>
      </c>
      <c r="E16" s="33">
        <v>5</v>
      </c>
    </row>
    <row r="17" spans="1:5" x14ac:dyDescent="0.3">
      <c r="A17" s="33">
        <v>5</v>
      </c>
      <c r="B17" s="33">
        <v>5</v>
      </c>
      <c r="C17" s="33">
        <v>5</v>
      </c>
      <c r="D17" s="33">
        <v>5</v>
      </c>
      <c r="E17" s="33">
        <v>5</v>
      </c>
    </row>
    <row r="18" spans="1:5" x14ac:dyDescent="0.3">
      <c r="A18" s="33">
        <v>5</v>
      </c>
      <c r="B18" s="33">
        <v>5</v>
      </c>
      <c r="C18" s="33">
        <v>5</v>
      </c>
      <c r="D18" s="33">
        <v>5</v>
      </c>
      <c r="E18" s="33">
        <v>5</v>
      </c>
    </row>
    <row r="19" spans="1:5" x14ac:dyDescent="0.3">
      <c r="A19" s="33">
        <v>5</v>
      </c>
      <c r="B19" s="33">
        <v>5</v>
      </c>
      <c r="C19" s="33">
        <v>5</v>
      </c>
      <c r="D19" s="33">
        <v>5</v>
      </c>
      <c r="E19" s="33">
        <v>5</v>
      </c>
    </row>
    <row r="20" spans="1:5" x14ac:dyDescent="0.3">
      <c r="A20" s="33">
        <v>5</v>
      </c>
      <c r="B20" s="33">
        <v>5</v>
      </c>
      <c r="C20" s="33">
        <v>5</v>
      </c>
      <c r="D20" s="33">
        <v>5</v>
      </c>
      <c r="E20" s="33">
        <v>5</v>
      </c>
    </row>
    <row r="21" spans="1:5" x14ac:dyDescent="0.3">
      <c r="A21" s="33">
        <v>5</v>
      </c>
      <c r="B21" s="33">
        <v>5</v>
      </c>
      <c r="C21" s="33">
        <v>5</v>
      </c>
      <c r="D21" s="33">
        <v>5</v>
      </c>
      <c r="E21" s="33">
        <v>5</v>
      </c>
    </row>
    <row r="22" spans="1:5" x14ac:dyDescent="0.3">
      <c r="A22" s="33">
        <v>5</v>
      </c>
      <c r="B22" s="33">
        <v>5</v>
      </c>
      <c r="C22" s="33">
        <v>5</v>
      </c>
      <c r="D22" s="37">
        <v>3</v>
      </c>
      <c r="E22" s="33">
        <v>5</v>
      </c>
    </row>
    <row r="23" spans="1:5" x14ac:dyDescent="0.3">
      <c r="A23" s="33">
        <v>5</v>
      </c>
      <c r="B23" s="33">
        <v>5</v>
      </c>
      <c r="C23" s="33">
        <v>5</v>
      </c>
      <c r="D23" s="33">
        <v>5</v>
      </c>
      <c r="E23" s="33">
        <v>5</v>
      </c>
    </row>
    <row r="24" spans="1:5" x14ac:dyDescent="0.3">
      <c r="A24" s="33">
        <v>5</v>
      </c>
      <c r="B24" s="33">
        <v>5</v>
      </c>
      <c r="C24" s="33">
        <v>5</v>
      </c>
      <c r="D24" s="33">
        <v>5</v>
      </c>
      <c r="E24" s="33">
        <v>5</v>
      </c>
    </row>
    <row r="25" spans="1:5" x14ac:dyDescent="0.3">
      <c r="A25" s="33">
        <v>5</v>
      </c>
      <c r="B25" s="33">
        <v>5</v>
      </c>
      <c r="C25" s="33">
        <v>5</v>
      </c>
      <c r="D25" s="33">
        <v>5</v>
      </c>
      <c r="E25" s="33">
        <v>5</v>
      </c>
    </row>
    <row r="26" spans="1:5" x14ac:dyDescent="0.3">
      <c r="A26" s="33">
        <v>4</v>
      </c>
      <c r="B26" s="33">
        <v>5</v>
      </c>
      <c r="C26" s="33">
        <v>5</v>
      </c>
      <c r="D26" s="33">
        <v>5</v>
      </c>
      <c r="E26" s="33">
        <v>5</v>
      </c>
    </row>
    <row r="27" spans="1:5" x14ac:dyDescent="0.3">
      <c r="A27" s="33">
        <v>5</v>
      </c>
      <c r="B27" s="33">
        <v>5</v>
      </c>
      <c r="C27" s="33">
        <v>5</v>
      </c>
      <c r="D27" s="33">
        <v>4</v>
      </c>
      <c r="E27" s="33">
        <v>5</v>
      </c>
    </row>
    <row r="28" spans="1:5" x14ac:dyDescent="0.3">
      <c r="A28" s="33">
        <v>5</v>
      </c>
      <c r="B28" s="33">
        <v>5</v>
      </c>
      <c r="C28" s="33">
        <v>5</v>
      </c>
      <c r="D28" s="33">
        <v>5</v>
      </c>
      <c r="E28" s="33">
        <v>5</v>
      </c>
    </row>
    <row r="29" spans="1:5" x14ac:dyDescent="0.3">
      <c r="A29" s="33">
        <v>4</v>
      </c>
      <c r="B29" s="33">
        <v>5</v>
      </c>
      <c r="C29" s="33">
        <v>5</v>
      </c>
      <c r="D29" s="33">
        <v>5</v>
      </c>
      <c r="E29" s="33">
        <v>4</v>
      </c>
    </row>
    <row r="30" spans="1:5" x14ac:dyDescent="0.3">
      <c r="A30" s="33">
        <v>5</v>
      </c>
      <c r="B30" s="33">
        <v>5</v>
      </c>
      <c r="C30" s="33">
        <v>5</v>
      </c>
      <c r="D30" s="33">
        <v>5</v>
      </c>
      <c r="E30" s="33">
        <v>5</v>
      </c>
    </row>
    <row r="31" spans="1:5" x14ac:dyDescent="0.3">
      <c r="A31" s="33">
        <v>4</v>
      </c>
      <c r="B31" s="33">
        <v>5</v>
      </c>
      <c r="C31" s="33">
        <v>5</v>
      </c>
      <c r="D31" s="33">
        <v>5</v>
      </c>
      <c r="E31" s="33">
        <v>5</v>
      </c>
    </row>
    <row r="32" spans="1:5" x14ac:dyDescent="0.3">
      <c r="A32" s="33">
        <v>5</v>
      </c>
      <c r="B32" s="33">
        <v>3</v>
      </c>
      <c r="C32" s="33">
        <v>5</v>
      </c>
      <c r="D32" s="33">
        <v>5</v>
      </c>
      <c r="E32" s="33">
        <v>5</v>
      </c>
    </row>
    <row r="33" spans="1:5" x14ac:dyDescent="0.3">
      <c r="A33" s="33">
        <v>5</v>
      </c>
      <c r="B33" s="33">
        <v>5</v>
      </c>
      <c r="C33" s="33">
        <v>5</v>
      </c>
      <c r="D33" s="33">
        <v>5</v>
      </c>
      <c r="E33" s="33">
        <v>5</v>
      </c>
    </row>
    <row r="34" spans="1:5" x14ac:dyDescent="0.3">
      <c r="A34" s="33">
        <v>5</v>
      </c>
      <c r="B34" s="33">
        <v>5</v>
      </c>
      <c r="C34" s="33">
        <v>5</v>
      </c>
      <c r="D34" s="33">
        <v>4</v>
      </c>
      <c r="E34" s="33">
        <v>5</v>
      </c>
    </row>
    <row r="35" spans="1:5" x14ac:dyDescent="0.3">
      <c r="A35" s="33">
        <v>5</v>
      </c>
      <c r="B35" s="33">
        <v>5</v>
      </c>
      <c r="C35" s="33">
        <v>5</v>
      </c>
      <c r="D35" s="33">
        <v>5</v>
      </c>
      <c r="E35" s="33">
        <v>5</v>
      </c>
    </row>
    <row r="36" spans="1:5" x14ac:dyDescent="0.3">
      <c r="A36" s="33">
        <v>5</v>
      </c>
      <c r="B36" s="33">
        <v>5</v>
      </c>
      <c r="C36" s="33">
        <v>5</v>
      </c>
      <c r="D36" s="33">
        <v>5</v>
      </c>
      <c r="E36" s="33">
        <v>5</v>
      </c>
    </row>
    <row r="37" spans="1:5" x14ac:dyDescent="0.3">
      <c r="A37" s="33">
        <v>4</v>
      </c>
      <c r="B37" s="33">
        <v>5</v>
      </c>
      <c r="C37" s="33">
        <v>5</v>
      </c>
      <c r="D37" s="33">
        <v>5</v>
      </c>
      <c r="E37" s="33">
        <v>4</v>
      </c>
    </row>
    <row r="38" spans="1:5" x14ac:dyDescent="0.3">
      <c r="A38" s="33">
        <v>5</v>
      </c>
      <c r="B38" s="33">
        <v>5</v>
      </c>
      <c r="C38" s="33">
        <v>5</v>
      </c>
      <c r="D38" s="33">
        <v>5</v>
      </c>
      <c r="E38" s="33">
        <v>5</v>
      </c>
    </row>
    <row r="39" spans="1:5" x14ac:dyDescent="0.3">
      <c r="A39" s="37">
        <v>4</v>
      </c>
      <c r="B39" s="33">
        <v>5</v>
      </c>
      <c r="C39" s="33">
        <v>5</v>
      </c>
      <c r="D39" s="33">
        <v>5</v>
      </c>
      <c r="E39" s="33">
        <v>5</v>
      </c>
    </row>
    <row r="40" spans="1:5" x14ac:dyDescent="0.3">
      <c r="A40" s="37">
        <v>5</v>
      </c>
      <c r="B40" s="33">
        <v>5</v>
      </c>
      <c r="C40" s="33">
        <v>5</v>
      </c>
      <c r="D40" s="33">
        <v>5</v>
      </c>
      <c r="E40" s="33">
        <v>5</v>
      </c>
    </row>
    <row r="41" spans="1:5" x14ac:dyDescent="0.3">
      <c r="A41" s="33">
        <v>5</v>
      </c>
      <c r="B41" s="33">
        <v>5</v>
      </c>
      <c r="C41" s="33">
        <v>5</v>
      </c>
      <c r="D41" s="33">
        <v>5</v>
      </c>
      <c r="E41" s="33">
        <v>5</v>
      </c>
    </row>
    <row r="42" spans="1:5" x14ac:dyDescent="0.3">
      <c r="A42" s="33">
        <v>5</v>
      </c>
      <c r="B42" s="33">
        <v>5</v>
      </c>
      <c r="C42" s="33">
        <v>5</v>
      </c>
      <c r="D42" s="33">
        <v>5</v>
      </c>
      <c r="E42" s="33">
        <v>5</v>
      </c>
    </row>
    <row r="43" spans="1:5" x14ac:dyDescent="0.3">
      <c r="A43" s="33">
        <v>5</v>
      </c>
      <c r="B43" s="33">
        <v>5</v>
      </c>
      <c r="C43" s="33">
        <v>5</v>
      </c>
      <c r="D43" s="33">
        <v>5</v>
      </c>
      <c r="E43" s="33">
        <v>5</v>
      </c>
    </row>
    <row r="44" spans="1:5" x14ac:dyDescent="0.3">
      <c r="A44" s="33">
        <v>5</v>
      </c>
      <c r="B44" s="33">
        <v>5</v>
      </c>
      <c r="C44" s="33">
        <v>5</v>
      </c>
      <c r="D44" s="33">
        <v>5</v>
      </c>
      <c r="E44" s="33">
        <v>5</v>
      </c>
    </row>
    <row r="45" spans="1:5" x14ac:dyDescent="0.3">
      <c r="A45" s="33">
        <v>5</v>
      </c>
      <c r="B45" s="33">
        <v>5</v>
      </c>
      <c r="C45" s="33">
        <v>5</v>
      </c>
      <c r="D45" s="33">
        <v>5</v>
      </c>
      <c r="E45" s="33">
        <v>5</v>
      </c>
    </row>
    <row r="46" spans="1:5" x14ac:dyDescent="0.3">
      <c r="A46" s="33">
        <v>5</v>
      </c>
      <c r="B46" s="33">
        <v>5</v>
      </c>
      <c r="C46" s="33">
        <v>5</v>
      </c>
      <c r="D46" s="33">
        <v>5</v>
      </c>
      <c r="E46" s="33">
        <v>5</v>
      </c>
    </row>
    <row r="47" spans="1:5" x14ac:dyDescent="0.3">
      <c r="A47" s="33">
        <v>5</v>
      </c>
      <c r="B47" s="33">
        <v>5</v>
      </c>
      <c r="C47" s="33">
        <v>5</v>
      </c>
      <c r="D47" s="33">
        <v>5</v>
      </c>
      <c r="E47" s="33">
        <v>5</v>
      </c>
    </row>
    <row r="48" spans="1:5" x14ac:dyDescent="0.3">
      <c r="A48" s="33">
        <v>4</v>
      </c>
      <c r="B48" s="33">
        <v>5</v>
      </c>
      <c r="C48" s="33">
        <v>5</v>
      </c>
      <c r="D48" s="33">
        <v>5</v>
      </c>
      <c r="E48" s="33">
        <v>5</v>
      </c>
    </row>
    <row r="49" spans="1:5" x14ac:dyDescent="0.3">
      <c r="A49" s="33">
        <v>4</v>
      </c>
      <c r="B49" s="33">
        <v>5</v>
      </c>
      <c r="C49" s="33">
        <v>4</v>
      </c>
      <c r="D49" s="33">
        <v>5</v>
      </c>
      <c r="E49" s="33">
        <v>5</v>
      </c>
    </row>
    <row r="50" spans="1:5" x14ac:dyDescent="0.3">
      <c r="A50" s="33">
        <v>5</v>
      </c>
      <c r="B50" s="33">
        <v>5</v>
      </c>
      <c r="C50" s="33">
        <v>5</v>
      </c>
      <c r="D50" s="33">
        <v>5</v>
      </c>
      <c r="E50" s="33">
        <v>5</v>
      </c>
    </row>
    <row r="51" spans="1:5" x14ac:dyDescent="0.3">
      <c r="A51" s="33">
        <v>5</v>
      </c>
      <c r="B51" s="33">
        <v>5</v>
      </c>
      <c r="C51" s="33">
        <v>5</v>
      </c>
      <c r="D51" s="33">
        <v>5</v>
      </c>
      <c r="E51" s="33">
        <v>5</v>
      </c>
    </row>
    <row r="52" spans="1:5" x14ac:dyDescent="0.3">
      <c r="A52" s="33">
        <v>5</v>
      </c>
      <c r="B52" s="33">
        <v>5</v>
      </c>
      <c r="C52" s="33">
        <v>5</v>
      </c>
      <c r="D52" s="33">
        <v>5</v>
      </c>
      <c r="E52" s="33">
        <v>5</v>
      </c>
    </row>
    <row r="53" spans="1:5" x14ac:dyDescent="0.3">
      <c r="A53" s="33">
        <v>5</v>
      </c>
      <c r="B53" s="33">
        <v>5</v>
      </c>
      <c r="C53" s="33">
        <v>5</v>
      </c>
      <c r="D53" s="33">
        <v>5</v>
      </c>
      <c r="E53" s="33">
        <v>5</v>
      </c>
    </row>
    <row r="54" spans="1:5" x14ac:dyDescent="0.3">
      <c r="A54" s="33">
        <v>5</v>
      </c>
      <c r="B54" s="33">
        <v>5</v>
      </c>
      <c r="C54" s="33">
        <v>5</v>
      </c>
      <c r="D54" s="33">
        <v>5</v>
      </c>
      <c r="E54" s="33">
        <v>5</v>
      </c>
    </row>
    <row r="55" spans="1:5" x14ac:dyDescent="0.3">
      <c r="A55" s="33">
        <v>5</v>
      </c>
      <c r="B55" s="33">
        <v>5</v>
      </c>
      <c r="C55" s="33">
        <v>5</v>
      </c>
      <c r="D55" s="33">
        <v>5</v>
      </c>
      <c r="E55" s="33">
        <v>5</v>
      </c>
    </row>
    <row r="56" spans="1:5" x14ac:dyDescent="0.3">
      <c r="A56" s="33">
        <v>5</v>
      </c>
      <c r="B56" s="33">
        <v>5</v>
      </c>
      <c r="C56" s="33">
        <v>5</v>
      </c>
      <c r="D56" s="33">
        <v>5</v>
      </c>
      <c r="E56" s="33">
        <v>5</v>
      </c>
    </row>
    <row r="57" spans="1:5" x14ac:dyDescent="0.3">
      <c r="A57" s="33">
        <v>5</v>
      </c>
      <c r="B57" s="33">
        <v>5</v>
      </c>
      <c r="C57" s="33">
        <v>5</v>
      </c>
      <c r="D57" s="33">
        <v>4</v>
      </c>
      <c r="E57" s="33">
        <v>5</v>
      </c>
    </row>
    <row r="58" spans="1:5" x14ac:dyDescent="0.3">
      <c r="A58" s="33">
        <v>5</v>
      </c>
      <c r="B58" s="33">
        <v>5</v>
      </c>
      <c r="C58" s="33">
        <v>5</v>
      </c>
      <c r="D58" s="33">
        <v>5</v>
      </c>
      <c r="E58" s="33">
        <v>5</v>
      </c>
    </row>
    <row r="59" spans="1:5" x14ac:dyDescent="0.3">
      <c r="A59" s="33">
        <v>5</v>
      </c>
      <c r="B59" s="33">
        <v>5</v>
      </c>
      <c r="C59" s="33">
        <v>5</v>
      </c>
      <c r="D59" s="33">
        <v>5</v>
      </c>
      <c r="E59" s="33">
        <v>5</v>
      </c>
    </row>
    <row r="60" spans="1:5" x14ac:dyDescent="0.3">
      <c r="A60" s="33">
        <v>5</v>
      </c>
      <c r="B60" s="33">
        <v>5</v>
      </c>
      <c r="C60" s="33">
        <v>5</v>
      </c>
      <c r="D60" s="33">
        <v>5</v>
      </c>
      <c r="E60" s="33">
        <v>5</v>
      </c>
    </row>
    <row r="61" spans="1:5" x14ac:dyDescent="0.3">
      <c r="A61" s="33">
        <v>5</v>
      </c>
      <c r="B61" s="33">
        <v>5</v>
      </c>
      <c r="C61" s="33">
        <v>5</v>
      </c>
      <c r="D61" s="33">
        <v>5</v>
      </c>
      <c r="E61" s="33">
        <v>5</v>
      </c>
    </row>
    <row r="62" spans="1:5" x14ac:dyDescent="0.3">
      <c r="A62" s="33">
        <v>5</v>
      </c>
      <c r="B62" s="33">
        <v>5</v>
      </c>
      <c r="C62" s="33">
        <v>5</v>
      </c>
      <c r="D62" s="33">
        <v>5</v>
      </c>
      <c r="E62" s="33">
        <v>5</v>
      </c>
    </row>
    <row r="63" spans="1:5" x14ac:dyDescent="0.3">
      <c r="A63" s="33">
        <v>5</v>
      </c>
      <c r="B63" s="33">
        <v>5</v>
      </c>
      <c r="C63" s="33">
        <v>5</v>
      </c>
      <c r="D63" s="33">
        <v>5</v>
      </c>
      <c r="E63" s="33">
        <v>5</v>
      </c>
    </row>
    <row r="64" spans="1:5" x14ac:dyDescent="0.3">
      <c r="A64" s="33">
        <v>5</v>
      </c>
      <c r="B64" s="33">
        <v>5</v>
      </c>
      <c r="C64" s="33">
        <v>5</v>
      </c>
      <c r="D64" s="33">
        <v>5</v>
      </c>
      <c r="E64" s="33">
        <v>5</v>
      </c>
    </row>
    <row r="65" spans="1:5" x14ac:dyDescent="0.3">
      <c r="A65" s="33">
        <v>5</v>
      </c>
      <c r="B65" s="33">
        <v>5</v>
      </c>
      <c r="C65" s="33">
        <v>5</v>
      </c>
      <c r="D65" s="33">
        <v>5</v>
      </c>
      <c r="E65" s="33">
        <v>5</v>
      </c>
    </row>
    <row r="66" spans="1:5" x14ac:dyDescent="0.3">
      <c r="A66" s="33">
        <v>5</v>
      </c>
      <c r="B66" s="33">
        <v>5</v>
      </c>
      <c r="C66" s="33">
        <v>5</v>
      </c>
      <c r="D66" s="33">
        <v>5</v>
      </c>
      <c r="E66" s="33">
        <v>5</v>
      </c>
    </row>
    <row r="67" spans="1:5" x14ac:dyDescent="0.3">
      <c r="A67" s="33">
        <v>5</v>
      </c>
      <c r="B67" s="33">
        <v>5</v>
      </c>
      <c r="C67" s="33">
        <v>5</v>
      </c>
      <c r="D67" s="33">
        <v>5</v>
      </c>
      <c r="E67" s="33">
        <v>5</v>
      </c>
    </row>
    <row r="68" spans="1:5" x14ac:dyDescent="0.3">
      <c r="A68" s="33">
        <v>5</v>
      </c>
      <c r="B68" s="33">
        <v>5</v>
      </c>
      <c r="C68" s="33">
        <v>5</v>
      </c>
      <c r="D68" s="33">
        <v>5</v>
      </c>
      <c r="E68" s="33">
        <v>5</v>
      </c>
    </row>
    <row r="69" spans="1:5" x14ac:dyDescent="0.3">
      <c r="A69" s="33">
        <v>5</v>
      </c>
      <c r="B69" s="33">
        <v>5</v>
      </c>
      <c r="C69" s="33">
        <v>5</v>
      </c>
      <c r="D69" s="33">
        <v>5</v>
      </c>
      <c r="E69" s="33">
        <v>5</v>
      </c>
    </row>
    <row r="70" spans="1:5" x14ac:dyDescent="0.3">
      <c r="A70" s="33">
        <v>5</v>
      </c>
      <c r="B70" s="33">
        <v>5</v>
      </c>
      <c r="C70" s="33">
        <v>5</v>
      </c>
      <c r="D70" s="33">
        <v>5</v>
      </c>
      <c r="E70" s="33">
        <v>5</v>
      </c>
    </row>
    <row r="71" spans="1:5" x14ac:dyDescent="0.3">
      <c r="A71" s="33">
        <v>5</v>
      </c>
      <c r="B71" s="33">
        <v>5</v>
      </c>
      <c r="C71" s="33">
        <v>5</v>
      </c>
      <c r="D71" s="33">
        <v>5</v>
      </c>
      <c r="E71" s="33">
        <v>5</v>
      </c>
    </row>
    <row r="72" spans="1:5" x14ac:dyDescent="0.3">
      <c r="A72" s="33">
        <v>5</v>
      </c>
      <c r="B72" s="33">
        <v>5</v>
      </c>
      <c r="C72" s="33">
        <v>5</v>
      </c>
      <c r="D72" s="33">
        <v>5</v>
      </c>
      <c r="E72" s="33">
        <v>5</v>
      </c>
    </row>
    <row r="73" spans="1:5" x14ac:dyDescent="0.3">
      <c r="A73" s="33">
        <v>5</v>
      </c>
      <c r="B73" s="33">
        <v>5</v>
      </c>
      <c r="C73" s="33">
        <v>5</v>
      </c>
      <c r="D73" s="33">
        <v>5</v>
      </c>
      <c r="E73" s="33">
        <v>5</v>
      </c>
    </row>
    <row r="74" spans="1:5" x14ac:dyDescent="0.3">
      <c r="A74" s="33">
        <v>5</v>
      </c>
      <c r="B74" s="33">
        <v>4</v>
      </c>
      <c r="C74" s="33">
        <v>5</v>
      </c>
      <c r="D74" s="33">
        <v>5</v>
      </c>
      <c r="E74" s="33">
        <v>5</v>
      </c>
    </row>
    <row r="75" spans="1:5" x14ac:dyDescent="0.3">
      <c r="A75" s="33">
        <v>5</v>
      </c>
      <c r="B75" s="33">
        <v>4</v>
      </c>
      <c r="C75" s="33">
        <v>5</v>
      </c>
      <c r="D75" s="33">
        <v>5</v>
      </c>
      <c r="E75" s="33">
        <v>5</v>
      </c>
    </row>
    <row r="76" spans="1:5" x14ac:dyDescent="0.3">
      <c r="A76" s="33">
        <v>5</v>
      </c>
      <c r="B76" s="33">
        <v>5</v>
      </c>
      <c r="C76" s="33">
        <v>5</v>
      </c>
      <c r="D76" s="33">
        <v>5</v>
      </c>
      <c r="E76" s="33">
        <v>5</v>
      </c>
    </row>
    <row r="77" spans="1:5" x14ac:dyDescent="0.3">
      <c r="A77" s="33">
        <v>5</v>
      </c>
      <c r="B77" s="33">
        <v>5</v>
      </c>
      <c r="C77" s="33">
        <v>5</v>
      </c>
      <c r="D77" s="33">
        <v>5</v>
      </c>
      <c r="E77" s="33">
        <v>5</v>
      </c>
    </row>
    <row r="78" spans="1:5" x14ac:dyDescent="0.3">
      <c r="A78" s="33">
        <v>5</v>
      </c>
      <c r="B78" s="33">
        <v>5</v>
      </c>
      <c r="C78" s="33">
        <v>5</v>
      </c>
      <c r="D78" s="33">
        <v>5</v>
      </c>
      <c r="E78" s="33">
        <v>5</v>
      </c>
    </row>
    <row r="79" spans="1:5" x14ac:dyDescent="0.3">
      <c r="A79" s="33">
        <v>4</v>
      </c>
      <c r="B79" s="33">
        <v>5</v>
      </c>
      <c r="C79" s="33">
        <v>5</v>
      </c>
      <c r="D79" s="33">
        <v>5</v>
      </c>
      <c r="E79" s="33">
        <v>5</v>
      </c>
    </row>
    <row r="80" spans="1:5" x14ac:dyDescent="0.3">
      <c r="A80" s="33">
        <v>3</v>
      </c>
      <c r="B80" s="33">
        <v>5</v>
      </c>
      <c r="C80" s="33">
        <v>5</v>
      </c>
      <c r="D80" s="33">
        <v>5</v>
      </c>
      <c r="E80" s="33">
        <v>5</v>
      </c>
    </row>
    <row r="81" spans="1:5" x14ac:dyDescent="0.3">
      <c r="A81" s="33">
        <v>5</v>
      </c>
      <c r="B81" s="33">
        <v>5</v>
      </c>
      <c r="C81" s="33">
        <v>5</v>
      </c>
      <c r="D81" s="33">
        <v>5</v>
      </c>
      <c r="E81" s="33">
        <v>5</v>
      </c>
    </row>
    <row r="82" spans="1:5" x14ac:dyDescent="0.3">
      <c r="A82" s="33">
        <v>5</v>
      </c>
      <c r="B82" s="33">
        <v>4</v>
      </c>
      <c r="C82" s="33">
        <v>5</v>
      </c>
      <c r="D82" s="33">
        <v>5</v>
      </c>
      <c r="E82" s="33">
        <v>5</v>
      </c>
    </row>
    <row r="83" spans="1:5" x14ac:dyDescent="0.3">
      <c r="A83" s="33">
        <v>5</v>
      </c>
      <c r="B83" s="33">
        <v>5</v>
      </c>
      <c r="C83" s="33">
        <v>5</v>
      </c>
      <c r="D83" s="33">
        <v>5</v>
      </c>
      <c r="E83" s="33">
        <v>5</v>
      </c>
    </row>
    <row r="84" spans="1:5" x14ac:dyDescent="0.3">
      <c r="A84" s="33">
        <v>5</v>
      </c>
      <c r="B84" s="33">
        <v>5</v>
      </c>
      <c r="C84" s="33">
        <v>5</v>
      </c>
      <c r="D84" s="33">
        <v>5</v>
      </c>
      <c r="E84" s="33">
        <v>5</v>
      </c>
    </row>
    <row r="85" spans="1:5" x14ac:dyDescent="0.3">
      <c r="A85" s="33">
        <v>5</v>
      </c>
      <c r="B85" s="33">
        <v>5</v>
      </c>
      <c r="C85" s="33">
        <v>5</v>
      </c>
      <c r="D85" s="33">
        <v>5</v>
      </c>
      <c r="E85" s="33">
        <v>5</v>
      </c>
    </row>
    <row r="86" spans="1:5" x14ac:dyDescent="0.3">
      <c r="A86" s="33">
        <v>5</v>
      </c>
      <c r="B86" s="33">
        <v>5</v>
      </c>
      <c r="C86" s="33">
        <v>5</v>
      </c>
      <c r="D86" s="33">
        <v>5</v>
      </c>
      <c r="E86" s="33">
        <v>5</v>
      </c>
    </row>
    <row r="87" spans="1:5" x14ac:dyDescent="0.3">
      <c r="A87" s="33">
        <v>5</v>
      </c>
      <c r="B87" s="33">
        <v>5</v>
      </c>
      <c r="C87" s="33">
        <v>5</v>
      </c>
      <c r="D87" s="33">
        <v>5</v>
      </c>
      <c r="E87" s="33">
        <v>5</v>
      </c>
    </row>
    <row r="88" spans="1:5" x14ac:dyDescent="0.3">
      <c r="A88" s="33">
        <v>5</v>
      </c>
      <c r="B88" s="33">
        <v>5</v>
      </c>
      <c r="C88" s="33">
        <v>5</v>
      </c>
      <c r="D88" s="33">
        <v>5</v>
      </c>
      <c r="E88" s="33">
        <v>5</v>
      </c>
    </row>
    <row r="89" spans="1:5" x14ac:dyDescent="0.3">
      <c r="A89" s="33">
        <v>4</v>
      </c>
      <c r="B89" s="33">
        <v>5</v>
      </c>
      <c r="C89" s="33">
        <v>5</v>
      </c>
      <c r="D89" s="33">
        <v>5</v>
      </c>
      <c r="E89" s="33">
        <v>5</v>
      </c>
    </row>
    <row r="90" spans="1:5" x14ac:dyDescent="0.3">
      <c r="A90" s="33">
        <v>5</v>
      </c>
      <c r="B90" s="33">
        <v>5</v>
      </c>
      <c r="C90" s="33">
        <v>5</v>
      </c>
      <c r="D90" s="33">
        <v>5</v>
      </c>
      <c r="E90" s="33">
        <v>5</v>
      </c>
    </row>
    <row r="91" spans="1:5" x14ac:dyDescent="0.3">
      <c r="A91" s="33">
        <v>5</v>
      </c>
      <c r="B91" s="33">
        <v>5</v>
      </c>
      <c r="C91" s="33">
        <v>5</v>
      </c>
      <c r="D91" s="33">
        <v>5</v>
      </c>
      <c r="E91" s="33">
        <v>5</v>
      </c>
    </row>
    <row r="92" spans="1:5" x14ac:dyDescent="0.3">
      <c r="A92" s="33">
        <v>5</v>
      </c>
      <c r="B92" s="33">
        <v>5</v>
      </c>
      <c r="C92" s="33">
        <v>5</v>
      </c>
      <c r="D92" s="33">
        <v>5</v>
      </c>
      <c r="E92" s="33">
        <v>5</v>
      </c>
    </row>
    <row r="93" spans="1:5" x14ac:dyDescent="0.3">
      <c r="A93" s="33">
        <v>5</v>
      </c>
      <c r="B93" s="33">
        <v>5</v>
      </c>
      <c r="C93" s="33">
        <v>5</v>
      </c>
      <c r="D93" s="33">
        <v>5</v>
      </c>
      <c r="E93" s="33">
        <v>5</v>
      </c>
    </row>
    <row r="94" spans="1:5" x14ac:dyDescent="0.3">
      <c r="A94" s="33">
        <v>5</v>
      </c>
      <c r="B94" s="33">
        <v>5</v>
      </c>
      <c r="C94" s="33">
        <v>5</v>
      </c>
      <c r="D94" s="33">
        <v>5</v>
      </c>
      <c r="E94" s="33">
        <v>5</v>
      </c>
    </row>
    <row r="95" spans="1:5" x14ac:dyDescent="0.3">
      <c r="A95" s="33">
        <v>5</v>
      </c>
      <c r="B95" s="33">
        <v>5</v>
      </c>
      <c r="C95" s="33">
        <v>3</v>
      </c>
      <c r="D95" s="33">
        <v>5</v>
      </c>
      <c r="E95" s="33">
        <v>5</v>
      </c>
    </row>
    <row r="96" spans="1:5" x14ac:dyDescent="0.3">
      <c r="A96" s="33">
        <v>5</v>
      </c>
      <c r="B96" s="33">
        <v>5</v>
      </c>
      <c r="C96" s="33">
        <v>5</v>
      </c>
      <c r="D96" s="33">
        <v>5</v>
      </c>
      <c r="E96" s="33">
        <v>5</v>
      </c>
    </row>
    <row r="97" spans="1:5" x14ac:dyDescent="0.3">
      <c r="A97" s="33">
        <v>5</v>
      </c>
      <c r="B97" s="33">
        <v>5</v>
      </c>
      <c r="C97" s="33">
        <v>5</v>
      </c>
      <c r="D97" s="33">
        <v>5</v>
      </c>
      <c r="E97" s="33">
        <v>5</v>
      </c>
    </row>
    <row r="98" spans="1:5" x14ac:dyDescent="0.3">
      <c r="A98" s="33">
        <v>5</v>
      </c>
      <c r="B98" s="33">
        <v>5</v>
      </c>
      <c r="C98" s="33">
        <v>5</v>
      </c>
      <c r="D98" s="33">
        <v>5</v>
      </c>
      <c r="E98" s="33">
        <v>5</v>
      </c>
    </row>
    <row r="99" spans="1:5" x14ac:dyDescent="0.3">
      <c r="A99" s="33">
        <v>5</v>
      </c>
      <c r="B99" s="33">
        <v>5</v>
      </c>
      <c r="C99" s="33">
        <v>5</v>
      </c>
      <c r="D99" s="33">
        <v>5</v>
      </c>
      <c r="E99" s="33">
        <v>5</v>
      </c>
    </row>
    <row r="100" spans="1:5" x14ac:dyDescent="0.3">
      <c r="A100" s="33">
        <v>5</v>
      </c>
      <c r="B100" s="33">
        <v>5</v>
      </c>
      <c r="C100" s="33">
        <v>5</v>
      </c>
      <c r="D100" s="33">
        <v>4</v>
      </c>
      <c r="E100" s="33">
        <v>5</v>
      </c>
    </row>
    <row r="101" spans="1:5" x14ac:dyDescent="0.3">
      <c r="A101" s="33">
        <v>5</v>
      </c>
      <c r="B101" s="33">
        <v>5</v>
      </c>
      <c r="C101" s="33">
        <v>5</v>
      </c>
      <c r="D101" s="33">
        <v>5</v>
      </c>
      <c r="E101" s="33">
        <v>5</v>
      </c>
    </row>
    <row r="102" spans="1:5" x14ac:dyDescent="0.3">
      <c r="A102" s="33">
        <v>5</v>
      </c>
      <c r="B102" s="33">
        <v>5</v>
      </c>
      <c r="C102" s="33">
        <v>5</v>
      </c>
      <c r="D102" s="33">
        <v>5</v>
      </c>
      <c r="E102" s="33">
        <v>5</v>
      </c>
    </row>
    <row r="103" spans="1:5" x14ac:dyDescent="0.3">
      <c r="A103" s="33">
        <v>5</v>
      </c>
      <c r="B103" s="33">
        <v>5</v>
      </c>
      <c r="C103" s="33">
        <v>5</v>
      </c>
      <c r="D103" s="33">
        <v>5</v>
      </c>
      <c r="E103" s="33">
        <v>5</v>
      </c>
    </row>
    <row r="104" spans="1:5" x14ac:dyDescent="0.3">
      <c r="A104" s="33">
        <v>5</v>
      </c>
      <c r="B104" s="33">
        <v>5</v>
      </c>
      <c r="C104" s="33">
        <v>5</v>
      </c>
      <c r="D104" s="33">
        <v>5</v>
      </c>
      <c r="E104" s="33">
        <v>5</v>
      </c>
    </row>
    <row r="105" spans="1:5" x14ac:dyDescent="0.3">
      <c r="A105" s="33">
        <v>5</v>
      </c>
      <c r="B105" s="33">
        <v>5</v>
      </c>
      <c r="C105" s="33">
        <v>5</v>
      </c>
      <c r="D105" s="33">
        <v>5</v>
      </c>
      <c r="E105" s="33">
        <v>5</v>
      </c>
    </row>
    <row r="106" spans="1:5" x14ac:dyDescent="0.3">
      <c r="A106" s="33">
        <v>5</v>
      </c>
      <c r="B106" s="33">
        <v>5</v>
      </c>
      <c r="C106" s="33">
        <v>5</v>
      </c>
      <c r="D106" s="33">
        <v>5</v>
      </c>
      <c r="E106" s="33">
        <v>5</v>
      </c>
    </row>
    <row r="107" spans="1:5" x14ac:dyDescent="0.3">
      <c r="A107" s="33">
        <v>5</v>
      </c>
      <c r="B107" s="33">
        <v>5</v>
      </c>
      <c r="C107" s="33">
        <v>4</v>
      </c>
      <c r="D107" s="33">
        <v>5</v>
      </c>
      <c r="E107" s="33">
        <v>5</v>
      </c>
    </row>
    <row r="108" spans="1:5" x14ac:dyDescent="0.3">
      <c r="A108" s="33">
        <v>5</v>
      </c>
      <c r="B108" s="33">
        <v>5</v>
      </c>
      <c r="C108" s="33">
        <v>5</v>
      </c>
      <c r="D108" s="33">
        <v>5</v>
      </c>
      <c r="E108" s="33">
        <v>5</v>
      </c>
    </row>
    <row r="109" spans="1:5" x14ac:dyDescent="0.3">
      <c r="A109" s="33">
        <v>5</v>
      </c>
      <c r="B109" s="33">
        <v>5</v>
      </c>
      <c r="C109" s="33">
        <v>5</v>
      </c>
      <c r="D109" s="33">
        <v>5</v>
      </c>
      <c r="E109" s="33">
        <v>5</v>
      </c>
    </row>
    <row r="110" spans="1:5" x14ac:dyDescent="0.3">
      <c r="A110" s="33">
        <v>5</v>
      </c>
      <c r="B110" s="33">
        <v>5</v>
      </c>
      <c r="C110" s="33">
        <v>5</v>
      </c>
      <c r="D110" s="33">
        <v>5</v>
      </c>
      <c r="E110" s="33">
        <v>5</v>
      </c>
    </row>
    <row r="111" spans="1:5" x14ac:dyDescent="0.3">
      <c r="A111" s="33">
        <v>5</v>
      </c>
      <c r="B111" s="33">
        <v>5</v>
      </c>
      <c r="C111" s="33">
        <v>5</v>
      </c>
      <c r="D111" s="33">
        <v>5</v>
      </c>
      <c r="E111" s="33">
        <v>5</v>
      </c>
    </row>
    <row r="112" spans="1:5" x14ac:dyDescent="0.3">
      <c r="A112" s="33">
        <v>5</v>
      </c>
      <c r="B112" s="33">
        <v>5</v>
      </c>
      <c r="C112" s="33">
        <v>5</v>
      </c>
      <c r="D112" s="33">
        <v>5</v>
      </c>
      <c r="E112" s="33">
        <v>5</v>
      </c>
    </row>
    <row r="113" spans="1:5" x14ac:dyDescent="0.3">
      <c r="A113" s="33">
        <v>5</v>
      </c>
      <c r="B113" s="33">
        <v>5</v>
      </c>
      <c r="C113" s="33">
        <v>5</v>
      </c>
      <c r="D113" s="33">
        <v>5</v>
      </c>
      <c r="E113" s="33">
        <v>5</v>
      </c>
    </row>
    <row r="114" spans="1:5" x14ac:dyDescent="0.3">
      <c r="A114" s="33">
        <v>5</v>
      </c>
      <c r="B114" s="33">
        <v>5</v>
      </c>
      <c r="C114" s="33">
        <v>5</v>
      </c>
      <c r="D114" s="33">
        <v>5</v>
      </c>
      <c r="E114" s="33">
        <v>5</v>
      </c>
    </row>
    <row r="115" spans="1:5" x14ac:dyDescent="0.3">
      <c r="A115" s="33">
        <v>5</v>
      </c>
      <c r="B115" s="33">
        <v>5</v>
      </c>
      <c r="C115" s="33">
        <v>3</v>
      </c>
      <c r="D115" s="33">
        <v>5</v>
      </c>
      <c r="E115" s="33">
        <v>5</v>
      </c>
    </row>
    <row r="116" spans="1:5" x14ac:dyDescent="0.3">
      <c r="A116" s="33">
        <v>5</v>
      </c>
      <c r="B116" s="33">
        <v>5</v>
      </c>
      <c r="C116" s="33">
        <v>5</v>
      </c>
      <c r="D116" s="33">
        <v>5</v>
      </c>
      <c r="E116" s="33">
        <v>5</v>
      </c>
    </row>
    <row r="117" spans="1:5" x14ac:dyDescent="0.3">
      <c r="A117" s="33">
        <v>4</v>
      </c>
      <c r="B117" s="33">
        <v>5</v>
      </c>
      <c r="C117" s="33">
        <v>5</v>
      </c>
      <c r="D117" s="33">
        <v>5</v>
      </c>
      <c r="E117" s="33">
        <v>5</v>
      </c>
    </row>
    <row r="118" spans="1:5" x14ac:dyDescent="0.3">
      <c r="A118" s="33">
        <v>5</v>
      </c>
      <c r="B118" s="33">
        <v>5</v>
      </c>
      <c r="C118" s="33">
        <v>5</v>
      </c>
      <c r="D118" s="33">
        <v>5</v>
      </c>
      <c r="E118" s="33">
        <v>5</v>
      </c>
    </row>
    <row r="119" spans="1:5" x14ac:dyDescent="0.3">
      <c r="A119" s="33">
        <v>5</v>
      </c>
      <c r="B119" s="33">
        <v>5</v>
      </c>
      <c r="C119" s="33">
        <v>5</v>
      </c>
      <c r="D119" s="33">
        <v>5</v>
      </c>
      <c r="E119" s="33">
        <v>5</v>
      </c>
    </row>
    <row r="120" spans="1:5" x14ac:dyDescent="0.3">
      <c r="A120" s="33">
        <v>5</v>
      </c>
      <c r="B120" s="33">
        <v>5</v>
      </c>
      <c r="C120" s="33">
        <v>5</v>
      </c>
      <c r="D120" s="33">
        <v>5</v>
      </c>
      <c r="E120" s="33">
        <v>5</v>
      </c>
    </row>
    <row r="121" spans="1:5" x14ac:dyDescent="0.3">
      <c r="A121" s="33">
        <v>5</v>
      </c>
      <c r="B121" s="33">
        <v>5</v>
      </c>
      <c r="C121" s="33">
        <v>5</v>
      </c>
      <c r="D121" s="33">
        <v>5</v>
      </c>
      <c r="E121" s="33">
        <v>5</v>
      </c>
    </row>
    <row r="122" spans="1:5" x14ac:dyDescent="0.3">
      <c r="A122" s="33">
        <v>5</v>
      </c>
      <c r="B122" s="33">
        <v>5</v>
      </c>
      <c r="C122" s="33">
        <v>5</v>
      </c>
      <c r="D122" s="33">
        <v>5</v>
      </c>
      <c r="E122" s="33">
        <v>5</v>
      </c>
    </row>
    <row r="123" spans="1:5" x14ac:dyDescent="0.3">
      <c r="A123" s="33">
        <v>5</v>
      </c>
      <c r="B123" s="33">
        <v>5</v>
      </c>
      <c r="C123" s="33">
        <v>5</v>
      </c>
      <c r="D123" s="37">
        <v>5</v>
      </c>
      <c r="E123" s="33">
        <v>5</v>
      </c>
    </row>
    <row r="124" spans="1:5" x14ac:dyDescent="0.3">
      <c r="A124" s="33">
        <v>5</v>
      </c>
      <c r="B124" s="33">
        <v>5</v>
      </c>
      <c r="C124" s="33">
        <v>5</v>
      </c>
      <c r="D124" s="33">
        <v>5</v>
      </c>
      <c r="E124" s="33">
        <v>5</v>
      </c>
    </row>
    <row r="125" spans="1:5" x14ac:dyDescent="0.3">
      <c r="A125" s="33">
        <v>5</v>
      </c>
      <c r="B125" s="33">
        <v>5</v>
      </c>
      <c r="C125" s="33">
        <v>5</v>
      </c>
      <c r="D125" s="33">
        <v>5</v>
      </c>
      <c r="E125" s="33">
        <v>5</v>
      </c>
    </row>
    <row r="126" spans="1:5" x14ac:dyDescent="0.3">
      <c r="A126" s="33">
        <v>5</v>
      </c>
      <c r="B126" s="33">
        <v>5</v>
      </c>
      <c r="C126" s="33">
        <v>5</v>
      </c>
      <c r="D126" s="33">
        <v>5</v>
      </c>
      <c r="E126" s="33">
        <v>5</v>
      </c>
    </row>
    <row r="127" spans="1:5" x14ac:dyDescent="0.3">
      <c r="A127" s="33">
        <v>5</v>
      </c>
      <c r="B127" s="33">
        <v>5</v>
      </c>
      <c r="C127" s="33">
        <v>5</v>
      </c>
      <c r="D127" s="33">
        <v>5</v>
      </c>
      <c r="E127" s="33">
        <v>5</v>
      </c>
    </row>
    <row r="128" spans="1:5" x14ac:dyDescent="0.3">
      <c r="A128" s="33">
        <v>5</v>
      </c>
      <c r="B128" s="33">
        <v>5</v>
      </c>
      <c r="C128" s="33">
        <v>5</v>
      </c>
      <c r="D128" s="33">
        <v>5</v>
      </c>
      <c r="E128" s="33">
        <v>5</v>
      </c>
    </row>
    <row r="129" spans="1:5" x14ac:dyDescent="0.3">
      <c r="A129" s="33">
        <v>5</v>
      </c>
      <c r="B129" s="33">
        <v>5</v>
      </c>
      <c r="C129" s="33">
        <v>5</v>
      </c>
      <c r="D129" s="33">
        <v>5</v>
      </c>
      <c r="E129" s="33">
        <v>5</v>
      </c>
    </row>
    <row r="130" spans="1:5" x14ac:dyDescent="0.3">
      <c r="A130" s="33">
        <v>5</v>
      </c>
      <c r="B130" s="33">
        <v>5</v>
      </c>
      <c r="C130" s="33">
        <v>5</v>
      </c>
      <c r="D130" s="33">
        <v>5</v>
      </c>
      <c r="E130" s="33">
        <v>5</v>
      </c>
    </row>
    <row r="131" spans="1:5" x14ac:dyDescent="0.3">
      <c r="A131" s="33">
        <v>5</v>
      </c>
      <c r="B131" s="33">
        <v>5</v>
      </c>
      <c r="C131" s="33">
        <v>5</v>
      </c>
      <c r="D131" s="33">
        <v>5</v>
      </c>
      <c r="E131" s="33">
        <v>5</v>
      </c>
    </row>
    <row r="132" spans="1:5" x14ac:dyDescent="0.3">
      <c r="A132" s="33">
        <v>5</v>
      </c>
      <c r="B132" s="33">
        <v>5</v>
      </c>
      <c r="C132" s="33">
        <v>5</v>
      </c>
      <c r="D132" s="33">
        <v>4</v>
      </c>
      <c r="E132" s="33">
        <v>5</v>
      </c>
    </row>
    <row r="133" spans="1:5" x14ac:dyDescent="0.3">
      <c r="A133" s="33">
        <v>5</v>
      </c>
      <c r="B133" s="33">
        <v>5</v>
      </c>
      <c r="C133" s="33">
        <v>5</v>
      </c>
      <c r="D133" s="33">
        <v>5</v>
      </c>
      <c r="E133" s="33">
        <v>5</v>
      </c>
    </row>
    <row r="134" spans="1:5" x14ac:dyDescent="0.3">
      <c r="A134" s="33">
        <v>5</v>
      </c>
      <c r="B134" s="33">
        <v>5</v>
      </c>
      <c r="C134" s="33">
        <v>5</v>
      </c>
      <c r="D134" s="33">
        <v>5</v>
      </c>
      <c r="E134" s="33">
        <v>5</v>
      </c>
    </row>
    <row r="135" spans="1:5" x14ac:dyDescent="0.3">
      <c r="A135" s="33">
        <v>5</v>
      </c>
      <c r="B135" s="33">
        <v>5</v>
      </c>
      <c r="C135" s="33">
        <v>5</v>
      </c>
      <c r="D135" s="33">
        <v>5</v>
      </c>
      <c r="E135" s="33">
        <v>5</v>
      </c>
    </row>
    <row r="136" spans="1:5" x14ac:dyDescent="0.3">
      <c r="A136" s="33">
        <v>5</v>
      </c>
      <c r="B136" s="33">
        <v>5</v>
      </c>
      <c r="C136" s="33">
        <v>5</v>
      </c>
      <c r="D136" s="33">
        <v>5</v>
      </c>
      <c r="E136" s="33">
        <v>5</v>
      </c>
    </row>
    <row r="137" spans="1:5" x14ac:dyDescent="0.3">
      <c r="A137" s="33">
        <v>5</v>
      </c>
      <c r="B137" s="33">
        <v>5</v>
      </c>
      <c r="C137" s="33">
        <v>5</v>
      </c>
      <c r="D137" s="33">
        <v>5</v>
      </c>
      <c r="E137" s="33">
        <v>5</v>
      </c>
    </row>
    <row r="138" spans="1:5" x14ac:dyDescent="0.3">
      <c r="A138" s="33">
        <v>5</v>
      </c>
      <c r="B138" s="33">
        <v>5</v>
      </c>
      <c r="C138" s="33">
        <v>5</v>
      </c>
      <c r="D138" s="33">
        <v>5</v>
      </c>
      <c r="E138" s="33">
        <v>5</v>
      </c>
    </row>
    <row r="139" spans="1:5" x14ac:dyDescent="0.3">
      <c r="A139" s="33">
        <v>5</v>
      </c>
      <c r="B139" s="33">
        <v>5</v>
      </c>
      <c r="C139" s="33">
        <v>5</v>
      </c>
      <c r="D139" s="33">
        <v>5</v>
      </c>
      <c r="E139" s="33">
        <v>5</v>
      </c>
    </row>
    <row r="140" spans="1:5" x14ac:dyDescent="0.3">
      <c r="A140" s="33">
        <v>5</v>
      </c>
      <c r="B140" s="33">
        <v>5</v>
      </c>
      <c r="C140" s="33">
        <v>5</v>
      </c>
      <c r="D140" s="33">
        <v>5</v>
      </c>
      <c r="E140" s="33">
        <v>5</v>
      </c>
    </row>
    <row r="141" spans="1:5" x14ac:dyDescent="0.3">
      <c r="A141" s="33">
        <v>5</v>
      </c>
      <c r="B141" s="33">
        <v>5</v>
      </c>
      <c r="C141" s="33">
        <v>5</v>
      </c>
      <c r="D141" s="33">
        <v>5</v>
      </c>
      <c r="E141" s="33">
        <v>5</v>
      </c>
    </row>
    <row r="142" spans="1:5" x14ac:dyDescent="0.3">
      <c r="A142" s="33">
        <v>5</v>
      </c>
      <c r="B142" s="33">
        <v>5</v>
      </c>
      <c r="C142" s="33">
        <v>5</v>
      </c>
      <c r="D142" s="33">
        <v>5</v>
      </c>
      <c r="E142" s="33">
        <v>5</v>
      </c>
    </row>
    <row r="143" spans="1:5" x14ac:dyDescent="0.3">
      <c r="A143" s="33">
        <v>5</v>
      </c>
      <c r="B143" s="33">
        <v>5</v>
      </c>
      <c r="C143" s="33">
        <v>5</v>
      </c>
      <c r="D143" s="33">
        <v>5</v>
      </c>
      <c r="E143" s="33">
        <v>5</v>
      </c>
    </row>
    <row r="144" spans="1:5" x14ac:dyDescent="0.3">
      <c r="A144" s="33">
        <v>5</v>
      </c>
      <c r="B144" s="33">
        <v>5</v>
      </c>
      <c r="C144" s="33">
        <v>5</v>
      </c>
      <c r="D144" s="33">
        <v>5</v>
      </c>
      <c r="E144" s="33">
        <v>5</v>
      </c>
    </row>
    <row r="145" spans="1:5" x14ac:dyDescent="0.3">
      <c r="A145" s="33">
        <v>5</v>
      </c>
      <c r="B145" s="33">
        <v>5</v>
      </c>
      <c r="C145" s="33">
        <v>4</v>
      </c>
      <c r="D145" s="33">
        <v>5</v>
      </c>
      <c r="E145" s="33">
        <v>5</v>
      </c>
    </row>
    <row r="146" spans="1:5" x14ac:dyDescent="0.3">
      <c r="A146" s="33">
        <v>5</v>
      </c>
      <c r="B146" s="33">
        <v>5</v>
      </c>
      <c r="C146" s="33">
        <v>5</v>
      </c>
      <c r="D146" s="33">
        <v>5</v>
      </c>
      <c r="E146" s="33">
        <v>5</v>
      </c>
    </row>
    <row r="147" spans="1:5" x14ac:dyDescent="0.3">
      <c r="A147" s="33">
        <v>5</v>
      </c>
      <c r="B147" s="33">
        <v>5</v>
      </c>
      <c r="C147" s="33">
        <v>5</v>
      </c>
      <c r="D147" s="33">
        <v>4</v>
      </c>
      <c r="E147" s="33">
        <v>5</v>
      </c>
    </row>
    <row r="148" spans="1:5" x14ac:dyDescent="0.3">
      <c r="A148" s="33">
        <v>5</v>
      </c>
      <c r="B148" s="33">
        <v>5</v>
      </c>
      <c r="C148" s="33">
        <v>5</v>
      </c>
      <c r="D148" s="33">
        <v>5</v>
      </c>
      <c r="E148" s="33">
        <v>5</v>
      </c>
    </row>
    <row r="149" spans="1:5" x14ac:dyDescent="0.3">
      <c r="A149" s="33">
        <v>5</v>
      </c>
      <c r="B149" s="33">
        <v>5</v>
      </c>
      <c r="C149" s="33">
        <v>5</v>
      </c>
      <c r="D149" s="33">
        <v>5</v>
      </c>
      <c r="E149" s="33">
        <v>5</v>
      </c>
    </row>
    <row r="150" spans="1:5" x14ac:dyDescent="0.3">
      <c r="A150" s="33">
        <v>5</v>
      </c>
      <c r="B150" s="33">
        <v>5</v>
      </c>
      <c r="C150" s="33">
        <v>5</v>
      </c>
      <c r="D150" s="33">
        <v>5</v>
      </c>
      <c r="E150" s="33">
        <v>5</v>
      </c>
    </row>
    <row r="151" spans="1:5" x14ac:dyDescent="0.3">
      <c r="A151" s="33">
        <v>5</v>
      </c>
      <c r="B151" s="33">
        <v>5</v>
      </c>
      <c r="C151" s="33">
        <v>5</v>
      </c>
      <c r="D151" s="33">
        <v>5</v>
      </c>
      <c r="E151" s="33">
        <v>5</v>
      </c>
    </row>
    <row r="152" spans="1:5" x14ac:dyDescent="0.3">
      <c r="A152" s="33">
        <v>5</v>
      </c>
      <c r="B152" s="33">
        <v>5</v>
      </c>
      <c r="C152" s="33">
        <v>5</v>
      </c>
      <c r="D152" s="33">
        <v>5</v>
      </c>
      <c r="E152" s="33">
        <v>5</v>
      </c>
    </row>
    <row r="153" spans="1:5" x14ac:dyDescent="0.3">
      <c r="A153" s="33">
        <v>5</v>
      </c>
      <c r="B153" s="33">
        <v>5</v>
      </c>
      <c r="C153" s="33">
        <v>5</v>
      </c>
      <c r="D153" s="33">
        <v>5</v>
      </c>
      <c r="E153" s="33">
        <v>5</v>
      </c>
    </row>
    <row r="154" spans="1:5" x14ac:dyDescent="0.3">
      <c r="A154" s="33">
        <v>3</v>
      </c>
      <c r="B154" s="33">
        <v>5</v>
      </c>
      <c r="C154" s="33">
        <v>5</v>
      </c>
      <c r="D154" s="33">
        <v>5</v>
      </c>
      <c r="E154" s="33">
        <v>5</v>
      </c>
    </row>
    <row r="155" spans="1:5" x14ac:dyDescent="0.3">
      <c r="A155" s="33">
        <v>5</v>
      </c>
      <c r="B155" s="33">
        <v>5</v>
      </c>
      <c r="C155" s="33">
        <v>5</v>
      </c>
      <c r="D155" s="33">
        <v>5</v>
      </c>
      <c r="E155" s="33">
        <v>5</v>
      </c>
    </row>
    <row r="156" spans="1:5" x14ac:dyDescent="0.3">
      <c r="A156" s="33">
        <v>5</v>
      </c>
      <c r="B156" s="33">
        <v>5</v>
      </c>
      <c r="C156" s="33">
        <v>5</v>
      </c>
      <c r="D156" s="33">
        <v>5</v>
      </c>
      <c r="E156" s="33">
        <v>5</v>
      </c>
    </row>
    <row r="157" spans="1:5" x14ac:dyDescent="0.3">
      <c r="A157" s="33">
        <v>5</v>
      </c>
      <c r="B157" s="33">
        <v>5</v>
      </c>
      <c r="C157" s="33">
        <v>5</v>
      </c>
      <c r="D157" s="33">
        <v>5</v>
      </c>
      <c r="E157" s="33">
        <v>5</v>
      </c>
    </row>
    <row r="158" spans="1:5" x14ac:dyDescent="0.3">
      <c r="A158" s="33">
        <v>5</v>
      </c>
      <c r="B158" s="33">
        <v>5</v>
      </c>
      <c r="C158" s="33">
        <v>5</v>
      </c>
      <c r="D158" s="33">
        <v>5</v>
      </c>
      <c r="E158" s="33">
        <v>5</v>
      </c>
    </row>
    <row r="159" spans="1:5" x14ac:dyDescent="0.3">
      <c r="A159" s="33">
        <v>5</v>
      </c>
      <c r="B159" s="33">
        <v>5</v>
      </c>
      <c r="C159" s="33">
        <v>5</v>
      </c>
      <c r="D159" s="33">
        <v>5</v>
      </c>
      <c r="E159" s="33">
        <v>5</v>
      </c>
    </row>
    <row r="160" spans="1:5" x14ac:dyDescent="0.3">
      <c r="A160" s="33">
        <v>4</v>
      </c>
      <c r="B160" s="33">
        <v>5</v>
      </c>
      <c r="C160" s="33">
        <v>5</v>
      </c>
      <c r="D160" s="33">
        <v>4</v>
      </c>
      <c r="E160" s="33">
        <v>5</v>
      </c>
    </row>
    <row r="161" spans="1:5" x14ac:dyDescent="0.3">
      <c r="A161" s="33">
        <v>5</v>
      </c>
      <c r="B161" s="33">
        <v>5</v>
      </c>
      <c r="C161" s="33">
        <v>5</v>
      </c>
      <c r="D161" s="33">
        <v>5</v>
      </c>
      <c r="E161" s="33">
        <v>5</v>
      </c>
    </row>
    <row r="162" spans="1:5" x14ac:dyDescent="0.3">
      <c r="A162" s="33">
        <v>5</v>
      </c>
      <c r="B162" s="33">
        <v>5</v>
      </c>
      <c r="C162" s="33">
        <v>5</v>
      </c>
      <c r="D162" s="33">
        <v>5</v>
      </c>
      <c r="E162" s="33">
        <v>5</v>
      </c>
    </row>
    <row r="163" spans="1:5" x14ac:dyDescent="0.3">
      <c r="A163" s="33">
        <v>5</v>
      </c>
      <c r="B163" s="33">
        <v>4</v>
      </c>
      <c r="C163" s="33">
        <v>5</v>
      </c>
      <c r="D163" s="33">
        <v>5</v>
      </c>
      <c r="E163" s="33">
        <v>5</v>
      </c>
    </row>
    <row r="164" spans="1:5" x14ac:dyDescent="0.3">
      <c r="A164" s="33">
        <v>5</v>
      </c>
      <c r="B164" s="33">
        <v>4</v>
      </c>
      <c r="C164" s="33">
        <v>5</v>
      </c>
      <c r="D164" s="33">
        <v>5</v>
      </c>
      <c r="E164" s="33">
        <v>5</v>
      </c>
    </row>
    <row r="165" spans="1:5" x14ac:dyDescent="0.3">
      <c r="A165" s="33">
        <v>5</v>
      </c>
      <c r="B165" s="33">
        <v>5</v>
      </c>
      <c r="C165" s="33">
        <v>5</v>
      </c>
      <c r="D165" s="33">
        <v>5</v>
      </c>
      <c r="E165" s="33">
        <v>5</v>
      </c>
    </row>
    <row r="166" spans="1:5" x14ac:dyDescent="0.3">
      <c r="A166" s="33">
        <v>5</v>
      </c>
      <c r="B166" s="33">
        <v>5</v>
      </c>
      <c r="C166" s="33">
        <v>5</v>
      </c>
      <c r="D166" s="33">
        <v>5</v>
      </c>
      <c r="E166" s="33">
        <v>5</v>
      </c>
    </row>
    <row r="167" spans="1:5" x14ac:dyDescent="0.3">
      <c r="A167" s="33">
        <v>5</v>
      </c>
      <c r="B167" s="33">
        <v>5</v>
      </c>
      <c r="C167" s="33">
        <v>5</v>
      </c>
      <c r="D167" s="33">
        <v>5</v>
      </c>
      <c r="E167" s="33">
        <v>5</v>
      </c>
    </row>
    <row r="168" spans="1:5" x14ac:dyDescent="0.3">
      <c r="A168" s="33">
        <v>5</v>
      </c>
      <c r="B168" s="33">
        <v>5</v>
      </c>
      <c r="C168" s="33">
        <v>5</v>
      </c>
      <c r="D168" s="33">
        <v>5</v>
      </c>
      <c r="E168" s="33">
        <v>5</v>
      </c>
    </row>
    <row r="169" spans="1:5" x14ac:dyDescent="0.3">
      <c r="A169" s="33">
        <v>5</v>
      </c>
      <c r="B169" s="33">
        <v>5</v>
      </c>
      <c r="C169" s="33">
        <v>5</v>
      </c>
      <c r="D169" s="33">
        <v>5</v>
      </c>
      <c r="E169" s="33">
        <v>5</v>
      </c>
    </row>
    <row r="170" spans="1:5" x14ac:dyDescent="0.3">
      <c r="A170" s="33">
        <v>5</v>
      </c>
      <c r="B170" s="33">
        <v>3</v>
      </c>
      <c r="C170" s="33">
        <v>5</v>
      </c>
      <c r="D170" s="33">
        <v>5</v>
      </c>
      <c r="E170" s="33">
        <v>5</v>
      </c>
    </row>
    <row r="171" spans="1:5" x14ac:dyDescent="0.3">
      <c r="A171" s="33">
        <v>5</v>
      </c>
      <c r="B171" s="33">
        <v>4</v>
      </c>
      <c r="C171" s="33">
        <v>5</v>
      </c>
      <c r="D171" s="33">
        <v>5</v>
      </c>
      <c r="E171" s="33">
        <v>5</v>
      </c>
    </row>
    <row r="172" spans="1:5" x14ac:dyDescent="0.3">
      <c r="A172" s="33">
        <v>5</v>
      </c>
      <c r="B172" s="33">
        <v>5</v>
      </c>
      <c r="C172" s="33">
        <v>5</v>
      </c>
      <c r="D172" s="33">
        <v>5</v>
      </c>
      <c r="E172" s="33">
        <v>5</v>
      </c>
    </row>
    <row r="173" spans="1:5" x14ac:dyDescent="0.3">
      <c r="A173" s="33">
        <v>5</v>
      </c>
      <c r="B173" s="33">
        <v>5</v>
      </c>
      <c r="C173" s="33">
        <v>5</v>
      </c>
      <c r="D173" s="33">
        <v>5</v>
      </c>
      <c r="E173" s="33">
        <v>5</v>
      </c>
    </row>
    <row r="174" spans="1:5" x14ac:dyDescent="0.3">
      <c r="A174" s="33">
        <v>5</v>
      </c>
      <c r="B174" s="33">
        <v>5</v>
      </c>
      <c r="C174" s="33">
        <v>5</v>
      </c>
      <c r="D174" s="33">
        <v>5</v>
      </c>
      <c r="E174" s="33">
        <v>5</v>
      </c>
    </row>
    <row r="175" spans="1:5" x14ac:dyDescent="0.3">
      <c r="A175" s="33">
        <v>5</v>
      </c>
      <c r="B175" s="33">
        <v>5</v>
      </c>
      <c r="C175" s="33">
        <v>5</v>
      </c>
      <c r="D175" s="33">
        <v>5</v>
      </c>
      <c r="E175" s="33">
        <v>5</v>
      </c>
    </row>
    <row r="176" spans="1:5" x14ac:dyDescent="0.3">
      <c r="A176" s="33">
        <v>5</v>
      </c>
      <c r="B176" s="33">
        <v>5</v>
      </c>
      <c r="C176" s="33">
        <v>5</v>
      </c>
      <c r="D176" s="33">
        <v>5</v>
      </c>
      <c r="E176" s="33">
        <v>5</v>
      </c>
    </row>
    <row r="177" spans="1:5" x14ac:dyDescent="0.3">
      <c r="A177" s="33">
        <v>5</v>
      </c>
      <c r="B177" s="33">
        <v>5</v>
      </c>
      <c r="C177" s="33">
        <v>5</v>
      </c>
      <c r="D177" s="33">
        <v>4</v>
      </c>
      <c r="E177" s="33">
        <v>5</v>
      </c>
    </row>
    <row r="178" spans="1:5" x14ac:dyDescent="0.3">
      <c r="A178" s="33">
        <v>4</v>
      </c>
      <c r="B178" s="33">
        <v>5</v>
      </c>
      <c r="C178" s="33">
        <v>5</v>
      </c>
      <c r="D178" s="33">
        <v>5</v>
      </c>
      <c r="E178" s="33">
        <v>5</v>
      </c>
    </row>
    <row r="179" spans="1:5" x14ac:dyDescent="0.3">
      <c r="A179" s="33">
        <v>5</v>
      </c>
      <c r="B179" s="33">
        <v>5</v>
      </c>
      <c r="C179" s="33">
        <v>5</v>
      </c>
      <c r="E179" s="33">
        <v>5</v>
      </c>
    </row>
    <row r="180" spans="1:5" x14ac:dyDescent="0.3">
      <c r="A180" s="33">
        <v>5</v>
      </c>
      <c r="B180" s="33">
        <v>5</v>
      </c>
      <c r="C180" s="33">
        <v>5</v>
      </c>
      <c r="E180" s="33">
        <v>5</v>
      </c>
    </row>
    <row r="181" spans="1:5" x14ac:dyDescent="0.3">
      <c r="A181" s="33">
        <v>5</v>
      </c>
      <c r="B181" s="33">
        <v>3</v>
      </c>
      <c r="C181" s="33">
        <v>5</v>
      </c>
      <c r="E181" s="33">
        <v>5</v>
      </c>
    </row>
    <row r="182" spans="1:5" x14ac:dyDescent="0.3">
      <c r="A182" s="33">
        <v>4</v>
      </c>
      <c r="B182" s="33">
        <v>5</v>
      </c>
      <c r="C182" s="33">
        <v>5</v>
      </c>
      <c r="E182" s="33">
        <v>5</v>
      </c>
    </row>
    <row r="183" spans="1:5" x14ac:dyDescent="0.3">
      <c r="A183" s="33">
        <v>5</v>
      </c>
      <c r="B183" s="33">
        <v>4</v>
      </c>
      <c r="C183" s="33">
        <v>5</v>
      </c>
      <c r="E183" s="33">
        <v>5</v>
      </c>
    </row>
    <row r="184" spans="1:5" x14ac:dyDescent="0.3">
      <c r="A184" s="33">
        <v>5</v>
      </c>
      <c r="B184" s="33">
        <v>5</v>
      </c>
      <c r="C184" s="33">
        <v>5</v>
      </c>
      <c r="E184" s="33">
        <v>5</v>
      </c>
    </row>
    <row r="185" spans="1:5" x14ac:dyDescent="0.3">
      <c r="A185" s="33">
        <v>5</v>
      </c>
      <c r="B185" s="33">
        <v>5</v>
      </c>
      <c r="C185" s="33">
        <v>5</v>
      </c>
      <c r="E185" s="33">
        <v>5</v>
      </c>
    </row>
    <row r="186" spans="1:5" x14ac:dyDescent="0.3">
      <c r="A186" s="33">
        <v>5</v>
      </c>
      <c r="B186" s="33">
        <v>5</v>
      </c>
      <c r="C186" s="33">
        <v>5</v>
      </c>
      <c r="E186" s="33">
        <v>5</v>
      </c>
    </row>
    <row r="187" spans="1:5" x14ac:dyDescent="0.3">
      <c r="A187" s="33">
        <v>5</v>
      </c>
      <c r="B187" s="33">
        <v>5</v>
      </c>
      <c r="C187" s="33">
        <v>5</v>
      </c>
      <c r="E187" s="33">
        <v>5</v>
      </c>
    </row>
    <row r="188" spans="1:5" x14ac:dyDescent="0.3">
      <c r="A188" s="33">
        <v>5</v>
      </c>
      <c r="B188" s="33">
        <v>5</v>
      </c>
      <c r="C188" s="33">
        <v>5</v>
      </c>
      <c r="E188" s="33">
        <v>5</v>
      </c>
    </row>
    <row r="189" spans="1:5" x14ac:dyDescent="0.3">
      <c r="A189" s="33">
        <v>5</v>
      </c>
      <c r="B189" s="33">
        <v>5</v>
      </c>
      <c r="C189" s="33">
        <v>5</v>
      </c>
      <c r="E189" s="33">
        <v>5</v>
      </c>
    </row>
    <row r="190" spans="1:5" x14ac:dyDescent="0.3">
      <c r="A190" s="33">
        <v>5</v>
      </c>
      <c r="B190" s="33">
        <v>5</v>
      </c>
      <c r="C190" s="33">
        <v>5</v>
      </c>
      <c r="E190" s="33">
        <v>5</v>
      </c>
    </row>
    <row r="191" spans="1:5" x14ac:dyDescent="0.3">
      <c r="A191" s="33">
        <v>5</v>
      </c>
      <c r="B191" s="33">
        <v>5</v>
      </c>
      <c r="C191" s="33">
        <v>5</v>
      </c>
      <c r="E191" s="33">
        <v>5</v>
      </c>
    </row>
    <row r="192" spans="1:5" x14ac:dyDescent="0.3">
      <c r="A192" s="33">
        <v>5</v>
      </c>
      <c r="B192" s="33">
        <v>5</v>
      </c>
      <c r="C192" s="33">
        <v>5</v>
      </c>
      <c r="E192" s="33">
        <v>5</v>
      </c>
    </row>
    <row r="193" spans="1:5" x14ac:dyDescent="0.3">
      <c r="A193" s="33">
        <v>5</v>
      </c>
      <c r="B193" s="33">
        <v>5</v>
      </c>
      <c r="C193" s="33">
        <v>5</v>
      </c>
      <c r="E193" s="33">
        <v>5</v>
      </c>
    </row>
    <row r="194" spans="1:5" x14ac:dyDescent="0.3">
      <c r="A194" s="33">
        <v>5</v>
      </c>
      <c r="B194" s="33">
        <v>5</v>
      </c>
      <c r="C194" s="33">
        <v>5</v>
      </c>
      <c r="E194" s="33">
        <v>5</v>
      </c>
    </row>
    <row r="195" spans="1:5" x14ac:dyDescent="0.3">
      <c r="A195" s="33">
        <v>5</v>
      </c>
      <c r="B195" s="33">
        <v>5</v>
      </c>
      <c r="C195" s="33">
        <v>5</v>
      </c>
      <c r="E195" s="33">
        <v>3</v>
      </c>
    </row>
    <row r="196" spans="1:5" x14ac:dyDescent="0.3">
      <c r="A196" s="33">
        <v>4</v>
      </c>
      <c r="B196" s="33">
        <v>5</v>
      </c>
      <c r="C196" s="33">
        <v>5</v>
      </c>
      <c r="E196" s="33">
        <v>5</v>
      </c>
    </row>
    <row r="197" spans="1:5" x14ac:dyDescent="0.3">
      <c r="A197" s="33">
        <v>5</v>
      </c>
      <c r="B197" s="33">
        <v>5</v>
      </c>
      <c r="C197" s="33">
        <v>5</v>
      </c>
    </row>
    <row r="198" spans="1:5" x14ac:dyDescent="0.3">
      <c r="A198" s="33">
        <v>5</v>
      </c>
      <c r="B198" s="33">
        <v>4</v>
      </c>
      <c r="C198" s="33">
        <v>5</v>
      </c>
    </row>
    <row r="199" spans="1:5" x14ac:dyDescent="0.3">
      <c r="A199" s="33">
        <v>5</v>
      </c>
      <c r="B199" s="33">
        <v>5</v>
      </c>
      <c r="C199" s="33">
        <v>5</v>
      </c>
    </row>
    <row r="200" spans="1:5" x14ac:dyDescent="0.3">
      <c r="A200" s="33">
        <v>5</v>
      </c>
      <c r="B200" s="33">
        <v>5</v>
      </c>
      <c r="C200" s="33">
        <v>5</v>
      </c>
    </row>
    <row r="201" spans="1:5" x14ac:dyDescent="0.3">
      <c r="A201" s="33">
        <v>5</v>
      </c>
      <c r="B201" s="33">
        <v>5</v>
      </c>
    </row>
    <row r="202" spans="1:5" x14ac:dyDescent="0.3">
      <c r="A202" s="33">
        <v>5</v>
      </c>
      <c r="B202" s="33">
        <v>5</v>
      </c>
    </row>
    <row r="203" spans="1:5" x14ac:dyDescent="0.3">
      <c r="A203" s="33">
        <v>5</v>
      </c>
      <c r="B203" s="33">
        <v>5</v>
      </c>
    </row>
    <row r="204" spans="1:5" x14ac:dyDescent="0.3">
      <c r="A204" s="33">
        <v>5</v>
      </c>
      <c r="B204" s="33">
        <v>5</v>
      </c>
    </row>
    <row r="205" spans="1:5" x14ac:dyDescent="0.3">
      <c r="A205" s="33">
        <v>5</v>
      </c>
      <c r="B205" s="33">
        <v>5</v>
      </c>
    </row>
    <row r="206" spans="1:5" x14ac:dyDescent="0.3">
      <c r="A206" s="33">
        <v>5</v>
      </c>
      <c r="B206" s="33">
        <v>5</v>
      </c>
    </row>
    <row r="207" spans="1:5" x14ac:dyDescent="0.3">
      <c r="A207" s="33">
        <v>5</v>
      </c>
      <c r="B207" s="33">
        <v>5</v>
      </c>
    </row>
    <row r="208" spans="1:5" x14ac:dyDescent="0.3">
      <c r="A208" s="37">
        <v>5</v>
      </c>
      <c r="B208" s="33">
        <v>5</v>
      </c>
    </row>
    <row r="209" spans="1:2" x14ac:dyDescent="0.3">
      <c r="A209" s="33">
        <v>5</v>
      </c>
      <c r="B209" s="33">
        <v>5</v>
      </c>
    </row>
    <row r="210" spans="1:2" x14ac:dyDescent="0.3">
      <c r="A210" s="33">
        <v>5</v>
      </c>
      <c r="B210" s="33">
        <v>5</v>
      </c>
    </row>
    <row r="211" spans="1:2" x14ac:dyDescent="0.3">
      <c r="A211" s="33">
        <v>5</v>
      </c>
      <c r="B211" s="33">
        <v>5</v>
      </c>
    </row>
    <row r="212" spans="1:2" x14ac:dyDescent="0.3">
      <c r="A212" s="37">
        <v>4</v>
      </c>
      <c r="B212" s="33">
        <v>5</v>
      </c>
    </row>
    <row r="213" spans="1:2" x14ac:dyDescent="0.3">
      <c r="A213" s="33">
        <v>5</v>
      </c>
      <c r="B213" s="33">
        <v>5</v>
      </c>
    </row>
    <row r="214" spans="1:2" x14ac:dyDescent="0.3">
      <c r="A214" s="33">
        <v>5</v>
      </c>
      <c r="B214" s="33">
        <v>5</v>
      </c>
    </row>
    <row r="215" spans="1:2" x14ac:dyDescent="0.3">
      <c r="A215" s="33">
        <v>5</v>
      </c>
      <c r="B215" s="33">
        <v>5</v>
      </c>
    </row>
    <row r="216" spans="1:2" x14ac:dyDescent="0.3">
      <c r="A216" s="33">
        <v>5</v>
      </c>
      <c r="B216" s="33">
        <v>5</v>
      </c>
    </row>
    <row r="217" spans="1:2" x14ac:dyDescent="0.3">
      <c r="A217" s="33">
        <v>5</v>
      </c>
      <c r="B217" s="33">
        <v>5</v>
      </c>
    </row>
    <row r="218" spans="1:2" x14ac:dyDescent="0.3">
      <c r="A218" s="33">
        <v>5</v>
      </c>
      <c r="B218" s="33">
        <v>5</v>
      </c>
    </row>
    <row r="219" spans="1:2" x14ac:dyDescent="0.3">
      <c r="A219" s="33">
        <v>5</v>
      </c>
      <c r="B219" s="33">
        <v>5</v>
      </c>
    </row>
    <row r="220" spans="1:2" x14ac:dyDescent="0.3">
      <c r="A220" s="33">
        <v>5</v>
      </c>
      <c r="B220" s="33">
        <v>5</v>
      </c>
    </row>
    <row r="221" spans="1:2" x14ac:dyDescent="0.3">
      <c r="A221" s="33">
        <v>5</v>
      </c>
      <c r="B221" s="33">
        <v>5</v>
      </c>
    </row>
    <row r="222" spans="1:2" x14ac:dyDescent="0.3">
      <c r="A222" s="33">
        <v>5</v>
      </c>
      <c r="B222" s="33">
        <v>5</v>
      </c>
    </row>
    <row r="223" spans="1:2" x14ac:dyDescent="0.3">
      <c r="A223" s="33">
        <v>5</v>
      </c>
      <c r="B223" s="33">
        <v>5</v>
      </c>
    </row>
    <row r="224" spans="1:2" x14ac:dyDescent="0.3">
      <c r="A224" s="33">
        <v>5</v>
      </c>
      <c r="B224" s="33">
        <v>5</v>
      </c>
    </row>
    <row r="225" spans="1:2" x14ac:dyDescent="0.3">
      <c r="A225" s="33">
        <v>5</v>
      </c>
      <c r="B225" s="33">
        <v>5</v>
      </c>
    </row>
    <row r="226" spans="1:2" x14ac:dyDescent="0.3">
      <c r="A226" s="33">
        <v>5</v>
      </c>
      <c r="B226" s="33">
        <v>5</v>
      </c>
    </row>
    <row r="227" spans="1:2" x14ac:dyDescent="0.3">
      <c r="A227" s="33">
        <v>5</v>
      </c>
      <c r="B227" s="33">
        <v>5</v>
      </c>
    </row>
    <row r="228" spans="1:2" x14ac:dyDescent="0.3">
      <c r="A228" s="33">
        <v>5</v>
      </c>
      <c r="B228" s="33">
        <v>4</v>
      </c>
    </row>
    <row r="229" spans="1:2" x14ac:dyDescent="0.3">
      <c r="A229" s="33">
        <v>5</v>
      </c>
      <c r="B229" s="33">
        <v>5</v>
      </c>
    </row>
    <row r="230" spans="1:2" x14ac:dyDescent="0.3">
      <c r="A230" s="33">
        <v>5</v>
      </c>
      <c r="B230" s="33">
        <v>5</v>
      </c>
    </row>
    <row r="231" spans="1:2" x14ac:dyDescent="0.3">
      <c r="A231" s="33">
        <v>5</v>
      </c>
      <c r="B231" s="33">
        <v>5</v>
      </c>
    </row>
    <row r="232" spans="1:2" x14ac:dyDescent="0.3">
      <c r="A232" s="33">
        <v>5</v>
      </c>
      <c r="B232" s="33">
        <v>5</v>
      </c>
    </row>
    <row r="233" spans="1:2" x14ac:dyDescent="0.3">
      <c r="A233" s="33">
        <v>5</v>
      </c>
      <c r="B233" s="33">
        <v>5</v>
      </c>
    </row>
    <row r="234" spans="1:2" x14ac:dyDescent="0.3">
      <c r="A234" s="33">
        <v>5</v>
      </c>
      <c r="B234" s="33">
        <v>5</v>
      </c>
    </row>
    <row r="235" spans="1:2" x14ac:dyDescent="0.3">
      <c r="A235" s="33">
        <v>5</v>
      </c>
      <c r="B235" s="33">
        <v>5</v>
      </c>
    </row>
    <row r="236" spans="1:2" x14ac:dyDescent="0.3">
      <c r="A236" s="33">
        <v>5</v>
      </c>
      <c r="B236" s="33">
        <v>5</v>
      </c>
    </row>
    <row r="237" spans="1:2" x14ac:dyDescent="0.3">
      <c r="A237" s="33">
        <v>5</v>
      </c>
      <c r="B237" s="33">
        <v>5</v>
      </c>
    </row>
    <row r="238" spans="1:2" x14ac:dyDescent="0.3">
      <c r="A238" s="33">
        <v>5</v>
      </c>
      <c r="B238" s="33">
        <v>5</v>
      </c>
    </row>
    <row r="239" spans="1:2" x14ac:dyDescent="0.3">
      <c r="A239" s="33">
        <v>5</v>
      </c>
      <c r="B239" s="33">
        <v>5</v>
      </c>
    </row>
    <row r="240" spans="1:2" x14ac:dyDescent="0.3">
      <c r="A240" s="33">
        <v>5</v>
      </c>
      <c r="B240" s="33">
        <v>5</v>
      </c>
    </row>
    <row r="241" spans="1:2" x14ac:dyDescent="0.3">
      <c r="A241" s="33">
        <v>5</v>
      </c>
      <c r="B241" s="33">
        <v>5</v>
      </c>
    </row>
    <row r="242" spans="1:2" x14ac:dyDescent="0.3">
      <c r="A242" s="33">
        <v>3</v>
      </c>
      <c r="B242" s="33">
        <v>5</v>
      </c>
    </row>
    <row r="243" spans="1:2" x14ac:dyDescent="0.3">
      <c r="A243" s="33">
        <v>5</v>
      </c>
      <c r="B243" s="33">
        <v>5</v>
      </c>
    </row>
    <row r="244" spans="1:2" x14ac:dyDescent="0.3">
      <c r="A244" s="33">
        <v>5</v>
      </c>
      <c r="B244" s="33">
        <v>5</v>
      </c>
    </row>
    <row r="245" spans="1:2" x14ac:dyDescent="0.3">
      <c r="A245" s="33">
        <v>5</v>
      </c>
      <c r="B245" s="33">
        <v>4</v>
      </c>
    </row>
    <row r="246" spans="1:2" x14ac:dyDescent="0.3">
      <c r="A246" s="33">
        <v>5</v>
      </c>
      <c r="B246" s="33">
        <v>5</v>
      </c>
    </row>
    <row r="247" spans="1:2" x14ac:dyDescent="0.3">
      <c r="A247" s="33">
        <v>5</v>
      </c>
      <c r="B247" s="33">
        <v>4</v>
      </c>
    </row>
    <row r="248" spans="1:2" x14ac:dyDescent="0.3">
      <c r="A248" s="33">
        <v>5</v>
      </c>
      <c r="B248" s="33">
        <v>5</v>
      </c>
    </row>
    <row r="249" spans="1:2" x14ac:dyDescent="0.3">
      <c r="A249" s="33">
        <v>5</v>
      </c>
      <c r="B249" s="33">
        <v>5</v>
      </c>
    </row>
    <row r="250" spans="1:2" x14ac:dyDescent="0.3">
      <c r="A250" s="33">
        <v>5</v>
      </c>
      <c r="B250" s="33">
        <v>5</v>
      </c>
    </row>
    <row r="251" spans="1:2" x14ac:dyDescent="0.3">
      <c r="A251" s="33">
        <v>5</v>
      </c>
      <c r="B251" s="33">
        <v>5</v>
      </c>
    </row>
    <row r="252" spans="1:2" x14ac:dyDescent="0.3">
      <c r="A252" s="33">
        <v>5</v>
      </c>
      <c r="B252" s="33">
        <v>5</v>
      </c>
    </row>
    <row r="253" spans="1:2" x14ac:dyDescent="0.3">
      <c r="A253" s="33">
        <v>5</v>
      </c>
      <c r="B253" s="33">
        <v>5</v>
      </c>
    </row>
    <row r="254" spans="1:2" x14ac:dyDescent="0.3">
      <c r="A254" s="33">
        <v>5</v>
      </c>
      <c r="B254" s="33">
        <v>5</v>
      </c>
    </row>
    <row r="255" spans="1:2" x14ac:dyDescent="0.3">
      <c r="A255" s="33">
        <v>5</v>
      </c>
      <c r="B255" s="33">
        <v>4</v>
      </c>
    </row>
    <row r="256" spans="1:2" x14ac:dyDescent="0.3">
      <c r="A256" s="33">
        <v>5</v>
      </c>
      <c r="B256" s="33">
        <v>5</v>
      </c>
    </row>
    <row r="257" spans="1:2" x14ac:dyDescent="0.3">
      <c r="A257" s="33">
        <v>5</v>
      </c>
      <c r="B257" s="33">
        <v>5</v>
      </c>
    </row>
    <row r="258" spans="1:2" x14ac:dyDescent="0.3">
      <c r="A258" s="37">
        <v>5</v>
      </c>
      <c r="B258" s="33">
        <v>5</v>
      </c>
    </row>
    <row r="259" spans="1:2" x14ac:dyDescent="0.3">
      <c r="A259" s="33">
        <v>5</v>
      </c>
      <c r="B259" s="33">
        <v>5</v>
      </c>
    </row>
    <row r="260" spans="1:2" x14ac:dyDescent="0.3">
      <c r="A260" s="33">
        <v>5</v>
      </c>
      <c r="B260" s="33">
        <v>5</v>
      </c>
    </row>
    <row r="261" spans="1:2" x14ac:dyDescent="0.3">
      <c r="A261" s="33">
        <v>5</v>
      </c>
      <c r="B261" s="33">
        <v>5</v>
      </c>
    </row>
    <row r="262" spans="1:2" x14ac:dyDescent="0.3">
      <c r="A262" s="33">
        <v>5</v>
      </c>
      <c r="B262" s="33">
        <v>5</v>
      </c>
    </row>
    <row r="263" spans="1:2" x14ac:dyDescent="0.3">
      <c r="A263" s="33">
        <v>5</v>
      </c>
      <c r="B263" s="33">
        <v>5</v>
      </c>
    </row>
    <row r="264" spans="1:2" x14ac:dyDescent="0.3">
      <c r="A264" s="33">
        <v>5</v>
      </c>
      <c r="B264" s="33">
        <v>5</v>
      </c>
    </row>
    <row r="265" spans="1:2" x14ac:dyDescent="0.3">
      <c r="A265" s="33">
        <v>5</v>
      </c>
      <c r="B265" s="33">
        <v>5</v>
      </c>
    </row>
    <row r="266" spans="1:2" x14ac:dyDescent="0.3">
      <c r="A266" s="33">
        <v>5</v>
      </c>
      <c r="B266" s="33">
        <v>5</v>
      </c>
    </row>
    <row r="267" spans="1:2" x14ac:dyDescent="0.3">
      <c r="A267" s="33">
        <v>5</v>
      </c>
      <c r="B267" s="33">
        <v>5</v>
      </c>
    </row>
    <row r="268" spans="1:2" x14ac:dyDescent="0.3">
      <c r="A268" s="33">
        <v>5</v>
      </c>
      <c r="B268" s="33">
        <v>5</v>
      </c>
    </row>
    <row r="269" spans="1:2" x14ac:dyDescent="0.3">
      <c r="A269" s="33">
        <v>4</v>
      </c>
      <c r="B269" s="33">
        <v>5</v>
      </c>
    </row>
    <row r="270" spans="1:2" x14ac:dyDescent="0.3">
      <c r="A270" s="33">
        <v>5</v>
      </c>
      <c r="B270" s="33">
        <v>5</v>
      </c>
    </row>
    <row r="271" spans="1:2" x14ac:dyDescent="0.3">
      <c r="A271" s="33">
        <v>5</v>
      </c>
      <c r="B271" s="33">
        <v>5</v>
      </c>
    </row>
    <row r="272" spans="1:2" x14ac:dyDescent="0.3">
      <c r="A272" s="33">
        <v>5</v>
      </c>
      <c r="B272" s="33">
        <v>5</v>
      </c>
    </row>
    <row r="273" spans="1:2" x14ac:dyDescent="0.3">
      <c r="A273" s="37">
        <v>4</v>
      </c>
      <c r="B273" s="33">
        <v>5</v>
      </c>
    </row>
    <row r="274" spans="1:2" x14ac:dyDescent="0.3">
      <c r="A274" s="33">
        <v>5</v>
      </c>
      <c r="B274" s="33">
        <v>5</v>
      </c>
    </row>
    <row r="275" spans="1:2" x14ac:dyDescent="0.3">
      <c r="A275" s="33">
        <v>5</v>
      </c>
      <c r="B275" s="33">
        <v>3</v>
      </c>
    </row>
    <row r="276" spans="1:2" x14ac:dyDescent="0.3">
      <c r="A276" s="33">
        <v>5</v>
      </c>
      <c r="B276" s="33">
        <v>5</v>
      </c>
    </row>
    <row r="277" spans="1:2" x14ac:dyDescent="0.3">
      <c r="A277" s="33">
        <v>5</v>
      </c>
      <c r="B277" s="33">
        <v>5</v>
      </c>
    </row>
    <row r="278" spans="1:2" x14ac:dyDescent="0.3">
      <c r="A278" s="33">
        <v>3</v>
      </c>
      <c r="B278" s="33">
        <v>5</v>
      </c>
    </row>
    <row r="279" spans="1:2" x14ac:dyDescent="0.3">
      <c r="A279" s="33">
        <v>5</v>
      </c>
      <c r="B279" s="33">
        <v>5</v>
      </c>
    </row>
    <row r="280" spans="1:2" x14ac:dyDescent="0.3">
      <c r="A280" s="33">
        <v>5</v>
      </c>
      <c r="B280" s="33">
        <v>5</v>
      </c>
    </row>
    <row r="281" spans="1:2" x14ac:dyDescent="0.3">
      <c r="A281" s="33">
        <v>5</v>
      </c>
      <c r="B281" s="33">
        <v>5</v>
      </c>
    </row>
    <row r="282" spans="1:2" x14ac:dyDescent="0.3">
      <c r="A282" s="33">
        <v>5</v>
      </c>
      <c r="B282" s="33">
        <v>5</v>
      </c>
    </row>
    <row r="283" spans="1:2" x14ac:dyDescent="0.3">
      <c r="A283" s="33">
        <v>5</v>
      </c>
      <c r="B283" s="33">
        <v>5</v>
      </c>
    </row>
    <row r="284" spans="1:2" x14ac:dyDescent="0.3">
      <c r="A284" s="33">
        <v>5</v>
      </c>
      <c r="B284" s="33">
        <v>5</v>
      </c>
    </row>
    <row r="285" spans="1:2" x14ac:dyDescent="0.3">
      <c r="A285" s="37">
        <v>4</v>
      </c>
      <c r="B285" s="33">
        <v>4</v>
      </c>
    </row>
    <row r="286" spans="1:2" x14ac:dyDescent="0.3">
      <c r="A286" s="37">
        <v>4</v>
      </c>
      <c r="B286" s="33">
        <v>5</v>
      </c>
    </row>
    <row r="287" spans="1:2" x14ac:dyDescent="0.3">
      <c r="A287" s="33">
        <v>5</v>
      </c>
      <c r="B287" s="33">
        <v>5</v>
      </c>
    </row>
    <row r="288" spans="1:2" x14ac:dyDescent="0.3">
      <c r="A288" s="33">
        <v>5</v>
      </c>
      <c r="B288" s="33">
        <v>5</v>
      </c>
    </row>
    <row r="289" spans="1:2" x14ac:dyDescent="0.3">
      <c r="A289" s="33">
        <v>5</v>
      </c>
      <c r="B289" s="33">
        <v>5</v>
      </c>
    </row>
    <row r="290" spans="1:2" x14ac:dyDescent="0.3">
      <c r="A290" s="33">
        <v>5</v>
      </c>
      <c r="B290" s="33">
        <v>5</v>
      </c>
    </row>
    <row r="291" spans="1:2" x14ac:dyDescent="0.3">
      <c r="A291" s="33">
        <v>5</v>
      </c>
      <c r="B291" s="33">
        <v>5</v>
      </c>
    </row>
    <row r="292" spans="1:2" x14ac:dyDescent="0.3">
      <c r="A292" s="33">
        <v>5</v>
      </c>
      <c r="B292" s="33">
        <v>5</v>
      </c>
    </row>
    <row r="293" spans="1:2" x14ac:dyDescent="0.3">
      <c r="A293" s="33">
        <v>5</v>
      </c>
      <c r="B293" s="37">
        <v>5</v>
      </c>
    </row>
    <row r="294" spans="1:2" x14ac:dyDescent="0.3">
      <c r="A294" s="33">
        <v>5</v>
      </c>
      <c r="B294" s="33">
        <v>5</v>
      </c>
    </row>
    <row r="295" spans="1:2" x14ac:dyDescent="0.3">
      <c r="A295" s="33">
        <v>5</v>
      </c>
      <c r="B295" s="33">
        <v>5</v>
      </c>
    </row>
    <row r="296" spans="1:2" x14ac:dyDescent="0.3">
      <c r="A296" s="33">
        <v>5</v>
      </c>
      <c r="B296" s="33">
        <v>5</v>
      </c>
    </row>
    <row r="297" spans="1:2" x14ac:dyDescent="0.3">
      <c r="A297" s="33">
        <v>5</v>
      </c>
      <c r="B297" s="33">
        <v>5</v>
      </c>
    </row>
    <row r="298" spans="1:2" x14ac:dyDescent="0.3">
      <c r="A298" s="33">
        <v>5</v>
      </c>
      <c r="B298" s="33">
        <v>5</v>
      </c>
    </row>
    <row r="299" spans="1:2" x14ac:dyDescent="0.3">
      <c r="A299" s="33">
        <v>5</v>
      </c>
      <c r="B299" s="33">
        <v>5</v>
      </c>
    </row>
    <row r="300" spans="1:2" x14ac:dyDescent="0.3">
      <c r="A300" s="37">
        <v>5</v>
      </c>
      <c r="B300" s="33">
        <v>5</v>
      </c>
    </row>
    <row r="301" spans="1:2" x14ac:dyDescent="0.3">
      <c r="A301" s="33">
        <v>5</v>
      </c>
      <c r="B301" s="33">
        <v>5</v>
      </c>
    </row>
    <row r="302" spans="1:2" x14ac:dyDescent="0.3">
      <c r="A302" s="33">
        <v>5</v>
      </c>
      <c r="B302" s="33">
        <v>5</v>
      </c>
    </row>
    <row r="303" spans="1:2" x14ac:dyDescent="0.3">
      <c r="A303" s="33">
        <v>3</v>
      </c>
      <c r="B303" s="33">
        <v>5</v>
      </c>
    </row>
    <row r="304" spans="1:2" x14ac:dyDescent="0.3">
      <c r="A304" s="33">
        <v>5</v>
      </c>
      <c r="B304" s="33">
        <v>5</v>
      </c>
    </row>
    <row r="305" spans="1:2" x14ac:dyDescent="0.3">
      <c r="A305" s="33">
        <v>5</v>
      </c>
      <c r="B305" s="33">
        <v>5</v>
      </c>
    </row>
    <row r="306" spans="1:2" x14ac:dyDescent="0.3">
      <c r="B306" s="33">
        <v>5</v>
      </c>
    </row>
    <row r="307" spans="1:2" x14ac:dyDescent="0.3">
      <c r="B307" s="33">
        <v>5</v>
      </c>
    </row>
    <row r="308" spans="1:2" x14ac:dyDescent="0.3">
      <c r="B308" s="33">
        <v>5</v>
      </c>
    </row>
    <row r="309" spans="1:2" x14ac:dyDescent="0.3">
      <c r="B309" s="33">
        <v>5</v>
      </c>
    </row>
    <row r="310" spans="1:2" x14ac:dyDescent="0.3">
      <c r="B310" s="33">
        <v>5</v>
      </c>
    </row>
    <row r="311" spans="1:2" x14ac:dyDescent="0.3">
      <c r="B311" s="33">
        <v>5</v>
      </c>
    </row>
    <row r="312" spans="1:2" x14ac:dyDescent="0.3">
      <c r="B312" s="33">
        <v>5</v>
      </c>
    </row>
    <row r="313" spans="1:2" x14ac:dyDescent="0.3">
      <c r="B313" s="33">
        <v>5</v>
      </c>
    </row>
    <row r="314" spans="1:2" x14ac:dyDescent="0.3">
      <c r="B314" s="33">
        <v>5</v>
      </c>
    </row>
    <row r="315" spans="1:2" x14ac:dyDescent="0.3">
      <c r="B315" s="33">
        <v>5</v>
      </c>
    </row>
    <row r="316" spans="1:2" x14ac:dyDescent="0.3">
      <c r="B316" s="33">
        <v>5</v>
      </c>
    </row>
    <row r="317" spans="1:2" x14ac:dyDescent="0.3">
      <c r="B317" s="33">
        <v>5</v>
      </c>
    </row>
    <row r="318" spans="1:2" x14ac:dyDescent="0.3">
      <c r="B318" s="33">
        <v>5</v>
      </c>
    </row>
    <row r="319" spans="1:2" x14ac:dyDescent="0.3">
      <c r="B319" s="33">
        <v>5</v>
      </c>
    </row>
    <row r="320" spans="1:2" x14ac:dyDescent="0.3">
      <c r="B320" s="33">
        <v>5</v>
      </c>
    </row>
    <row r="321" spans="2:2" x14ac:dyDescent="0.3">
      <c r="B321" s="33">
        <v>5</v>
      </c>
    </row>
    <row r="322" spans="2:2" x14ac:dyDescent="0.3">
      <c r="B322" s="33">
        <v>4</v>
      </c>
    </row>
    <row r="323" spans="2:2" x14ac:dyDescent="0.3">
      <c r="B323" s="33">
        <v>5</v>
      </c>
    </row>
    <row r="324" spans="2:2" x14ac:dyDescent="0.3">
      <c r="B324" s="33">
        <v>5</v>
      </c>
    </row>
    <row r="325" spans="2:2" x14ac:dyDescent="0.3">
      <c r="B325" s="33">
        <v>5</v>
      </c>
    </row>
    <row r="326" spans="2:2" x14ac:dyDescent="0.3">
      <c r="B326" s="33">
        <v>5</v>
      </c>
    </row>
    <row r="327" spans="2:2" x14ac:dyDescent="0.3">
      <c r="B327" s="33">
        <v>5</v>
      </c>
    </row>
    <row r="328" spans="2:2" x14ac:dyDescent="0.3">
      <c r="B328" s="33">
        <v>5</v>
      </c>
    </row>
    <row r="329" spans="2:2" x14ac:dyDescent="0.3">
      <c r="B329" s="33">
        <v>5</v>
      </c>
    </row>
    <row r="330" spans="2:2" x14ac:dyDescent="0.3">
      <c r="B330" s="33">
        <v>5</v>
      </c>
    </row>
    <row r="331" spans="2:2" x14ac:dyDescent="0.3">
      <c r="B331" s="33">
        <v>5</v>
      </c>
    </row>
    <row r="332" spans="2:2" x14ac:dyDescent="0.3">
      <c r="B332" s="33">
        <v>4</v>
      </c>
    </row>
    <row r="333" spans="2:2" x14ac:dyDescent="0.3">
      <c r="B333" s="33">
        <v>5</v>
      </c>
    </row>
    <row r="334" spans="2:2" x14ac:dyDescent="0.3">
      <c r="B334" s="33">
        <v>5</v>
      </c>
    </row>
    <row r="335" spans="2:2" x14ac:dyDescent="0.3">
      <c r="B335" s="33">
        <v>5</v>
      </c>
    </row>
    <row r="336" spans="2:2" x14ac:dyDescent="0.3">
      <c r="B336" s="33">
        <v>5</v>
      </c>
    </row>
    <row r="337" spans="2:2" x14ac:dyDescent="0.3">
      <c r="B337" s="33">
        <v>5</v>
      </c>
    </row>
    <row r="338" spans="2:2" x14ac:dyDescent="0.3">
      <c r="B338" s="33">
        <v>5</v>
      </c>
    </row>
    <row r="339" spans="2:2" x14ac:dyDescent="0.3">
      <c r="B339" s="33">
        <v>5</v>
      </c>
    </row>
    <row r="340" spans="2:2" x14ac:dyDescent="0.3">
      <c r="B340" s="33">
        <v>5</v>
      </c>
    </row>
    <row r="341" spans="2:2" x14ac:dyDescent="0.3">
      <c r="B341" s="33">
        <v>5</v>
      </c>
    </row>
    <row r="342" spans="2:2" x14ac:dyDescent="0.3">
      <c r="B342" s="33">
        <v>5</v>
      </c>
    </row>
    <row r="343" spans="2:2" x14ac:dyDescent="0.3">
      <c r="B343" s="33">
        <v>5</v>
      </c>
    </row>
    <row r="344" spans="2:2" x14ac:dyDescent="0.3">
      <c r="B344" s="33">
        <v>5</v>
      </c>
    </row>
    <row r="345" spans="2:2" x14ac:dyDescent="0.3">
      <c r="B345" s="33">
        <v>5</v>
      </c>
    </row>
    <row r="346" spans="2:2" x14ac:dyDescent="0.3">
      <c r="B346" s="33">
        <v>5</v>
      </c>
    </row>
    <row r="347" spans="2:2" x14ac:dyDescent="0.3">
      <c r="B347" s="33">
        <v>5</v>
      </c>
    </row>
    <row r="348" spans="2:2" x14ac:dyDescent="0.3">
      <c r="B348" s="33">
        <v>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747D-B2C8-4AFF-80F6-4A20A2AC9C00}">
  <dimension ref="A1:J24"/>
  <sheetViews>
    <sheetView zoomScale="74" zoomScaleNormal="115" workbookViewId="0">
      <selection activeCell="D2" sqref="D2:D9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10" max="10" width="18.5546875" bestFit="1" customWidth="1"/>
  </cols>
  <sheetData>
    <row r="1" spans="1:10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J1" s="4" t="s">
        <v>31</v>
      </c>
    </row>
    <row r="2" spans="1:10" x14ac:dyDescent="0.3">
      <c r="A2" s="19" t="s">
        <v>20</v>
      </c>
      <c r="B2" s="20">
        <f>D15+E15+F15</f>
        <v>1095</v>
      </c>
      <c r="C2" s="20">
        <f>B15+C15</f>
        <v>327</v>
      </c>
      <c r="D2" s="21">
        <f>C2/B2</f>
        <v>0.29863013698630136</v>
      </c>
      <c r="E2" s="27">
        <f>AVERAGE('Notas Trim'!A$2:A$346)</f>
        <v>4.8980263157894735</v>
      </c>
      <c r="F2" s="27"/>
      <c r="G2" s="31">
        <f>E2-F2</f>
        <v>4.8980263157894735</v>
      </c>
      <c r="H2" s="1"/>
      <c r="J2" s="25">
        <f>IF((((E15+B15+F15)*G2)/10)&gt;500,500,((E15+B15+F15)*G2/10))</f>
        <v>469.7207236842105</v>
      </c>
    </row>
    <row r="3" spans="1:10" x14ac:dyDescent="0.3">
      <c r="A3" s="5" t="s">
        <v>19</v>
      </c>
      <c r="B3" s="6">
        <f t="shared" ref="B3:B6" si="0">D16+E16+F16</f>
        <v>1080</v>
      </c>
      <c r="C3" s="6">
        <f>B16+C16</f>
        <v>378</v>
      </c>
      <c r="D3" s="35">
        <f>C3/B3</f>
        <v>0.35</v>
      </c>
      <c r="E3" s="8">
        <f>AVERAGE('Notas Trim'!B$2:B$346)</f>
        <v>4.9333333333333336</v>
      </c>
      <c r="F3" s="8"/>
      <c r="G3" s="32">
        <f t="shared" ref="G3:G6" si="1">E3-F3</f>
        <v>4.9333333333333336</v>
      </c>
      <c r="H3" s="1"/>
      <c r="J3" s="25">
        <f>IF((((E16+B16+F16)*G3)/10)&gt;500,500,((E16+B16+F16)*G3/10))</f>
        <v>480.50666666666666</v>
      </c>
    </row>
    <row r="4" spans="1:10" x14ac:dyDescent="0.3">
      <c r="A4" s="19" t="s">
        <v>21</v>
      </c>
      <c r="B4" s="20">
        <f t="shared" si="0"/>
        <v>1176</v>
      </c>
      <c r="C4" s="20">
        <f>B17+C17</f>
        <v>228</v>
      </c>
      <c r="D4" s="21">
        <f>C4/B4</f>
        <v>0.19387755102040816</v>
      </c>
      <c r="E4" s="27">
        <f>AVERAGE('Notas Trim'!C$2:C$346)</f>
        <v>4.9597989949748742</v>
      </c>
      <c r="F4" s="27"/>
      <c r="G4" s="31">
        <f t="shared" si="1"/>
        <v>4.9597989949748742</v>
      </c>
      <c r="H4" s="1"/>
      <c r="J4" s="25">
        <f>IF((((E17+B17+F17)*G4)/10)&gt;500,500,((E17+B17+F17)*G4/10))</f>
        <v>500</v>
      </c>
    </row>
    <row r="5" spans="1:10" x14ac:dyDescent="0.3">
      <c r="A5" s="5" t="s">
        <v>32</v>
      </c>
      <c r="B5" s="6">
        <f t="shared" si="0"/>
        <v>1142</v>
      </c>
      <c r="C5" s="6">
        <f>B18+C18</f>
        <v>220</v>
      </c>
      <c r="D5" s="35">
        <f>C5/B5</f>
        <v>0.19264448336252188</v>
      </c>
      <c r="E5" s="8">
        <f>AVERAGE('Notas Trim'!D$2:D$346)</f>
        <v>4.9378531073446323</v>
      </c>
      <c r="F5" s="8"/>
      <c r="G5" s="32">
        <f t="shared" si="1"/>
        <v>4.9378531073446323</v>
      </c>
      <c r="H5" s="1"/>
      <c r="J5" s="25">
        <f>IF((((E18+B18+F18)*G5)/10)&gt;500,500,((E18+B18+F18)*G5/10))</f>
        <v>500</v>
      </c>
    </row>
    <row r="6" spans="1:10" x14ac:dyDescent="0.3">
      <c r="A6" s="19" t="s">
        <v>22</v>
      </c>
      <c r="B6" s="20">
        <f t="shared" si="0"/>
        <v>1103</v>
      </c>
      <c r="C6" s="20">
        <f>B19+C19</f>
        <v>247</v>
      </c>
      <c r="D6" s="21">
        <f>C6/B6</f>
        <v>0.22393472348141433</v>
      </c>
      <c r="E6" s="27">
        <f>AVERAGE('Notas Trim'!E$2:E$346)</f>
        <v>4.9743589743589745</v>
      </c>
      <c r="F6" s="27"/>
      <c r="G6" s="31">
        <f t="shared" si="1"/>
        <v>4.9743589743589745</v>
      </c>
      <c r="H6" s="1"/>
      <c r="J6" s="25">
        <f>IF((((E19+B19+F19)*G6)/10)&gt;500,500,((E19+B19+F19)*G6/10))</f>
        <v>497.93333333333328</v>
      </c>
    </row>
    <row r="7" spans="1:10" x14ac:dyDescent="0.3">
      <c r="A7" s="5"/>
      <c r="B7" s="6"/>
      <c r="C7" s="6"/>
      <c r="D7" s="7"/>
      <c r="E7" s="8"/>
      <c r="F7" s="8"/>
      <c r="G7" s="12"/>
      <c r="H7" s="1"/>
      <c r="J7" s="25"/>
    </row>
    <row r="8" spans="1:10" x14ac:dyDescent="0.3">
      <c r="A8" s="1"/>
      <c r="B8" s="1"/>
      <c r="C8" s="1"/>
      <c r="D8" s="9"/>
      <c r="E8" s="1"/>
      <c r="F8" s="28"/>
      <c r="G8" s="13"/>
      <c r="H8" s="1"/>
      <c r="J8" s="1"/>
    </row>
    <row r="9" spans="1:10" x14ac:dyDescent="0.3">
      <c r="A9" s="14" t="s">
        <v>16</v>
      </c>
      <c r="B9" s="14">
        <f>SUM(B2:B7)</f>
        <v>5596</v>
      </c>
      <c r="C9" s="14">
        <f>SUM(C2:C7)</f>
        <v>1400</v>
      </c>
      <c r="D9" s="15">
        <f>C9/B9</f>
        <v>0.25017869907076484</v>
      </c>
      <c r="E9" s="16">
        <f>AVERAGE(E2:E7)</f>
        <v>4.9406741451602576</v>
      </c>
      <c r="F9" s="16"/>
      <c r="G9" s="17">
        <f>E9-F9</f>
        <v>4.9406741451602576</v>
      </c>
      <c r="H9" s="1"/>
      <c r="J9" s="24">
        <f>SUM(J2:J7)</f>
        <v>2448.1607236842106</v>
      </c>
    </row>
    <row r="10" spans="1:10" x14ac:dyDescent="0.3">
      <c r="A10" s="1"/>
      <c r="B10" s="1"/>
      <c r="C10" s="1"/>
      <c r="D10" s="1"/>
      <c r="E10" s="1"/>
      <c r="F10" s="1"/>
      <c r="G10" s="1"/>
      <c r="H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J13" s="1"/>
    </row>
    <row r="14" spans="1:10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10" x14ac:dyDescent="0.3">
      <c r="A15" s="19" t="s">
        <v>20</v>
      </c>
      <c r="B15" s="1">
        <f>'Nps Jan'!B15+'Nps Fev'!B15+'Nps Mar'!B15</f>
        <v>39</v>
      </c>
      <c r="C15" s="1">
        <f>'Nps Jan'!C15+'Nps Fev'!C15+'Nps Mar'!C15</f>
        <v>288</v>
      </c>
      <c r="D15" s="1">
        <f>'Nps Jan'!D15+'Nps Fev'!D15+'Nps Mar'!D15</f>
        <v>175</v>
      </c>
      <c r="E15" s="1">
        <f>'Nps Jan'!E15+'Nps Fev'!E15+'Nps Mar'!E15</f>
        <v>734</v>
      </c>
      <c r="F15" s="1">
        <f>'Nps Jan'!F15+'Nps Fev'!F15+'Nps Mar'!F15</f>
        <v>186</v>
      </c>
      <c r="G15" s="1">
        <f>'Nps Jan'!G15+'Nps Fev'!G15+'Nps Mar'!G15</f>
        <v>23</v>
      </c>
    </row>
    <row r="16" spans="1:10" x14ac:dyDescent="0.3">
      <c r="A16" s="5" t="s">
        <v>19</v>
      </c>
      <c r="B16" s="1">
        <f>'Nps Jan'!B16+'Nps Fev'!B16+'Nps Mar'!B16</f>
        <v>42</v>
      </c>
      <c r="C16" s="1">
        <f>'Nps Jan'!C16+'Nps Fev'!C16+'Nps Mar'!C16</f>
        <v>336</v>
      </c>
      <c r="D16" s="1">
        <f>'Nps Jan'!D16+'Nps Fev'!D16+'Nps Mar'!D16</f>
        <v>148</v>
      </c>
      <c r="E16" s="1">
        <f>'Nps Jan'!E16+'Nps Fev'!E16+'Nps Mar'!E16</f>
        <v>693</v>
      </c>
      <c r="F16" s="1">
        <f>'Nps Jan'!F16+'Nps Fev'!F16+'Nps Mar'!F16</f>
        <v>239</v>
      </c>
      <c r="G16" s="1">
        <f>'Nps Jan'!G16+'Nps Fev'!G16+'Nps Mar'!G16</f>
        <v>31</v>
      </c>
    </row>
    <row r="17" spans="1:10" x14ac:dyDescent="0.3">
      <c r="A17" s="19" t="s">
        <v>21</v>
      </c>
      <c r="B17" s="1">
        <f>'Nps Jan'!B17+'Nps Fev'!B17+'Nps Mar'!B17</f>
        <v>13</v>
      </c>
      <c r="C17" s="1">
        <f>'Nps Jan'!C17+'Nps Fev'!C17+'Nps Mar'!C17</f>
        <v>215</v>
      </c>
      <c r="D17" s="1">
        <f>'Nps Jan'!D17+'Nps Fev'!D17+'Nps Mar'!D17</f>
        <v>117</v>
      </c>
      <c r="E17" s="1">
        <f>'Nps Jan'!E17+'Nps Fev'!E17+'Nps Mar'!E17</f>
        <v>825</v>
      </c>
      <c r="F17" s="1">
        <f>'Nps Jan'!F17+'Nps Fev'!F17+'Nps Mar'!F17</f>
        <v>234</v>
      </c>
      <c r="G17" s="1">
        <f>'Nps Jan'!G17+'Nps Fev'!G17+'Nps Mar'!G17</f>
        <v>29</v>
      </c>
    </row>
    <row r="18" spans="1:10" x14ac:dyDescent="0.3">
      <c r="A18" s="5" t="s">
        <v>32</v>
      </c>
      <c r="B18" s="1">
        <f>'Nps Jan'!B18+'Nps Fev'!B18+'Nps Mar'!B18</f>
        <v>21</v>
      </c>
      <c r="C18" s="1">
        <f>'Nps Jan'!C18+'Nps Fev'!C18+'Nps Mar'!C18</f>
        <v>199</v>
      </c>
      <c r="D18" s="1">
        <f>'Nps Jan'!D18+'Nps Fev'!D18+'Nps Mar'!D18</f>
        <v>123</v>
      </c>
      <c r="E18" s="1">
        <f>'Nps Jan'!E18+'Nps Fev'!E18+'Nps Mar'!E18</f>
        <v>686</v>
      </c>
      <c r="F18" s="1">
        <f>'Nps Jan'!F18+'Nps Fev'!F18+'Nps Mar'!F18</f>
        <v>333</v>
      </c>
      <c r="G18" s="1">
        <f>'Nps Jan'!G18+'Nps Fev'!G18+'Nps Mar'!G18</f>
        <v>43</v>
      </c>
      <c r="H18" s="1"/>
      <c r="J18" s="1"/>
    </row>
    <row r="19" spans="1:10" x14ac:dyDescent="0.3">
      <c r="A19" s="19" t="s">
        <v>22</v>
      </c>
      <c r="B19" s="1">
        <f>'Nps Jan'!B19+'Nps Fev'!B19+'Nps Mar'!B19</f>
        <v>14</v>
      </c>
      <c r="C19" s="1">
        <f>'Nps Jan'!C19+'Nps Fev'!C19+'Nps Mar'!C19</f>
        <v>233</v>
      </c>
      <c r="D19" s="1">
        <f>'Nps Jan'!D19+'Nps Fev'!D19+'Nps Mar'!D19</f>
        <v>116</v>
      </c>
      <c r="E19" s="1">
        <f>'Nps Jan'!E19+'Nps Fev'!E19+'Nps Mar'!E19</f>
        <v>648</v>
      </c>
      <c r="F19" s="1">
        <f>'Nps Jan'!F19+'Nps Fev'!F19+'Nps Mar'!F19</f>
        <v>339</v>
      </c>
      <c r="G19" s="1">
        <f>'Nps Jan'!G19+'Nps Fev'!G19+'Nps Mar'!G19</f>
        <v>52</v>
      </c>
      <c r="H19" s="1"/>
      <c r="J19" s="1"/>
    </row>
    <row r="21" spans="1:10" x14ac:dyDescent="0.3">
      <c r="A21" s="22" t="s">
        <v>28</v>
      </c>
      <c r="B21" s="1"/>
      <c r="C21" s="1"/>
    </row>
    <row r="22" spans="1:10" x14ac:dyDescent="0.3">
      <c r="A22" s="22" t="s">
        <v>27</v>
      </c>
      <c r="B22" s="1"/>
      <c r="C22" s="1"/>
    </row>
    <row r="23" spans="1:10" x14ac:dyDescent="0.3">
      <c r="A23" s="22" t="s">
        <v>29</v>
      </c>
      <c r="B23" s="1"/>
      <c r="C23" s="1"/>
    </row>
    <row r="24" spans="1:10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Jan</vt:lpstr>
      <vt:lpstr>Notas Jan</vt:lpstr>
      <vt:lpstr>Nps Jan</vt:lpstr>
      <vt:lpstr>Fev</vt:lpstr>
      <vt:lpstr>Notas Fev</vt:lpstr>
      <vt:lpstr>Nps Fev</vt:lpstr>
      <vt:lpstr>Mar</vt:lpstr>
      <vt:lpstr>Notas Mar</vt:lpstr>
      <vt:lpstr>Nps Mar</vt:lpstr>
      <vt:lpstr>Notas Trim</vt:lpstr>
      <vt:lpstr>NPS Trim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Ederson  - Power System Maringá</cp:lastModifiedBy>
  <cp:lastPrinted>2025-08-25T16:44:20Z</cp:lastPrinted>
  <dcterms:created xsi:type="dcterms:W3CDTF">2025-03-03T11:28:14Z</dcterms:created>
  <dcterms:modified xsi:type="dcterms:W3CDTF">2026-08-03T19:02:21Z</dcterms:modified>
</cp:coreProperties>
</file>